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ottish-my.sharepoint.com/personal/dave_brand_sas_nhs_scot/Documents/Desktop/Role selector/"/>
    </mc:Choice>
  </mc:AlternateContent>
  <xr:revisionPtr revIDLastSave="8" documentId="8_{DD5FFDC1-17E5-4559-82A3-841C642911AA}" xr6:coauthVersionLast="47" xr6:coauthVersionMax="47" xr10:uidLastSave="{52F6770E-A756-42AF-BBEE-3CB11C84BB44}"/>
  <bookViews>
    <workbookView xWindow="-110" yWindow="-110" windowWidth="19420" windowHeight="11500" activeTab="2" xr2:uid="{607B2C2C-D1D4-471F-8FAA-B53C8B5BD940}"/>
  </bookViews>
  <sheets>
    <sheet name="Roles" sheetId="2" r:id="rId1"/>
    <sheet name="Courses" sheetId="3" r:id="rId2"/>
    <sheet name="Mapping" sheetId="1" r:id="rId3"/>
    <sheet name="Reference" sheetId="6" r:id="rId4"/>
    <sheet name="QA Dashboard" sheetId="7" r:id="rId5"/>
    <sheet name="Questions!" sheetId="4" r:id="rId6"/>
  </sheets>
  <definedNames>
    <definedName name="CourseID_List">course_data[course_id]</definedName>
    <definedName name="frequency">Reference!$C$2:$C$7</definedName>
    <definedName name="Include_List">Reference!$A$2:$A$3</definedName>
    <definedName name="Requirement_Type_List">Reference!$B$2:$B$4</definedName>
    <definedName name="RoleID_List">role_data[role_id]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782" i="1" l="1"/>
  <c r="D3782" i="1"/>
  <c r="E3782" i="1"/>
  <c r="F3782" i="1"/>
  <c r="K3782" i="1"/>
  <c r="M3782" i="1"/>
  <c r="N3782" i="1"/>
  <c r="B3783" i="1"/>
  <c r="D3783" i="1"/>
  <c r="E3783" i="1"/>
  <c r="F3783" i="1"/>
  <c r="K3783" i="1"/>
  <c r="M3783" i="1"/>
  <c r="N3783" i="1"/>
  <c r="B3784" i="1"/>
  <c r="D3784" i="1"/>
  <c r="E3784" i="1"/>
  <c r="F3784" i="1"/>
  <c r="K3784" i="1"/>
  <c r="M3784" i="1"/>
  <c r="N3784" i="1"/>
  <c r="B3785" i="1"/>
  <c r="D3785" i="1"/>
  <c r="E3785" i="1"/>
  <c r="F3785" i="1"/>
  <c r="K3785" i="1"/>
  <c r="M3785" i="1"/>
  <c r="N3785" i="1"/>
  <c r="B3786" i="1"/>
  <c r="D3786" i="1"/>
  <c r="E3786" i="1"/>
  <c r="F3786" i="1"/>
  <c r="K3786" i="1"/>
  <c r="M3786" i="1"/>
  <c r="N3786" i="1"/>
  <c r="B3787" i="1"/>
  <c r="D3787" i="1"/>
  <c r="E3787" i="1"/>
  <c r="F3787" i="1"/>
  <c r="K3787" i="1"/>
  <c r="M3787" i="1"/>
  <c r="N3787" i="1"/>
  <c r="B3788" i="1"/>
  <c r="D3788" i="1"/>
  <c r="E3788" i="1"/>
  <c r="F3788" i="1"/>
  <c r="K3788" i="1"/>
  <c r="M3788" i="1"/>
  <c r="N3788" i="1"/>
  <c r="B3789" i="1"/>
  <c r="D3789" i="1"/>
  <c r="E3789" i="1"/>
  <c r="F3789" i="1"/>
  <c r="K3789" i="1"/>
  <c r="M3789" i="1"/>
  <c r="N3789" i="1"/>
  <c r="B3790" i="1"/>
  <c r="D3790" i="1"/>
  <c r="E3790" i="1"/>
  <c r="F3790" i="1"/>
  <c r="K3790" i="1"/>
  <c r="M3790" i="1"/>
  <c r="N3790" i="1"/>
  <c r="B3791" i="1"/>
  <c r="D3791" i="1"/>
  <c r="E3791" i="1"/>
  <c r="F3791" i="1"/>
  <c r="K3791" i="1"/>
  <c r="M3791" i="1"/>
  <c r="N3791" i="1"/>
  <c r="B3792" i="1"/>
  <c r="D3792" i="1"/>
  <c r="E3792" i="1"/>
  <c r="F3792" i="1"/>
  <c r="K3792" i="1"/>
  <c r="M3792" i="1"/>
  <c r="N3792" i="1"/>
  <c r="B3793" i="1"/>
  <c r="D3793" i="1"/>
  <c r="E3793" i="1"/>
  <c r="F3793" i="1"/>
  <c r="K3793" i="1"/>
  <c r="M3793" i="1"/>
  <c r="N3793" i="1"/>
  <c r="B3794" i="1"/>
  <c r="D3794" i="1"/>
  <c r="E3794" i="1"/>
  <c r="F3794" i="1"/>
  <c r="K3794" i="1"/>
  <c r="M3794" i="1"/>
  <c r="N3794" i="1"/>
  <c r="B3795" i="1"/>
  <c r="D3795" i="1"/>
  <c r="E3795" i="1"/>
  <c r="F3795" i="1"/>
  <c r="K3795" i="1"/>
  <c r="M3795" i="1"/>
  <c r="N3795" i="1"/>
  <c r="B3796" i="1"/>
  <c r="D3796" i="1"/>
  <c r="E3796" i="1"/>
  <c r="F3796" i="1"/>
  <c r="K3796" i="1"/>
  <c r="M3796" i="1"/>
  <c r="N3796" i="1"/>
  <c r="B3797" i="1"/>
  <c r="D3797" i="1"/>
  <c r="E3797" i="1"/>
  <c r="F3797" i="1"/>
  <c r="K3797" i="1"/>
  <c r="M3797" i="1"/>
  <c r="N3797" i="1"/>
  <c r="B3798" i="1"/>
  <c r="D3798" i="1"/>
  <c r="E3798" i="1"/>
  <c r="F3798" i="1"/>
  <c r="K3798" i="1"/>
  <c r="M3798" i="1"/>
  <c r="N3798" i="1"/>
  <c r="B3799" i="1"/>
  <c r="D3799" i="1"/>
  <c r="E3799" i="1"/>
  <c r="F3799" i="1"/>
  <c r="K3799" i="1"/>
  <c r="M3799" i="1"/>
  <c r="N3799" i="1"/>
  <c r="B3800" i="1"/>
  <c r="D3800" i="1"/>
  <c r="E3800" i="1"/>
  <c r="F3800" i="1"/>
  <c r="K3800" i="1"/>
  <c r="M3800" i="1"/>
  <c r="N3800" i="1"/>
  <c r="B3801" i="1"/>
  <c r="D3801" i="1"/>
  <c r="E3801" i="1"/>
  <c r="F3801" i="1"/>
  <c r="K3801" i="1"/>
  <c r="M3801" i="1"/>
  <c r="N3801" i="1"/>
  <c r="B3802" i="1"/>
  <c r="D3802" i="1"/>
  <c r="E3802" i="1"/>
  <c r="F3802" i="1"/>
  <c r="K3802" i="1"/>
  <c r="M3802" i="1"/>
  <c r="N3802" i="1"/>
  <c r="B3803" i="1"/>
  <c r="D3803" i="1"/>
  <c r="E3803" i="1"/>
  <c r="F3803" i="1"/>
  <c r="K3803" i="1"/>
  <c r="M3803" i="1"/>
  <c r="N3803" i="1"/>
  <c r="B3804" i="1"/>
  <c r="D3804" i="1"/>
  <c r="E3804" i="1"/>
  <c r="F3804" i="1"/>
  <c r="K3804" i="1"/>
  <c r="M3804" i="1"/>
  <c r="N3804" i="1"/>
  <c r="B3805" i="1"/>
  <c r="D3805" i="1"/>
  <c r="E3805" i="1"/>
  <c r="F3805" i="1"/>
  <c r="K3805" i="1"/>
  <c r="M3805" i="1"/>
  <c r="N3805" i="1"/>
  <c r="B3806" i="1"/>
  <c r="D3806" i="1"/>
  <c r="E3806" i="1"/>
  <c r="F3806" i="1"/>
  <c r="K3806" i="1"/>
  <c r="M3806" i="1"/>
  <c r="N3806" i="1"/>
  <c r="B3807" i="1"/>
  <c r="D3807" i="1"/>
  <c r="E3807" i="1"/>
  <c r="F3807" i="1"/>
  <c r="K3807" i="1"/>
  <c r="M3807" i="1"/>
  <c r="N3807" i="1"/>
  <c r="B3808" i="1"/>
  <c r="D3808" i="1"/>
  <c r="E3808" i="1"/>
  <c r="F3808" i="1"/>
  <c r="K3808" i="1"/>
  <c r="M3808" i="1"/>
  <c r="N3808" i="1"/>
  <c r="B3809" i="1"/>
  <c r="D3809" i="1"/>
  <c r="E3809" i="1"/>
  <c r="F3809" i="1"/>
  <c r="K3809" i="1"/>
  <c r="M3809" i="1"/>
  <c r="N3809" i="1"/>
  <c r="B3810" i="1"/>
  <c r="D3810" i="1"/>
  <c r="E3810" i="1"/>
  <c r="F3810" i="1"/>
  <c r="K3810" i="1"/>
  <c r="M3810" i="1"/>
  <c r="N3810" i="1"/>
  <c r="B3811" i="1"/>
  <c r="D3811" i="1"/>
  <c r="E3811" i="1"/>
  <c r="F3811" i="1"/>
  <c r="K3811" i="1"/>
  <c r="M3811" i="1"/>
  <c r="N3811" i="1"/>
  <c r="B3812" i="1"/>
  <c r="D3812" i="1"/>
  <c r="E3812" i="1"/>
  <c r="F3812" i="1"/>
  <c r="K3812" i="1"/>
  <c r="M3812" i="1"/>
  <c r="N3812" i="1"/>
  <c r="B3813" i="1"/>
  <c r="D3813" i="1"/>
  <c r="E3813" i="1"/>
  <c r="F3813" i="1"/>
  <c r="K3813" i="1"/>
  <c r="M3813" i="1"/>
  <c r="N3813" i="1"/>
  <c r="B3814" i="1"/>
  <c r="D3814" i="1"/>
  <c r="E3814" i="1"/>
  <c r="F3814" i="1"/>
  <c r="K3814" i="1"/>
  <c r="M3814" i="1"/>
  <c r="N3814" i="1"/>
  <c r="B3815" i="1"/>
  <c r="D3815" i="1"/>
  <c r="E3815" i="1"/>
  <c r="F3815" i="1"/>
  <c r="K3815" i="1"/>
  <c r="M3815" i="1"/>
  <c r="N3815" i="1"/>
  <c r="B3816" i="1"/>
  <c r="D3816" i="1"/>
  <c r="E3816" i="1"/>
  <c r="F3816" i="1"/>
  <c r="K3816" i="1"/>
  <c r="M3816" i="1"/>
  <c r="N3816" i="1"/>
  <c r="B3817" i="1"/>
  <c r="D3817" i="1"/>
  <c r="E3817" i="1"/>
  <c r="F3817" i="1"/>
  <c r="K3817" i="1"/>
  <c r="M3817" i="1"/>
  <c r="N3817" i="1"/>
  <c r="B3818" i="1"/>
  <c r="D3818" i="1"/>
  <c r="E3818" i="1"/>
  <c r="F3818" i="1"/>
  <c r="K3818" i="1"/>
  <c r="M3818" i="1"/>
  <c r="N3818" i="1"/>
  <c r="B3819" i="1"/>
  <c r="D3819" i="1"/>
  <c r="E3819" i="1"/>
  <c r="F3819" i="1"/>
  <c r="K3819" i="1"/>
  <c r="M3819" i="1"/>
  <c r="N3819" i="1"/>
  <c r="B3820" i="1"/>
  <c r="D3820" i="1"/>
  <c r="E3820" i="1"/>
  <c r="F3820" i="1"/>
  <c r="K3820" i="1"/>
  <c r="M3820" i="1"/>
  <c r="N3820" i="1"/>
  <c r="B3821" i="1"/>
  <c r="D3821" i="1"/>
  <c r="E3821" i="1"/>
  <c r="F3821" i="1"/>
  <c r="K3821" i="1"/>
  <c r="M3821" i="1"/>
  <c r="N3821" i="1"/>
  <c r="B3822" i="1"/>
  <c r="D3822" i="1"/>
  <c r="E3822" i="1"/>
  <c r="F3822" i="1"/>
  <c r="K3822" i="1"/>
  <c r="M3822" i="1"/>
  <c r="N3822" i="1"/>
  <c r="B3823" i="1"/>
  <c r="D3823" i="1"/>
  <c r="E3823" i="1"/>
  <c r="F3823" i="1"/>
  <c r="K3823" i="1"/>
  <c r="M3823" i="1"/>
  <c r="N3823" i="1"/>
  <c r="B3824" i="1"/>
  <c r="D3824" i="1"/>
  <c r="E3824" i="1"/>
  <c r="F3824" i="1"/>
  <c r="K3824" i="1"/>
  <c r="M3824" i="1"/>
  <c r="N3824" i="1"/>
  <c r="B3825" i="1"/>
  <c r="D3825" i="1"/>
  <c r="E3825" i="1"/>
  <c r="F3825" i="1"/>
  <c r="K3825" i="1"/>
  <c r="M3825" i="1"/>
  <c r="N3825" i="1"/>
  <c r="B3826" i="1"/>
  <c r="D3826" i="1"/>
  <c r="E3826" i="1"/>
  <c r="F3826" i="1"/>
  <c r="K3826" i="1"/>
  <c r="M3826" i="1"/>
  <c r="N3826" i="1"/>
  <c r="B3681" i="1"/>
  <c r="D3681" i="1"/>
  <c r="E3681" i="1"/>
  <c r="F3681" i="1"/>
  <c r="K3681" i="1"/>
  <c r="M3681" i="1"/>
  <c r="N3681" i="1"/>
  <c r="B3682" i="1"/>
  <c r="D3682" i="1"/>
  <c r="E3682" i="1"/>
  <c r="F3682" i="1"/>
  <c r="K3682" i="1"/>
  <c r="M3682" i="1"/>
  <c r="N3682" i="1"/>
  <c r="B3683" i="1"/>
  <c r="D3683" i="1"/>
  <c r="E3683" i="1"/>
  <c r="F3683" i="1"/>
  <c r="K3683" i="1"/>
  <c r="M3683" i="1"/>
  <c r="N3683" i="1"/>
  <c r="B3684" i="1"/>
  <c r="D3684" i="1"/>
  <c r="E3684" i="1"/>
  <c r="F3684" i="1"/>
  <c r="K3684" i="1"/>
  <c r="M3684" i="1"/>
  <c r="N3684" i="1"/>
  <c r="B3685" i="1"/>
  <c r="D3685" i="1"/>
  <c r="E3685" i="1"/>
  <c r="F3685" i="1"/>
  <c r="K3685" i="1"/>
  <c r="M3685" i="1"/>
  <c r="N3685" i="1"/>
  <c r="B3686" i="1"/>
  <c r="D3686" i="1"/>
  <c r="E3686" i="1"/>
  <c r="F3686" i="1"/>
  <c r="K3686" i="1"/>
  <c r="M3686" i="1"/>
  <c r="N3686" i="1"/>
  <c r="B3687" i="1"/>
  <c r="D3687" i="1"/>
  <c r="E3687" i="1"/>
  <c r="F3687" i="1"/>
  <c r="K3687" i="1"/>
  <c r="M3687" i="1"/>
  <c r="N3687" i="1"/>
  <c r="B3688" i="1"/>
  <c r="D3688" i="1"/>
  <c r="E3688" i="1"/>
  <c r="F3688" i="1"/>
  <c r="K3688" i="1"/>
  <c r="M3688" i="1"/>
  <c r="N3688" i="1"/>
  <c r="B3689" i="1"/>
  <c r="D3689" i="1"/>
  <c r="E3689" i="1"/>
  <c r="F3689" i="1"/>
  <c r="K3689" i="1"/>
  <c r="M3689" i="1"/>
  <c r="N3689" i="1"/>
  <c r="B3690" i="1"/>
  <c r="D3690" i="1"/>
  <c r="E3690" i="1"/>
  <c r="F3690" i="1"/>
  <c r="K3690" i="1"/>
  <c r="M3690" i="1"/>
  <c r="N3690" i="1"/>
  <c r="B3691" i="1"/>
  <c r="D3691" i="1"/>
  <c r="E3691" i="1"/>
  <c r="F3691" i="1"/>
  <c r="K3691" i="1"/>
  <c r="M3691" i="1"/>
  <c r="N3691" i="1"/>
  <c r="B3692" i="1"/>
  <c r="D3692" i="1"/>
  <c r="E3692" i="1"/>
  <c r="F3692" i="1"/>
  <c r="K3692" i="1"/>
  <c r="M3692" i="1"/>
  <c r="N3692" i="1"/>
  <c r="B3693" i="1"/>
  <c r="D3693" i="1"/>
  <c r="E3693" i="1"/>
  <c r="F3693" i="1"/>
  <c r="K3693" i="1"/>
  <c r="M3693" i="1"/>
  <c r="N3693" i="1"/>
  <c r="B3694" i="1"/>
  <c r="D3694" i="1"/>
  <c r="E3694" i="1"/>
  <c r="F3694" i="1"/>
  <c r="K3694" i="1"/>
  <c r="M3694" i="1"/>
  <c r="N3694" i="1"/>
  <c r="B3695" i="1"/>
  <c r="D3695" i="1"/>
  <c r="E3695" i="1"/>
  <c r="F3695" i="1"/>
  <c r="K3695" i="1"/>
  <c r="M3695" i="1"/>
  <c r="N3695" i="1"/>
  <c r="B3696" i="1"/>
  <c r="D3696" i="1"/>
  <c r="E3696" i="1"/>
  <c r="F3696" i="1"/>
  <c r="K3696" i="1"/>
  <c r="M3696" i="1"/>
  <c r="N3696" i="1"/>
  <c r="B3697" i="1"/>
  <c r="D3697" i="1"/>
  <c r="E3697" i="1"/>
  <c r="F3697" i="1"/>
  <c r="K3697" i="1"/>
  <c r="M3697" i="1"/>
  <c r="N3697" i="1"/>
  <c r="B3698" i="1"/>
  <c r="D3698" i="1"/>
  <c r="E3698" i="1"/>
  <c r="F3698" i="1"/>
  <c r="K3698" i="1"/>
  <c r="M3698" i="1"/>
  <c r="N3698" i="1"/>
  <c r="B3699" i="1"/>
  <c r="D3699" i="1"/>
  <c r="E3699" i="1"/>
  <c r="F3699" i="1"/>
  <c r="K3699" i="1"/>
  <c r="M3699" i="1"/>
  <c r="N3699" i="1"/>
  <c r="B3700" i="1"/>
  <c r="D3700" i="1"/>
  <c r="E3700" i="1"/>
  <c r="F3700" i="1"/>
  <c r="K3700" i="1"/>
  <c r="M3700" i="1"/>
  <c r="N3700" i="1"/>
  <c r="B3701" i="1"/>
  <c r="D3701" i="1"/>
  <c r="E3701" i="1"/>
  <c r="F3701" i="1"/>
  <c r="K3701" i="1"/>
  <c r="M3701" i="1"/>
  <c r="N3701" i="1"/>
  <c r="B3702" i="1"/>
  <c r="D3702" i="1"/>
  <c r="E3702" i="1"/>
  <c r="F3702" i="1"/>
  <c r="K3702" i="1"/>
  <c r="M3702" i="1"/>
  <c r="N3702" i="1"/>
  <c r="B3703" i="1"/>
  <c r="D3703" i="1"/>
  <c r="E3703" i="1"/>
  <c r="F3703" i="1"/>
  <c r="K3703" i="1"/>
  <c r="M3703" i="1"/>
  <c r="N3703" i="1"/>
  <c r="B3704" i="1"/>
  <c r="D3704" i="1"/>
  <c r="E3704" i="1"/>
  <c r="F3704" i="1"/>
  <c r="K3704" i="1"/>
  <c r="M3704" i="1"/>
  <c r="N3704" i="1"/>
  <c r="B3705" i="1"/>
  <c r="D3705" i="1"/>
  <c r="E3705" i="1"/>
  <c r="F3705" i="1"/>
  <c r="K3705" i="1"/>
  <c r="M3705" i="1"/>
  <c r="N3705" i="1"/>
  <c r="B3706" i="1"/>
  <c r="D3706" i="1"/>
  <c r="E3706" i="1"/>
  <c r="F3706" i="1"/>
  <c r="K3706" i="1"/>
  <c r="M3706" i="1"/>
  <c r="N3706" i="1"/>
  <c r="B3707" i="1"/>
  <c r="E3707" i="1"/>
  <c r="F3707" i="1"/>
  <c r="K3707" i="1"/>
  <c r="M3707" i="1"/>
  <c r="N3707" i="1"/>
  <c r="B3708" i="1"/>
  <c r="D3708" i="1"/>
  <c r="E3708" i="1"/>
  <c r="F3708" i="1"/>
  <c r="K3708" i="1"/>
  <c r="M3708" i="1"/>
  <c r="N3708" i="1"/>
  <c r="B3709" i="1"/>
  <c r="D3709" i="1"/>
  <c r="E3709" i="1"/>
  <c r="F3709" i="1"/>
  <c r="K3709" i="1"/>
  <c r="M3709" i="1"/>
  <c r="N3709" i="1"/>
  <c r="B3710" i="1"/>
  <c r="D3710" i="1"/>
  <c r="E3710" i="1"/>
  <c r="F3710" i="1"/>
  <c r="K3710" i="1"/>
  <c r="M3710" i="1"/>
  <c r="N3710" i="1"/>
  <c r="B3711" i="1"/>
  <c r="D3711" i="1"/>
  <c r="E3711" i="1"/>
  <c r="F3711" i="1"/>
  <c r="K3711" i="1"/>
  <c r="M3711" i="1"/>
  <c r="N3711" i="1"/>
  <c r="B3712" i="1"/>
  <c r="D3712" i="1"/>
  <c r="E3712" i="1"/>
  <c r="F3712" i="1"/>
  <c r="K3712" i="1"/>
  <c r="M3712" i="1"/>
  <c r="N3712" i="1"/>
  <c r="B3713" i="1"/>
  <c r="D3713" i="1"/>
  <c r="E3713" i="1"/>
  <c r="F3713" i="1"/>
  <c r="K3713" i="1"/>
  <c r="M3713" i="1"/>
  <c r="N3713" i="1"/>
  <c r="B3714" i="1"/>
  <c r="D3714" i="1"/>
  <c r="E3714" i="1"/>
  <c r="F3714" i="1"/>
  <c r="K3714" i="1"/>
  <c r="M3714" i="1"/>
  <c r="N3714" i="1"/>
  <c r="B3715" i="1"/>
  <c r="D3715" i="1"/>
  <c r="E3715" i="1"/>
  <c r="F3715" i="1"/>
  <c r="K3715" i="1"/>
  <c r="M3715" i="1"/>
  <c r="N3715" i="1"/>
  <c r="B3716" i="1"/>
  <c r="D3716" i="1"/>
  <c r="E3716" i="1"/>
  <c r="F3716" i="1"/>
  <c r="K3716" i="1"/>
  <c r="M3716" i="1"/>
  <c r="N3716" i="1"/>
  <c r="B3717" i="1"/>
  <c r="D3717" i="1"/>
  <c r="E3717" i="1"/>
  <c r="F3717" i="1"/>
  <c r="K3717" i="1"/>
  <c r="M3717" i="1"/>
  <c r="N3717" i="1"/>
  <c r="B3718" i="1"/>
  <c r="D3718" i="1"/>
  <c r="E3718" i="1"/>
  <c r="F3718" i="1"/>
  <c r="K3718" i="1"/>
  <c r="M3718" i="1"/>
  <c r="N3718" i="1"/>
  <c r="B3719" i="1"/>
  <c r="D3719" i="1"/>
  <c r="E3719" i="1"/>
  <c r="F3719" i="1"/>
  <c r="K3719" i="1"/>
  <c r="M3719" i="1"/>
  <c r="N3719" i="1"/>
  <c r="B3720" i="1"/>
  <c r="D3720" i="1"/>
  <c r="E3720" i="1"/>
  <c r="F3720" i="1"/>
  <c r="K3720" i="1"/>
  <c r="M3720" i="1"/>
  <c r="N3720" i="1"/>
  <c r="B3721" i="1"/>
  <c r="D3721" i="1"/>
  <c r="E3721" i="1"/>
  <c r="F3721" i="1"/>
  <c r="K3721" i="1"/>
  <c r="M3721" i="1"/>
  <c r="N3721" i="1"/>
  <c r="B3722" i="1"/>
  <c r="D3722" i="1"/>
  <c r="E3722" i="1"/>
  <c r="F3722" i="1"/>
  <c r="K3722" i="1"/>
  <c r="M3722" i="1"/>
  <c r="N3722" i="1"/>
  <c r="B3723" i="1"/>
  <c r="D3723" i="1"/>
  <c r="E3723" i="1"/>
  <c r="F3723" i="1"/>
  <c r="K3723" i="1"/>
  <c r="M3723" i="1"/>
  <c r="N3723" i="1"/>
  <c r="B3724" i="1"/>
  <c r="D3724" i="1"/>
  <c r="E3724" i="1"/>
  <c r="F3724" i="1"/>
  <c r="K3724" i="1"/>
  <c r="M3724" i="1"/>
  <c r="N3724" i="1"/>
  <c r="B3725" i="1"/>
  <c r="D3725" i="1"/>
  <c r="E3725" i="1"/>
  <c r="F3725" i="1"/>
  <c r="K3725" i="1"/>
  <c r="M3725" i="1"/>
  <c r="N3725" i="1"/>
  <c r="B3726" i="1"/>
  <c r="D3726" i="1"/>
  <c r="E3726" i="1"/>
  <c r="F3726" i="1"/>
  <c r="K3726" i="1"/>
  <c r="M3726" i="1"/>
  <c r="N3726" i="1"/>
  <c r="B3727" i="1"/>
  <c r="D3727" i="1"/>
  <c r="E3727" i="1"/>
  <c r="F3727" i="1"/>
  <c r="K3727" i="1"/>
  <c r="M3727" i="1"/>
  <c r="N3727" i="1"/>
  <c r="B3728" i="1"/>
  <c r="D3728" i="1"/>
  <c r="E3728" i="1"/>
  <c r="F3728" i="1"/>
  <c r="K3728" i="1"/>
  <c r="M3728" i="1"/>
  <c r="N3728" i="1"/>
  <c r="B3729" i="1"/>
  <c r="D3729" i="1"/>
  <c r="E3729" i="1"/>
  <c r="F3729" i="1"/>
  <c r="K3729" i="1"/>
  <c r="M3729" i="1"/>
  <c r="N3729" i="1"/>
  <c r="B3730" i="1"/>
  <c r="D3730" i="1"/>
  <c r="E3730" i="1"/>
  <c r="F3730" i="1"/>
  <c r="K3730" i="1"/>
  <c r="M3730" i="1"/>
  <c r="N3730" i="1"/>
  <c r="B3731" i="1"/>
  <c r="D3731" i="1"/>
  <c r="E3731" i="1"/>
  <c r="F3731" i="1"/>
  <c r="K3731" i="1"/>
  <c r="M3731" i="1"/>
  <c r="N3731" i="1"/>
  <c r="B3732" i="1"/>
  <c r="D3732" i="1"/>
  <c r="E3732" i="1"/>
  <c r="F3732" i="1"/>
  <c r="K3732" i="1"/>
  <c r="M3732" i="1"/>
  <c r="N3732" i="1"/>
  <c r="B3733" i="1"/>
  <c r="D3733" i="1"/>
  <c r="E3733" i="1"/>
  <c r="F3733" i="1"/>
  <c r="K3733" i="1"/>
  <c r="M3733" i="1"/>
  <c r="N3733" i="1"/>
  <c r="B3734" i="1"/>
  <c r="D3734" i="1"/>
  <c r="E3734" i="1"/>
  <c r="F3734" i="1"/>
  <c r="K3734" i="1"/>
  <c r="M3734" i="1"/>
  <c r="N3734" i="1"/>
  <c r="B3735" i="1"/>
  <c r="D3735" i="1"/>
  <c r="E3735" i="1"/>
  <c r="F3735" i="1"/>
  <c r="K3735" i="1"/>
  <c r="M3735" i="1"/>
  <c r="N3735" i="1"/>
  <c r="B3736" i="1"/>
  <c r="D3736" i="1"/>
  <c r="E3736" i="1"/>
  <c r="F3736" i="1"/>
  <c r="K3736" i="1"/>
  <c r="M3736" i="1"/>
  <c r="N3736" i="1"/>
  <c r="B3737" i="1"/>
  <c r="D3737" i="1"/>
  <c r="E3737" i="1"/>
  <c r="F3737" i="1"/>
  <c r="K3737" i="1"/>
  <c r="M3737" i="1"/>
  <c r="N3737" i="1"/>
  <c r="B3738" i="1"/>
  <c r="D3738" i="1"/>
  <c r="E3738" i="1"/>
  <c r="F3738" i="1"/>
  <c r="K3738" i="1"/>
  <c r="M3738" i="1"/>
  <c r="N3738" i="1"/>
  <c r="B3739" i="1"/>
  <c r="D3739" i="1"/>
  <c r="E3739" i="1"/>
  <c r="F3739" i="1"/>
  <c r="K3739" i="1"/>
  <c r="M3739" i="1"/>
  <c r="N3739" i="1"/>
  <c r="B3740" i="1"/>
  <c r="D3740" i="1"/>
  <c r="E3740" i="1"/>
  <c r="F3740" i="1"/>
  <c r="K3740" i="1"/>
  <c r="M3740" i="1"/>
  <c r="N3740" i="1"/>
  <c r="B3741" i="1"/>
  <c r="D3741" i="1"/>
  <c r="E3741" i="1"/>
  <c r="F3741" i="1"/>
  <c r="K3741" i="1"/>
  <c r="M3741" i="1"/>
  <c r="N3741" i="1"/>
  <c r="B3742" i="1"/>
  <c r="D3742" i="1"/>
  <c r="E3742" i="1"/>
  <c r="F3742" i="1"/>
  <c r="K3742" i="1"/>
  <c r="M3742" i="1"/>
  <c r="N3742" i="1"/>
  <c r="B3743" i="1"/>
  <c r="D3743" i="1"/>
  <c r="E3743" i="1"/>
  <c r="F3743" i="1"/>
  <c r="K3743" i="1"/>
  <c r="M3743" i="1"/>
  <c r="N3743" i="1"/>
  <c r="B3744" i="1"/>
  <c r="D3744" i="1"/>
  <c r="E3744" i="1"/>
  <c r="F3744" i="1"/>
  <c r="K3744" i="1"/>
  <c r="M3744" i="1"/>
  <c r="N3744" i="1"/>
  <c r="B3745" i="1"/>
  <c r="D3745" i="1"/>
  <c r="E3745" i="1"/>
  <c r="F3745" i="1"/>
  <c r="K3745" i="1"/>
  <c r="M3745" i="1"/>
  <c r="N3745" i="1"/>
  <c r="B3746" i="1"/>
  <c r="D3746" i="1"/>
  <c r="E3746" i="1"/>
  <c r="F3746" i="1"/>
  <c r="K3746" i="1"/>
  <c r="M3746" i="1"/>
  <c r="N3746" i="1"/>
  <c r="B3747" i="1"/>
  <c r="D3747" i="1"/>
  <c r="E3747" i="1"/>
  <c r="F3747" i="1"/>
  <c r="K3747" i="1"/>
  <c r="M3747" i="1"/>
  <c r="N3747" i="1"/>
  <c r="B3748" i="1"/>
  <c r="D3748" i="1"/>
  <c r="E3748" i="1"/>
  <c r="F3748" i="1"/>
  <c r="K3748" i="1"/>
  <c r="M3748" i="1"/>
  <c r="N3748" i="1"/>
  <c r="B3749" i="1"/>
  <c r="D3749" i="1"/>
  <c r="E3749" i="1"/>
  <c r="F3749" i="1"/>
  <c r="K3749" i="1"/>
  <c r="M3749" i="1"/>
  <c r="N3749" i="1"/>
  <c r="B3750" i="1"/>
  <c r="D3750" i="1"/>
  <c r="E3750" i="1"/>
  <c r="F3750" i="1"/>
  <c r="K3750" i="1"/>
  <c r="M3750" i="1"/>
  <c r="N3750" i="1"/>
  <c r="B3751" i="1"/>
  <c r="D3751" i="1"/>
  <c r="E3751" i="1"/>
  <c r="F3751" i="1"/>
  <c r="K3751" i="1"/>
  <c r="M3751" i="1"/>
  <c r="N3751" i="1"/>
  <c r="B3752" i="1"/>
  <c r="D3752" i="1"/>
  <c r="E3752" i="1"/>
  <c r="F3752" i="1"/>
  <c r="K3752" i="1"/>
  <c r="M3752" i="1"/>
  <c r="N3752" i="1"/>
  <c r="B3753" i="1"/>
  <c r="D3753" i="1"/>
  <c r="E3753" i="1"/>
  <c r="F3753" i="1"/>
  <c r="K3753" i="1"/>
  <c r="M3753" i="1"/>
  <c r="N3753" i="1"/>
  <c r="B3754" i="1"/>
  <c r="D3754" i="1"/>
  <c r="E3754" i="1"/>
  <c r="F3754" i="1"/>
  <c r="K3754" i="1"/>
  <c r="M3754" i="1"/>
  <c r="N3754" i="1"/>
  <c r="B3755" i="1"/>
  <c r="D3755" i="1"/>
  <c r="E3755" i="1"/>
  <c r="F3755" i="1"/>
  <c r="K3755" i="1"/>
  <c r="M3755" i="1"/>
  <c r="N3755" i="1"/>
  <c r="B3756" i="1"/>
  <c r="D3756" i="1"/>
  <c r="E3756" i="1"/>
  <c r="F3756" i="1"/>
  <c r="K3756" i="1"/>
  <c r="M3756" i="1"/>
  <c r="N3756" i="1"/>
  <c r="B3757" i="1"/>
  <c r="D3757" i="1"/>
  <c r="E3757" i="1"/>
  <c r="F3757" i="1"/>
  <c r="K3757" i="1"/>
  <c r="M3757" i="1"/>
  <c r="N3757" i="1"/>
  <c r="B3758" i="1"/>
  <c r="D3758" i="1"/>
  <c r="E3758" i="1"/>
  <c r="F3758" i="1"/>
  <c r="K3758" i="1"/>
  <c r="M3758" i="1"/>
  <c r="N3758" i="1"/>
  <c r="B3759" i="1"/>
  <c r="D3759" i="1"/>
  <c r="E3759" i="1"/>
  <c r="F3759" i="1"/>
  <c r="K3759" i="1"/>
  <c r="M3759" i="1"/>
  <c r="N3759" i="1"/>
  <c r="B3760" i="1"/>
  <c r="D3760" i="1"/>
  <c r="E3760" i="1"/>
  <c r="F3760" i="1"/>
  <c r="K3760" i="1"/>
  <c r="M3760" i="1"/>
  <c r="N3760" i="1"/>
  <c r="B3761" i="1"/>
  <c r="D3761" i="1"/>
  <c r="E3761" i="1"/>
  <c r="F3761" i="1"/>
  <c r="K3761" i="1"/>
  <c r="M3761" i="1"/>
  <c r="N3761" i="1"/>
  <c r="B3762" i="1"/>
  <c r="D3762" i="1"/>
  <c r="E3762" i="1"/>
  <c r="F3762" i="1"/>
  <c r="K3762" i="1"/>
  <c r="M3762" i="1"/>
  <c r="N3762" i="1"/>
  <c r="B3763" i="1"/>
  <c r="D3763" i="1"/>
  <c r="E3763" i="1"/>
  <c r="F3763" i="1"/>
  <c r="K3763" i="1"/>
  <c r="M3763" i="1"/>
  <c r="N3763" i="1"/>
  <c r="B3764" i="1"/>
  <c r="D3764" i="1"/>
  <c r="E3764" i="1"/>
  <c r="F3764" i="1"/>
  <c r="K3764" i="1"/>
  <c r="M3764" i="1"/>
  <c r="N3764" i="1"/>
  <c r="B3765" i="1"/>
  <c r="D3765" i="1"/>
  <c r="E3765" i="1"/>
  <c r="F3765" i="1"/>
  <c r="K3765" i="1"/>
  <c r="M3765" i="1"/>
  <c r="N3765" i="1"/>
  <c r="B3766" i="1"/>
  <c r="D3766" i="1"/>
  <c r="E3766" i="1"/>
  <c r="F3766" i="1"/>
  <c r="K3766" i="1"/>
  <c r="M3766" i="1"/>
  <c r="N3766" i="1"/>
  <c r="B3767" i="1"/>
  <c r="D3767" i="1"/>
  <c r="E3767" i="1"/>
  <c r="F3767" i="1"/>
  <c r="K3767" i="1"/>
  <c r="M3767" i="1"/>
  <c r="N3767" i="1"/>
  <c r="B3768" i="1"/>
  <c r="D3768" i="1"/>
  <c r="E3768" i="1"/>
  <c r="F3768" i="1"/>
  <c r="K3768" i="1"/>
  <c r="M3768" i="1"/>
  <c r="N3768" i="1"/>
  <c r="B3769" i="1"/>
  <c r="D3769" i="1"/>
  <c r="E3769" i="1"/>
  <c r="F3769" i="1"/>
  <c r="K3769" i="1"/>
  <c r="M3769" i="1"/>
  <c r="N3769" i="1"/>
  <c r="B3770" i="1"/>
  <c r="D3770" i="1"/>
  <c r="E3770" i="1"/>
  <c r="F3770" i="1"/>
  <c r="K3770" i="1"/>
  <c r="M3770" i="1"/>
  <c r="N3770" i="1"/>
  <c r="B3771" i="1"/>
  <c r="D3771" i="1"/>
  <c r="E3771" i="1"/>
  <c r="F3771" i="1"/>
  <c r="K3771" i="1"/>
  <c r="M3771" i="1"/>
  <c r="N3771" i="1"/>
  <c r="B3772" i="1"/>
  <c r="D3772" i="1"/>
  <c r="E3772" i="1"/>
  <c r="F3772" i="1"/>
  <c r="K3772" i="1"/>
  <c r="M3772" i="1"/>
  <c r="N3772" i="1"/>
  <c r="B3773" i="1"/>
  <c r="D3773" i="1"/>
  <c r="E3773" i="1"/>
  <c r="F3773" i="1"/>
  <c r="K3773" i="1"/>
  <c r="M3773" i="1"/>
  <c r="N3773" i="1"/>
  <c r="B3774" i="1"/>
  <c r="D3774" i="1"/>
  <c r="E3774" i="1"/>
  <c r="F3774" i="1"/>
  <c r="K3774" i="1"/>
  <c r="M3774" i="1"/>
  <c r="N3774" i="1"/>
  <c r="B3775" i="1"/>
  <c r="D3775" i="1"/>
  <c r="E3775" i="1"/>
  <c r="F3775" i="1"/>
  <c r="K3775" i="1"/>
  <c r="M3775" i="1"/>
  <c r="N3775" i="1"/>
  <c r="B3776" i="1"/>
  <c r="D3776" i="1"/>
  <c r="E3776" i="1"/>
  <c r="F3776" i="1"/>
  <c r="K3776" i="1"/>
  <c r="M3776" i="1"/>
  <c r="N3776" i="1"/>
  <c r="B3777" i="1"/>
  <c r="D3777" i="1"/>
  <c r="E3777" i="1"/>
  <c r="F3777" i="1"/>
  <c r="K3777" i="1"/>
  <c r="M3777" i="1"/>
  <c r="N3777" i="1"/>
  <c r="B3778" i="1"/>
  <c r="D3778" i="1"/>
  <c r="E3778" i="1"/>
  <c r="F3778" i="1"/>
  <c r="K3778" i="1"/>
  <c r="M3778" i="1"/>
  <c r="N3778" i="1"/>
  <c r="B3779" i="1"/>
  <c r="D3779" i="1"/>
  <c r="E3779" i="1"/>
  <c r="F3779" i="1"/>
  <c r="K3779" i="1"/>
  <c r="M3779" i="1"/>
  <c r="N3779" i="1"/>
  <c r="B3780" i="1"/>
  <c r="D3780" i="1"/>
  <c r="E3780" i="1"/>
  <c r="F3780" i="1"/>
  <c r="K3780" i="1"/>
  <c r="M3780" i="1"/>
  <c r="N3780" i="1"/>
  <c r="B3557" i="1"/>
  <c r="D3557" i="1"/>
  <c r="E3557" i="1"/>
  <c r="F3557" i="1"/>
  <c r="K3557" i="1"/>
  <c r="M3557" i="1"/>
  <c r="N3557" i="1"/>
  <c r="B3558" i="1"/>
  <c r="D3558" i="1"/>
  <c r="E3558" i="1"/>
  <c r="F3558" i="1"/>
  <c r="K3558" i="1"/>
  <c r="M3558" i="1"/>
  <c r="N3558" i="1"/>
  <c r="B3559" i="1"/>
  <c r="D3559" i="1"/>
  <c r="E3559" i="1"/>
  <c r="F3559" i="1"/>
  <c r="K3559" i="1"/>
  <c r="M3559" i="1"/>
  <c r="N3559" i="1"/>
  <c r="B3560" i="1"/>
  <c r="D3560" i="1"/>
  <c r="E3560" i="1"/>
  <c r="F3560" i="1"/>
  <c r="K3560" i="1"/>
  <c r="M3560" i="1"/>
  <c r="N3560" i="1"/>
  <c r="B3561" i="1"/>
  <c r="D3561" i="1"/>
  <c r="E3561" i="1"/>
  <c r="F3561" i="1"/>
  <c r="K3561" i="1"/>
  <c r="M3561" i="1"/>
  <c r="N3561" i="1"/>
  <c r="B3562" i="1"/>
  <c r="D3562" i="1"/>
  <c r="E3562" i="1"/>
  <c r="F3562" i="1"/>
  <c r="K3562" i="1"/>
  <c r="M3562" i="1"/>
  <c r="N3562" i="1"/>
  <c r="B3563" i="1"/>
  <c r="D3563" i="1"/>
  <c r="E3563" i="1"/>
  <c r="F3563" i="1"/>
  <c r="K3563" i="1"/>
  <c r="M3563" i="1"/>
  <c r="N3563" i="1"/>
  <c r="B3564" i="1"/>
  <c r="D3564" i="1"/>
  <c r="E3564" i="1"/>
  <c r="F3564" i="1"/>
  <c r="K3564" i="1"/>
  <c r="M3564" i="1"/>
  <c r="N3564" i="1"/>
  <c r="B3565" i="1"/>
  <c r="D3565" i="1"/>
  <c r="E3565" i="1"/>
  <c r="F3565" i="1"/>
  <c r="K3565" i="1"/>
  <c r="M3565" i="1"/>
  <c r="N3565" i="1"/>
  <c r="B3566" i="1"/>
  <c r="D3566" i="1"/>
  <c r="E3566" i="1"/>
  <c r="F3566" i="1"/>
  <c r="K3566" i="1"/>
  <c r="M3566" i="1"/>
  <c r="N3566" i="1"/>
  <c r="B3567" i="1"/>
  <c r="D3567" i="1"/>
  <c r="E3567" i="1"/>
  <c r="F3567" i="1"/>
  <c r="K3567" i="1"/>
  <c r="M3567" i="1"/>
  <c r="N3567" i="1"/>
  <c r="B3568" i="1"/>
  <c r="D3568" i="1"/>
  <c r="E3568" i="1"/>
  <c r="F3568" i="1"/>
  <c r="K3568" i="1"/>
  <c r="M3568" i="1"/>
  <c r="N3568" i="1"/>
  <c r="B3569" i="1"/>
  <c r="D3569" i="1"/>
  <c r="E3569" i="1"/>
  <c r="F3569" i="1"/>
  <c r="K3569" i="1"/>
  <c r="M3569" i="1"/>
  <c r="N3569" i="1"/>
  <c r="B3570" i="1"/>
  <c r="D3570" i="1"/>
  <c r="E3570" i="1"/>
  <c r="F3570" i="1"/>
  <c r="K3570" i="1"/>
  <c r="M3570" i="1"/>
  <c r="N3570" i="1"/>
  <c r="B3571" i="1"/>
  <c r="D3571" i="1"/>
  <c r="E3571" i="1"/>
  <c r="F3571" i="1"/>
  <c r="K3571" i="1"/>
  <c r="M3571" i="1"/>
  <c r="N3571" i="1"/>
  <c r="B3572" i="1"/>
  <c r="D3572" i="1"/>
  <c r="E3572" i="1"/>
  <c r="F3572" i="1"/>
  <c r="K3572" i="1"/>
  <c r="M3572" i="1"/>
  <c r="N3572" i="1"/>
  <c r="B3573" i="1"/>
  <c r="D3573" i="1"/>
  <c r="E3573" i="1"/>
  <c r="F3573" i="1"/>
  <c r="K3573" i="1"/>
  <c r="M3573" i="1"/>
  <c r="N3573" i="1"/>
  <c r="B3574" i="1"/>
  <c r="D3574" i="1"/>
  <c r="E3574" i="1"/>
  <c r="F3574" i="1"/>
  <c r="K3574" i="1"/>
  <c r="M3574" i="1"/>
  <c r="N3574" i="1"/>
  <c r="B3575" i="1"/>
  <c r="D3575" i="1"/>
  <c r="E3575" i="1"/>
  <c r="F3575" i="1"/>
  <c r="K3575" i="1"/>
  <c r="M3575" i="1"/>
  <c r="N3575" i="1"/>
  <c r="B3576" i="1"/>
  <c r="D3576" i="1"/>
  <c r="E3576" i="1"/>
  <c r="F3576" i="1"/>
  <c r="K3576" i="1"/>
  <c r="M3576" i="1"/>
  <c r="N3576" i="1"/>
  <c r="B3577" i="1"/>
  <c r="D3577" i="1"/>
  <c r="E3577" i="1"/>
  <c r="F3577" i="1"/>
  <c r="K3577" i="1"/>
  <c r="M3577" i="1"/>
  <c r="N3577" i="1"/>
  <c r="B3578" i="1"/>
  <c r="D3578" i="1"/>
  <c r="E3578" i="1"/>
  <c r="F3578" i="1"/>
  <c r="K3578" i="1"/>
  <c r="M3578" i="1"/>
  <c r="N3578" i="1"/>
  <c r="B3579" i="1"/>
  <c r="D3579" i="1"/>
  <c r="E3579" i="1"/>
  <c r="F3579" i="1"/>
  <c r="K3579" i="1"/>
  <c r="M3579" i="1"/>
  <c r="N3579" i="1"/>
  <c r="B3580" i="1"/>
  <c r="D3580" i="1"/>
  <c r="E3580" i="1"/>
  <c r="F3580" i="1"/>
  <c r="K3580" i="1"/>
  <c r="M3580" i="1"/>
  <c r="N3580" i="1"/>
  <c r="B3581" i="1"/>
  <c r="D3581" i="1"/>
  <c r="E3581" i="1"/>
  <c r="F3581" i="1"/>
  <c r="K3581" i="1"/>
  <c r="M3581" i="1"/>
  <c r="N3581" i="1"/>
  <c r="B3582" i="1"/>
  <c r="D3582" i="1"/>
  <c r="E3582" i="1"/>
  <c r="F3582" i="1"/>
  <c r="K3582" i="1"/>
  <c r="M3582" i="1"/>
  <c r="N3582" i="1"/>
  <c r="B3583" i="1"/>
  <c r="D3583" i="1"/>
  <c r="E3583" i="1"/>
  <c r="F3583" i="1"/>
  <c r="K3583" i="1"/>
  <c r="M3583" i="1"/>
  <c r="N3583" i="1"/>
  <c r="B3584" i="1"/>
  <c r="D3584" i="1"/>
  <c r="E3584" i="1"/>
  <c r="F3584" i="1"/>
  <c r="K3584" i="1"/>
  <c r="M3584" i="1"/>
  <c r="N3584" i="1"/>
  <c r="B3585" i="1"/>
  <c r="D3585" i="1"/>
  <c r="E3585" i="1"/>
  <c r="F3585" i="1"/>
  <c r="K3585" i="1"/>
  <c r="M3585" i="1"/>
  <c r="N3585" i="1"/>
  <c r="B3586" i="1"/>
  <c r="D3586" i="1"/>
  <c r="E3586" i="1"/>
  <c r="F3586" i="1"/>
  <c r="K3586" i="1"/>
  <c r="M3586" i="1"/>
  <c r="N3586" i="1"/>
  <c r="B3587" i="1"/>
  <c r="D3587" i="1"/>
  <c r="E3587" i="1"/>
  <c r="F3587" i="1"/>
  <c r="K3587" i="1"/>
  <c r="M3587" i="1"/>
  <c r="N3587" i="1"/>
  <c r="B3588" i="1"/>
  <c r="D3588" i="1"/>
  <c r="E3588" i="1"/>
  <c r="F3588" i="1"/>
  <c r="K3588" i="1"/>
  <c r="M3588" i="1"/>
  <c r="N3588" i="1"/>
  <c r="B3589" i="1"/>
  <c r="D3589" i="1"/>
  <c r="E3589" i="1"/>
  <c r="F3589" i="1"/>
  <c r="K3589" i="1"/>
  <c r="M3589" i="1"/>
  <c r="N3589" i="1"/>
  <c r="B3590" i="1"/>
  <c r="D3590" i="1"/>
  <c r="E3590" i="1"/>
  <c r="F3590" i="1"/>
  <c r="K3590" i="1"/>
  <c r="M3590" i="1"/>
  <c r="N3590" i="1"/>
  <c r="B3591" i="1"/>
  <c r="D3591" i="1"/>
  <c r="E3591" i="1"/>
  <c r="F3591" i="1"/>
  <c r="K3591" i="1"/>
  <c r="M3591" i="1"/>
  <c r="N3591" i="1"/>
  <c r="B3592" i="1"/>
  <c r="D3592" i="1"/>
  <c r="E3592" i="1"/>
  <c r="F3592" i="1"/>
  <c r="K3592" i="1"/>
  <c r="M3592" i="1"/>
  <c r="N3592" i="1"/>
  <c r="B3593" i="1"/>
  <c r="D3593" i="1"/>
  <c r="E3593" i="1"/>
  <c r="F3593" i="1"/>
  <c r="K3593" i="1"/>
  <c r="M3593" i="1"/>
  <c r="N3593" i="1"/>
  <c r="B3594" i="1"/>
  <c r="D3594" i="1"/>
  <c r="E3594" i="1"/>
  <c r="F3594" i="1"/>
  <c r="K3594" i="1"/>
  <c r="M3594" i="1"/>
  <c r="N3594" i="1"/>
  <c r="B3595" i="1"/>
  <c r="D3595" i="1"/>
  <c r="E3595" i="1"/>
  <c r="F3595" i="1"/>
  <c r="K3595" i="1"/>
  <c r="M3595" i="1"/>
  <c r="N3595" i="1"/>
  <c r="B3596" i="1"/>
  <c r="D3596" i="1"/>
  <c r="E3596" i="1"/>
  <c r="F3596" i="1"/>
  <c r="K3596" i="1"/>
  <c r="M3596" i="1"/>
  <c r="N3596" i="1"/>
  <c r="B3597" i="1"/>
  <c r="D3597" i="1"/>
  <c r="E3597" i="1"/>
  <c r="F3597" i="1"/>
  <c r="K3597" i="1"/>
  <c r="M3597" i="1"/>
  <c r="N3597" i="1"/>
  <c r="B3598" i="1"/>
  <c r="D3598" i="1"/>
  <c r="E3598" i="1"/>
  <c r="F3598" i="1"/>
  <c r="K3598" i="1"/>
  <c r="M3598" i="1"/>
  <c r="N3598" i="1"/>
  <c r="B3599" i="1"/>
  <c r="D3599" i="1"/>
  <c r="E3599" i="1"/>
  <c r="F3599" i="1"/>
  <c r="K3599" i="1"/>
  <c r="M3599" i="1"/>
  <c r="N3599" i="1"/>
  <c r="B3600" i="1"/>
  <c r="D3600" i="1"/>
  <c r="E3600" i="1"/>
  <c r="F3600" i="1"/>
  <c r="K3600" i="1"/>
  <c r="M3600" i="1"/>
  <c r="N3600" i="1"/>
  <c r="B3601" i="1"/>
  <c r="D3601" i="1"/>
  <c r="E3601" i="1"/>
  <c r="F3601" i="1"/>
  <c r="K3601" i="1"/>
  <c r="M3601" i="1"/>
  <c r="N3601" i="1"/>
  <c r="B3602" i="1"/>
  <c r="D3602" i="1"/>
  <c r="E3602" i="1"/>
  <c r="F3602" i="1"/>
  <c r="K3602" i="1"/>
  <c r="M3602" i="1"/>
  <c r="N3602" i="1"/>
  <c r="B3603" i="1"/>
  <c r="D3603" i="1"/>
  <c r="E3603" i="1"/>
  <c r="F3603" i="1"/>
  <c r="K3603" i="1"/>
  <c r="M3603" i="1"/>
  <c r="N3603" i="1"/>
  <c r="B3604" i="1"/>
  <c r="D3604" i="1"/>
  <c r="E3604" i="1"/>
  <c r="F3604" i="1"/>
  <c r="K3604" i="1"/>
  <c r="M3604" i="1"/>
  <c r="N3604" i="1"/>
  <c r="B3605" i="1"/>
  <c r="D3605" i="1"/>
  <c r="E3605" i="1"/>
  <c r="F3605" i="1"/>
  <c r="K3605" i="1"/>
  <c r="M3605" i="1"/>
  <c r="N3605" i="1"/>
  <c r="B3606" i="1"/>
  <c r="D3606" i="1"/>
  <c r="E3606" i="1"/>
  <c r="F3606" i="1"/>
  <c r="K3606" i="1"/>
  <c r="M3606" i="1"/>
  <c r="N3606" i="1"/>
  <c r="B3607" i="1"/>
  <c r="D3607" i="1"/>
  <c r="E3607" i="1"/>
  <c r="F3607" i="1"/>
  <c r="K3607" i="1"/>
  <c r="M3607" i="1"/>
  <c r="N3607" i="1"/>
  <c r="B3608" i="1"/>
  <c r="D3608" i="1"/>
  <c r="E3608" i="1"/>
  <c r="F3608" i="1"/>
  <c r="K3608" i="1"/>
  <c r="M3608" i="1"/>
  <c r="N3608" i="1"/>
  <c r="B3609" i="1"/>
  <c r="D3609" i="1"/>
  <c r="E3609" i="1"/>
  <c r="F3609" i="1"/>
  <c r="K3609" i="1"/>
  <c r="M3609" i="1"/>
  <c r="N3609" i="1"/>
  <c r="B3610" i="1"/>
  <c r="D3610" i="1"/>
  <c r="E3610" i="1"/>
  <c r="F3610" i="1"/>
  <c r="K3610" i="1"/>
  <c r="M3610" i="1"/>
  <c r="N3610" i="1"/>
  <c r="B3611" i="1"/>
  <c r="D3611" i="1"/>
  <c r="E3611" i="1"/>
  <c r="F3611" i="1"/>
  <c r="K3611" i="1"/>
  <c r="M3611" i="1"/>
  <c r="N3611" i="1"/>
  <c r="B3612" i="1"/>
  <c r="D3612" i="1"/>
  <c r="E3612" i="1"/>
  <c r="F3612" i="1"/>
  <c r="K3612" i="1"/>
  <c r="M3612" i="1"/>
  <c r="N3612" i="1"/>
  <c r="B3613" i="1"/>
  <c r="D3613" i="1"/>
  <c r="E3613" i="1"/>
  <c r="F3613" i="1"/>
  <c r="K3613" i="1"/>
  <c r="M3613" i="1"/>
  <c r="N3613" i="1"/>
  <c r="B3614" i="1"/>
  <c r="D3614" i="1"/>
  <c r="E3614" i="1"/>
  <c r="F3614" i="1"/>
  <c r="K3614" i="1"/>
  <c r="M3614" i="1"/>
  <c r="N3614" i="1"/>
  <c r="B3615" i="1"/>
  <c r="D3615" i="1"/>
  <c r="E3615" i="1"/>
  <c r="F3615" i="1"/>
  <c r="K3615" i="1"/>
  <c r="M3615" i="1"/>
  <c r="N3615" i="1"/>
  <c r="B3616" i="1"/>
  <c r="D3616" i="1"/>
  <c r="E3616" i="1"/>
  <c r="F3616" i="1"/>
  <c r="K3616" i="1"/>
  <c r="M3616" i="1"/>
  <c r="N3616" i="1"/>
  <c r="B3617" i="1"/>
  <c r="D3617" i="1"/>
  <c r="E3617" i="1"/>
  <c r="F3617" i="1"/>
  <c r="K3617" i="1"/>
  <c r="M3617" i="1"/>
  <c r="N3617" i="1"/>
  <c r="B3618" i="1"/>
  <c r="D3618" i="1"/>
  <c r="E3618" i="1"/>
  <c r="F3618" i="1"/>
  <c r="K3618" i="1"/>
  <c r="M3618" i="1"/>
  <c r="N3618" i="1"/>
  <c r="B3619" i="1"/>
  <c r="D3619" i="1"/>
  <c r="E3619" i="1"/>
  <c r="F3619" i="1"/>
  <c r="K3619" i="1"/>
  <c r="M3619" i="1"/>
  <c r="N3619" i="1"/>
  <c r="B3620" i="1"/>
  <c r="D3620" i="1"/>
  <c r="E3620" i="1"/>
  <c r="F3620" i="1"/>
  <c r="K3620" i="1"/>
  <c r="M3620" i="1"/>
  <c r="N3620" i="1"/>
  <c r="B3621" i="1"/>
  <c r="D3621" i="1"/>
  <c r="E3621" i="1"/>
  <c r="F3621" i="1"/>
  <c r="K3621" i="1"/>
  <c r="M3621" i="1"/>
  <c r="N3621" i="1"/>
  <c r="B3622" i="1"/>
  <c r="D3622" i="1"/>
  <c r="E3622" i="1"/>
  <c r="F3622" i="1"/>
  <c r="K3622" i="1"/>
  <c r="M3622" i="1"/>
  <c r="N3622" i="1"/>
  <c r="B3623" i="1"/>
  <c r="D3623" i="1"/>
  <c r="E3623" i="1"/>
  <c r="F3623" i="1"/>
  <c r="K3623" i="1"/>
  <c r="M3623" i="1"/>
  <c r="N3623" i="1"/>
  <c r="B3624" i="1"/>
  <c r="D3624" i="1"/>
  <c r="E3624" i="1"/>
  <c r="F3624" i="1"/>
  <c r="K3624" i="1"/>
  <c r="M3624" i="1"/>
  <c r="N3624" i="1"/>
  <c r="B3625" i="1"/>
  <c r="D3625" i="1"/>
  <c r="E3625" i="1"/>
  <c r="F3625" i="1"/>
  <c r="K3625" i="1"/>
  <c r="M3625" i="1"/>
  <c r="N3625" i="1"/>
  <c r="B3626" i="1"/>
  <c r="D3626" i="1"/>
  <c r="E3626" i="1"/>
  <c r="F3626" i="1"/>
  <c r="K3626" i="1"/>
  <c r="M3626" i="1"/>
  <c r="N3626" i="1"/>
  <c r="B3627" i="1"/>
  <c r="D3627" i="1"/>
  <c r="E3627" i="1"/>
  <c r="F3627" i="1"/>
  <c r="K3627" i="1"/>
  <c r="M3627" i="1"/>
  <c r="N3627" i="1"/>
  <c r="B3628" i="1"/>
  <c r="D3628" i="1"/>
  <c r="E3628" i="1"/>
  <c r="F3628" i="1"/>
  <c r="K3628" i="1"/>
  <c r="M3628" i="1"/>
  <c r="N3628" i="1"/>
  <c r="B3629" i="1"/>
  <c r="D3629" i="1"/>
  <c r="E3629" i="1"/>
  <c r="F3629" i="1"/>
  <c r="K3629" i="1"/>
  <c r="M3629" i="1"/>
  <c r="N3629" i="1"/>
  <c r="B3630" i="1"/>
  <c r="D3630" i="1"/>
  <c r="E3630" i="1"/>
  <c r="F3630" i="1"/>
  <c r="K3630" i="1"/>
  <c r="M3630" i="1"/>
  <c r="N3630" i="1"/>
  <c r="B3631" i="1"/>
  <c r="D3631" i="1"/>
  <c r="E3631" i="1"/>
  <c r="F3631" i="1"/>
  <c r="K3631" i="1"/>
  <c r="M3631" i="1"/>
  <c r="N3631" i="1"/>
  <c r="B3632" i="1"/>
  <c r="D3632" i="1"/>
  <c r="E3632" i="1"/>
  <c r="F3632" i="1"/>
  <c r="K3632" i="1"/>
  <c r="M3632" i="1"/>
  <c r="N3632" i="1"/>
  <c r="B3633" i="1"/>
  <c r="D3633" i="1"/>
  <c r="E3633" i="1"/>
  <c r="F3633" i="1"/>
  <c r="K3633" i="1"/>
  <c r="M3633" i="1"/>
  <c r="N3633" i="1"/>
  <c r="B3634" i="1"/>
  <c r="D3634" i="1"/>
  <c r="E3634" i="1"/>
  <c r="F3634" i="1"/>
  <c r="K3634" i="1"/>
  <c r="M3634" i="1"/>
  <c r="N3634" i="1"/>
  <c r="B3635" i="1"/>
  <c r="D3635" i="1"/>
  <c r="E3635" i="1"/>
  <c r="F3635" i="1"/>
  <c r="K3635" i="1"/>
  <c r="M3635" i="1"/>
  <c r="N3635" i="1"/>
  <c r="B3636" i="1"/>
  <c r="D3636" i="1"/>
  <c r="E3636" i="1"/>
  <c r="F3636" i="1"/>
  <c r="K3636" i="1"/>
  <c r="M3636" i="1"/>
  <c r="N3636" i="1"/>
  <c r="B3637" i="1"/>
  <c r="D3637" i="1"/>
  <c r="E3637" i="1"/>
  <c r="F3637" i="1"/>
  <c r="K3637" i="1"/>
  <c r="M3637" i="1"/>
  <c r="N3637" i="1"/>
  <c r="B3638" i="1"/>
  <c r="D3638" i="1"/>
  <c r="E3638" i="1"/>
  <c r="F3638" i="1"/>
  <c r="K3638" i="1"/>
  <c r="M3638" i="1"/>
  <c r="N3638" i="1"/>
  <c r="B3639" i="1"/>
  <c r="D3639" i="1"/>
  <c r="E3639" i="1"/>
  <c r="F3639" i="1"/>
  <c r="K3639" i="1"/>
  <c r="M3639" i="1"/>
  <c r="N3639" i="1"/>
  <c r="B3640" i="1"/>
  <c r="D3640" i="1"/>
  <c r="E3640" i="1"/>
  <c r="F3640" i="1"/>
  <c r="K3640" i="1"/>
  <c r="M3640" i="1"/>
  <c r="N3640" i="1"/>
  <c r="B3641" i="1"/>
  <c r="D3641" i="1"/>
  <c r="E3641" i="1"/>
  <c r="F3641" i="1"/>
  <c r="K3641" i="1"/>
  <c r="M3641" i="1"/>
  <c r="N3641" i="1"/>
  <c r="B3642" i="1"/>
  <c r="D3642" i="1"/>
  <c r="E3642" i="1"/>
  <c r="F3642" i="1"/>
  <c r="K3642" i="1"/>
  <c r="M3642" i="1"/>
  <c r="N3642" i="1"/>
  <c r="B3524" i="1"/>
  <c r="D3524" i="1"/>
  <c r="E3524" i="1"/>
  <c r="F3524" i="1"/>
  <c r="K3524" i="1"/>
  <c r="M3524" i="1"/>
  <c r="N3524" i="1"/>
  <c r="B3532" i="1"/>
  <c r="D3532" i="1"/>
  <c r="E3532" i="1"/>
  <c r="F3532" i="1"/>
  <c r="K3532" i="1"/>
  <c r="M3532" i="1"/>
  <c r="N3532" i="1"/>
  <c r="B3533" i="1"/>
  <c r="D3533" i="1"/>
  <c r="E3533" i="1"/>
  <c r="F3533" i="1"/>
  <c r="K3533" i="1"/>
  <c r="M3533" i="1"/>
  <c r="N3533" i="1"/>
  <c r="B3496" i="1"/>
  <c r="D3496" i="1"/>
  <c r="E3496" i="1"/>
  <c r="F3496" i="1"/>
  <c r="K3496" i="1"/>
  <c r="M3496" i="1"/>
  <c r="N3496" i="1"/>
  <c r="B3497" i="1"/>
  <c r="D3497" i="1"/>
  <c r="E3497" i="1"/>
  <c r="F3497" i="1"/>
  <c r="K3497" i="1"/>
  <c r="M3497" i="1"/>
  <c r="N3497" i="1"/>
  <c r="B3498" i="1"/>
  <c r="D3498" i="1"/>
  <c r="E3498" i="1"/>
  <c r="F3498" i="1"/>
  <c r="K3498" i="1"/>
  <c r="M3498" i="1"/>
  <c r="N3498" i="1"/>
  <c r="B3499" i="1"/>
  <c r="D3499" i="1"/>
  <c r="E3499" i="1"/>
  <c r="F3499" i="1"/>
  <c r="K3499" i="1"/>
  <c r="M3499" i="1"/>
  <c r="N3499" i="1"/>
  <c r="B3500" i="1"/>
  <c r="D3500" i="1"/>
  <c r="E3500" i="1"/>
  <c r="F3500" i="1"/>
  <c r="K3500" i="1"/>
  <c r="M3500" i="1"/>
  <c r="N3500" i="1"/>
  <c r="B3501" i="1"/>
  <c r="D3501" i="1"/>
  <c r="E3501" i="1"/>
  <c r="F3501" i="1"/>
  <c r="K3501" i="1"/>
  <c r="M3501" i="1"/>
  <c r="N3501" i="1"/>
  <c r="B3502" i="1"/>
  <c r="D3502" i="1"/>
  <c r="E3502" i="1"/>
  <c r="F3502" i="1"/>
  <c r="K3502" i="1"/>
  <c r="M3502" i="1"/>
  <c r="N3502" i="1"/>
  <c r="B3503" i="1"/>
  <c r="D3503" i="1"/>
  <c r="E3503" i="1"/>
  <c r="F3503" i="1"/>
  <c r="K3503" i="1"/>
  <c r="M3503" i="1"/>
  <c r="N3503" i="1"/>
  <c r="B3504" i="1"/>
  <c r="D3504" i="1"/>
  <c r="E3504" i="1"/>
  <c r="F3504" i="1"/>
  <c r="K3504" i="1"/>
  <c r="M3504" i="1"/>
  <c r="N3504" i="1"/>
  <c r="B3505" i="1"/>
  <c r="D3505" i="1"/>
  <c r="E3505" i="1"/>
  <c r="F3505" i="1"/>
  <c r="K3505" i="1"/>
  <c r="M3505" i="1"/>
  <c r="N3505" i="1"/>
  <c r="B3506" i="1"/>
  <c r="D3506" i="1"/>
  <c r="E3506" i="1"/>
  <c r="F3506" i="1"/>
  <c r="K3506" i="1"/>
  <c r="M3506" i="1"/>
  <c r="N3506" i="1"/>
  <c r="B3507" i="1"/>
  <c r="D3507" i="1"/>
  <c r="E3507" i="1"/>
  <c r="F3507" i="1"/>
  <c r="K3507" i="1"/>
  <c r="M3507" i="1"/>
  <c r="N3507" i="1"/>
  <c r="B3508" i="1"/>
  <c r="D3508" i="1"/>
  <c r="E3508" i="1"/>
  <c r="F3508" i="1"/>
  <c r="K3508" i="1"/>
  <c r="M3508" i="1"/>
  <c r="N3508" i="1"/>
  <c r="B3509" i="1"/>
  <c r="D3509" i="1"/>
  <c r="E3509" i="1"/>
  <c r="F3509" i="1"/>
  <c r="K3509" i="1"/>
  <c r="M3509" i="1"/>
  <c r="N3509" i="1"/>
  <c r="B3510" i="1"/>
  <c r="D3510" i="1"/>
  <c r="E3510" i="1"/>
  <c r="F3510" i="1"/>
  <c r="K3510" i="1"/>
  <c r="M3510" i="1"/>
  <c r="N3510" i="1"/>
  <c r="B3511" i="1"/>
  <c r="D3511" i="1"/>
  <c r="E3511" i="1"/>
  <c r="F3511" i="1"/>
  <c r="K3511" i="1"/>
  <c r="M3511" i="1"/>
  <c r="N3511" i="1"/>
  <c r="B3512" i="1"/>
  <c r="D3512" i="1"/>
  <c r="E3512" i="1"/>
  <c r="F3512" i="1"/>
  <c r="K3512" i="1"/>
  <c r="M3512" i="1"/>
  <c r="N3512" i="1"/>
  <c r="B3513" i="1"/>
  <c r="D3513" i="1"/>
  <c r="E3513" i="1"/>
  <c r="F3513" i="1"/>
  <c r="K3513" i="1"/>
  <c r="M3513" i="1"/>
  <c r="N3513" i="1"/>
  <c r="B3514" i="1"/>
  <c r="D3514" i="1"/>
  <c r="E3514" i="1"/>
  <c r="F3514" i="1"/>
  <c r="K3514" i="1"/>
  <c r="M3514" i="1"/>
  <c r="N3514" i="1"/>
  <c r="B3515" i="1"/>
  <c r="D3515" i="1"/>
  <c r="E3515" i="1"/>
  <c r="F3515" i="1"/>
  <c r="K3515" i="1"/>
  <c r="M3515" i="1"/>
  <c r="N3515" i="1"/>
  <c r="B3516" i="1"/>
  <c r="D3516" i="1"/>
  <c r="E3516" i="1"/>
  <c r="F3516" i="1"/>
  <c r="K3516" i="1"/>
  <c r="M3516" i="1"/>
  <c r="N3516" i="1"/>
  <c r="B3517" i="1"/>
  <c r="D3517" i="1"/>
  <c r="E3517" i="1"/>
  <c r="F3517" i="1"/>
  <c r="K3517" i="1"/>
  <c r="M3517" i="1"/>
  <c r="N3517" i="1"/>
  <c r="B3518" i="1"/>
  <c r="D3518" i="1"/>
  <c r="E3518" i="1"/>
  <c r="F3518" i="1"/>
  <c r="K3518" i="1"/>
  <c r="M3518" i="1"/>
  <c r="N3518" i="1"/>
  <c r="B3519" i="1"/>
  <c r="D3519" i="1"/>
  <c r="E3519" i="1"/>
  <c r="F3519" i="1"/>
  <c r="K3519" i="1"/>
  <c r="M3519" i="1"/>
  <c r="N3519" i="1"/>
  <c r="B3520" i="1"/>
  <c r="D3520" i="1"/>
  <c r="E3520" i="1"/>
  <c r="F3520" i="1"/>
  <c r="K3520" i="1"/>
  <c r="M3520" i="1"/>
  <c r="N3520" i="1"/>
  <c r="B3521" i="1"/>
  <c r="D3521" i="1"/>
  <c r="E3521" i="1"/>
  <c r="F3521" i="1"/>
  <c r="K3521" i="1"/>
  <c r="M3521" i="1"/>
  <c r="N3521" i="1"/>
  <c r="B3522" i="1"/>
  <c r="D3522" i="1"/>
  <c r="E3522" i="1"/>
  <c r="F3522" i="1"/>
  <c r="K3522" i="1"/>
  <c r="M3522" i="1"/>
  <c r="N3522" i="1"/>
  <c r="B3523" i="1"/>
  <c r="D3523" i="1"/>
  <c r="E3523" i="1"/>
  <c r="F3523" i="1"/>
  <c r="K3523" i="1"/>
  <c r="M3523" i="1"/>
  <c r="N3523" i="1"/>
  <c r="B3525" i="1"/>
  <c r="D3525" i="1"/>
  <c r="E3525" i="1"/>
  <c r="F3525" i="1"/>
  <c r="K3525" i="1"/>
  <c r="M3525" i="1"/>
  <c r="N3525" i="1"/>
  <c r="B3526" i="1"/>
  <c r="D3526" i="1"/>
  <c r="E3526" i="1"/>
  <c r="F3526" i="1"/>
  <c r="K3526" i="1"/>
  <c r="M3526" i="1"/>
  <c r="N3526" i="1"/>
  <c r="B3527" i="1"/>
  <c r="D3527" i="1"/>
  <c r="E3527" i="1"/>
  <c r="F3527" i="1"/>
  <c r="K3527" i="1"/>
  <c r="M3527" i="1"/>
  <c r="N3527" i="1"/>
  <c r="B3528" i="1"/>
  <c r="D3528" i="1"/>
  <c r="E3528" i="1"/>
  <c r="F3528" i="1"/>
  <c r="K3528" i="1"/>
  <c r="M3528" i="1"/>
  <c r="N3528" i="1"/>
  <c r="B3529" i="1"/>
  <c r="D3529" i="1"/>
  <c r="E3529" i="1"/>
  <c r="F3529" i="1"/>
  <c r="K3529" i="1"/>
  <c r="M3529" i="1"/>
  <c r="N3529" i="1"/>
  <c r="B3530" i="1"/>
  <c r="D3530" i="1"/>
  <c r="E3530" i="1"/>
  <c r="F3530" i="1"/>
  <c r="K3530" i="1"/>
  <c r="M3530" i="1"/>
  <c r="N3530" i="1"/>
  <c r="B3531" i="1"/>
  <c r="D3531" i="1"/>
  <c r="E3531" i="1"/>
  <c r="F3531" i="1"/>
  <c r="K3531" i="1"/>
  <c r="M3531" i="1"/>
  <c r="N3531" i="1"/>
  <c r="B3534" i="1"/>
  <c r="D3534" i="1"/>
  <c r="E3534" i="1"/>
  <c r="F3534" i="1"/>
  <c r="K3534" i="1"/>
  <c r="M3534" i="1"/>
  <c r="N3534" i="1"/>
  <c r="B3535" i="1"/>
  <c r="D3535" i="1"/>
  <c r="E3535" i="1"/>
  <c r="F3535" i="1"/>
  <c r="K3535" i="1"/>
  <c r="M3535" i="1"/>
  <c r="N3535" i="1"/>
  <c r="B3536" i="1"/>
  <c r="D3536" i="1"/>
  <c r="E3536" i="1"/>
  <c r="F3536" i="1"/>
  <c r="K3536" i="1"/>
  <c r="M3536" i="1"/>
  <c r="N3536" i="1"/>
  <c r="B3537" i="1"/>
  <c r="D3537" i="1"/>
  <c r="E3537" i="1"/>
  <c r="F3537" i="1"/>
  <c r="K3537" i="1"/>
  <c r="M3537" i="1"/>
  <c r="N3537" i="1"/>
  <c r="B3538" i="1"/>
  <c r="D3538" i="1"/>
  <c r="E3538" i="1"/>
  <c r="F3538" i="1"/>
  <c r="K3538" i="1"/>
  <c r="M3538" i="1"/>
  <c r="N3538" i="1"/>
  <c r="B3539" i="1"/>
  <c r="D3539" i="1"/>
  <c r="E3539" i="1"/>
  <c r="F3539" i="1"/>
  <c r="K3539" i="1"/>
  <c r="M3539" i="1"/>
  <c r="N3539" i="1"/>
  <c r="B3540" i="1"/>
  <c r="D3540" i="1"/>
  <c r="E3540" i="1"/>
  <c r="F3540" i="1"/>
  <c r="K3540" i="1"/>
  <c r="M3540" i="1"/>
  <c r="N3540" i="1"/>
  <c r="B3541" i="1"/>
  <c r="D3541" i="1"/>
  <c r="E3541" i="1"/>
  <c r="F3541" i="1"/>
  <c r="K3541" i="1"/>
  <c r="M3541" i="1"/>
  <c r="N3541" i="1"/>
  <c r="B3542" i="1"/>
  <c r="D3542" i="1"/>
  <c r="E3542" i="1"/>
  <c r="F3542" i="1"/>
  <c r="K3542" i="1"/>
  <c r="M3542" i="1"/>
  <c r="N3542" i="1"/>
  <c r="B3543" i="1"/>
  <c r="D3543" i="1"/>
  <c r="E3543" i="1"/>
  <c r="F3543" i="1"/>
  <c r="K3543" i="1"/>
  <c r="M3543" i="1"/>
  <c r="N3543" i="1"/>
  <c r="B3544" i="1"/>
  <c r="D3544" i="1"/>
  <c r="E3544" i="1"/>
  <c r="F3544" i="1"/>
  <c r="K3544" i="1"/>
  <c r="M3544" i="1"/>
  <c r="N3544" i="1"/>
  <c r="B3545" i="1"/>
  <c r="D3545" i="1"/>
  <c r="E3545" i="1"/>
  <c r="F3545" i="1"/>
  <c r="K3545" i="1"/>
  <c r="M3545" i="1"/>
  <c r="N3545" i="1"/>
  <c r="B3546" i="1"/>
  <c r="D3546" i="1"/>
  <c r="E3546" i="1"/>
  <c r="F3546" i="1"/>
  <c r="K3546" i="1"/>
  <c r="M3546" i="1"/>
  <c r="N3546" i="1"/>
  <c r="B3547" i="1"/>
  <c r="D3547" i="1"/>
  <c r="E3547" i="1"/>
  <c r="F3547" i="1"/>
  <c r="K3547" i="1"/>
  <c r="M3547" i="1"/>
  <c r="N3547" i="1"/>
  <c r="B3548" i="1"/>
  <c r="D3548" i="1"/>
  <c r="E3548" i="1"/>
  <c r="F3548" i="1"/>
  <c r="K3548" i="1"/>
  <c r="M3548" i="1"/>
  <c r="N3548" i="1"/>
  <c r="B3549" i="1"/>
  <c r="D3549" i="1"/>
  <c r="E3549" i="1"/>
  <c r="F3549" i="1"/>
  <c r="K3549" i="1"/>
  <c r="M3549" i="1"/>
  <c r="N3549" i="1"/>
  <c r="B3550" i="1"/>
  <c r="D3550" i="1"/>
  <c r="E3550" i="1"/>
  <c r="F3550" i="1"/>
  <c r="K3550" i="1"/>
  <c r="M3550" i="1"/>
  <c r="N3550" i="1"/>
  <c r="B3551" i="1"/>
  <c r="D3551" i="1"/>
  <c r="E3551" i="1"/>
  <c r="F3551" i="1"/>
  <c r="K3551" i="1"/>
  <c r="M3551" i="1"/>
  <c r="N3551" i="1"/>
  <c r="B3552" i="1"/>
  <c r="D3552" i="1"/>
  <c r="E3552" i="1"/>
  <c r="F3552" i="1"/>
  <c r="K3552" i="1"/>
  <c r="M3552" i="1"/>
  <c r="N3552" i="1"/>
  <c r="B3553" i="1"/>
  <c r="D3553" i="1"/>
  <c r="E3553" i="1"/>
  <c r="F3553" i="1"/>
  <c r="K3553" i="1"/>
  <c r="M3553" i="1"/>
  <c r="N3553" i="1"/>
  <c r="B3554" i="1"/>
  <c r="D3554" i="1"/>
  <c r="E3554" i="1"/>
  <c r="F3554" i="1"/>
  <c r="K3554" i="1"/>
  <c r="M3554" i="1"/>
  <c r="N3554" i="1"/>
  <c r="B3555" i="1"/>
  <c r="D3555" i="1"/>
  <c r="E3555" i="1"/>
  <c r="F3555" i="1"/>
  <c r="K3555" i="1"/>
  <c r="M3555" i="1"/>
  <c r="N3555" i="1"/>
  <c r="B3556" i="1"/>
  <c r="D3556" i="1"/>
  <c r="E3556" i="1"/>
  <c r="F3556" i="1"/>
  <c r="K3556" i="1"/>
  <c r="M3556" i="1"/>
  <c r="N3556" i="1"/>
  <c r="B3643" i="1"/>
  <c r="D3643" i="1"/>
  <c r="E3643" i="1"/>
  <c r="F3643" i="1"/>
  <c r="K3643" i="1"/>
  <c r="M3643" i="1"/>
  <c r="N3643" i="1"/>
  <c r="B3644" i="1"/>
  <c r="D3644" i="1"/>
  <c r="E3644" i="1"/>
  <c r="F3644" i="1"/>
  <c r="K3644" i="1"/>
  <c r="M3644" i="1"/>
  <c r="N3644" i="1"/>
  <c r="B3645" i="1"/>
  <c r="D3645" i="1"/>
  <c r="E3645" i="1"/>
  <c r="F3645" i="1"/>
  <c r="K3645" i="1"/>
  <c r="M3645" i="1"/>
  <c r="N3645" i="1"/>
  <c r="B3646" i="1"/>
  <c r="D3646" i="1"/>
  <c r="E3646" i="1"/>
  <c r="F3646" i="1"/>
  <c r="K3646" i="1"/>
  <c r="M3646" i="1"/>
  <c r="N3646" i="1"/>
  <c r="B3647" i="1"/>
  <c r="D3647" i="1"/>
  <c r="E3647" i="1"/>
  <c r="F3647" i="1"/>
  <c r="K3647" i="1"/>
  <c r="M3647" i="1"/>
  <c r="N3647" i="1"/>
  <c r="B3648" i="1"/>
  <c r="D3648" i="1"/>
  <c r="E3648" i="1"/>
  <c r="F3648" i="1"/>
  <c r="K3648" i="1"/>
  <c r="M3648" i="1"/>
  <c r="N3648" i="1"/>
  <c r="B3649" i="1"/>
  <c r="D3649" i="1"/>
  <c r="E3649" i="1"/>
  <c r="F3649" i="1"/>
  <c r="K3649" i="1"/>
  <c r="M3649" i="1"/>
  <c r="N3649" i="1"/>
  <c r="B3650" i="1"/>
  <c r="D3650" i="1"/>
  <c r="E3650" i="1"/>
  <c r="F3650" i="1"/>
  <c r="K3650" i="1"/>
  <c r="M3650" i="1"/>
  <c r="N3650" i="1"/>
  <c r="B3651" i="1"/>
  <c r="D3651" i="1"/>
  <c r="E3651" i="1"/>
  <c r="F3651" i="1"/>
  <c r="K3651" i="1"/>
  <c r="M3651" i="1"/>
  <c r="N3651" i="1"/>
  <c r="B3431" i="1"/>
  <c r="D3431" i="1"/>
  <c r="E3431" i="1"/>
  <c r="F3431" i="1"/>
  <c r="K3431" i="1"/>
  <c r="M3431" i="1"/>
  <c r="N3431" i="1"/>
  <c r="B3432" i="1"/>
  <c r="D3432" i="1"/>
  <c r="E3432" i="1"/>
  <c r="F3432" i="1"/>
  <c r="K3432" i="1"/>
  <c r="M3432" i="1"/>
  <c r="N3432" i="1"/>
  <c r="B3433" i="1"/>
  <c r="D3433" i="1"/>
  <c r="E3433" i="1"/>
  <c r="F3433" i="1"/>
  <c r="K3433" i="1"/>
  <c r="M3433" i="1"/>
  <c r="N3433" i="1"/>
  <c r="B3434" i="1"/>
  <c r="D3434" i="1"/>
  <c r="E3434" i="1"/>
  <c r="F3434" i="1"/>
  <c r="K3434" i="1"/>
  <c r="M3434" i="1"/>
  <c r="N3434" i="1"/>
  <c r="B3435" i="1"/>
  <c r="D3435" i="1"/>
  <c r="E3435" i="1"/>
  <c r="F3435" i="1"/>
  <c r="K3435" i="1"/>
  <c r="M3435" i="1"/>
  <c r="N3435" i="1"/>
  <c r="B3436" i="1"/>
  <c r="D3436" i="1"/>
  <c r="E3436" i="1"/>
  <c r="F3436" i="1"/>
  <c r="K3436" i="1"/>
  <c r="M3436" i="1"/>
  <c r="N3436" i="1"/>
  <c r="B3437" i="1"/>
  <c r="D3437" i="1"/>
  <c r="E3437" i="1"/>
  <c r="F3437" i="1"/>
  <c r="K3437" i="1"/>
  <c r="M3437" i="1"/>
  <c r="N3437" i="1"/>
  <c r="B3438" i="1"/>
  <c r="D3438" i="1"/>
  <c r="E3438" i="1"/>
  <c r="F3438" i="1"/>
  <c r="K3438" i="1"/>
  <c r="M3438" i="1"/>
  <c r="N3438" i="1"/>
  <c r="B3439" i="1"/>
  <c r="D3439" i="1"/>
  <c r="E3439" i="1"/>
  <c r="F3439" i="1"/>
  <c r="K3439" i="1"/>
  <c r="M3439" i="1"/>
  <c r="N3439" i="1"/>
  <c r="B3440" i="1"/>
  <c r="D3440" i="1"/>
  <c r="E3440" i="1"/>
  <c r="F3440" i="1"/>
  <c r="K3440" i="1"/>
  <c r="M3440" i="1"/>
  <c r="N3440" i="1"/>
  <c r="B3441" i="1"/>
  <c r="D3441" i="1"/>
  <c r="E3441" i="1"/>
  <c r="F3441" i="1"/>
  <c r="K3441" i="1"/>
  <c r="M3441" i="1"/>
  <c r="N3441" i="1"/>
  <c r="B3442" i="1"/>
  <c r="D3442" i="1"/>
  <c r="E3442" i="1"/>
  <c r="F3442" i="1"/>
  <c r="K3442" i="1"/>
  <c r="M3442" i="1"/>
  <c r="N3442" i="1"/>
  <c r="B3443" i="1"/>
  <c r="D3443" i="1"/>
  <c r="E3443" i="1"/>
  <c r="F3443" i="1"/>
  <c r="K3443" i="1"/>
  <c r="M3443" i="1"/>
  <c r="N3443" i="1"/>
  <c r="B3444" i="1"/>
  <c r="D3444" i="1"/>
  <c r="E3444" i="1"/>
  <c r="F3444" i="1"/>
  <c r="K3444" i="1"/>
  <c r="M3444" i="1"/>
  <c r="N3444" i="1"/>
  <c r="B3445" i="1"/>
  <c r="D3445" i="1"/>
  <c r="E3445" i="1"/>
  <c r="F3445" i="1"/>
  <c r="K3445" i="1"/>
  <c r="M3445" i="1"/>
  <c r="N3445" i="1"/>
  <c r="B3446" i="1"/>
  <c r="D3446" i="1"/>
  <c r="E3446" i="1"/>
  <c r="F3446" i="1"/>
  <c r="K3446" i="1"/>
  <c r="M3446" i="1"/>
  <c r="N3446" i="1"/>
  <c r="B3447" i="1"/>
  <c r="D3447" i="1"/>
  <c r="E3447" i="1"/>
  <c r="F3447" i="1"/>
  <c r="K3447" i="1"/>
  <c r="M3447" i="1"/>
  <c r="N3447" i="1"/>
  <c r="B3448" i="1"/>
  <c r="D3448" i="1"/>
  <c r="E3448" i="1"/>
  <c r="F3448" i="1"/>
  <c r="K3448" i="1"/>
  <c r="M3448" i="1"/>
  <c r="N3448" i="1"/>
  <c r="B3449" i="1"/>
  <c r="D3449" i="1"/>
  <c r="E3449" i="1"/>
  <c r="F3449" i="1"/>
  <c r="K3449" i="1"/>
  <c r="M3449" i="1"/>
  <c r="N3449" i="1"/>
  <c r="B3450" i="1"/>
  <c r="D3450" i="1"/>
  <c r="E3450" i="1"/>
  <c r="F3450" i="1"/>
  <c r="K3450" i="1"/>
  <c r="M3450" i="1"/>
  <c r="N3450" i="1"/>
  <c r="B3451" i="1"/>
  <c r="D3451" i="1"/>
  <c r="E3451" i="1"/>
  <c r="F3451" i="1"/>
  <c r="K3451" i="1"/>
  <c r="M3451" i="1"/>
  <c r="N3451" i="1"/>
  <c r="B3452" i="1"/>
  <c r="D3452" i="1"/>
  <c r="E3452" i="1"/>
  <c r="F3452" i="1"/>
  <c r="K3452" i="1"/>
  <c r="M3452" i="1"/>
  <c r="N3452" i="1"/>
  <c r="B3453" i="1"/>
  <c r="D3453" i="1"/>
  <c r="E3453" i="1"/>
  <c r="F3453" i="1"/>
  <c r="K3453" i="1"/>
  <c r="M3453" i="1"/>
  <c r="N3453" i="1"/>
  <c r="B3454" i="1"/>
  <c r="D3454" i="1"/>
  <c r="E3454" i="1"/>
  <c r="F3454" i="1"/>
  <c r="K3454" i="1"/>
  <c r="M3454" i="1"/>
  <c r="N3454" i="1"/>
  <c r="B3455" i="1"/>
  <c r="D3455" i="1"/>
  <c r="E3455" i="1"/>
  <c r="F3455" i="1"/>
  <c r="K3455" i="1"/>
  <c r="M3455" i="1"/>
  <c r="N3455" i="1"/>
  <c r="B3456" i="1"/>
  <c r="D3456" i="1"/>
  <c r="E3456" i="1"/>
  <c r="F3456" i="1"/>
  <c r="K3456" i="1"/>
  <c r="M3456" i="1"/>
  <c r="N3456" i="1"/>
  <c r="B3457" i="1"/>
  <c r="D3457" i="1"/>
  <c r="E3457" i="1"/>
  <c r="F3457" i="1"/>
  <c r="K3457" i="1"/>
  <c r="M3457" i="1"/>
  <c r="N3457" i="1"/>
  <c r="B3458" i="1"/>
  <c r="D3458" i="1"/>
  <c r="E3458" i="1"/>
  <c r="F3458" i="1"/>
  <c r="K3458" i="1"/>
  <c r="M3458" i="1"/>
  <c r="N3458" i="1"/>
  <c r="B3459" i="1"/>
  <c r="E3459" i="1"/>
  <c r="F3459" i="1"/>
  <c r="K3459" i="1"/>
  <c r="M3459" i="1"/>
  <c r="N3459" i="1"/>
  <c r="B3460" i="1"/>
  <c r="D3460" i="1"/>
  <c r="E3460" i="1"/>
  <c r="F3460" i="1"/>
  <c r="K3460" i="1"/>
  <c r="M3460" i="1"/>
  <c r="N3460" i="1"/>
  <c r="B3461" i="1"/>
  <c r="D3461" i="1"/>
  <c r="E3461" i="1"/>
  <c r="F3461" i="1"/>
  <c r="K3461" i="1"/>
  <c r="M3461" i="1"/>
  <c r="N3461" i="1"/>
  <c r="B3462" i="1"/>
  <c r="D3462" i="1"/>
  <c r="E3462" i="1"/>
  <c r="F3462" i="1"/>
  <c r="K3462" i="1"/>
  <c r="M3462" i="1"/>
  <c r="N3462" i="1"/>
  <c r="B3463" i="1"/>
  <c r="D3463" i="1"/>
  <c r="E3463" i="1"/>
  <c r="F3463" i="1"/>
  <c r="K3463" i="1"/>
  <c r="M3463" i="1"/>
  <c r="N3463" i="1"/>
  <c r="B3464" i="1"/>
  <c r="D3464" i="1"/>
  <c r="E3464" i="1"/>
  <c r="F3464" i="1"/>
  <c r="K3464" i="1"/>
  <c r="M3464" i="1"/>
  <c r="N3464" i="1"/>
  <c r="B3465" i="1"/>
  <c r="D3465" i="1"/>
  <c r="E3465" i="1"/>
  <c r="F3465" i="1"/>
  <c r="K3465" i="1"/>
  <c r="M3465" i="1"/>
  <c r="N3465" i="1"/>
  <c r="B3466" i="1"/>
  <c r="D3466" i="1"/>
  <c r="E3466" i="1"/>
  <c r="F3466" i="1"/>
  <c r="K3466" i="1"/>
  <c r="M3466" i="1"/>
  <c r="N3466" i="1"/>
  <c r="B3467" i="1"/>
  <c r="D3467" i="1"/>
  <c r="E3467" i="1"/>
  <c r="F3467" i="1"/>
  <c r="K3467" i="1"/>
  <c r="M3467" i="1"/>
  <c r="N3467" i="1"/>
  <c r="B3468" i="1"/>
  <c r="D3468" i="1"/>
  <c r="E3468" i="1"/>
  <c r="F3468" i="1"/>
  <c r="K3468" i="1"/>
  <c r="M3468" i="1"/>
  <c r="N3468" i="1"/>
  <c r="B3469" i="1"/>
  <c r="D3469" i="1"/>
  <c r="E3469" i="1"/>
  <c r="F3469" i="1"/>
  <c r="K3469" i="1"/>
  <c r="M3469" i="1"/>
  <c r="N3469" i="1"/>
  <c r="B3470" i="1"/>
  <c r="D3470" i="1"/>
  <c r="E3470" i="1"/>
  <c r="F3470" i="1"/>
  <c r="K3470" i="1"/>
  <c r="M3470" i="1"/>
  <c r="N3470" i="1"/>
  <c r="B3471" i="1"/>
  <c r="D3471" i="1"/>
  <c r="E3471" i="1"/>
  <c r="F3471" i="1"/>
  <c r="K3471" i="1"/>
  <c r="M3471" i="1"/>
  <c r="N3471" i="1"/>
  <c r="B3472" i="1"/>
  <c r="D3472" i="1"/>
  <c r="E3472" i="1"/>
  <c r="F3472" i="1"/>
  <c r="K3472" i="1"/>
  <c r="M3472" i="1"/>
  <c r="N3472" i="1"/>
  <c r="B3473" i="1"/>
  <c r="D3473" i="1"/>
  <c r="E3473" i="1"/>
  <c r="F3473" i="1"/>
  <c r="K3473" i="1"/>
  <c r="M3473" i="1"/>
  <c r="N3473" i="1"/>
  <c r="B3474" i="1"/>
  <c r="D3474" i="1"/>
  <c r="E3474" i="1"/>
  <c r="F3474" i="1"/>
  <c r="K3474" i="1"/>
  <c r="M3474" i="1"/>
  <c r="N3474" i="1"/>
  <c r="B3475" i="1"/>
  <c r="D3475" i="1"/>
  <c r="E3475" i="1"/>
  <c r="F3475" i="1"/>
  <c r="K3475" i="1"/>
  <c r="M3475" i="1"/>
  <c r="N3475" i="1"/>
  <c r="B3476" i="1"/>
  <c r="D3476" i="1"/>
  <c r="E3476" i="1"/>
  <c r="F3476" i="1"/>
  <c r="K3476" i="1"/>
  <c r="M3476" i="1"/>
  <c r="N3476" i="1"/>
  <c r="B3477" i="1"/>
  <c r="D3477" i="1"/>
  <c r="E3477" i="1"/>
  <c r="F3477" i="1"/>
  <c r="K3477" i="1"/>
  <c r="M3477" i="1"/>
  <c r="N3477" i="1"/>
  <c r="B3478" i="1"/>
  <c r="D3478" i="1"/>
  <c r="E3478" i="1"/>
  <c r="F3478" i="1"/>
  <c r="K3478" i="1"/>
  <c r="M3478" i="1"/>
  <c r="N3478" i="1"/>
  <c r="B3479" i="1"/>
  <c r="D3479" i="1"/>
  <c r="E3479" i="1"/>
  <c r="F3479" i="1"/>
  <c r="K3479" i="1"/>
  <c r="M3479" i="1"/>
  <c r="N3479" i="1"/>
  <c r="B3480" i="1"/>
  <c r="D3480" i="1"/>
  <c r="E3480" i="1"/>
  <c r="F3480" i="1"/>
  <c r="K3480" i="1"/>
  <c r="M3480" i="1"/>
  <c r="N3480" i="1"/>
  <c r="B3481" i="1"/>
  <c r="D3481" i="1"/>
  <c r="E3481" i="1"/>
  <c r="F3481" i="1"/>
  <c r="K3481" i="1"/>
  <c r="M3481" i="1"/>
  <c r="N3481" i="1"/>
  <c r="B3482" i="1"/>
  <c r="D3482" i="1"/>
  <c r="E3482" i="1"/>
  <c r="F3482" i="1"/>
  <c r="K3482" i="1"/>
  <c r="M3482" i="1"/>
  <c r="N3482" i="1"/>
  <c r="B3483" i="1"/>
  <c r="D3483" i="1"/>
  <c r="E3483" i="1"/>
  <c r="F3483" i="1"/>
  <c r="K3483" i="1"/>
  <c r="M3483" i="1"/>
  <c r="N3483" i="1"/>
  <c r="B3484" i="1"/>
  <c r="D3484" i="1"/>
  <c r="E3484" i="1"/>
  <c r="F3484" i="1"/>
  <c r="K3484" i="1"/>
  <c r="M3484" i="1"/>
  <c r="N3484" i="1"/>
  <c r="B3485" i="1"/>
  <c r="D3485" i="1"/>
  <c r="E3485" i="1"/>
  <c r="F3485" i="1"/>
  <c r="K3485" i="1"/>
  <c r="M3485" i="1"/>
  <c r="N3485" i="1"/>
  <c r="B3486" i="1"/>
  <c r="D3486" i="1"/>
  <c r="E3486" i="1"/>
  <c r="F3486" i="1"/>
  <c r="K3486" i="1"/>
  <c r="M3486" i="1"/>
  <c r="N3486" i="1"/>
  <c r="B3487" i="1"/>
  <c r="D3487" i="1"/>
  <c r="E3487" i="1"/>
  <c r="F3487" i="1"/>
  <c r="K3487" i="1"/>
  <c r="M3487" i="1"/>
  <c r="N3487" i="1"/>
  <c r="B3488" i="1"/>
  <c r="D3488" i="1"/>
  <c r="E3488" i="1"/>
  <c r="F3488" i="1"/>
  <c r="K3488" i="1"/>
  <c r="M3488" i="1"/>
  <c r="N3488" i="1"/>
  <c r="B3489" i="1"/>
  <c r="D3489" i="1"/>
  <c r="E3489" i="1"/>
  <c r="F3489" i="1"/>
  <c r="K3489" i="1"/>
  <c r="M3489" i="1"/>
  <c r="N3489" i="1"/>
  <c r="B3490" i="1"/>
  <c r="D3490" i="1"/>
  <c r="E3490" i="1"/>
  <c r="F3490" i="1"/>
  <c r="K3490" i="1"/>
  <c r="M3490" i="1"/>
  <c r="N3490" i="1"/>
  <c r="B3491" i="1"/>
  <c r="D3491" i="1"/>
  <c r="E3491" i="1"/>
  <c r="F3491" i="1"/>
  <c r="K3491" i="1"/>
  <c r="M3491" i="1"/>
  <c r="N3491" i="1"/>
  <c r="B3492" i="1"/>
  <c r="D3492" i="1"/>
  <c r="E3492" i="1"/>
  <c r="F3492" i="1"/>
  <c r="K3492" i="1"/>
  <c r="M3492" i="1"/>
  <c r="N3492" i="1"/>
  <c r="B3493" i="1"/>
  <c r="D3493" i="1"/>
  <c r="E3493" i="1"/>
  <c r="F3493" i="1"/>
  <c r="K3493" i="1"/>
  <c r="M3493" i="1"/>
  <c r="N3493" i="1"/>
  <c r="B3494" i="1"/>
  <c r="D3494" i="1"/>
  <c r="E3494" i="1"/>
  <c r="F3494" i="1"/>
  <c r="K3494" i="1"/>
  <c r="M3494" i="1"/>
  <c r="N3494" i="1"/>
  <c r="B3495" i="1"/>
  <c r="D3495" i="1"/>
  <c r="E3495" i="1"/>
  <c r="F3495" i="1"/>
  <c r="K3495" i="1"/>
  <c r="M3495" i="1"/>
  <c r="N3495" i="1"/>
  <c r="B3652" i="1"/>
  <c r="D3652" i="1"/>
  <c r="E3652" i="1"/>
  <c r="F3652" i="1"/>
  <c r="K3652" i="1"/>
  <c r="M3652" i="1"/>
  <c r="N3652" i="1"/>
  <c r="B3653" i="1"/>
  <c r="D3653" i="1"/>
  <c r="E3653" i="1"/>
  <c r="F3653" i="1"/>
  <c r="K3653" i="1"/>
  <c r="M3653" i="1"/>
  <c r="N3653" i="1"/>
  <c r="B3654" i="1"/>
  <c r="D3654" i="1"/>
  <c r="E3654" i="1"/>
  <c r="F3654" i="1"/>
  <c r="K3654" i="1"/>
  <c r="M3654" i="1"/>
  <c r="N3654" i="1"/>
  <c r="B3655" i="1"/>
  <c r="D3655" i="1"/>
  <c r="E3655" i="1"/>
  <c r="F3655" i="1"/>
  <c r="K3655" i="1"/>
  <c r="M3655" i="1"/>
  <c r="N3655" i="1"/>
  <c r="B3656" i="1"/>
  <c r="D3656" i="1"/>
  <c r="E3656" i="1"/>
  <c r="F3656" i="1"/>
  <c r="K3656" i="1"/>
  <c r="M3656" i="1"/>
  <c r="N3656" i="1"/>
  <c r="B3657" i="1"/>
  <c r="D3657" i="1"/>
  <c r="E3657" i="1"/>
  <c r="F3657" i="1"/>
  <c r="K3657" i="1"/>
  <c r="M3657" i="1"/>
  <c r="N3657" i="1"/>
  <c r="B3658" i="1"/>
  <c r="D3658" i="1"/>
  <c r="E3658" i="1"/>
  <c r="F3658" i="1"/>
  <c r="K3658" i="1"/>
  <c r="M3658" i="1"/>
  <c r="N3658" i="1"/>
  <c r="B3659" i="1"/>
  <c r="D3659" i="1"/>
  <c r="E3659" i="1"/>
  <c r="F3659" i="1"/>
  <c r="K3659" i="1"/>
  <c r="M3659" i="1"/>
  <c r="N3659" i="1"/>
  <c r="B3660" i="1"/>
  <c r="D3660" i="1"/>
  <c r="E3660" i="1"/>
  <c r="F3660" i="1"/>
  <c r="K3660" i="1"/>
  <c r="M3660" i="1"/>
  <c r="N3660" i="1"/>
  <c r="B3661" i="1"/>
  <c r="D3661" i="1"/>
  <c r="E3661" i="1"/>
  <c r="F3661" i="1"/>
  <c r="K3661" i="1"/>
  <c r="M3661" i="1"/>
  <c r="N3661" i="1"/>
  <c r="B3662" i="1"/>
  <c r="D3662" i="1"/>
  <c r="E3662" i="1"/>
  <c r="F3662" i="1"/>
  <c r="K3662" i="1"/>
  <c r="M3662" i="1"/>
  <c r="N3662" i="1"/>
  <c r="B3663" i="1"/>
  <c r="D3663" i="1"/>
  <c r="E3663" i="1"/>
  <c r="F3663" i="1"/>
  <c r="K3663" i="1"/>
  <c r="M3663" i="1"/>
  <c r="N3663" i="1"/>
  <c r="B3664" i="1"/>
  <c r="D3664" i="1"/>
  <c r="E3664" i="1"/>
  <c r="F3664" i="1"/>
  <c r="K3664" i="1"/>
  <c r="M3664" i="1"/>
  <c r="N3664" i="1"/>
  <c r="B3665" i="1"/>
  <c r="D3665" i="1"/>
  <c r="E3665" i="1"/>
  <c r="F3665" i="1"/>
  <c r="K3665" i="1"/>
  <c r="M3665" i="1"/>
  <c r="N3665" i="1"/>
  <c r="B3666" i="1"/>
  <c r="D3666" i="1"/>
  <c r="E3666" i="1"/>
  <c r="F3666" i="1"/>
  <c r="K3666" i="1"/>
  <c r="M3666" i="1"/>
  <c r="N3666" i="1"/>
  <c r="B3667" i="1"/>
  <c r="D3667" i="1"/>
  <c r="E3667" i="1"/>
  <c r="F3667" i="1"/>
  <c r="K3667" i="1"/>
  <c r="M3667" i="1"/>
  <c r="N3667" i="1"/>
  <c r="B3668" i="1"/>
  <c r="D3668" i="1"/>
  <c r="E3668" i="1"/>
  <c r="F3668" i="1"/>
  <c r="K3668" i="1"/>
  <c r="M3668" i="1"/>
  <c r="N3668" i="1"/>
  <c r="B3669" i="1"/>
  <c r="D3669" i="1"/>
  <c r="E3669" i="1"/>
  <c r="F3669" i="1"/>
  <c r="K3669" i="1"/>
  <c r="M3669" i="1"/>
  <c r="N3669" i="1"/>
  <c r="B3670" i="1"/>
  <c r="D3670" i="1"/>
  <c r="E3670" i="1"/>
  <c r="F3670" i="1"/>
  <c r="K3670" i="1"/>
  <c r="M3670" i="1"/>
  <c r="N3670" i="1"/>
  <c r="B3671" i="1"/>
  <c r="D3671" i="1"/>
  <c r="E3671" i="1"/>
  <c r="F3671" i="1"/>
  <c r="K3671" i="1"/>
  <c r="M3671" i="1"/>
  <c r="N3671" i="1"/>
  <c r="B3672" i="1"/>
  <c r="D3672" i="1"/>
  <c r="E3672" i="1"/>
  <c r="F3672" i="1"/>
  <c r="K3672" i="1"/>
  <c r="M3672" i="1"/>
  <c r="N3672" i="1"/>
  <c r="B3673" i="1"/>
  <c r="D3673" i="1"/>
  <c r="E3673" i="1"/>
  <c r="F3673" i="1"/>
  <c r="K3673" i="1"/>
  <c r="M3673" i="1"/>
  <c r="N3673" i="1"/>
  <c r="B3674" i="1"/>
  <c r="D3674" i="1"/>
  <c r="E3674" i="1"/>
  <c r="F3674" i="1"/>
  <c r="K3674" i="1"/>
  <c r="M3674" i="1"/>
  <c r="N3674" i="1"/>
  <c r="B3675" i="1"/>
  <c r="D3675" i="1"/>
  <c r="E3675" i="1"/>
  <c r="F3675" i="1"/>
  <c r="K3675" i="1"/>
  <c r="M3675" i="1"/>
  <c r="N3675" i="1"/>
  <c r="B3676" i="1"/>
  <c r="D3676" i="1"/>
  <c r="E3676" i="1"/>
  <c r="F3676" i="1"/>
  <c r="K3676" i="1"/>
  <c r="M3676" i="1"/>
  <c r="N3676" i="1"/>
  <c r="B3677" i="1"/>
  <c r="D3677" i="1"/>
  <c r="E3677" i="1"/>
  <c r="F3677" i="1"/>
  <c r="K3677" i="1"/>
  <c r="M3677" i="1"/>
  <c r="N3677" i="1"/>
  <c r="B3678" i="1"/>
  <c r="D3678" i="1"/>
  <c r="E3678" i="1"/>
  <c r="F3678" i="1"/>
  <c r="K3678" i="1"/>
  <c r="M3678" i="1"/>
  <c r="N3678" i="1"/>
  <c r="B3679" i="1"/>
  <c r="D3679" i="1"/>
  <c r="E3679" i="1"/>
  <c r="F3679" i="1"/>
  <c r="K3679" i="1"/>
  <c r="M3679" i="1"/>
  <c r="N3679" i="1"/>
  <c r="B3680" i="1"/>
  <c r="D3680" i="1"/>
  <c r="E3680" i="1"/>
  <c r="F3680" i="1"/>
  <c r="K3680" i="1"/>
  <c r="M3680" i="1"/>
  <c r="N3680" i="1"/>
  <c r="B3363" i="1"/>
  <c r="D3363" i="1"/>
  <c r="E3363" i="1"/>
  <c r="F3363" i="1"/>
  <c r="K3363" i="1"/>
  <c r="M3363" i="1"/>
  <c r="N3363" i="1"/>
  <c r="B3364" i="1"/>
  <c r="D3364" i="1"/>
  <c r="E3364" i="1"/>
  <c r="F3364" i="1"/>
  <c r="K3364" i="1"/>
  <c r="M3364" i="1"/>
  <c r="N3364" i="1"/>
  <c r="B3323" i="1"/>
  <c r="D3323" i="1"/>
  <c r="E3323" i="1"/>
  <c r="F3323" i="1"/>
  <c r="K3323" i="1"/>
  <c r="M3323" i="1"/>
  <c r="N3323" i="1"/>
  <c r="B3324" i="1"/>
  <c r="D3324" i="1"/>
  <c r="E3324" i="1"/>
  <c r="F3324" i="1"/>
  <c r="K3324" i="1"/>
  <c r="M3324" i="1"/>
  <c r="N3324" i="1"/>
  <c r="B3325" i="1"/>
  <c r="D3325" i="1"/>
  <c r="E3325" i="1"/>
  <c r="F3325" i="1"/>
  <c r="K3325" i="1"/>
  <c r="M3325" i="1"/>
  <c r="N3325" i="1"/>
  <c r="B3326" i="1"/>
  <c r="D3326" i="1"/>
  <c r="E3326" i="1"/>
  <c r="F3326" i="1"/>
  <c r="K3326" i="1"/>
  <c r="M3326" i="1"/>
  <c r="N3326" i="1"/>
  <c r="B3327" i="1"/>
  <c r="D3327" i="1"/>
  <c r="E3327" i="1"/>
  <c r="F3327" i="1"/>
  <c r="K3327" i="1"/>
  <c r="M3327" i="1"/>
  <c r="N3327" i="1"/>
  <c r="B3328" i="1"/>
  <c r="D3328" i="1"/>
  <c r="E3328" i="1"/>
  <c r="F3328" i="1"/>
  <c r="K3328" i="1"/>
  <c r="M3328" i="1"/>
  <c r="N3328" i="1"/>
  <c r="B3329" i="1"/>
  <c r="D3329" i="1"/>
  <c r="E3329" i="1"/>
  <c r="F3329" i="1"/>
  <c r="K3329" i="1"/>
  <c r="M3329" i="1"/>
  <c r="N3329" i="1"/>
  <c r="B3330" i="1"/>
  <c r="D3330" i="1"/>
  <c r="E3330" i="1"/>
  <c r="F3330" i="1"/>
  <c r="K3330" i="1"/>
  <c r="M3330" i="1"/>
  <c r="N3330" i="1"/>
  <c r="B3331" i="1"/>
  <c r="D3331" i="1"/>
  <c r="E3331" i="1"/>
  <c r="F3331" i="1"/>
  <c r="K3331" i="1"/>
  <c r="M3331" i="1"/>
  <c r="N3331" i="1"/>
  <c r="B3332" i="1"/>
  <c r="D3332" i="1"/>
  <c r="E3332" i="1"/>
  <c r="F3332" i="1"/>
  <c r="K3332" i="1"/>
  <c r="M3332" i="1"/>
  <c r="N3332" i="1"/>
  <c r="B3333" i="1"/>
  <c r="D3333" i="1"/>
  <c r="E3333" i="1"/>
  <c r="F3333" i="1"/>
  <c r="K3333" i="1"/>
  <c r="M3333" i="1"/>
  <c r="N3333" i="1"/>
  <c r="B3334" i="1"/>
  <c r="D3334" i="1"/>
  <c r="E3334" i="1"/>
  <c r="F3334" i="1"/>
  <c r="K3334" i="1"/>
  <c r="M3334" i="1"/>
  <c r="N3334" i="1"/>
  <c r="B3335" i="1"/>
  <c r="D3335" i="1"/>
  <c r="E3335" i="1"/>
  <c r="F3335" i="1"/>
  <c r="K3335" i="1"/>
  <c r="M3335" i="1"/>
  <c r="N3335" i="1"/>
  <c r="B3336" i="1"/>
  <c r="D3336" i="1"/>
  <c r="E3336" i="1"/>
  <c r="F3336" i="1"/>
  <c r="K3336" i="1"/>
  <c r="M3336" i="1"/>
  <c r="N3336" i="1"/>
  <c r="B3337" i="1"/>
  <c r="D3337" i="1"/>
  <c r="E3337" i="1"/>
  <c r="F3337" i="1"/>
  <c r="K3337" i="1"/>
  <c r="M3337" i="1"/>
  <c r="N3337" i="1"/>
  <c r="B3338" i="1"/>
  <c r="D3338" i="1"/>
  <c r="E3338" i="1"/>
  <c r="F3338" i="1"/>
  <c r="K3338" i="1"/>
  <c r="M3338" i="1"/>
  <c r="N3338" i="1"/>
  <c r="B3339" i="1"/>
  <c r="D3339" i="1"/>
  <c r="E3339" i="1"/>
  <c r="F3339" i="1"/>
  <c r="K3339" i="1"/>
  <c r="M3339" i="1"/>
  <c r="N3339" i="1"/>
  <c r="B3340" i="1"/>
  <c r="D3340" i="1"/>
  <c r="E3340" i="1"/>
  <c r="F3340" i="1"/>
  <c r="K3340" i="1"/>
  <c r="M3340" i="1"/>
  <c r="N3340" i="1"/>
  <c r="B3341" i="1"/>
  <c r="D3341" i="1"/>
  <c r="E3341" i="1"/>
  <c r="F3341" i="1"/>
  <c r="K3341" i="1"/>
  <c r="M3341" i="1"/>
  <c r="N3341" i="1"/>
  <c r="B3342" i="1"/>
  <c r="D3342" i="1"/>
  <c r="E3342" i="1"/>
  <c r="F3342" i="1"/>
  <c r="K3342" i="1"/>
  <c r="M3342" i="1"/>
  <c r="N3342" i="1"/>
  <c r="B3343" i="1"/>
  <c r="D3343" i="1"/>
  <c r="E3343" i="1"/>
  <c r="F3343" i="1"/>
  <c r="K3343" i="1"/>
  <c r="M3343" i="1"/>
  <c r="N3343" i="1"/>
  <c r="B3344" i="1"/>
  <c r="D3344" i="1"/>
  <c r="E3344" i="1"/>
  <c r="F3344" i="1"/>
  <c r="K3344" i="1"/>
  <c r="M3344" i="1"/>
  <c r="N3344" i="1"/>
  <c r="B3345" i="1"/>
  <c r="D3345" i="1"/>
  <c r="E3345" i="1"/>
  <c r="F3345" i="1"/>
  <c r="K3345" i="1"/>
  <c r="M3345" i="1"/>
  <c r="N3345" i="1"/>
  <c r="B3346" i="1"/>
  <c r="D3346" i="1"/>
  <c r="E3346" i="1"/>
  <c r="F3346" i="1"/>
  <c r="K3346" i="1"/>
  <c r="M3346" i="1"/>
  <c r="N3346" i="1"/>
  <c r="B3347" i="1"/>
  <c r="D3347" i="1"/>
  <c r="E3347" i="1"/>
  <c r="F3347" i="1"/>
  <c r="K3347" i="1"/>
  <c r="M3347" i="1"/>
  <c r="N3347" i="1"/>
  <c r="B3348" i="1"/>
  <c r="D3348" i="1"/>
  <c r="E3348" i="1"/>
  <c r="F3348" i="1"/>
  <c r="K3348" i="1"/>
  <c r="M3348" i="1"/>
  <c r="N3348" i="1"/>
  <c r="B3349" i="1"/>
  <c r="D3349" i="1"/>
  <c r="E3349" i="1"/>
  <c r="F3349" i="1"/>
  <c r="K3349" i="1"/>
  <c r="M3349" i="1"/>
  <c r="N3349" i="1"/>
  <c r="B3350" i="1"/>
  <c r="D3350" i="1"/>
  <c r="E3350" i="1"/>
  <c r="F3350" i="1"/>
  <c r="K3350" i="1"/>
  <c r="M3350" i="1"/>
  <c r="N3350" i="1"/>
  <c r="B3351" i="1"/>
  <c r="D3351" i="1"/>
  <c r="E3351" i="1"/>
  <c r="F3351" i="1"/>
  <c r="K3351" i="1"/>
  <c r="M3351" i="1"/>
  <c r="N3351" i="1"/>
  <c r="B3352" i="1"/>
  <c r="D3352" i="1"/>
  <c r="E3352" i="1"/>
  <c r="F3352" i="1"/>
  <c r="K3352" i="1"/>
  <c r="M3352" i="1"/>
  <c r="N3352" i="1"/>
  <c r="B3353" i="1"/>
  <c r="D3353" i="1"/>
  <c r="E3353" i="1"/>
  <c r="F3353" i="1"/>
  <c r="K3353" i="1"/>
  <c r="M3353" i="1"/>
  <c r="N3353" i="1"/>
  <c r="B3354" i="1"/>
  <c r="D3354" i="1"/>
  <c r="E3354" i="1"/>
  <c r="F3354" i="1"/>
  <c r="K3354" i="1"/>
  <c r="M3354" i="1"/>
  <c r="N3354" i="1"/>
  <c r="B3355" i="1"/>
  <c r="D3355" i="1"/>
  <c r="E3355" i="1"/>
  <c r="F3355" i="1"/>
  <c r="K3355" i="1"/>
  <c r="M3355" i="1"/>
  <c r="N3355" i="1"/>
  <c r="B3356" i="1"/>
  <c r="D3356" i="1"/>
  <c r="E3356" i="1"/>
  <c r="F3356" i="1"/>
  <c r="K3356" i="1"/>
  <c r="M3356" i="1"/>
  <c r="N3356" i="1"/>
  <c r="B3357" i="1"/>
  <c r="D3357" i="1"/>
  <c r="E3357" i="1"/>
  <c r="F3357" i="1"/>
  <c r="K3357" i="1"/>
  <c r="M3357" i="1"/>
  <c r="N3357" i="1"/>
  <c r="B3358" i="1"/>
  <c r="D3358" i="1"/>
  <c r="E3358" i="1"/>
  <c r="F3358" i="1"/>
  <c r="K3358" i="1"/>
  <c r="M3358" i="1"/>
  <c r="N3358" i="1"/>
  <c r="B3359" i="1"/>
  <c r="D3359" i="1"/>
  <c r="E3359" i="1"/>
  <c r="F3359" i="1"/>
  <c r="K3359" i="1"/>
  <c r="M3359" i="1"/>
  <c r="N3359" i="1"/>
  <c r="B3360" i="1"/>
  <c r="D3360" i="1"/>
  <c r="E3360" i="1"/>
  <c r="F3360" i="1"/>
  <c r="K3360" i="1"/>
  <c r="M3360" i="1"/>
  <c r="N3360" i="1"/>
  <c r="B3361" i="1"/>
  <c r="D3361" i="1"/>
  <c r="E3361" i="1"/>
  <c r="F3361" i="1"/>
  <c r="K3361" i="1"/>
  <c r="M3361" i="1"/>
  <c r="N3361" i="1"/>
  <c r="B3362" i="1"/>
  <c r="D3362" i="1"/>
  <c r="E3362" i="1"/>
  <c r="F3362" i="1"/>
  <c r="K3362" i="1"/>
  <c r="M3362" i="1"/>
  <c r="N3362" i="1"/>
  <c r="B3365" i="1"/>
  <c r="D3365" i="1"/>
  <c r="E3365" i="1"/>
  <c r="F3365" i="1"/>
  <c r="K3365" i="1"/>
  <c r="M3365" i="1"/>
  <c r="N3365" i="1"/>
  <c r="B3366" i="1"/>
  <c r="D3366" i="1"/>
  <c r="E3366" i="1"/>
  <c r="F3366" i="1"/>
  <c r="K3366" i="1"/>
  <c r="M3366" i="1"/>
  <c r="N3366" i="1"/>
  <c r="B3367" i="1"/>
  <c r="D3367" i="1"/>
  <c r="E3367" i="1"/>
  <c r="F3367" i="1"/>
  <c r="K3367" i="1"/>
  <c r="M3367" i="1"/>
  <c r="N3367" i="1"/>
  <c r="B3368" i="1"/>
  <c r="D3368" i="1"/>
  <c r="E3368" i="1"/>
  <c r="F3368" i="1"/>
  <c r="K3368" i="1"/>
  <c r="M3368" i="1"/>
  <c r="N3368" i="1"/>
  <c r="B3369" i="1"/>
  <c r="D3369" i="1"/>
  <c r="E3369" i="1"/>
  <c r="F3369" i="1"/>
  <c r="K3369" i="1"/>
  <c r="M3369" i="1"/>
  <c r="N3369" i="1"/>
  <c r="B3370" i="1"/>
  <c r="D3370" i="1"/>
  <c r="E3370" i="1"/>
  <c r="F3370" i="1"/>
  <c r="K3370" i="1"/>
  <c r="M3370" i="1"/>
  <c r="N3370" i="1"/>
  <c r="B3371" i="1"/>
  <c r="D3371" i="1"/>
  <c r="E3371" i="1"/>
  <c r="F3371" i="1"/>
  <c r="K3371" i="1"/>
  <c r="M3371" i="1"/>
  <c r="N3371" i="1"/>
  <c r="B3372" i="1"/>
  <c r="D3372" i="1"/>
  <c r="E3372" i="1"/>
  <c r="F3372" i="1"/>
  <c r="K3372" i="1"/>
  <c r="M3372" i="1"/>
  <c r="N3372" i="1"/>
  <c r="B3373" i="1"/>
  <c r="D3373" i="1"/>
  <c r="E3373" i="1"/>
  <c r="F3373" i="1"/>
  <c r="K3373" i="1"/>
  <c r="M3373" i="1"/>
  <c r="N3373" i="1"/>
  <c r="B3374" i="1"/>
  <c r="D3374" i="1"/>
  <c r="E3374" i="1"/>
  <c r="F3374" i="1"/>
  <c r="K3374" i="1"/>
  <c r="M3374" i="1"/>
  <c r="N3374" i="1"/>
  <c r="B3375" i="1"/>
  <c r="D3375" i="1"/>
  <c r="E3375" i="1"/>
  <c r="F3375" i="1"/>
  <c r="K3375" i="1"/>
  <c r="M3375" i="1"/>
  <c r="N3375" i="1"/>
  <c r="B3376" i="1"/>
  <c r="D3376" i="1"/>
  <c r="E3376" i="1"/>
  <c r="F3376" i="1"/>
  <c r="K3376" i="1"/>
  <c r="M3376" i="1"/>
  <c r="N3376" i="1"/>
  <c r="B3377" i="1"/>
  <c r="D3377" i="1"/>
  <c r="E3377" i="1"/>
  <c r="F3377" i="1"/>
  <c r="K3377" i="1"/>
  <c r="M3377" i="1"/>
  <c r="N3377" i="1"/>
  <c r="B3378" i="1"/>
  <c r="D3378" i="1"/>
  <c r="E3378" i="1"/>
  <c r="F3378" i="1"/>
  <c r="K3378" i="1"/>
  <c r="M3378" i="1"/>
  <c r="N3378" i="1"/>
  <c r="B3379" i="1"/>
  <c r="D3379" i="1"/>
  <c r="E3379" i="1"/>
  <c r="F3379" i="1"/>
  <c r="K3379" i="1"/>
  <c r="M3379" i="1"/>
  <c r="N3379" i="1"/>
  <c r="B3380" i="1"/>
  <c r="D3380" i="1"/>
  <c r="E3380" i="1"/>
  <c r="F3380" i="1"/>
  <c r="K3380" i="1"/>
  <c r="M3380" i="1"/>
  <c r="N3380" i="1"/>
  <c r="B3381" i="1"/>
  <c r="D3381" i="1"/>
  <c r="E3381" i="1"/>
  <c r="F3381" i="1"/>
  <c r="K3381" i="1"/>
  <c r="M3381" i="1"/>
  <c r="N3381" i="1"/>
  <c r="B3382" i="1"/>
  <c r="D3382" i="1"/>
  <c r="E3382" i="1"/>
  <c r="F3382" i="1"/>
  <c r="K3382" i="1"/>
  <c r="M3382" i="1"/>
  <c r="N3382" i="1"/>
  <c r="B3383" i="1"/>
  <c r="D3383" i="1"/>
  <c r="E3383" i="1"/>
  <c r="F3383" i="1"/>
  <c r="K3383" i="1"/>
  <c r="M3383" i="1"/>
  <c r="N3383" i="1"/>
  <c r="B3384" i="1"/>
  <c r="D3384" i="1"/>
  <c r="E3384" i="1"/>
  <c r="F3384" i="1"/>
  <c r="K3384" i="1"/>
  <c r="M3384" i="1"/>
  <c r="N3384" i="1"/>
  <c r="B3385" i="1"/>
  <c r="D3385" i="1"/>
  <c r="E3385" i="1"/>
  <c r="F3385" i="1"/>
  <c r="K3385" i="1"/>
  <c r="M3385" i="1"/>
  <c r="N3385" i="1"/>
  <c r="B3386" i="1"/>
  <c r="D3386" i="1"/>
  <c r="E3386" i="1"/>
  <c r="F3386" i="1"/>
  <c r="K3386" i="1"/>
  <c r="M3386" i="1"/>
  <c r="N3386" i="1"/>
  <c r="B3387" i="1"/>
  <c r="D3387" i="1"/>
  <c r="E3387" i="1"/>
  <c r="F3387" i="1"/>
  <c r="K3387" i="1"/>
  <c r="M3387" i="1"/>
  <c r="N3387" i="1"/>
  <c r="B3388" i="1"/>
  <c r="D3388" i="1"/>
  <c r="E3388" i="1"/>
  <c r="F3388" i="1"/>
  <c r="K3388" i="1"/>
  <c r="M3388" i="1"/>
  <c r="N3388" i="1"/>
  <c r="B3389" i="1"/>
  <c r="D3389" i="1"/>
  <c r="E3389" i="1"/>
  <c r="F3389" i="1"/>
  <c r="K3389" i="1"/>
  <c r="M3389" i="1"/>
  <c r="N3389" i="1"/>
  <c r="B3390" i="1"/>
  <c r="D3390" i="1"/>
  <c r="E3390" i="1"/>
  <c r="F3390" i="1"/>
  <c r="K3390" i="1"/>
  <c r="M3390" i="1"/>
  <c r="N3390" i="1"/>
  <c r="B3391" i="1"/>
  <c r="D3391" i="1"/>
  <c r="E3391" i="1"/>
  <c r="F3391" i="1"/>
  <c r="K3391" i="1"/>
  <c r="M3391" i="1"/>
  <c r="N3391" i="1"/>
  <c r="B3392" i="1"/>
  <c r="D3392" i="1"/>
  <c r="E3392" i="1"/>
  <c r="F3392" i="1"/>
  <c r="K3392" i="1"/>
  <c r="M3392" i="1"/>
  <c r="N3392" i="1"/>
  <c r="B3393" i="1"/>
  <c r="D3393" i="1"/>
  <c r="E3393" i="1"/>
  <c r="F3393" i="1"/>
  <c r="K3393" i="1"/>
  <c r="M3393" i="1"/>
  <c r="N3393" i="1"/>
  <c r="B3394" i="1"/>
  <c r="D3394" i="1"/>
  <c r="E3394" i="1"/>
  <c r="F3394" i="1"/>
  <c r="K3394" i="1"/>
  <c r="M3394" i="1"/>
  <c r="N3394" i="1"/>
  <c r="B3395" i="1"/>
  <c r="D3395" i="1"/>
  <c r="E3395" i="1"/>
  <c r="F3395" i="1"/>
  <c r="K3395" i="1"/>
  <c r="M3395" i="1"/>
  <c r="N3395" i="1"/>
  <c r="B3396" i="1"/>
  <c r="D3396" i="1"/>
  <c r="E3396" i="1"/>
  <c r="F3396" i="1"/>
  <c r="K3396" i="1"/>
  <c r="M3396" i="1"/>
  <c r="N3396" i="1"/>
  <c r="B3397" i="1"/>
  <c r="D3397" i="1"/>
  <c r="E3397" i="1"/>
  <c r="F3397" i="1"/>
  <c r="K3397" i="1"/>
  <c r="M3397" i="1"/>
  <c r="N3397" i="1"/>
  <c r="B3398" i="1"/>
  <c r="D3398" i="1"/>
  <c r="E3398" i="1"/>
  <c r="F3398" i="1"/>
  <c r="K3398" i="1"/>
  <c r="M3398" i="1"/>
  <c r="N3398" i="1"/>
  <c r="B3399" i="1"/>
  <c r="D3399" i="1"/>
  <c r="E3399" i="1"/>
  <c r="F3399" i="1"/>
  <c r="K3399" i="1"/>
  <c r="M3399" i="1"/>
  <c r="N3399" i="1"/>
  <c r="B3400" i="1"/>
  <c r="D3400" i="1"/>
  <c r="E3400" i="1"/>
  <c r="F3400" i="1"/>
  <c r="K3400" i="1"/>
  <c r="M3400" i="1"/>
  <c r="N3400" i="1"/>
  <c r="B3401" i="1"/>
  <c r="D3401" i="1"/>
  <c r="E3401" i="1"/>
  <c r="F3401" i="1"/>
  <c r="K3401" i="1"/>
  <c r="M3401" i="1"/>
  <c r="N3401" i="1"/>
  <c r="B3402" i="1"/>
  <c r="D3402" i="1"/>
  <c r="E3402" i="1"/>
  <c r="F3402" i="1"/>
  <c r="K3402" i="1"/>
  <c r="M3402" i="1"/>
  <c r="N3402" i="1"/>
  <c r="B3403" i="1"/>
  <c r="D3403" i="1"/>
  <c r="E3403" i="1"/>
  <c r="F3403" i="1"/>
  <c r="K3403" i="1"/>
  <c r="M3403" i="1"/>
  <c r="N3403" i="1"/>
  <c r="B3404" i="1"/>
  <c r="D3404" i="1"/>
  <c r="E3404" i="1"/>
  <c r="F3404" i="1"/>
  <c r="K3404" i="1"/>
  <c r="M3404" i="1"/>
  <c r="N3404" i="1"/>
  <c r="B3405" i="1"/>
  <c r="D3405" i="1"/>
  <c r="E3405" i="1"/>
  <c r="F3405" i="1"/>
  <c r="K3405" i="1"/>
  <c r="M3405" i="1"/>
  <c r="N3405" i="1"/>
  <c r="B3406" i="1"/>
  <c r="D3406" i="1"/>
  <c r="E3406" i="1"/>
  <c r="F3406" i="1"/>
  <c r="K3406" i="1"/>
  <c r="M3406" i="1"/>
  <c r="N3406" i="1"/>
  <c r="B3407" i="1"/>
  <c r="D3407" i="1"/>
  <c r="E3407" i="1"/>
  <c r="F3407" i="1"/>
  <c r="K3407" i="1"/>
  <c r="M3407" i="1"/>
  <c r="N3407" i="1"/>
  <c r="B3408" i="1"/>
  <c r="D3408" i="1"/>
  <c r="E3408" i="1"/>
  <c r="F3408" i="1"/>
  <c r="K3408" i="1"/>
  <c r="M3408" i="1"/>
  <c r="N3408" i="1"/>
  <c r="B3409" i="1"/>
  <c r="D3409" i="1"/>
  <c r="E3409" i="1"/>
  <c r="F3409" i="1"/>
  <c r="K3409" i="1"/>
  <c r="M3409" i="1"/>
  <c r="N3409" i="1"/>
  <c r="B3410" i="1"/>
  <c r="D3410" i="1"/>
  <c r="E3410" i="1"/>
  <c r="F3410" i="1"/>
  <c r="K3410" i="1"/>
  <c r="M3410" i="1"/>
  <c r="N3410" i="1"/>
  <c r="B3411" i="1"/>
  <c r="D3411" i="1"/>
  <c r="E3411" i="1"/>
  <c r="F3411" i="1"/>
  <c r="K3411" i="1"/>
  <c r="M3411" i="1"/>
  <c r="N3411" i="1"/>
  <c r="B3412" i="1"/>
  <c r="D3412" i="1"/>
  <c r="E3412" i="1"/>
  <c r="F3412" i="1"/>
  <c r="K3412" i="1"/>
  <c r="M3412" i="1"/>
  <c r="N3412" i="1"/>
  <c r="B3413" i="1"/>
  <c r="D3413" i="1"/>
  <c r="E3413" i="1"/>
  <c r="F3413" i="1"/>
  <c r="K3413" i="1"/>
  <c r="M3413" i="1"/>
  <c r="N3413" i="1"/>
  <c r="B3414" i="1"/>
  <c r="D3414" i="1"/>
  <c r="E3414" i="1"/>
  <c r="F3414" i="1"/>
  <c r="K3414" i="1"/>
  <c r="M3414" i="1"/>
  <c r="N3414" i="1"/>
  <c r="B3415" i="1"/>
  <c r="D3415" i="1"/>
  <c r="E3415" i="1"/>
  <c r="F3415" i="1"/>
  <c r="K3415" i="1"/>
  <c r="M3415" i="1"/>
  <c r="N3415" i="1"/>
  <c r="B3416" i="1"/>
  <c r="D3416" i="1"/>
  <c r="E3416" i="1"/>
  <c r="F3416" i="1"/>
  <c r="K3416" i="1"/>
  <c r="M3416" i="1"/>
  <c r="N3416" i="1"/>
  <c r="B3417" i="1"/>
  <c r="D3417" i="1"/>
  <c r="E3417" i="1"/>
  <c r="F3417" i="1"/>
  <c r="K3417" i="1"/>
  <c r="M3417" i="1"/>
  <c r="N3417" i="1"/>
  <c r="B3418" i="1"/>
  <c r="D3418" i="1"/>
  <c r="E3418" i="1"/>
  <c r="F3418" i="1"/>
  <c r="K3418" i="1"/>
  <c r="M3418" i="1"/>
  <c r="N3418" i="1"/>
  <c r="B3419" i="1"/>
  <c r="D3419" i="1"/>
  <c r="E3419" i="1"/>
  <c r="F3419" i="1"/>
  <c r="K3419" i="1"/>
  <c r="M3419" i="1"/>
  <c r="N3419" i="1"/>
  <c r="B3420" i="1"/>
  <c r="D3420" i="1"/>
  <c r="E3420" i="1"/>
  <c r="F3420" i="1"/>
  <c r="K3420" i="1"/>
  <c r="M3420" i="1"/>
  <c r="N3420" i="1"/>
  <c r="B3421" i="1"/>
  <c r="D3421" i="1"/>
  <c r="E3421" i="1"/>
  <c r="F3421" i="1"/>
  <c r="K3421" i="1"/>
  <c r="M3421" i="1"/>
  <c r="N3421" i="1"/>
  <c r="B3422" i="1"/>
  <c r="D3422" i="1"/>
  <c r="E3422" i="1"/>
  <c r="F3422" i="1"/>
  <c r="K3422" i="1"/>
  <c r="M3422" i="1"/>
  <c r="N3422" i="1"/>
  <c r="B3423" i="1"/>
  <c r="D3423" i="1"/>
  <c r="E3423" i="1"/>
  <c r="F3423" i="1"/>
  <c r="K3423" i="1"/>
  <c r="M3423" i="1"/>
  <c r="N3423" i="1"/>
  <c r="B3424" i="1"/>
  <c r="D3424" i="1"/>
  <c r="E3424" i="1"/>
  <c r="F3424" i="1"/>
  <c r="K3424" i="1"/>
  <c r="M3424" i="1"/>
  <c r="N3424" i="1"/>
  <c r="B3425" i="1"/>
  <c r="D3425" i="1"/>
  <c r="E3425" i="1"/>
  <c r="F3425" i="1"/>
  <c r="K3425" i="1"/>
  <c r="M3425" i="1"/>
  <c r="N3425" i="1"/>
  <c r="B3426" i="1"/>
  <c r="D3426" i="1"/>
  <c r="E3426" i="1"/>
  <c r="F3426" i="1"/>
  <c r="K3426" i="1"/>
  <c r="M3426" i="1"/>
  <c r="N3426" i="1"/>
  <c r="B3427" i="1"/>
  <c r="D3427" i="1"/>
  <c r="E3427" i="1"/>
  <c r="F3427" i="1"/>
  <c r="K3427" i="1"/>
  <c r="M3427" i="1"/>
  <c r="N3427" i="1"/>
  <c r="B3428" i="1"/>
  <c r="D3428" i="1"/>
  <c r="E3428" i="1"/>
  <c r="F3428" i="1"/>
  <c r="K3428" i="1"/>
  <c r="M3428" i="1"/>
  <c r="N3428" i="1"/>
  <c r="B3429" i="1"/>
  <c r="D3429" i="1"/>
  <c r="E3429" i="1"/>
  <c r="F3429" i="1"/>
  <c r="K3429" i="1"/>
  <c r="M3429" i="1"/>
  <c r="N3429" i="1"/>
  <c r="B3430" i="1"/>
  <c r="D3430" i="1"/>
  <c r="E3430" i="1"/>
  <c r="F3430" i="1"/>
  <c r="K3430" i="1"/>
  <c r="M3430" i="1"/>
  <c r="N3430" i="1"/>
  <c r="B3781" i="1"/>
  <c r="D3781" i="1"/>
  <c r="E3781" i="1"/>
  <c r="F3781" i="1"/>
  <c r="K3781" i="1"/>
  <c r="M3781" i="1"/>
  <c r="N3781" i="1"/>
  <c r="B3827" i="1"/>
  <c r="D3827" i="1"/>
  <c r="E3827" i="1"/>
  <c r="F3827" i="1"/>
  <c r="K3827" i="1"/>
  <c r="M3827" i="1"/>
  <c r="N3827" i="1"/>
  <c r="F3322" i="1"/>
  <c r="E3322" i="1"/>
  <c r="D3322" i="1"/>
  <c r="F3321" i="1"/>
  <c r="E3321" i="1"/>
  <c r="D3321" i="1"/>
  <c r="F3320" i="1"/>
  <c r="E3320" i="1"/>
  <c r="D3320" i="1"/>
  <c r="F3319" i="1"/>
  <c r="E3319" i="1"/>
  <c r="D3319" i="1"/>
  <c r="F3318" i="1"/>
  <c r="E3318" i="1"/>
  <c r="D3318" i="1"/>
  <c r="F3317" i="1"/>
  <c r="E3317" i="1"/>
  <c r="D3317" i="1"/>
  <c r="B3317" i="1"/>
  <c r="B3318" i="1"/>
  <c r="B3319" i="1"/>
  <c r="B3320" i="1"/>
  <c r="B3321" i="1"/>
  <c r="B3322" i="1"/>
  <c r="B3828" i="1"/>
  <c r="D3828" i="1"/>
  <c r="E3828" i="1"/>
  <c r="F3828" i="1"/>
  <c r="K3317" i="1"/>
  <c r="K3318" i="1"/>
  <c r="K3319" i="1"/>
  <c r="K3320" i="1"/>
  <c r="K3321" i="1"/>
  <c r="K3322" i="1"/>
  <c r="K3828" i="1"/>
  <c r="M3317" i="1"/>
  <c r="M3318" i="1"/>
  <c r="M3319" i="1"/>
  <c r="M3320" i="1"/>
  <c r="M3321" i="1"/>
  <c r="M3322" i="1"/>
  <c r="M3828" i="1"/>
  <c r="N3317" i="1"/>
  <c r="N3318" i="1"/>
  <c r="N3319" i="1"/>
  <c r="N3320" i="1"/>
  <c r="N3321" i="1"/>
  <c r="N3322" i="1"/>
  <c r="N3828" i="1"/>
  <c r="B3316" i="1"/>
  <c r="E3316" i="1"/>
  <c r="F3316" i="1"/>
  <c r="K3316" i="1"/>
  <c r="M3316" i="1"/>
  <c r="N3316" i="1"/>
  <c r="B3308" i="1"/>
  <c r="B3309" i="1"/>
  <c r="B3310" i="1"/>
  <c r="B3311" i="1"/>
  <c r="B3312" i="1"/>
  <c r="B3313" i="1"/>
  <c r="B3314" i="1"/>
  <c r="B3315" i="1"/>
  <c r="K3308" i="1"/>
  <c r="K3309" i="1"/>
  <c r="K3310" i="1"/>
  <c r="K3311" i="1"/>
  <c r="K3312" i="1"/>
  <c r="K3313" i="1"/>
  <c r="K3314" i="1"/>
  <c r="K3315" i="1"/>
  <c r="M3308" i="1"/>
  <c r="M3309" i="1"/>
  <c r="M3310" i="1"/>
  <c r="M3311" i="1"/>
  <c r="M3312" i="1"/>
  <c r="M3313" i="1"/>
  <c r="M3314" i="1"/>
  <c r="M3315" i="1"/>
  <c r="N3308" i="1"/>
  <c r="N3309" i="1"/>
  <c r="N3310" i="1"/>
  <c r="N3311" i="1"/>
  <c r="N3312" i="1"/>
  <c r="N3313" i="1"/>
  <c r="N3314" i="1"/>
  <c r="N3315" i="1"/>
  <c r="F3315" i="1"/>
  <c r="E3315" i="1"/>
  <c r="D3315" i="1"/>
  <c r="F3314" i="1"/>
  <c r="E3314" i="1"/>
  <c r="D3314" i="1"/>
  <c r="F3313" i="1"/>
  <c r="E3313" i="1"/>
  <c r="D3313" i="1"/>
  <c r="F3312" i="1"/>
  <c r="E3312" i="1"/>
  <c r="D3312" i="1"/>
  <c r="F3311" i="1"/>
  <c r="E3311" i="1"/>
  <c r="D3311" i="1"/>
  <c r="F3310" i="1"/>
  <c r="E3310" i="1"/>
  <c r="D3310" i="1"/>
  <c r="F3309" i="1"/>
  <c r="E3309" i="1"/>
  <c r="D3309" i="1"/>
  <c r="F3308" i="1"/>
  <c r="E3308" i="1"/>
  <c r="D3308" i="1"/>
  <c r="F3307" i="1"/>
  <c r="E3307" i="1"/>
  <c r="D3307" i="1"/>
  <c r="F3306" i="1"/>
  <c r="E3306" i="1"/>
  <c r="D3306" i="1"/>
  <c r="F3305" i="1"/>
  <c r="E3305" i="1"/>
  <c r="D3305" i="1"/>
  <c r="F3304" i="1"/>
  <c r="E3304" i="1"/>
  <c r="D3304" i="1"/>
  <c r="F3303" i="1"/>
  <c r="E3303" i="1"/>
  <c r="D3303" i="1"/>
  <c r="F3302" i="1"/>
  <c r="E3302" i="1"/>
  <c r="D3302" i="1"/>
  <c r="F3301" i="1"/>
  <c r="E3301" i="1"/>
  <c r="D3301" i="1"/>
  <c r="F3300" i="1"/>
  <c r="E3300" i="1"/>
  <c r="D3300" i="1"/>
  <c r="F3299" i="1"/>
  <c r="E3299" i="1"/>
  <c r="D3299" i="1"/>
  <c r="F3298" i="1"/>
  <c r="E3298" i="1"/>
  <c r="D3298" i="1"/>
  <c r="F3297" i="1"/>
  <c r="E3297" i="1"/>
  <c r="D3297" i="1"/>
  <c r="F3296" i="1"/>
  <c r="E3296" i="1"/>
  <c r="D3296" i="1"/>
  <c r="F3295" i="1"/>
  <c r="E3295" i="1"/>
  <c r="D3295" i="1"/>
  <c r="F3294" i="1"/>
  <c r="E3294" i="1"/>
  <c r="D3294" i="1"/>
  <c r="F3293" i="1"/>
  <c r="E3293" i="1"/>
  <c r="D3293" i="1"/>
  <c r="F3292" i="1"/>
  <c r="E3292" i="1"/>
  <c r="D3292" i="1"/>
  <c r="F3291" i="1"/>
  <c r="E3291" i="1"/>
  <c r="D3291" i="1"/>
  <c r="F3290" i="1"/>
  <c r="E3290" i="1"/>
  <c r="D3290" i="1"/>
  <c r="F3289" i="1"/>
  <c r="E3289" i="1"/>
  <c r="D3289" i="1"/>
  <c r="F3288" i="1"/>
  <c r="E3288" i="1"/>
  <c r="D3288" i="1"/>
  <c r="F3287" i="1"/>
  <c r="E3287" i="1"/>
  <c r="D3287" i="1"/>
  <c r="F3286" i="1"/>
  <c r="E3286" i="1"/>
  <c r="D3286" i="1"/>
  <c r="F3285" i="1"/>
  <c r="E3285" i="1"/>
  <c r="D3285" i="1"/>
  <c r="F3284" i="1"/>
  <c r="E3284" i="1"/>
  <c r="D3284" i="1"/>
  <c r="F3283" i="1"/>
  <c r="E3283" i="1"/>
  <c r="D3283" i="1"/>
  <c r="F3282" i="1"/>
  <c r="E3282" i="1"/>
  <c r="D3282" i="1"/>
  <c r="F3281" i="1"/>
  <c r="E3281" i="1"/>
  <c r="D3281" i="1"/>
  <c r="F3280" i="1"/>
  <c r="E3280" i="1"/>
  <c r="D3280" i="1"/>
  <c r="F3279" i="1"/>
  <c r="E3279" i="1"/>
  <c r="D3279" i="1"/>
  <c r="F3278" i="1"/>
  <c r="E3278" i="1"/>
  <c r="D3278" i="1"/>
  <c r="F3277" i="1"/>
  <c r="E3277" i="1"/>
  <c r="D3277" i="1"/>
  <c r="F3276" i="1"/>
  <c r="E3276" i="1"/>
  <c r="D3276" i="1"/>
  <c r="F3275" i="1"/>
  <c r="E3275" i="1"/>
  <c r="D3275" i="1"/>
  <c r="F3274" i="1"/>
  <c r="E3274" i="1"/>
  <c r="D3274" i="1"/>
  <c r="F3273" i="1"/>
  <c r="E3273" i="1"/>
  <c r="D3273" i="1"/>
  <c r="F3272" i="1"/>
  <c r="E3272" i="1"/>
  <c r="D3272" i="1"/>
  <c r="F3271" i="1"/>
  <c r="E3271" i="1"/>
  <c r="D3271" i="1"/>
  <c r="F3270" i="1"/>
  <c r="E3270" i="1"/>
  <c r="D3270" i="1"/>
  <c r="F3269" i="1"/>
  <c r="E3269" i="1"/>
  <c r="D3269" i="1"/>
  <c r="F3268" i="1"/>
  <c r="E3268" i="1"/>
  <c r="D3268" i="1"/>
  <c r="F3267" i="1"/>
  <c r="E3267" i="1"/>
  <c r="D3267" i="1"/>
  <c r="F3266" i="1"/>
  <c r="E3266" i="1"/>
  <c r="D3266" i="1"/>
  <c r="F3265" i="1"/>
  <c r="E3265" i="1"/>
  <c r="D3265" i="1"/>
  <c r="F3264" i="1"/>
  <c r="E3264" i="1"/>
  <c r="D3264" i="1"/>
  <c r="F3263" i="1"/>
  <c r="E3263" i="1"/>
  <c r="D3263" i="1"/>
  <c r="F3262" i="1"/>
  <c r="E3262" i="1"/>
  <c r="D3262" i="1"/>
  <c r="F3261" i="1"/>
  <c r="E3261" i="1"/>
  <c r="D3261" i="1"/>
  <c r="F3260" i="1"/>
  <c r="E3260" i="1"/>
  <c r="D3260" i="1"/>
  <c r="F3259" i="1"/>
  <c r="E3259" i="1"/>
  <c r="D3259" i="1"/>
  <c r="F3258" i="1"/>
  <c r="E3258" i="1"/>
  <c r="D3258" i="1"/>
  <c r="F3257" i="1"/>
  <c r="E3257" i="1"/>
  <c r="D3257" i="1"/>
  <c r="F3256" i="1"/>
  <c r="E3256" i="1"/>
  <c r="D3256" i="1"/>
  <c r="F3255" i="1"/>
  <c r="E3255" i="1"/>
  <c r="D3255" i="1"/>
  <c r="F3254" i="1"/>
  <c r="E3254" i="1"/>
  <c r="D3254" i="1"/>
  <c r="F3253" i="1"/>
  <c r="E3253" i="1"/>
  <c r="D3253" i="1"/>
  <c r="F3252" i="1"/>
  <c r="E3252" i="1"/>
  <c r="D3252" i="1"/>
  <c r="F3251" i="1"/>
  <c r="E3251" i="1"/>
  <c r="D3251" i="1"/>
  <c r="F3250" i="1"/>
  <c r="E3250" i="1"/>
  <c r="D3250" i="1"/>
  <c r="F3248" i="1"/>
  <c r="E3248" i="1"/>
  <c r="D3248" i="1"/>
  <c r="F3247" i="1"/>
  <c r="E3247" i="1"/>
  <c r="D3247" i="1"/>
  <c r="F3246" i="1"/>
  <c r="E3246" i="1"/>
  <c r="D3246" i="1"/>
  <c r="F3245" i="1"/>
  <c r="E3245" i="1"/>
  <c r="D3245" i="1"/>
  <c r="F3244" i="1"/>
  <c r="E3244" i="1"/>
  <c r="D3244" i="1"/>
  <c r="F3243" i="1"/>
  <c r="E3243" i="1"/>
  <c r="D3243" i="1"/>
  <c r="F3242" i="1"/>
  <c r="E3242" i="1"/>
  <c r="D3242" i="1"/>
  <c r="F3241" i="1"/>
  <c r="E3241" i="1"/>
  <c r="D3241" i="1"/>
  <c r="F3240" i="1"/>
  <c r="E3240" i="1"/>
  <c r="D3240" i="1"/>
  <c r="F3239" i="1"/>
  <c r="E3239" i="1"/>
  <c r="D3239" i="1"/>
  <c r="F3238" i="1"/>
  <c r="E3238" i="1"/>
  <c r="D3238" i="1"/>
  <c r="F3237" i="1"/>
  <c r="E3237" i="1"/>
  <c r="D3237" i="1"/>
  <c r="F3236" i="1"/>
  <c r="E3236" i="1"/>
  <c r="D3236" i="1"/>
  <c r="F3235" i="1"/>
  <c r="E3235" i="1"/>
  <c r="D3235" i="1"/>
  <c r="F3234" i="1"/>
  <c r="E3234" i="1"/>
  <c r="D3234" i="1"/>
  <c r="F3233" i="1"/>
  <c r="E3233" i="1"/>
  <c r="D3233" i="1"/>
  <c r="F3232" i="1"/>
  <c r="E3232" i="1"/>
  <c r="D3232" i="1"/>
  <c r="F3231" i="1"/>
  <c r="E3231" i="1"/>
  <c r="D3231" i="1"/>
  <c r="F3230" i="1"/>
  <c r="E3230" i="1"/>
  <c r="D3230" i="1"/>
  <c r="F3229" i="1"/>
  <c r="E3229" i="1"/>
  <c r="D3229" i="1"/>
  <c r="F3228" i="1"/>
  <c r="E3228" i="1"/>
  <c r="D3228" i="1"/>
  <c r="F3227" i="1"/>
  <c r="E3227" i="1"/>
  <c r="D3227" i="1"/>
  <c r="F3226" i="1"/>
  <c r="E3226" i="1"/>
  <c r="D3226" i="1"/>
  <c r="F3225" i="1"/>
  <c r="E3225" i="1"/>
  <c r="D3225" i="1"/>
  <c r="F3224" i="1"/>
  <c r="E3224" i="1"/>
  <c r="D3224" i="1"/>
  <c r="F3223" i="1"/>
  <c r="E3223" i="1"/>
  <c r="D3223" i="1"/>
  <c r="F3222" i="1"/>
  <c r="E3222" i="1"/>
  <c r="D3222" i="1"/>
  <c r="F3221" i="1"/>
  <c r="E3221" i="1"/>
  <c r="D3221" i="1"/>
  <c r="F3220" i="1"/>
  <c r="E3220" i="1"/>
  <c r="D3220" i="1"/>
  <c r="F3219" i="1"/>
  <c r="E3219" i="1"/>
  <c r="D3219" i="1"/>
  <c r="F3218" i="1"/>
  <c r="E3218" i="1"/>
  <c r="D3218" i="1"/>
  <c r="F3217" i="1"/>
  <c r="E3217" i="1"/>
  <c r="D3217" i="1"/>
  <c r="F3216" i="1"/>
  <c r="E3216" i="1"/>
  <c r="D3216" i="1"/>
  <c r="F3215" i="1"/>
  <c r="E3215" i="1"/>
  <c r="D3215" i="1"/>
  <c r="F3214" i="1"/>
  <c r="E3214" i="1"/>
  <c r="D3214" i="1"/>
  <c r="F3213" i="1"/>
  <c r="E3213" i="1"/>
  <c r="D3213" i="1"/>
  <c r="F3212" i="1"/>
  <c r="E3212" i="1"/>
  <c r="D3212" i="1"/>
  <c r="F3211" i="1"/>
  <c r="E3211" i="1"/>
  <c r="D3211" i="1"/>
  <c r="F3210" i="1"/>
  <c r="E3210" i="1"/>
  <c r="D3210" i="1"/>
  <c r="F3209" i="1"/>
  <c r="E3209" i="1"/>
  <c r="D3209" i="1"/>
  <c r="F3208" i="1"/>
  <c r="E3208" i="1"/>
  <c r="D3208" i="1"/>
  <c r="F3207" i="1"/>
  <c r="E3207" i="1"/>
  <c r="D3207" i="1"/>
  <c r="F3206" i="1"/>
  <c r="E3206" i="1"/>
  <c r="D3206" i="1"/>
  <c r="F3205" i="1"/>
  <c r="E3205" i="1"/>
  <c r="D3205" i="1"/>
  <c r="F3204" i="1"/>
  <c r="E3204" i="1"/>
  <c r="D3204" i="1"/>
  <c r="F3203" i="1"/>
  <c r="E3203" i="1"/>
  <c r="D3203" i="1"/>
  <c r="F3202" i="1"/>
  <c r="E3202" i="1"/>
  <c r="D3202" i="1"/>
  <c r="F3201" i="1"/>
  <c r="E3201" i="1"/>
  <c r="D3201" i="1"/>
  <c r="F3200" i="1"/>
  <c r="E3200" i="1"/>
  <c r="D3200" i="1"/>
  <c r="F3199" i="1"/>
  <c r="E3199" i="1"/>
  <c r="D3199" i="1"/>
  <c r="F3198" i="1"/>
  <c r="E3198" i="1"/>
  <c r="D3198" i="1"/>
  <c r="F3197" i="1"/>
  <c r="E3197" i="1"/>
  <c r="D3197" i="1"/>
  <c r="F3196" i="1"/>
  <c r="E3196" i="1"/>
  <c r="D3196" i="1"/>
  <c r="F3195" i="1"/>
  <c r="E3195" i="1"/>
  <c r="D3195" i="1"/>
  <c r="F3194" i="1"/>
  <c r="E3194" i="1"/>
  <c r="D3194" i="1"/>
  <c r="F3193" i="1"/>
  <c r="E3193" i="1"/>
  <c r="D3193" i="1"/>
  <c r="F3192" i="1"/>
  <c r="E3192" i="1"/>
  <c r="D3192" i="1"/>
  <c r="F3191" i="1"/>
  <c r="E3191" i="1"/>
  <c r="D3191" i="1"/>
  <c r="F3190" i="1"/>
  <c r="E3190" i="1"/>
  <c r="D3190" i="1"/>
  <c r="F3189" i="1"/>
  <c r="E3189" i="1"/>
  <c r="D3189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E3249" i="1"/>
  <c r="F3249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F3188" i="1"/>
  <c r="E3188" i="1"/>
  <c r="D3188" i="1"/>
  <c r="F3187" i="1"/>
  <c r="E3187" i="1"/>
  <c r="D3187" i="1"/>
  <c r="F3186" i="1"/>
  <c r="E3186" i="1"/>
  <c r="D3186" i="1"/>
  <c r="F3185" i="1"/>
  <c r="E3185" i="1"/>
  <c r="D3185" i="1"/>
  <c r="F3184" i="1"/>
  <c r="E3184" i="1"/>
  <c r="D3184" i="1"/>
  <c r="F3182" i="1"/>
  <c r="E3182" i="1"/>
  <c r="D3182" i="1"/>
  <c r="F3181" i="1"/>
  <c r="E3181" i="1"/>
  <c r="D3181" i="1"/>
  <c r="F3180" i="1"/>
  <c r="E3180" i="1"/>
  <c r="D3180" i="1"/>
  <c r="F3179" i="1"/>
  <c r="E3179" i="1"/>
  <c r="D3179" i="1"/>
  <c r="F3178" i="1"/>
  <c r="E3178" i="1"/>
  <c r="D3178" i="1"/>
  <c r="F3177" i="1"/>
  <c r="E3177" i="1"/>
  <c r="D3177" i="1"/>
  <c r="F3176" i="1"/>
  <c r="E3176" i="1"/>
  <c r="D3176" i="1"/>
  <c r="F3175" i="1"/>
  <c r="E3175" i="1"/>
  <c r="D3175" i="1"/>
  <c r="F3174" i="1"/>
  <c r="E3174" i="1"/>
  <c r="D3174" i="1"/>
  <c r="F3173" i="1"/>
  <c r="E3173" i="1"/>
  <c r="D3173" i="1"/>
  <c r="F3172" i="1"/>
  <c r="E3172" i="1"/>
  <c r="D3172" i="1"/>
  <c r="F3171" i="1"/>
  <c r="E3171" i="1"/>
  <c r="D3171" i="1"/>
  <c r="F3170" i="1"/>
  <c r="E3170" i="1"/>
  <c r="D3170" i="1"/>
  <c r="F3169" i="1"/>
  <c r="E3169" i="1"/>
  <c r="D3169" i="1"/>
  <c r="F3168" i="1"/>
  <c r="E3168" i="1"/>
  <c r="D3168" i="1"/>
  <c r="F3167" i="1"/>
  <c r="E3167" i="1"/>
  <c r="D3167" i="1"/>
  <c r="F3166" i="1"/>
  <c r="E3166" i="1"/>
  <c r="D3166" i="1"/>
  <c r="F3165" i="1"/>
  <c r="E3165" i="1"/>
  <c r="D3165" i="1"/>
  <c r="F3164" i="1"/>
  <c r="E3164" i="1"/>
  <c r="D3164" i="1"/>
  <c r="F3163" i="1"/>
  <c r="E3163" i="1"/>
  <c r="D3163" i="1"/>
  <c r="F3162" i="1"/>
  <c r="E3162" i="1"/>
  <c r="D3162" i="1"/>
  <c r="F3161" i="1"/>
  <c r="E3161" i="1"/>
  <c r="D3161" i="1"/>
  <c r="F3160" i="1"/>
  <c r="E3160" i="1"/>
  <c r="D3160" i="1"/>
  <c r="F3159" i="1"/>
  <c r="E3159" i="1"/>
  <c r="D3159" i="1"/>
  <c r="F3158" i="1"/>
  <c r="E3158" i="1"/>
  <c r="D3158" i="1"/>
  <c r="F3157" i="1"/>
  <c r="E3157" i="1"/>
  <c r="D3157" i="1"/>
  <c r="F3156" i="1"/>
  <c r="E3156" i="1"/>
  <c r="D3156" i="1"/>
  <c r="F3155" i="1"/>
  <c r="E3155" i="1"/>
  <c r="D3155" i="1"/>
  <c r="F3154" i="1"/>
  <c r="E3154" i="1"/>
  <c r="D3154" i="1"/>
  <c r="F3153" i="1"/>
  <c r="E3153" i="1"/>
  <c r="D3153" i="1"/>
  <c r="F3152" i="1"/>
  <c r="E3152" i="1"/>
  <c r="D3152" i="1"/>
  <c r="F3151" i="1"/>
  <c r="E3151" i="1"/>
  <c r="D3151" i="1"/>
  <c r="F3150" i="1"/>
  <c r="E3150" i="1"/>
  <c r="D3150" i="1"/>
  <c r="F3149" i="1"/>
  <c r="E3149" i="1"/>
  <c r="D3149" i="1"/>
  <c r="F3148" i="1"/>
  <c r="E3148" i="1"/>
  <c r="D3148" i="1"/>
  <c r="F3147" i="1"/>
  <c r="E3147" i="1"/>
  <c r="D3147" i="1"/>
  <c r="F3146" i="1"/>
  <c r="E3146" i="1"/>
  <c r="D3146" i="1"/>
  <c r="F3145" i="1"/>
  <c r="E3145" i="1"/>
  <c r="D3145" i="1"/>
  <c r="F3144" i="1"/>
  <c r="E3144" i="1"/>
  <c r="D3144" i="1"/>
  <c r="F3143" i="1"/>
  <c r="E3143" i="1"/>
  <c r="D3143" i="1"/>
  <c r="F3142" i="1"/>
  <c r="E3142" i="1"/>
  <c r="D3142" i="1"/>
  <c r="F3141" i="1"/>
  <c r="E3141" i="1"/>
  <c r="D3141" i="1"/>
  <c r="F3140" i="1"/>
  <c r="E3140" i="1"/>
  <c r="D3140" i="1"/>
  <c r="F3139" i="1"/>
  <c r="E3139" i="1"/>
  <c r="D3139" i="1"/>
  <c r="F3138" i="1"/>
  <c r="E3138" i="1"/>
  <c r="D3138" i="1"/>
  <c r="F3137" i="1"/>
  <c r="E3137" i="1"/>
  <c r="D3137" i="1"/>
  <c r="F3136" i="1"/>
  <c r="E3136" i="1"/>
  <c r="D3136" i="1"/>
  <c r="F3135" i="1"/>
  <c r="E3135" i="1"/>
  <c r="D3135" i="1"/>
  <c r="F3134" i="1"/>
  <c r="E3134" i="1"/>
  <c r="D3134" i="1"/>
  <c r="F3133" i="1"/>
  <c r="E3133" i="1"/>
  <c r="D3133" i="1"/>
  <c r="F3132" i="1"/>
  <c r="E3132" i="1"/>
  <c r="D3132" i="1"/>
  <c r="F3131" i="1"/>
  <c r="E3131" i="1"/>
  <c r="D3131" i="1"/>
  <c r="F3130" i="1"/>
  <c r="E3130" i="1"/>
  <c r="D3130" i="1"/>
  <c r="F3129" i="1"/>
  <c r="E3129" i="1"/>
  <c r="D3129" i="1"/>
  <c r="F3128" i="1"/>
  <c r="E3128" i="1"/>
  <c r="D3128" i="1"/>
  <c r="F3127" i="1"/>
  <c r="E3127" i="1"/>
  <c r="D3127" i="1"/>
  <c r="F3126" i="1"/>
  <c r="E3126" i="1"/>
  <c r="D3126" i="1"/>
  <c r="F3125" i="1"/>
  <c r="E3125" i="1"/>
  <c r="D3125" i="1"/>
  <c r="F3124" i="1"/>
  <c r="E3124" i="1"/>
  <c r="D3124" i="1"/>
  <c r="F3123" i="1"/>
  <c r="E3123" i="1"/>
  <c r="D3123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E3183" i="1"/>
  <c r="F3183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F3121" i="1"/>
  <c r="E3121" i="1"/>
  <c r="D3121" i="1"/>
  <c r="F3120" i="1"/>
  <c r="E3120" i="1"/>
  <c r="D3120" i="1"/>
  <c r="F3119" i="1"/>
  <c r="E3119" i="1"/>
  <c r="D3119" i="1"/>
  <c r="F3118" i="1"/>
  <c r="E3118" i="1"/>
  <c r="D3118" i="1"/>
  <c r="F3117" i="1"/>
  <c r="E3117" i="1"/>
  <c r="D3117" i="1"/>
  <c r="F3115" i="1"/>
  <c r="E3115" i="1"/>
  <c r="D3115" i="1"/>
  <c r="F3114" i="1"/>
  <c r="E3114" i="1"/>
  <c r="D3114" i="1"/>
  <c r="F3113" i="1"/>
  <c r="E3113" i="1"/>
  <c r="D3113" i="1"/>
  <c r="F3112" i="1"/>
  <c r="E3112" i="1"/>
  <c r="D3112" i="1"/>
  <c r="F3111" i="1"/>
  <c r="E3111" i="1"/>
  <c r="D3111" i="1"/>
  <c r="F3110" i="1"/>
  <c r="E3110" i="1"/>
  <c r="D3110" i="1"/>
  <c r="F3109" i="1"/>
  <c r="E3109" i="1"/>
  <c r="D3109" i="1"/>
  <c r="F3108" i="1"/>
  <c r="E3108" i="1"/>
  <c r="D3108" i="1"/>
  <c r="F3107" i="1"/>
  <c r="E3107" i="1"/>
  <c r="D3107" i="1"/>
  <c r="F3106" i="1"/>
  <c r="E3106" i="1"/>
  <c r="D3106" i="1"/>
  <c r="F3105" i="1"/>
  <c r="E3105" i="1"/>
  <c r="D3105" i="1"/>
  <c r="F3104" i="1"/>
  <c r="E3104" i="1"/>
  <c r="D3104" i="1"/>
  <c r="F3103" i="1"/>
  <c r="E3103" i="1"/>
  <c r="D3103" i="1"/>
  <c r="F3102" i="1"/>
  <c r="E3102" i="1"/>
  <c r="D3102" i="1"/>
  <c r="F3101" i="1"/>
  <c r="E3101" i="1"/>
  <c r="D3101" i="1"/>
  <c r="F3100" i="1"/>
  <c r="E3100" i="1"/>
  <c r="D3100" i="1"/>
  <c r="F3099" i="1"/>
  <c r="E3099" i="1"/>
  <c r="D3099" i="1"/>
  <c r="F3098" i="1"/>
  <c r="E3098" i="1"/>
  <c r="D3098" i="1"/>
  <c r="F3097" i="1"/>
  <c r="E3097" i="1"/>
  <c r="D3097" i="1"/>
  <c r="F3096" i="1"/>
  <c r="E3096" i="1"/>
  <c r="D3096" i="1"/>
  <c r="F3095" i="1"/>
  <c r="E3095" i="1"/>
  <c r="D3095" i="1"/>
  <c r="F3094" i="1"/>
  <c r="E3094" i="1"/>
  <c r="D3094" i="1"/>
  <c r="F3093" i="1"/>
  <c r="E3093" i="1"/>
  <c r="D3093" i="1"/>
  <c r="F3092" i="1"/>
  <c r="E3092" i="1"/>
  <c r="D3092" i="1"/>
  <c r="F3091" i="1"/>
  <c r="E3091" i="1"/>
  <c r="D3091" i="1"/>
  <c r="F3090" i="1"/>
  <c r="E3090" i="1"/>
  <c r="D3090" i="1"/>
  <c r="F3089" i="1"/>
  <c r="E3089" i="1"/>
  <c r="D3089" i="1"/>
  <c r="F3088" i="1"/>
  <c r="E3088" i="1"/>
  <c r="D3088" i="1"/>
  <c r="F3087" i="1"/>
  <c r="E3087" i="1"/>
  <c r="D3087" i="1"/>
  <c r="F3086" i="1"/>
  <c r="E3086" i="1"/>
  <c r="D3086" i="1"/>
  <c r="F3085" i="1"/>
  <c r="E3085" i="1"/>
  <c r="D3085" i="1"/>
  <c r="F3084" i="1"/>
  <c r="E3084" i="1"/>
  <c r="D3084" i="1"/>
  <c r="F3083" i="1"/>
  <c r="E3083" i="1"/>
  <c r="D3083" i="1"/>
  <c r="F3082" i="1"/>
  <c r="E3082" i="1"/>
  <c r="D3082" i="1"/>
  <c r="F3081" i="1"/>
  <c r="E3081" i="1"/>
  <c r="D3081" i="1"/>
  <c r="F3080" i="1"/>
  <c r="E3080" i="1"/>
  <c r="D3080" i="1"/>
  <c r="F3078" i="1"/>
  <c r="E3078" i="1"/>
  <c r="D3078" i="1"/>
  <c r="F3077" i="1"/>
  <c r="E3077" i="1"/>
  <c r="D3077" i="1"/>
  <c r="F3076" i="1"/>
  <c r="E3076" i="1"/>
  <c r="D3076" i="1"/>
  <c r="F3075" i="1"/>
  <c r="E3075" i="1"/>
  <c r="D3075" i="1"/>
  <c r="F3074" i="1"/>
  <c r="E3074" i="1"/>
  <c r="D3074" i="1"/>
  <c r="F3073" i="1"/>
  <c r="E3073" i="1"/>
  <c r="D3073" i="1"/>
  <c r="F3072" i="1"/>
  <c r="E3072" i="1"/>
  <c r="D3072" i="1"/>
  <c r="F3071" i="1"/>
  <c r="E3071" i="1"/>
  <c r="D3071" i="1"/>
  <c r="F3070" i="1"/>
  <c r="E3070" i="1"/>
  <c r="D3070" i="1"/>
  <c r="F3069" i="1"/>
  <c r="E3069" i="1"/>
  <c r="D3069" i="1"/>
  <c r="F3068" i="1"/>
  <c r="E3068" i="1"/>
  <c r="D3068" i="1"/>
  <c r="F3067" i="1"/>
  <c r="E3067" i="1"/>
  <c r="D3067" i="1"/>
  <c r="F3066" i="1"/>
  <c r="E3066" i="1"/>
  <c r="D3066" i="1"/>
  <c r="F3065" i="1"/>
  <c r="E3065" i="1"/>
  <c r="D3065" i="1"/>
  <c r="F3064" i="1"/>
  <c r="E3064" i="1"/>
  <c r="D3064" i="1"/>
  <c r="F3063" i="1"/>
  <c r="E3063" i="1"/>
  <c r="D3063" i="1"/>
  <c r="F3062" i="1"/>
  <c r="E3062" i="1"/>
  <c r="D3062" i="1"/>
  <c r="F3061" i="1"/>
  <c r="E3061" i="1"/>
  <c r="D3061" i="1"/>
  <c r="F3060" i="1"/>
  <c r="E3060" i="1"/>
  <c r="D3060" i="1"/>
  <c r="F3059" i="1"/>
  <c r="E3059" i="1"/>
  <c r="D3059" i="1"/>
  <c r="F3058" i="1"/>
  <c r="E3058" i="1"/>
  <c r="D3058" i="1"/>
  <c r="F3057" i="1"/>
  <c r="E3057" i="1"/>
  <c r="D3057" i="1"/>
  <c r="F3056" i="1"/>
  <c r="E3056" i="1"/>
  <c r="D3056" i="1"/>
  <c r="F3055" i="1"/>
  <c r="E3055" i="1"/>
  <c r="D3055" i="1"/>
  <c r="F3054" i="1"/>
  <c r="E3054" i="1"/>
  <c r="D3054" i="1"/>
  <c r="F3053" i="1"/>
  <c r="E3053" i="1"/>
  <c r="D3053" i="1"/>
  <c r="F3052" i="1"/>
  <c r="E3052" i="1"/>
  <c r="D3052" i="1"/>
  <c r="F3051" i="1"/>
  <c r="E3051" i="1"/>
  <c r="D3051" i="1"/>
  <c r="F3050" i="1"/>
  <c r="E3050" i="1"/>
  <c r="D3050" i="1"/>
  <c r="F3049" i="1"/>
  <c r="E3049" i="1"/>
  <c r="D3049" i="1"/>
  <c r="F3048" i="1"/>
  <c r="E3048" i="1"/>
  <c r="D3048" i="1"/>
  <c r="F3047" i="1"/>
  <c r="E3047" i="1"/>
  <c r="D3047" i="1"/>
  <c r="F3046" i="1"/>
  <c r="E3046" i="1"/>
  <c r="D3046" i="1"/>
  <c r="F3045" i="1"/>
  <c r="E3045" i="1"/>
  <c r="D3045" i="1"/>
  <c r="F3044" i="1"/>
  <c r="E3044" i="1"/>
  <c r="D3044" i="1"/>
  <c r="F3043" i="1"/>
  <c r="E3043" i="1"/>
  <c r="D3043" i="1"/>
  <c r="F3042" i="1"/>
  <c r="E3042" i="1"/>
  <c r="D3042" i="1"/>
  <c r="F3041" i="1"/>
  <c r="E3041" i="1"/>
  <c r="D3041" i="1"/>
  <c r="F3040" i="1"/>
  <c r="E3040" i="1"/>
  <c r="D3040" i="1"/>
  <c r="F3039" i="1"/>
  <c r="E3039" i="1"/>
  <c r="D3039" i="1"/>
  <c r="F3038" i="1"/>
  <c r="E3038" i="1"/>
  <c r="D3038" i="1"/>
  <c r="F3037" i="1"/>
  <c r="E3037" i="1"/>
  <c r="D3037" i="1"/>
  <c r="F3036" i="1"/>
  <c r="E3036" i="1"/>
  <c r="D3036" i="1"/>
  <c r="F3035" i="1"/>
  <c r="E3035" i="1"/>
  <c r="D3035" i="1"/>
  <c r="F3034" i="1"/>
  <c r="E3034" i="1"/>
  <c r="D3034" i="1"/>
  <c r="F3033" i="1"/>
  <c r="E3033" i="1"/>
  <c r="D3033" i="1"/>
  <c r="F3032" i="1"/>
  <c r="E3032" i="1"/>
  <c r="D3032" i="1"/>
  <c r="F3031" i="1"/>
  <c r="E3031" i="1"/>
  <c r="D3031" i="1"/>
  <c r="F3030" i="1"/>
  <c r="E3030" i="1"/>
  <c r="D3030" i="1"/>
  <c r="F3029" i="1"/>
  <c r="E3029" i="1"/>
  <c r="D3029" i="1"/>
  <c r="F3028" i="1"/>
  <c r="E3028" i="1"/>
  <c r="D3028" i="1"/>
  <c r="F3027" i="1"/>
  <c r="E3027" i="1"/>
  <c r="D3027" i="1"/>
  <c r="F3026" i="1"/>
  <c r="E3026" i="1"/>
  <c r="D3026" i="1"/>
  <c r="F3025" i="1"/>
  <c r="E3025" i="1"/>
  <c r="D3025" i="1"/>
  <c r="F3024" i="1"/>
  <c r="E3024" i="1"/>
  <c r="D3024" i="1"/>
  <c r="F3023" i="1"/>
  <c r="E3023" i="1"/>
  <c r="D3023" i="1"/>
  <c r="F3022" i="1"/>
  <c r="E3022" i="1"/>
  <c r="D3022" i="1"/>
  <c r="F3021" i="1"/>
  <c r="E3021" i="1"/>
  <c r="D3021" i="1"/>
  <c r="F3020" i="1"/>
  <c r="E3020" i="1"/>
  <c r="D3020" i="1"/>
  <c r="F3019" i="1"/>
  <c r="E3019" i="1"/>
  <c r="D3019" i="1"/>
  <c r="F3018" i="1"/>
  <c r="E3018" i="1"/>
  <c r="D3018" i="1"/>
  <c r="F3017" i="1"/>
  <c r="E3017" i="1"/>
  <c r="D3017" i="1"/>
  <c r="F3016" i="1"/>
  <c r="E3016" i="1"/>
  <c r="D3016" i="1"/>
  <c r="F3015" i="1"/>
  <c r="E3015" i="1"/>
  <c r="D3015" i="1"/>
  <c r="F3014" i="1"/>
  <c r="E3014" i="1"/>
  <c r="D3014" i="1"/>
  <c r="F3013" i="1"/>
  <c r="E3013" i="1"/>
  <c r="D3013" i="1"/>
  <c r="F3012" i="1"/>
  <c r="E3012" i="1"/>
  <c r="D3012" i="1"/>
  <c r="F3011" i="1"/>
  <c r="E3011" i="1"/>
  <c r="D3011" i="1"/>
  <c r="F3010" i="1"/>
  <c r="E3010" i="1"/>
  <c r="D3010" i="1"/>
  <c r="F3009" i="1"/>
  <c r="E3009" i="1"/>
  <c r="D3009" i="1"/>
  <c r="F3008" i="1"/>
  <c r="E3008" i="1"/>
  <c r="D3008" i="1"/>
  <c r="F3007" i="1"/>
  <c r="E3007" i="1"/>
  <c r="D3007" i="1"/>
  <c r="F3006" i="1"/>
  <c r="E3006" i="1"/>
  <c r="D3006" i="1"/>
  <c r="F3005" i="1"/>
  <c r="E3005" i="1"/>
  <c r="D3005" i="1"/>
  <c r="F3004" i="1"/>
  <c r="E3004" i="1"/>
  <c r="D3004" i="1"/>
  <c r="F3003" i="1"/>
  <c r="E3003" i="1"/>
  <c r="D3003" i="1"/>
  <c r="F3002" i="1"/>
  <c r="E3002" i="1"/>
  <c r="D3002" i="1"/>
  <c r="F3001" i="1"/>
  <c r="E3001" i="1"/>
  <c r="D3001" i="1"/>
  <c r="F3000" i="1"/>
  <c r="E3000" i="1"/>
  <c r="D3000" i="1"/>
  <c r="F2999" i="1"/>
  <c r="E2999" i="1"/>
  <c r="D2999" i="1"/>
  <c r="F2998" i="1"/>
  <c r="E2998" i="1"/>
  <c r="D2998" i="1"/>
  <c r="F2993" i="1"/>
  <c r="E2993" i="1"/>
  <c r="D2993" i="1"/>
  <c r="F2992" i="1"/>
  <c r="E2992" i="1"/>
  <c r="D2992" i="1"/>
  <c r="F2991" i="1"/>
  <c r="E2991" i="1"/>
  <c r="D2991" i="1"/>
  <c r="F2990" i="1"/>
  <c r="E2990" i="1"/>
  <c r="D2990" i="1"/>
  <c r="B2990" i="1"/>
  <c r="K2990" i="1"/>
  <c r="M2990" i="1"/>
  <c r="N2990" i="1"/>
  <c r="B2991" i="1"/>
  <c r="K2991" i="1"/>
  <c r="M2991" i="1"/>
  <c r="N2991" i="1"/>
  <c r="B2992" i="1"/>
  <c r="K2992" i="1"/>
  <c r="M2992" i="1"/>
  <c r="N2992" i="1"/>
  <c r="B2993" i="1"/>
  <c r="K2993" i="1"/>
  <c r="M2993" i="1"/>
  <c r="N2993" i="1"/>
  <c r="B2994" i="1"/>
  <c r="D2994" i="1"/>
  <c r="E2994" i="1"/>
  <c r="F2994" i="1"/>
  <c r="K2994" i="1"/>
  <c r="M2994" i="1"/>
  <c r="N2994" i="1"/>
  <c r="B2995" i="1"/>
  <c r="E2995" i="1"/>
  <c r="F2995" i="1"/>
  <c r="K2995" i="1"/>
  <c r="M2995" i="1"/>
  <c r="N2995" i="1"/>
  <c r="B2996" i="1"/>
  <c r="D2996" i="1"/>
  <c r="E2996" i="1"/>
  <c r="F2996" i="1"/>
  <c r="K2996" i="1"/>
  <c r="M2996" i="1"/>
  <c r="N2996" i="1"/>
  <c r="B2997" i="1"/>
  <c r="D2997" i="1"/>
  <c r="E2997" i="1"/>
  <c r="F2997" i="1"/>
  <c r="K2997" i="1"/>
  <c r="M2997" i="1"/>
  <c r="N2997" i="1"/>
  <c r="B2998" i="1"/>
  <c r="K2998" i="1"/>
  <c r="M2998" i="1"/>
  <c r="N2998" i="1"/>
  <c r="B2999" i="1"/>
  <c r="K2999" i="1"/>
  <c r="M2999" i="1"/>
  <c r="N2999" i="1"/>
  <c r="B3000" i="1"/>
  <c r="K3000" i="1"/>
  <c r="M3000" i="1"/>
  <c r="N3000" i="1"/>
  <c r="B3001" i="1"/>
  <c r="K3001" i="1"/>
  <c r="M3001" i="1"/>
  <c r="N3001" i="1"/>
  <c r="B3002" i="1"/>
  <c r="K3002" i="1"/>
  <c r="M3002" i="1"/>
  <c r="N3002" i="1"/>
  <c r="B3003" i="1"/>
  <c r="K3003" i="1"/>
  <c r="M3003" i="1"/>
  <c r="N3003" i="1"/>
  <c r="B3004" i="1"/>
  <c r="K3004" i="1"/>
  <c r="M3004" i="1"/>
  <c r="N3004" i="1"/>
  <c r="B3005" i="1"/>
  <c r="K3005" i="1"/>
  <c r="M3005" i="1"/>
  <c r="N3005" i="1"/>
  <c r="B3006" i="1"/>
  <c r="K3006" i="1"/>
  <c r="M3006" i="1"/>
  <c r="N3006" i="1"/>
  <c r="B3007" i="1"/>
  <c r="K3007" i="1"/>
  <c r="M3007" i="1"/>
  <c r="N3007" i="1"/>
  <c r="B3008" i="1"/>
  <c r="K3008" i="1"/>
  <c r="M3008" i="1"/>
  <c r="N3008" i="1"/>
  <c r="B3009" i="1"/>
  <c r="K3009" i="1"/>
  <c r="M3009" i="1"/>
  <c r="N3009" i="1"/>
  <c r="B3010" i="1"/>
  <c r="K3010" i="1"/>
  <c r="M3010" i="1"/>
  <c r="N3010" i="1"/>
  <c r="B3011" i="1"/>
  <c r="K3011" i="1"/>
  <c r="M3011" i="1"/>
  <c r="N3011" i="1"/>
  <c r="B3012" i="1"/>
  <c r="K3012" i="1"/>
  <c r="M3012" i="1"/>
  <c r="N3012" i="1"/>
  <c r="B3013" i="1"/>
  <c r="K3013" i="1"/>
  <c r="M3013" i="1"/>
  <c r="N3013" i="1"/>
  <c r="B3014" i="1"/>
  <c r="K3014" i="1"/>
  <c r="M3014" i="1"/>
  <c r="N3014" i="1"/>
  <c r="B3015" i="1"/>
  <c r="K3015" i="1"/>
  <c r="M3015" i="1"/>
  <c r="N3015" i="1"/>
  <c r="B3016" i="1"/>
  <c r="K3016" i="1"/>
  <c r="M3016" i="1"/>
  <c r="N3016" i="1"/>
  <c r="B3017" i="1"/>
  <c r="K3017" i="1"/>
  <c r="M3017" i="1"/>
  <c r="N3017" i="1"/>
  <c r="B3018" i="1"/>
  <c r="K3018" i="1"/>
  <c r="M3018" i="1"/>
  <c r="N3018" i="1"/>
  <c r="B3019" i="1"/>
  <c r="K3019" i="1"/>
  <c r="M3019" i="1"/>
  <c r="N3019" i="1"/>
  <c r="B3020" i="1"/>
  <c r="K3020" i="1"/>
  <c r="M3020" i="1"/>
  <c r="N3020" i="1"/>
  <c r="B3021" i="1"/>
  <c r="K3021" i="1"/>
  <c r="M3021" i="1"/>
  <c r="N3021" i="1"/>
  <c r="B3022" i="1"/>
  <c r="K3022" i="1"/>
  <c r="M3022" i="1"/>
  <c r="N3022" i="1"/>
  <c r="B3023" i="1"/>
  <c r="K3023" i="1"/>
  <c r="M3023" i="1"/>
  <c r="N3023" i="1"/>
  <c r="B3024" i="1"/>
  <c r="K3024" i="1"/>
  <c r="M3024" i="1"/>
  <c r="N3024" i="1"/>
  <c r="B3025" i="1"/>
  <c r="K3025" i="1"/>
  <c r="M3025" i="1"/>
  <c r="N3025" i="1"/>
  <c r="B3026" i="1"/>
  <c r="K3026" i="1"/>
  <c r="M3026" i="1"/>
  <c r="N3026" i="1"/>
  <c r="B3027" i="1"/>
  <c r="K3027" i="1"/>
  <c r="M3027" i="1"/>
  <c r="N3027" i="1"/>
  <c r="B3028" i="1"/>
  <c r="K3028" i="1"/>
  <c r="M3028" i="1"/>
  <c r="N3028" i="1"/>
  <c r="B3029" i="1"/>
  <c r="K3029" i="1"/>
  <c r="M3029" i="1"/>
  <c r="N3029" i="1"/>
  <c r="B3030" i="1"/>
  <c r="K3030" i="1"/>
  <c r="M3030" i="1"/>
  <c r="N3030" i="1"/>
  <c r="B3031" i="1"/>
  <c r="K3031" i="1"/>
  <c r="M3031" i="1"/>
  <c r="N3031" i="1"/>
  <c r="B3032" i="1"/>
  <c r="K3032" i="1"/>
  <c r="M3032" i="1"/>
  <c r="N3032" i="1"/>
  <c r="B3033" i="1"/>
  <c r="K3033" i="1"/>
  <c r="M3033" i="1"/>
  <c r="N3033" i="1"/>
  <c r="B3034" i="1"/>
  <c r="K3034" i="1"/>
  <c r="M3034" i="1"/>
  <c r="N3034" i="1"/>
  <c r="B3035" i="1"/>
  <c r="K3035" i="1"/>
  <c r="M3035" i="1"/>
  <c r="N3035" i="1"/>
  <c r="B3036" i="1"/>
  <c r="K3036" i="1"/>
  <c r="M3036" i="1"/>
  <c r="N3036" i="1"/>
  <c r="B3037" i="1"/>
  <c r="K3037" i="1"/>
  <c r="M3037" i="1"/>
  <c r="N3037" i="1"/>
  <c r="B3038" i="1"/>
  <c r="K3038" i="1"/>
  <c r="M3038" i="1"/>
  <c r="N3038" i="1"/>
  <c r="B3039" i="1"/>
  <c r="K3039" i="1"/>
  <c r="M3039" i="1"/>
  <c r="N3039" i="1"/>
  <c r="B3040" i="1"/>
  <c r="K3040" i="1"/>
  <c r="M3040" i="1"/>
  <c r="N3040" i="1"/>
  <c r="B3041" i="1"/>
  <c r="K3041" i="1"/>
  <c r="M3041" i="1"/>
  <c r="N3041" i="1"/>
  <c r="B3042" i="1"/>
  <c r="K3042" i="1"/>
  <c r="M3042" i="1"/>
  <c r="N3042" i="1"/>
  <c r="B3043" i="1"/>
  <c r="K3043" i="1"/>
  <c r="M3043" i="1"/>
  <c r="N3043" i="1"/>
  <c r="B3044" i="1"/>
  <c r="K3044" i="1"/>
  <c r="M3044" i="1"/>
  <c r="N3044" i="1"/>
  <c r="B3045" i="1"/>
  <c r="K3045" i="1"/>
  <c r="M3045" i="1"/>
  <c r="N3045" i="1"/>
  <c r="B3046" i="1"/>
  <c r="K3046" i="1"/>
  <c r="M3046" i="1"/>
  <c r="N3046" i="1"/>
  <c r="B3047" i="1"/>
  <c r="K3047" i="1"/>
  <c r="M3047" i="1"/>
  <c r="N3047" i="1"/>
  <c r="B3048" i="1"/>
  <c r="K3048" i="1"/>
  <c r="M3048" i="1"/>
  <c r="N3048" i="1"/>
  <c r="B3049" i="1"/>
  <c r="K3049" i="1"/>
  <c r="M3049" i="1"/>
  <c r="N3049" i="1"/>
  <c r="B3050" i="1"/>
  <c r="K3050" i="1"/>
  <c r="M3050" i="1"/>
  <c r="N3050" i="1"/>
  <c r="B3051" i="1"/>
  <c r="K3051" i="1"/>
  <c r="M3051" i="1"/>
  <c r="N3051" i="1"/>
  <c r="B3052" i="1"/>
  <c r="K3052" i="1"/>
  <c r="M3052" i="1"/>
  <c r="N3052" i="1"/>
  <c r="B3053" i="1"/>
  <c r="K3053" i="1"/>
  <c r="M3053" i="1"/>
  <c r="N3053" i="1"/>
  <c r="B3054" i="1"/>
  <c r="K3054" i="1"/>
  <c r="M3054" i="1"/>
  <c r="N3054" i="1"/>
  <c r="B3055" i="1"/>
  <c r="K3055" i="1"/>
  <c r="M3055" i="1"/>
  <c r="N3055" i="1"/>
  <c r="B3056" i="1"/>
  <c r="K3056" i="1"/>
  <c r="M3056" i="1"/>
  <c r="N3056" i="1"/>
  <c r="B3057" i="1"/>
  <c r="K3057" i="1"/>
  <c r="M3057" i="1"/>
  <c r="N3057" i="1"/>
  <c r="B3058" i="1"/>
  <c r="K3058" i="1"/>
  <c r="M3058" i="1"/>
  <c r="N3058" i="1"/>
  <c r="B3059" i="1"/>
  <c r="K3059" i="1"/>
  <c r="M3059" i="1"/>
  <c r="N3059" i="1"/>
  <c r="B3060" i="1"/>
  <c r="K3060" i="1"/>
  <c r="M3060" i="1"/>
  <c r="N3060" i="1"/>
  <c r="B3061" i="1"/>
  <c r="K3061" i="1"/>
  <c r="M3061" i="1"/>
  <c r="N3061" i="1"/>
  <c r="B3062" i="1"/>
  <c r="K3062" i="1"/>
  <c r="M3062" i="1"/>
  <c r="N3062" i="1"/>
  <c r="B3063" i="1"/>
  <c r="K3063" i="1"/>
  <c r="M3063" i="1"/>
  <c r="N3063" i="1"/>
  <c r="B3064" i="1"/>
  <c r="K3064" i="1"/>
  <c r="M3064" i="1"/>
  <c r="N3064" i="1"/>
  <c r="B3065" i="1"/>
  <c r="K3065" i="1"/>
  <c r="M3065" i="1"/>
  <c r="N3065" i="1"/>
  <c r="B3066" i="1"/>
  <c r="K3066" i="1"/>
  <c r="M3066" i="1"/>
  <c r="N3066" i="1"/>
  <c r="B3067" i="1"/>
  <c r="K3067" i="1"/>
  <c r="M3067" i="1"/>
  <c r="N3067" i="1"/>
  <c r="B3068" i="1"/>
  <c r="K3068" i="1"/>
  <c r="M3068" i="1"/>
  <c r="N3068" i="1"/>
  <c r="B3069" i="1"/>
  <c r="K3069" i="1"/>
  <c r="M3069" i="1"/>
  <c r="N3069" i="1"/>
  <c r="B3070" i="1"/>
  <c r="K3070" i="1"/>
  <c r="M3070" i="1"/>
  <c r="N3070" i="1"/>
  <c r="B3071" i="1"/>
  <c r="K3071" i="1"/>
  <c r="M3071" i="1"/>
  <c r="N3071" i="1"/>
  <c r="B3072" i="1"/>
  <c r="K3072" i="1"/>
  <c r="M3072" i="1"/>
  <c r="N3072" i="1"/>
  <c r="B3073" i="1"/>
  <c r="K3073" i="1"/>
  <c r="M3073" i="1"/>
  <c r="N3073" i="1"/>
  <c r="B3074" i="1"/>
  <c r="K3074" i="1"/>
  <c r="M3074" i="1"/>
  <c r="N3074" i="1"/>
  <c r="B3075" i="1"/>
  <c r="K3075" i="1"/>
  <c r="M3075" i="1"/>
  <c r="N3075" i="1"/>
  <c r="B3076" i="1"/>
  <c r="K3076" i="1"/>
  <c r="M3076" i="1"/>
  <c r="N3076" i="1"/>
  <c r="B3077" i="1"/>
  <c r="K3077" i="1"/>
  <c r="M3077" i="1"/>
  <c r="N3077" i="1"/>
  <c r="B3078" i="1"/>
  <c r="K3078" i="1"/>
  <c r="M3078" i="1"/>
  <c r="N3078" i="1"/>
  <c r="B3079" i="1"/>
  <c r="D3079" i="1"/>
  <c r="E3079" i="1"/>
  <c r="F3079" i="1"/>
  <c r="K3079" i="1"/>
  <c r="M3079" i="1"/>
  <c r="N3079" i="1"/>
  <c r="B3080" i="1"/>
  <c r="K3080" i="1"/>
  <c r="M3080" i="1"/>
  <c r="N3080" i="1"/>
  <c r="B3081" i="1"/>
  <c r="K3081" i="1"/>
  <c r="M3081" i="1"/>
  <c r="N3081" i="1"/>
  <c r="B3082" i="1"/>
  <c r="K3082" i="1"/>
  <c r="M3082" i="1"/>
  <c r="N3082" i="1"/>
  <c r="B3083" i="1"/>
  <c r="K3083" i="1"/>
  <c r="M3083" i="1"/>
  <c r="N3083" i="1"/>
  <c r="B3084" i="1"/>
  <c r="K3084" i="1"/>
  <c r="M3084" i="1"/>
  <c r="N3084" i="1"/>
  <c r="B3085" i="1"/>
  <c r="K3085" i="1"/>
  <c r="M3085" i="1"/>
  <c r="N3085" i="1"/>
  <c r="B3086" i="1"/>
  <c r="K3086" i="1"/>
  <c r="M3086" i="1"/>
  <c r="N3086" i="1"/>
  <c r="B3087" i="1"/>
  <c r="K3087" i="1"/>
  <c r="M3087" i="1"/>
  <c r="N3087" i="1"/>
  <c r="B3088" i="1"/>
  <c r="K3088" i="1"/>
  <c r="M3088" i="1"/>
  <c r="N3088" i="1"/>
  <c r="B3089" i="1"/>
  <c r="K3089" i="1"/>
  <c r="M3089" i="1"/>
  <c r="N3089" i="1"/>
  <c r="B3090" i="1"/>
  <c r="K3090" i="1"/>
  <c r="M3090" i="1"/>
  <c r="N3090" i="1"/>
  <c r="B3091" i="1"/>
  <c r="K3091" i="1"/>
  <c r="M3091" i="1"/>
  <c r="N3091" i="1"/>
  <c r="B3092" i="1"/>
  <c r="K3092" i="1"/>
  <c r="M3092" i="1"/>
  <c r="N3092" i="1"/>
  <c r="B3093" i="1"/>
  <c r="K3093" i="1"/>
  <c r="M3093" i="1"/>
  <c r="N3093" i="1"/>
  <c r="B3094" i="1"/>
  <c r="K3094" i="1"/>
  <c r="M3094" i="1"/>
  <c r="N3094" i="1"/>
  <c r="B3095" i="1"/>
  <c r="K3095" i="1"/>
  <c r="M3095" i="1"/>
  <c r="N3095" i="1"/>
  <c r="B3096" i="1"/>
  <c r="K3096" i="1"/>
  <c r="M3096" i="1"/>
  <c r="N3096" i="1"/>
  <c r="B3097" i="1"/>
  <c r="K3097" i="1"/>
  <c r="M3097" i="1"/>
  <c r="N3097" i="1"/>
  <c r="B3098" i="1"/>
  <c r="K3098" i="1"/>
  <c r="M3098" i="1"/>
  <c r="N3098" i="1"/>
  <c r="B3099" i="1"/>
  <c r="K3099" i="1"/>
  <c r="M3099" i="1"/>
  <c r="N3099" i="1"/>
  <c r="B3100" i="1"/>
  <c r="K3100" i="1"/>
  <c r="M3100" i="1"/>
  <c r="N3100" i="1"/>
  <c r="B3101" i="1"/>
  <c r="K3101" i="1"/>
  <c r="M3101" i="1"/>
  <c r="N3101" i="1"/>
  <c r="B3102" i="1"/>
  <c r="K3102" i="1"/>
  <c r="M3102" i="1"/>
  <c r="N3102" i="1"/>
  <c r="B3103" i="1"/>
  <c r="K3103" i="1"/>
  <c r="M3103" i="1"/>
  <c r="N3103" i="1"/>
  <c r="B3104" i="1"/>
  <c r="K3104" i="1"/>
  <c r="M3104" i="1"/>
  <c r="N3104" i="1"/>
  <c r="B3105" i="1"/>
  <c r="K3105" i="1"/>
  <c r="M3105" i="1"/>
  <c r="N3105" i="1"/>
  <c r="B3106" i="1"/>
  <c r="K3106" i="1"/>
  <c r="M3106" i="1"/>
  <c r="N3106" i="1"/>
  <c r="B3107" i="1"/>
  <c r="K3107" i="1"/>
  <c r="M3107" i="1"/>
  <c r="N3107" i="1"/>
  <c r="B3108" i="1"/>
  <c r="K3108" i="1"/>
  <c r="M3108" i="1"/>
  <c r="N3108" i="1"/>
  <c r="B3109" i="1"/>
  <c r="K3109" i="1"/>
  <c r="M3109" i="1"/>
  <c r="N3109" i="1"/>
  <c r="B3110" i="1"/>
  <c r="K3110" i="1"/>
  <c r="M3110" i="1"/>
  <c r="N3110" i="1"/>
  <c r="B3111" i="1"/>
  <c r="K3111" i="1"/>
  <c r="M3111" i="1"/>
  <c r="N3111" i="1"/>
  <c r="B3112" i="1"/>
  <c r="K3112" i="1"/>
  <c r="M3112" i="1"/>
  <c r="N3112" i="1"/>
  <c r="B3113" i="1"/>
  <c r="K3113" i="1"/>
  <c r="M3113" i="1"/>
  <c r="N3113" i="1"/>
  <c r="B3114" i="1"/>
  <c r="K3114" i="1"/>
  <c r="M3114" i="1"/>
  <c r="N3114" i="1"/>
  <c r="B3115" i="1"/>
  <c r="K3115" i="1"/>
  <c r="M3115" i="1"/>
  <c r="N3115" i="1"/>
  <c r="B3116" i="1"/>
  <c r="E3116" i="1"/>
  <c r="F3116" i="1"/>
  <c r="K3116" i="1"/>
  <c r="M3116" i="1"/>
  <c r="N3116" i="1"/>
  <c r="B3117" i="1"/>
  <c r="K3117" i="1"/>
  <c r="M3117" i="1"/>
  <c r="N3117" i="1"/>
  <c r="B3118" i="1"/>
  <c r="K3118" i="1"/>
  <c r="M3118" i="1"/>
  <c r="N3118" i="1"/>
  <c r="B3119" i="1"/>
  <c r="K3119" i="1"/>
  <c r="M3119" i="1"/>
  <c r="N3119" i="1"/>
  <c r="B3120" i="1"/>
  <c r="K3120" i="1"/>
  <c r="M3120" i="1"/>
  <c r="N3120" i="1"/>
  <c r="B3121" i="1"/>
  <c r="K3121" i="1"/>
  <c r="M3121" i="1"/>
  <c r="N3121" i="1"/>
  <c r="B3122" i="1"/>
  <c r="D3122" i="1"/>
  <c r="E3122" i="1"/>
  <c r="F3122" i="1"/>
  <c r="K3122" i="1"/>
  <c r="M3122" i="1"/>
  <c r="N3122" i="1"/>
  <c r="B3123" i="1"/>
  <c r="K3123" i="1"/>
  <c r="M3123" i="1"/>
  <c r="N3123" i="1"/>
  <c r="B3124" i="1"/>
  <c r="K3124" i="1"/>
  <c r="M3124" i="1"/>
  <c r="N3124" i="1"/>
  <c r="N2918" i="1"/>
  <c r="M2918" i="1"/>
  <c r="K2918" i="1"/>
  <c r="F2918" i="1"/>
  <c r="E2918" i="1"/>
  <c r="D2918" i="1"/>
  <c r="B2918" i="1"/>
  <c r="N2917" i="1"/>
  <c r="M2917" i="1"/>
  <c r="K2917" i="1"/>
  <c r="F2917" i="1"/>
  <c r="E2917" i="1"/>
  <c r="D2917" i="1"/>
  <c r="B2917" i="1"/>
  <c r="N2916" i="1"/>
  <c r="M2916" i="1"/>
  <c r="K2916" i="1"/>
  <c r="F2916" i="1"/>
  <c r="E2916" i="1"/>
  <c r="D2916" i="1"/>
  <c r="B2916" i="1"/>
  <c r="F2988" i="1"/>
  <c r="E2988" i="1"/>
  <c r="D2988" i="1"/>
  <c r="F2987" i="1"/>
  <c r="E2987" i="1"/>
  <c r="D2987" i="1"/>
  <c r="F2986" i="1"/>
  <c r="E2986" i="1"/>
  <c r="D2986" i="1"/>
  <c r="F2985" i="1"/>
  <c r="E2985" i="1"/>
  <c r="D2985" i="1"/>
  <c r="F2982" i="1"/>
  <c r="E2982" i="1"/>
  <c r="D2982" i="1"/>
  <c r="F2981" i="1"/>
  <c r="E2981" i="1"/>
  <c r="D2981" i="1"/>
  <c r="F2980" i="1"/>
  <c r="E2980" i="1"/>
  <c r="D2980" i="1"/>
  <c r="F2979" i="1"/>
  <c r="E2979" i="1"/>
  <c r="D2979" i="1"/>
  <c r="F2978" i="1"/>
  <c r="E2978" i="1"/>
  <c r="D2978" i="1"/>
  <c r="F2977" i="1"/>
  <c r="E2977" i="1"/>
  <c r="D2977" i="1"/>
  <c r="F2976" i="1"/>
  <c r="E2976" i="1"/>
  <c r="D2976" i="1"/>
  <c r="F2975" i="1"/>
  <c r="E2975" i="1"/>
  <c r="D2975" i="1"/>
  <c r="F2973" i="1"/>
  <c r="E2973" i="1"/>
  <c r="D2973" i="1"/>
  <c r="F2972" i="1"/>
  <c r="E2972" i="1"/>
  <c r="D2972" i="1"/>
  <c r="F2971" i="1"/>
  <c r="E2971" i="1"/>
  <c r="D2971" i="1"/>
  <c r="F2970" i="1"/>
  <c r="E2970" i="1"/>
  <c r="D2970" i="1"/>
  <c r="F2966" i="1"/>
  <c r="E2966" i="1"/>
  <c r="D2966" i="1"/>
  <c r="F2965" i="1"/>
  <c r="E2965" i="1"/>
  <c r="D2965" i="1"/>
  <c r="F2964" i="1"/>
  <c r="E2964" i="1"/>
  <c r="D2964" i="1"/>
  <c r="F2963" i="1"/>
  <c r="E2963" i="1"/>
  <c r="D2963" i="1"/>
  <c r="F2962" i="1"/>
  <c r="E2962" i="1"/>
  <c r="D2962" i="1"/>
  <c r="F2961" i="1"/>
  <c r="E2961" i="1"/>
  <c r="D2961" i="1"/>
  <c r="F2960" i="1"/>
  <c r="E2960" i="1"/>
  <c r="D2960" i="1"/>
  <c r="F2959" i="1"/>
  <c r="E2959" i="1"/>
  <c r="D2959" i="1"/>
  <c r="F2958" i="1"/>
  <c r="E2958" i="1"/>
  <c r="D2958" i="1"/>
  <c r="F2957" i="1"/>
  <c r="E2957" i="1"/>
  <c r="D2957" i="1"/>
  <c r="F2955" i="1"/>
  <c r="E2955" i="1"/>
  <c r="D2955" i="1"/>
  <c r="F2954" i="1"/>
  <c r="E2954" i="1"/>
  <c r="D2954" i="1"/>
  <c r="F2953" i="1"/>
  <c r="E2953" i="1"/>
  <c r="D2953" i="1"/>
  <c r="F2952" i="1"/>
  <c r="E2952" i="1"/>
  <c r="D2952" i="1"/>
  <c r="F2947" i="1"/>
  <c r="E2947" i="1"/>
  <c r="D2947" i="1"/>
  <c r="F2946" i="1"/>
  <c r="E2946" i="1"/>
  <c r="D2946" i="1"/>
  <c r="B2946" i="1"/>
  <c r="K2946" i="1"/>
  <c r="M2946" i="1"/>
  <c r="N2946" i="1"/>
  <c r="B2947" i="1"/>
  <c r="K2947" i="1"/>
  <c r="M2947" i="1"/>
  <c r="N2947" i="1"/>
  <c r="N2941" i="1"/>
  <c r="M2941" i="1"/>
  <c r="K2941" i="1"/>
  <c r="F2941" i="1"/>
  <c r="E2941" i="1"/>
  <c r="D2941" i="1"/>
  <c r="B2941" i="1"/>
  <c r="B2940" i="1"/>
  <c r="D2940" i="1"/>
  <c r="E2940" i="1"/>
  <c r="F2940" i="1"/>
  <c r="K2940" i="1"/>
  <c r="M2940" i="1"/>
  <c r="N2940" i="1"/>
  <c r="F2951" i="1"/>
  <c r="E2951" i="1"/>
  <c r="D2951" i="1"/>
  <c r="B2951" i="1"/>
  <c r="F2950" i="1"/>
  <c r="E2950" i="1"/>
  <c r="D2950" i="1"/>
  <c r="B2950" i="1"/>
  <c r="F2949" i="1"/>
  <c r="E2949" i="1"/>
  <c r="B2949" i="1"/>
  <c r="F2948" i="1"/>
  <c r="E2948" i="1"/>
  <c r="D2948" i="1"/>
  <c r="B2948" i="1"/>
  <c r="F2945" i="1"/>
  <c r="E2945" i="1"/>
  <c r="D2945" i="1"/>
  <c r="B2945" i="1"/>
  <c r="F2944" i="1"/>
  <c r="E2944" i="1"/>
  <c r="D2944" i="1"/>
  <c r="B2944" i="1"/>
  <c r="F2943" i="1"/>
  <c r="E2943" i="1"/>
  <c r="D2943" i="1"/>
  <c r="B2943" i="1"/>
  <c r="F2942" i="1"/>
  <c r="E2942" i="1"/>
  <c r="D2942" i="1"/>
  <c r="B2942" i="1"/>
  <c r="F2939" i="1"/>
  <c r="E2939" i="1"/>
  <c r="D2939" i="1"/>
  <c r="B2939" i="1"/>
  <c r="F2938" i="1"/>
  <c r="E2938" i="1"/>
  <c r="D2938" i="1"/>
  <c r="B2938" i="1"/>
  <c r="F2937" i="1"/>
  <c r="E2937" i="1"/>
  <c r="D2937" i="1"/>
  <c r="B2937" i="1"/>
  <c r="F2936" i="1"/>
  <c r="E2936" i="1"/>
  <c r="D2936" i="1"/>
  <c r="B2936" i="1"/>
  <c r="F2935" i="1"/>
  <c r="E2935" i="1"/>
  <c r="B2935" i="1"/>
  <c r="F2934" i="1"/>
  <c r="E2934" i="1"/>
  <c r="D2934" i="1"/>
  <c r="B2934" i="1"/>
  <c r="F2933" i="1"/>
  <c r="E2933" i="1"/>
  <c r="D2933" i="1"/>
  <c r="B2933" i="1"/>
  <c r="F2932" i="1"/>
  <c r="E2932" i="1"/>
  <c r="D2932" i="1"/>
  <c r="B2932" i="1"/>
  <c r="F2931" i="1"/>
  <c r="E2931" i="1"/>
  <c r="D2931" i="1"/>
  <c r="B2931" i="1"/>
  <c r="F2930" i="1"/>
  <c r="E2930" i="1"/>
  <c r="D2930" i="1"/>
  <c r="B2930" i="1"/>
  <c r="B1563" i="1"/>
  <c r="D1563" i="1"/>
  <c r="E1563" i="1"/>
  <c r="F1563" i="1"/>
  <c r="K1563" i="1"/>
  <c r="M1563" i="1"/>
  <c r="N1563" i="1"/>
  <c r="B1564" i="1"/>
  <c r="D1564" i="1"/>
  <c r="E1564" i="1"/>
  <c r="F1564" i="1"/>
  <c r="K1564" i="1"/>
  <c r="M1564" i="1"/>
  <c r="N1564" i="1"/>
  <c r="B407" i="1"/>
  <c r="D407" i="1"/>
  <c r="E407" i="1"/>
  <c r="F407" i="1"/>
  <c r="K407" i="1"/>
  <c r="M407" i="1"/>
  <c r="N407" i="1"/>
  <c r="B353" i="1"/>
  <c r="D353" i="1"/>
  <c r="E353" i="1"/>
  <c r="F353" i="1"/>
  <c r="K353" i="1"/>
  <c r="M353" i="1"/>
  <c r="N353" i="1"/>
  <c r="B354" i="1"/>
  <c r="D354" i="1"/>
  <c r="E354" i="1"/>
  <c r="F354" i="1"/>
  <c r="K354" i="1"/>
  <c r="M354" i="1"/>
  <c r="N354" i="1"/>
  <c r="B1114" i="1"/>
  <c r="D1114" i="1"/>
  <c r="E1114" i="1"/>
  <c r="F1114" i="1"/>
  <c r="K1114" i="1"/>
  <c r="M1114" i="1"/>
  <c r="N1114" i="1"/>
  <c r="B1065" i="1"/>
  <c r="D1065" i="1"/>
  <c r="E1065" i="1"/>
  <c r="F1065" i="1"/>
  <c r="K1065" i="1"/>
  <c r="M1065" i="1"/>
  <c r="N1065" i="1"/>
  <c r="B1066" i="1"/>
  <c r="D1066" i="1"/>
  <c r="E1066" i="1"/>
  <c r="F1066" i="1"/>
  <c r="K1066" i="1"/>
  <c r="M1066" i="1"/>
  <c r="N1066" i="1"/>
  <c r="B1402" i="1"/>
  <c r="D1402" i="1"/>
  <c r="E1402" i="1"/>
  <c r="F1402" i="1"/>
  <c r="K1402" i="1"/>
  <c r="M1402" i="1"/>
  <c r="N1402" i="1"/>
  <c r="B1401" i="1"/>
  <c r="D1401" i="1"/>
  <c r="E1401" i="1"/>
  <c r="F1401" i="1"/>
  <c r="K1401" i="1"/>
  <c r="M1401" i="1"/>
  <c r="N1401" i="1"/>
  <c r="B1385" i="1"/>
  <c r="D1385" i="1"/>
  <c r="E1385" i="1"/>
  <c r="F1385" i="1"/>
  <c r="K1385" i="1"/>
  <c r="M1385" i="1"/>
  <c r="N1385" i="1"/>
  <c r="B1345" i="1"/>
  <c r="D1345" i="1"/>
  <c r="E1345" i="1"/>
  <c r="F1345" i="1"/>
  <c r="K1345" i="1"/>
  <c r="M1345" i="1"/>
  <c r="N1345" i="1"/>
  <c r="B1346" i="1"/>
  <c r="D1346" i="1"/>
  <c r="E1346" i="1"/>
  <c r="F1346" i="1"/>
  <c r="K1346" i="1"/>
  <c r="M1346" i="1"/>
  <c r="N1346" i="1"/>
  <c r="B294" i="1"/>
  <c r="D294" i="1"/>
  <c r="E294" i="1"/>
  <c r="F294" i="1"/>
  <c r="K294" i="1"/>
  <c r="M294" i="1"/>
  <c r="N294" i="1"/>
  <c r="B295" i="1"/>
  <c r="D295" i="1"/>
  <c r="E295" i="1"/>
  <c r="F295" i="1"/>
  <c r="K295" i="1"/>
  <c r="M295" i="1"/>
  <c r="N295" i="1"/>
  <c r="B1001" i="1"/>
  <c r="D1001" i="1"/>
  <c r="E1001" i="1"/>
  <c r="F1001" i="1"/>
  <c r="K1001" i="1"/>
  <c r="M1001" i="1"/>
  <c r="N1001" i="1"/>
  <c r="B1002" i="1"/>
  <c r="D1002" i="1"/>
  <c r="E1002" i="1"/>
  <c r="F1002" i="1"/>
  <c r="K1002" i="1"/>
  <c r="M1002" i="1"/>
  <c r="N1002" i="1"/>
  <c r="B941" i="1"/>
  <c r="D941" i="1"/>
  <c r="E941" i="1"/>
  <c r="F941" i="1"/>
  <c r="K941" i="1"/>
  <c r="M941" i="1"/>
  <c r="N941" i="1"/>
  <c r="B937" i="1"/>
  <c r="D937" i="1"/>
  <c r="E937" i="1"/>
  <c r="F937" i="1"/>
  <c r="K937" i="1"/>
  <c r="M937" i="1"/>
  <c r="N937" i="1"/>
  <c r="B936" i="1"/>
  <c r="D936" i="1"/>
  <c r="E936" i="1"/>
  <c r="F936" i="1"/>
  <c r="K936" i="1"/>
  <c r="M936" i="1"/>
  <c r="N936" i="1"/>
  <c r="B935" i="1"/>
  <c r="D935" i="1"/>
  <c r="E935" i="1"/>
  <c r="F935" i="1"/>
  <c r="K935" i="1"/>
  <c r="M935" i="1"/>
  <c r="N935" i="1"/>
  <c r="B884" i="1"/>
  <c r="D884" i="1"/>
  <c r="E884" i="1"/>
  <c r="F884" i="1"/>
  <c r="K884" i="1"/>
  <c r="M884" i="1"/>
  <c r="N884" i="1"/>
  <c r="B729" i="1"/>
  <c r="D729" i="1"/>
  <c r="E729" i="1"/>
  <c r="F729" i="1"/>
  <c r="K729" i="1"/>
  <c r="M729" i="1"/>
  <c r="N729" i="1"/>
  <c r="B719" i="1"/>
  <c r="D719" i="1"/>
  <c r="E719" i="1"/>
  <c r="F719" i="1"/>
  <c r="K719" i="1"/>
  <c r="M719" i="1"/>
  <c r="N719" i="1"/>
  <c r="B720" i="1"/>
  <c r="D720" i="1"/>
  <c r="E720" i="1"/>
  <c r="F720" i="1"/>
  <c r="K720" i="1"/>
  <c r="M720" i="1"/>
  <c r="N720" i="1"/>
  <c r="B1742" i="1"/>
  <c r="D1742" i="1"/>
  <c r="E1742" i="1"/>
  <c r="F1742" i="1"/>
  <c r="K1742" i="1"/>
  <c r="M1742" i="1"/>
  <c r="N1742" i="1"/>
  <c r="B1721" i="1"/>
  <c r="D1721" i="1"/>
  <c r="E1721" i="1"/>
  <c r="F1721" i="1"/>
  <c r="K1721" i="1"/>
  <c r="M1721" i="1"/>
  <c r="N1721" i="1"/>
  <c r="B2908" i="1"/>
  <c r="D2908" i="1"/>
  <c r="E2908" i="1"/>
  <c r="F2908" i="1"/>
  <c r="K2908" i="1"/>
  <c r="M2908" i="1"/>
  <c r="N2908" i="1"/>
  <c r="B2913" i="1"/>
  <c r="D2913" i="1"/>
  <c r="E2913" i="1"/>
  <c r="F2913" i="1"/>
  <c r="K2913" i="1"/>
  <c r="M2913" i="1"/>
  <c r="N2913" i="1"/>
  <c r="B2912" i="1"/>
  <c r="D2912" i="1"/>
  <c r="E2912" i="1"/>
  <c r="F2912" i="1"/>
  <c r="K2912" i="1"/>
  <c r="M2912" i="1"/>
  <c r="N2912" i="1"/>
  <c r="B2897" i="1"/>
  <c r="D2897" i="1"/>
  <c r="E2897" i="1"/>
  <c r="F2897" i="1"/>
  <c r="K2897" i="1"/>
  <c r="M2897" i="1"/>
  <c r="N2897" i="1"/>
  <c r="B2898" i="1"/>
  <c r="D2898" i="1"/>
  <c r="E2898" i="1"/>
  <c r="F2898" i="1"/>
  <c r="K2898" i="1"/>
  <c r="M2898" i="1"/>
  <c r="N2898" i="1"/>
  <c r="B2899" i="1"/>
  <c r="D2899" i="1"/>
  <c r="E2899" i="1"/>
  <c r="F2899" i="1"/>
  <c r="K2899" i="1"/>
  <c r="M2899" i="1"/>
  <c r="N2899" i="1"/>
  <c r="B2900" i="1"/>
  <c r="D2900" i="1"/>
  <c r="E2900" i="1"/>
  <c r="F2900" i="1"/>
  <c r="K2900" i="1"/>
  <c r="M2900" i="1"/>
  <c r="N2900" i="1"/>
  <c r="B2842" i="1"/>
  <c r="D2842" i="1"/>
  <c r="E2842" i="1"/>
  <c r="F2842" i="1"/>
  <c r="K2842" i="1"/>
  <c r="M2842" i="1"/>
  <c r="N2842" i="1"/>
  <c r="B2843" i="1"/>
  <c r="D2843" i="1"/>
  <c r="E2843" i="1"/>
  <c r="F2843" i="1"/>
  <c r="K2843" i="1"/>
  <c r="M2843" i="1"/>
  <c r="N2843" i="1"/>
  <c r="B2844" i="1"/>
  <c r="D2844" i="1"/>
  <c r="E2844" i="1"/>
  <c r="F2844" i="1"/>
  <c r="K2844" i="1"/>
  <c r="M2844" i="1"/>
  <c r="N2844" i="1"/>
  <c r="B2845" i="1"/>
  <c r="D2845" i="1"/>
  <c r="E2845" i="1"/>
  <c r="F2845" i="1"/>
  <c r="K2845" i="1"/>
  <c r="M2845" i="1"/>
  <c r="N2845" i="1"/>
  <c r="B2595" i="1"/>
  <c r="D2595" i="1"/>
  <c r="E2595" i="1"/>
  <c r="F2595" i="1"/>
  <c r="K2595" i="1"/>
  <c r="M2595" i="1"/>
  <c r="N2595" i="1"/>
  <c r="B2596" i="1"/>
  <c r="D2596" i="1"/>
  <c r="E2596" i="1"/>
  <c r="F2596" i="1"/>
  <c r="K2596" i="1"/>
  <c r="M2596" i="1"/>
  <c r="N2596" i="1"/>
  <c r="B2597" i="1"/>
  <c r="D2597" i="1"/>
  <c r="E2597" i="1"/>
  <c r="F2597" i="1"/>
  <c r="K2597" i="1"/>
  <c r="M2597" i="1"/>
  <c r="N2597" i="1"/>
  <c r="B2598" i="1"/>
  <c r="D2598" i="1"/>
  <c r="E2598" i="1"/>
  <c r="F2598" i="1"/>
  <c r="K2598" i="1"/>
  <c r="M2598" i="1"/>
  <c r="N2598" i="1"/>
  <c r="B2885" i="1"/>
  <c r="E2885" i="1"/>
  <c r="F2885" i="1"/>
  <c r="K2885" i="1"/>
  <c r="M2885" i="1"/>
  <c r="N2885" i="1"/>
  <c r="B2886" i="1"/>
  <c r="D2886" i="1"/>
  <c r="E2886" i="1"/>
  <c r="F2886" i="1"/>
  <c r="K2886" i="1"/>
  <c r="M2886" i="1"/>
  <c r="N2886" i="1"/>
  <c r="B2887" i="1"/>
  <c r="D2887" i="1"/>
  <c r="E2887" i="1"/>
  <c r="F2887" i="1"/>
  <c r="K2887" i="1"/>
  <c r="M2887" i="1"/>
  <c r="N2887" i="1"/>
  <c r="B2872" i="1"/>
  <c r="E2872" i="1"/>
  <c r="F2872" i="1"/>
  <c r="K2872" i="1"/>
  <c r="M2872" i="1"/>
  <c r="N2872" i="1"/>
  <c r="B2873" i="1"/>
  <c r="D2873" i="1"/>
  <c r="E2873" i="1"/>
  <c r="F2873" i="1"/>
  <c r="K2873" i="1"/>
  <c r="M2873" i="1"/>
  <c r="N2873" i="1"/>
  <c r="B2874" i="1"/>
  <c r="D2874" i="1"/>
  <c r="E2874" i="1"/>
  <c r="F2874" i="1"/>
  <c r="K2874" i="1"/>
  <c r="M2874" i="1"/>
  <c r="N2874" i="1"/>
  <c r="B2875" i="1"/>
  <c r="D2875" i="1"/>
  <c r="E2875" i="1"/>
  <c r="F2875" i="1"/>
  <c r="K2875" i="1"/>
  <c r="M2875" i="1"/>
  <c r="N2875" i="1"/>
  <c r="B2876" i="1"/>
  <c r="D2876" i="1"/>
  <c r="E2876" i="1"/>
  <c r="F2876" i="1"/>
  <c r="K2876" i="1"/>
  <c r="M2876" i="1"/>
  <c r="N2876" i="1"/>
  <c r="B2877" i="1"/>
  <c r="D2877" i="1"/>
  <c r="E2877" i="1"/>
  <c r="F2877" i="1"/>
  <c r="K2877" i="1"/>
  <c r="M2877" i="1"/>
  <c r="N2877" i="1"/>
  <c r="B2806" i="1"/>
  <c r="E2806" i="1"/>
  <c r="F2806" i="1"/>
  <c r="K2806" i="1"/>
  <c r="M2806" i="1"/>
  <c r="N2806" i="1"/>
  <c r="B2807" i="1"/>
  <c r="D2807" i="1"/>
  <c r="E2807" i="1"/>
  <c r="F2807" i="1"/>
  <c r="K2807" i="1"/>
  <c r="M2807" i="1"/>
  <c r="N2807" i="1"/>
  <c r="B2808" i="1"/>
  <c r="D2808" i="1"/>
  <c r="E2808" i="1"/>
  <c r="F2808" i="1"/>
  <c r="K2808" i="1"/>
  <c r="M2808" i="1"/>
  <c r="N2808" i="1"/>
  <c r="B2809" i="1"/>
  <c r="D2809" i="1"/>
  <c r="E2809" i="1"/>
  <c r="F2809" i="1"/>
  <c r="K2809" i="1"/>
  <c r="M2809" i="1"/>
  <c r="N2809" i="1"/>
  <c r="B2810" i="1"/>
  <c r="D2810" i="1"/>
  <c r="E2810" i="1"/>
  <c r="F2810" i="1"/>
  <c r="K2810" i="1"/>
  <c r="M2810" i="1"/>
  <c r="N2810" i="1"/>
  <c r="B2811" i="1"/>
  <c r="D2811" i="1"/>
  <c r="E2811" i="1"/>
  <c r="F2811" i="1"/>
  <c r="K2811" i="1"/>
  <c r="M2811" i="1"/>
  <c r="N2811" i="1"/>
  <c r="B2795" i="1"/>
  <c r="E2795" i="1"/>
  <c r="F2795" i="1"/>
  <c r="K2795" i="1"/>
  <c r="M2795" i="1"/>
  <c r="N2795" i="1"/>
  <c r="B2796" i="1"/>
  <c r="D2796" i="1"/>
  <c r="E2796" i="1"/>
  <c r="F2796" i="1"/>
  <c r="K2796" i="1"/>
  <c r="M2796" i="1"/>
  <c r="N2796" i="1"/>
  <c r="B2797" i="1"/>
  <c r="D2797" i="1"/>
  <c r="E2797" i="1"/>
  <c r="F2797" i="1"/>
  <c r="K2797" i="1"/>
  <c r="M2797" i="1"/>
  <c r="N2797" i="1"/>
  <c r="B2798" i="1"/>
  <c r="D2798" i="1"/>
  <c r="E2798" i="1"/>
  <c r="F2798" i="1"/>
  <c r="K2798" i="1"/>
  <c r="M2798" i="1"/>
  <c r="N2798" i="1"/>
  <c r="B2799" i="1"/>
  <c r="D2799" i="1"/>
  <c r="E2799" i="1"/>
  <c r="F2799" i="1"/>
  <c r="K2799" i="1"/>
  <c r="M2799" i="1"/>
  <c r="N2799" i="1"/>
  <c r="B2800" i="1"/>
  <c r="D2800" i="1"/>
  <c r="E2800" i="1"/>
  <c r="F2800" i="1"/>
  <c r="K2800" i="1"/>
  <c r="M2800" i="1"/>
  <c r="N2800" i="1"/>
  <c r="B2835" i="1"/>
  <c r="D2835" i="1"/>
  <c r="E2835" i="1"/>
  <c r="F2835" i="1"/>
  <c r="K2835" i="1"/>
  <c r="M2835" i="1"/>
  <c r="N2835" i="1"/>
  <c r="B2836" i="1"/>
  <c r="D2836" i="1"/>
  <c r="E2836" i="1"/>
  <c r="F2836" i="1"/>
  <c r="K2836" i="1"/>
  <c r="M2836" i="1"/>
  <c r="N2836" i="1"/>
  <c r="B2837" i="1"/>
  <c r="D2837" i="1"/>
  <c r="E2837" i="1"/>
  <c r="F2837" i="1"/>
  <c r="K2837" i="1"/>
  <c r="M2837" i="1"/>
  <c r="N2837" i="1"/>
  <c r="B2838" i="1"/>
  <c r="D2838" i="1"/>
  <c r="E2838" i="1"/>
  <c r="F2838" i="1"/>
  <c r="K2838" i="1"/>
  <c r="M2838" i="1"/>
  <c r="N2838" i="1"/>
  <c r="B2839" i="1"/>
  <c r="D2839" i="1"/>
  <c r="E2839" i="1"/>
  <c r="F2839" i="1"/>
  <c r="K2839" i="1"/>
  <c r="M2839" i="1"/>
  <c r="N2839" i="1"/>
  <c r="B2840" i="1"/>
  <c r="D2840" i="1"/>
  <c r="E2840" i="1"/>
  <c r="F2840" i="1"/>
  <c r="K2840" i="1"/>
  <c r="M2840" i="1"/>
  <c r="N2840" i="1"/>
  <c r="B2841" i="1"/>
  <c r="D2841" i="1"/>
  <c r="E2841" i="1"/>
  <c r="F2841" i="1"/>
  <c r="K2841" i="1"/>
  <c r="M2841" i="1"/>
  <c r="N2841" i="1"/>
  <c r="B2846" i="1"/>
  <c r="D2846" i="1"/>
  <c r="E2846" i="1"/>
  <c r="F2846" i="1"/>
  <c r="K2846" i="1"/>
  <c r="M2846" i="1"/>
  <c r="N2846" i="1"/>
  <c r="B2847" i="1"/>
  <c r="D2847" i="1"/>
  <c r="E2847" i="1"/>
  <c r="F2847" i="1"/>
  <c r="K2847" i="1"/>
  <c r="M2847" i="1"/>
  <c r="N2847" i="1"/>
  <c r="B2848" i="1"/>
  <c r="D2848" i="1"/>
  <c r="E2848" i="1"/>
  <c r="F2848" i="1"/>
  <c r="K2848" i="1"/>
  <c r="M2848" i="1"/>
  <c r="N2848" i="1"/>
  <c r="B2849" i="1"/>
  <c r="D2849" i="1"/>
  <c r="E2849" i="1"/>
  <c r="F2849" i="1"/>
  <c r="K2849" i="1"/>
  <c r="M2849" i="1"/>
  <c r="N2849" i="1"/>
  <c r="B2850" i="1"/>
  <c r="D2850" i="1"/>
  <c r="E2850" i="1"/>
  <c r="F2850" i="1"/>
  <c r="K2850" i="1"/>
  <c r="M2850" i="1"/>
  <c r="N2850" i="1"/>
  <c r="B2851" i="1"/>
  <c r="D2851" i="1"/>
  <c r="E2851" i="1"/>
  <c r="F2851" i="1"/>
  <c r="K2851" i="1"/>
  <c r="M2851" i="1"/>
  <c r="N2851" i="1"/>
  <c r="B2852" i="1"/>
  <c r="D2852" i="1"/>
  <c r="E2852" i="1"/>
  <c r="F2852" i="1"/>
  <c r="K2852" i="1"/>
  <c r="M2852" i="1"/>
  <c r="N2852" i="1"/>
  <c r="B2853" i="1"/>
  <c r="D2853" i="1"/>
  <c r="E2853" i="1"/>
  <c r="F2853" i="1"/>
  <c r="K2853" i="1"/>
  <c r="M2853" i="1"/>
  <c r="N2853" i="1"/>
  <c r="B2854" i="1"/>
  <c r="D2854" i="1"/>
  <c r="E2854" i="1"/>
  <c r="F2854" i="1"/>
  <c r="K2854" i="1"/>
  <c r="M2854" i="1"/>
  <c r="N2854" i="1"/>
  <c r="B2855" i="1"/>
  <c r="D2855" i="1"/>
  <c r="E2855" i="1"/>
  <c r="F2855" i="1"/>
  <c r="K2855" i="1"/>
  <c r="M2855" i="1"/>
  <c r="N2855" i="1"/>
  <c r="B2856" i="1"/>
  <c r="D2856" i="1"/>
  <c r="E2856" i="1"/>
  <c r="F2856" i="1"/>
  <c r="K2856" i="1"/>
  <c r="M2856" i="1"/>
  <c r="N2856" i="1"/>
  <c r="B2857" i="1"/>
  <c r="D2857" i="1"/>
  <c r="E2857" i="1"/>
  <c r="F2857" i="1"/>
  <c r="K2857" i="1"/>
  <c r="M2857" i="1"/>
  <c r="N2857" i="1"/>
  <c r="B2858" i="1"/>
  <c r="D2858" i="1"/>
  <c r="E2858" i="1"/>
  <c r="F2858" i="1"/>
  <c r="K2858" i="1"/>
  <c r="M2858" i="1"/>
  <c r="N2858" i="1"/>
  <c r="B2859" i="1"/>
  <c r="D2859" i="1"/>
  <c r="E2859" i="1"/>
  <c r="F2859" i="1"/>
  <c r="K2859" i="1"/>
  <c r="M2859" i="1"/>
  <c r="N2859" i="1"/>
  <c r="B2860" i="1"/>
  <c r="D2860" i="1"/>
  <c r="E2860" i="1"/>
  <c r="F2860" i="1"/>
  <c r="K2860" i="1"/>
  <c r="M2860" i="1"/>
  <c r="N2860" i="1"/>
  <c r="B2861" i="1"/>
  <c r="D2861" i="1"/>
  <c r="E2861" i="1"/>
  <c r="F2861" i="1"/>
  <c r="K2861" i="1"/>
  <c r="M2861" i="1"/>
  <c r="N2861" i="1"/>
  <c r="B2862" i="1"/>
  <c r="D2862" i="1"/>
  <c r="E2862" i="1"/>
  <c r="F2862" i="1"/>
  <c r="K2862" i="1"/>
  <c r="M2862" i="1"/>
  <c r="N2862" i="1"/>
  <c r="B2863" i="1"/>
  <c r="D2863" i="1"/>
  <c r="E2863" i="1"/>
  <c r="F2863" i="1"/>
  <c r="K2863" i="1"/>
  <c r="M2863" i="1"/>
  <c r="N2863" i="1"/>
  <c r="B2864" i="1"/>
  <c r="D2864" i="1"/>
  <c r="E2864" i="1"/>
  <c r="F2864" i="1"/>
  <c r="K2864" i="1"/>
  <c r="M2864" i="1"/>
  <c r="N2864" i="1"/>
  <c r="B2865" i="1"/>
  <c r="D2865" i="1"/>
  <c r="E2865" i="1"/>
  <c r="F2865" i="1"/>
  <c r="K2865" i="1"/>
  <c r="M2865" i="1"/>
  <c r="N2865" i="1"/>
  <c r="B2866" i="1"/>
  <c r="D2866" i="1"/>
  <c r="E2866" i="1"/>
  <c r="F2866" i="1"/>
  <c r="K2866" i="1"/>
  <c r="M2866" i="1"/>
  <c r="N2866" i="1"/>
  <c r="B2867" i="1"/>
  <c r="D2867" i="1"/>
  <c r="E2867" i="1"/>
  <c r="F2867" i="1"/>
  <c r="K2867" i="1"/>
  <c r="M2867" i="1"/>
  <c r="N2867" i="1"/>
  <c r="B2868" i="1"/>
  <c r="D2868" i="1"/>
  <c r="E2868" i="1"/>
  <c r="F2868" i="1"/>
  <c r="K2868" i="1"/>
  <c r="M2868" i="1"/>
  <c r="N2868" i="1"/>
  <c r="B2869" i="1"/>
  <c r="D2869" i="1"/>
  <c r="E2869" i="1"/>
  <c r="F2869" i="1"/>
  <c r="K2869" i="1"/>
  <c r="M2869" i="1"/>
  <c r="N2869" i="1"/>
  <c r="B2870" i="1"/>
  <c r="D2870" i="1"/>
  <c r="E2870" i="1"/>
  <c r="F2870" i="1"/>
  <c r="K2870" i="1"/>
  <c r="M2870" i="1"/>
  <c r="N2870" i="1"/>
  <c r="B2871" i="1"/>
  <c r="D2871" i="1"/>
  <c r="E2871" i="1"/>
  <c r="F2871" i="1"/>
  <c r="K2871" i="1"/>
  <c r="M2871" i="1"/>
  <c r="N2871" i="1"/>
  <c r="B2878" i="1"/>
  <c r="D2878" i="1"/>
  <c r="E2878" i="1"/>
  <c r="F2878" i="1"/>
  <c r="K2878" i="1"/>
  <c r="M2878" i="1"/>
  <c r="N2878" i="1"/>
  <c r="B2879" i="1"/>
  <c r="D2879" i="1"/>
  <c r="E2879" i="1"/>
  <c r="F2879" i="1"/>
  <c r="K2879" i="1"/>
  <c r="M2879" i="1"/>
  <c r="N2879" i="1"/>
  <c r="B2880" i="1"/>
  <c r="D2880" i="1"/>
  <c r="E2880" i="1"/>
  <c r="F2880" i="1"/>
  <c r="K2880" i="1"/>
  <c r="M2880" i="1"/>
  <c r="N2880" i="1"/>
  <c r="B2881" i="1"/>
  <c r="D2881" i="1"/>
  <c r="E2881" i="1"/>
  <c r="F2881" i="1"/>
  <c r="K2881" i="1"/>
  <c r="M2881" i="1"/>
  <c r="N2881" i="1"/>
  <c r="B2882" i="1"/>
  <c r="D2882" i="1"/>
  <c r="E2882" i="1"/>
  <c r="F2882" i="1"/>
  <c r="K2882" i="1"/>
  <c r="M2882" i="1"/>
  <c r="N2882" i="1"/>
  <c r="B2883" i="1"/>
  <c r="D2883" i="1"/>
  <c r="E2883" i="1"/>
  <c r="F2883" i="1"/>
  <c r="K2883" i="1"/>
  <c r="M2883" i="1"/>
  <c r="N2883" i="1"/>
  <c r="B2884" i="1"/>
  <c r="D2884" i="1"/>
  <c r="E2884" i="1"/>
  <c r="F2884" i="1"/>
  <c r="K2884" i="1"/>
  <c r="M2884" i="1"/>
  <c r="N2884" i="1"/>
  <c r="B2888" i="1"/>
  <c r="D2888" i="1"/>
  <c r="E2888" i="1"/>
  <c r="F2888" i="1"/>
  <c r="K2888" i="1"/>
  <c r="M2888" i="1"/>
  <c r="N2888" i="1"/>
  <c r="B2889" i="1"/>
  <c r="D2889" i="1"/>
  <c r="E2889" i="1"/>
  <c r="F2889" i="1"/>
  <c r="K2889" i="1"/>
  <c r="M2889" i="1"/>
  <c r="N2889" i="1"/>
  <c r="B2890" i="1"/>
  <c r="D2890" i="1"/>
  <c r="E2890" i="1"/>
  <c r="F2890" i="1"/>
  <c r="K2890" i="1"/>
  <c r="M2890" i="1"/>
  <c r="N2890" i="1"/>
  <c r="B2891" i="1"/>
  <c r="D2891" i="1"/>
  <c r="E2891" i="1"/>
  <c r="F2891" i="1"/>
  <c r="K2891" i="1"/>
  <c r="M2891" i="1"/>
  <c r="N2891" i="1"/>
  <c r="B2892" i="1"/>
  <c r="D2892" i="1"/>
  <c r="E2892" i="1"/>
  <c r="F2892" i="1"/>
  <c r="K2892" i="1"/>
  <c r="M2892" i="1"/>
  <c r="N2892" i="1"/>
  <c r="B2893" i="1"/>
  <c r="E2893" i="1"/>
  <c r="F2893" i="1"/>
  <c r="K2893" i="1"/>
  <c r="M2893" i="1"/>
  <c r="N2893" i="1"/>
  <c r="B2894" i="1"/>
  <c r="D2894" i="1"/>
  <c r="E2894" i="1"/>
  <c r="F2894" i="1"/>
  <c r="K2894" i="1"/>
  <c r="M2894" i="1"/>
  <c r="N2894" i="1"/>
  <c r="B2895" i="1"/>
  <c r="D2895" i="1"/>
  <c r="E2895" i="1"/>
  <c r="F2895" i="1"/>
  <c r="K2895" i="1"/>
  <c r="M2895" i="1"/>
  <c r="N2895" i="1"/>
  <c r="B2896" i="1"/>
  <c r="D2896" i="1"/>
  <c r="E2896" i="1"/>
  <c r="F2896" i="1"/>
  <c r="K2896" i="1"/>
  <c r="M2896" i="1"/>
  <c r="N2896" i="1"/>
  <c r="B2901" i="1"/>
  <c r="E2901" i="1"/>
  <c r="F2901" i="1"/>
  <c r="K2901" i="1"/>
  <c r="M2901" i="1"/>
  <c r="N2901" i="1"/>
  <c r="B2902" i="1"/>
  <c r="D2902" i="1"/>
  <c r="E2902" i="1"/>
  <c r="F2902" i="1"/>
  <c r="K2902" i="1"/>
  <c r="M2902" i="1"/>
  <c r="N2902" i="1"/>
  <c r="B2903" i="1"/>
  <c r="D2903" i="1"/>
  <c r="E2903" i="1"/>
  <c r="F2903" i="1"/>
  <c r="K2903" i="1"/>
  <c r="M2903" i="1"/>
  <c r="N2903" i="1"/>
  <c r="B2904" i="1"/>
  <c r="D2904" i="1"/>
  <c r="E2904" i="1"/>
  <c r="F2904" i="1"/>
  <c r="K2904" i="1"/>
  <c r="M2904" i="1"/>
  <c r="N2904" i="1"/>
  <c r="B2905" i="1"/>
  <c r="D2905" i="1"/>
  <c r="E2905" i="1"/>
  <c r="F2905" i="1"/>
  <c r="K2905" i="1"/>
  <c r="M2905" i="1"/>
  <c r="N2905" i="1"/>
  <c r="B2906" i="1"/>
  <c r="D2906" i="1"/>
  <c r="E2906" i="1"/>
  <c r="F2906" i="1"/>
  <c r="K2906" i="1"/>
  <c r="M2906" i="1"/>
  <c r="N2906" i="1"/>
  <c r="B2907" i="1"/>
  <c r="D2907" i="1"/>
  <c r="E2907" i="1"/>
  <c r="F2907" i="1"/>
  <c r="K2907" i="1"/>
  <c r="M2907" i="1"/>
  <c r="N2907" i="1"/>
  <c r="B2909" i="1"/>
  <c r="D2909" i="1"/>
  <c r="E2909" i="1"/>
  <c r="F2909" i="1"/>
  <c r="K2909" i="1"/>
  <c r="M2909" i="1"/>
  <c r="N2909" i="1"/>
  <c r="B2910" i="1"/>
  <c r="D2910" i="1"/>
  <c r="E2910" i="1"/>
  <c r="F2910" i="1"/>
  <c r="K2910" i="1"/>
  <c r="M2910" i="1"/>
  <c r="N2910" i="1"/>
  <c r="B2911" i="1"/>
  <c r="D2911" i="1"/>
  <c r="E2911" i="1"/>
  <c r="F2911" i="1"/>
  <c r="K2911" i="1"/>
  <c r="M2911" i="1"/>
  <c r="N2911" i="1"/>
  <c r="B2914" i="1"/>
  <c r="D2914" i="1"/>
  <c r="E2914" i="1"/>
  <c r="F2914" i="1"/>
  <c r="K2914" i="1"/>
  <c r="M2914" i="1"/>
  <c r="N2914" i="1"/>
  <c r="B2915" i="1"/>
  <c r="D2915" i="1"/>
  <c r="E2915" i="1"/>
  <c r="F2915" i="1"/>
  <c r="K2915" i="1"/>
  <c r="M2915" i="1"/>
  <c r="N2915" i="1"/>
  <c r="B2919" i="1"/>
  <c r="D2919" i="1"/>
  <c r="E2919" i="1"/>
  <c r="F2919" i="1"/>
  <c r="K2919" i="1"/>
  <c r="M2919" i="1"/>
  <c r="N2919" i="1"/>
  <c r="B2920" i="1"/>
  <c r="D2920" i="1"/>
  <c r="E2920" i="1"/>
  <c r="F2920" i="1"/>
  <c r="K2920" i="1"/>
  <c r="M2920" i="1"/>
  <c r="N2920" i="1"/>
  <c r="B2921" i="1"/>
  <c r="D2921" i="1"/>
  <c r="E2921" i="1"/>
  <c r="F2921" i="1"/>
  <c r="K2921" i="1"/>
  <c r="M2921" i="1"/>
  <c r="N2921" i="1"/>
  <c r="B2922" i="1"/>
  <c r="D2922" i="1"/>
  <c r="E2922" i="1"/>
  <c r="F2922" i="1"/>
  <c r="K2922" i="1"/>
  <c r="M2922" i="1"/>
  <c r="N2922" i="1"/>
  <c r="B2923" i="1"/>
  <c r="D2923" i="1"/>
  <c r="E2923" i="1"/>
  <c r="F2923" i="1"/>
  <c r="K2923" i="1"/>
  <c r="M2923" i="1"/>
  <c r="N2923" i="1"/>
  <c r="B2924" i="1"/>
  <c r="D2924" i="1"/>
  <c r="E2924" i="1"/>
  <c r="F2924" i="1"/>
  <c r="K2924" i="1"/>
  <c r="M2924" i="1"/>
  <c r="N2924" i="1"/>
  <c r="B2925" i="1"/>
  <c r="D2925" i="1"/>
  <c r="E2925" i="1"/>
  <c r="F2925" i="1"/>
  <c r="K2925" i="1"/>
  <c r="M2925" i="1"/>
  <c r="N2925" i="1"/>
  <c r="B2926" i="1"/>
  <c r="D2926" i="1"/>
  <c r="E2926" i="1"/>
  <c r="F2926" i="1"/>
  <c r="K2926" i="1"/>
  <c r="M2926" i="1"/>
  <c r="N2926" i="1"/>
  <c r="B2927" i="1"/>
  <c r="D2927" i="1"/>
  <c r="E2927" i="1"/>
  <c r="F2927" i="1"/>
  <c r="K2927" i="1"/>
  <c r="M2927" i="1"/>
  <c r="N2927" i="1"/>
  <c r="B2928" i="1"/>
  <c r="D2928" i="1"/>
  <c r="E2928" i="1"/>
  <c r="F2928" i="1"/>
  <c r="K2928" i="1"/>
  <c r="M2928" i="1"/>
  <c r="N2928" i="1"/>
  <c r="B2929" i="1"/>
  <c r="D2929" i="1"/>
  <c r="E2929" i="1"/>
  <c r="F2929" i="1"/>
  <c r="K2929" i="1"/>
  <c r="M2929" i="1"/>
  <c r="N2929" i="1"/>
  <c r="K2930" i="1"/>
  <c r="M2930" i="1"/>
  <c r="N2930" i="1"/>
  <c r="K2931" i="1"/>
  <c r="M2931" i="1"/>
  <c r="N2931" i="1"/>
  <c r="K2932" i="1"/>
  <c r="M2932" i="1"/>
  <c r="N2932" i="1"/>
  <c r="K2933" i="1"/>
  <c r="M2933" i="1"/>
  <c r="N2933" i="1"/>
  <c r="K2934" i="1"/>
  <c r="M2934" i="1"/>
  <c r="N2934" i="1"/>
  <c r="K2935" i="1"/>
  <c r="M2935" i="1"/>
  <c r="N2935" i="1"/>
  <c r="K2936" i="1"/>
  <c r="M2936" i="1"/>
  <c r="N2936" i="1"/>
  <c r="K2937" i="1"/>
  <c r="M2937" i="1"/>
  <c r="N2937" i="1"/>
  <c r="K2938" i="1"/>
  <c r="M2938" i="1"/>
  <c r="N2938" i="1"/>
  <c r="K2939" i="1"/>
  <c r="M2939" i="1"/>
  <c r="N2939" i="1"/>
  <c r="K2942" i="1"/>
  <c r="M2942" i="1"/>
  <c r="N2942" i="1"/>
  <c r="K2943" i="1"/>
  <c r="M2943" i="1"/>
  <c r="N2943" i="1"/>
  <c r="K2944" i="1"/>
  <c r="M2944" i="1"/>
  <c r="N2944" i="1"/>
  <c r="K2945" i="1"/>
  <c r="M2945" i="1"/>
  <c r="N2945" i="1"/>
  <c r="K2948" i="1"/>
  <c r="M2948" i="1"/>
  <c r="N2948" i="1"/>
  <c r="K2949" i="1"/>
  <c r="M2949" i="1"/>
  <c r="N2949" i="1"/>
  <c r="K2950" i="1"/>
  <c r="M2950" i="1"/>
  <c r="N2950" i="1"/>
  <c r="K2951" i="1"/>
  <c r="M2951" i="1"/>
  <c r="N2951" i="1"/>
  <c r="B2952" i="1"/>
  <c r="K2952" i="1"/>
  <c r="M2952" i="1"/>
  <c r="N2952" i="1"/>
  <c r="B2953" i="1"/>
  <c r="K2953" i="1"/>
  <c r="M2953" i="1"/>
  <c r="N2953" i="1"/>
  <c r="B2954" i="1"/>
  <c r="K2954" i="1"/>
  <c r="M2954" i="1"/>
  <c r="N2954" i="1"/>
  <c r="B2955" i="1"/>
  <c r="K2955" i="1"/>
  <c r="M2955" i="1"/>
  <c r="N2955" i="1"/>
  <c r="B2956" i="1"/>
  <c r="D2956" i="1"/>
  <c r="E2956" i="1"/>
  <c r="F2956" i="1"/>
  <c r="K2956" i="1"/>
  <c r="M2956" i="1"/>
  <c r="N2956" i="1"/>
  <c r="B2957" i="1"/>
  <c r="K2957" i="1"/>
  <c r="M2957" i="1"/>
  <c r="N2957" i="1"/>
  <c r="B2958" i="1"/>
  <c r="K2958" i="1"/>
  <c r="M2958" i="1"/>
  <c r="N2958" i="1"/>
  <c r="B2959" i="1"/>
  <c r="K2959" i="1"/>
  <c r="M2959" i="1"/>
  <c r="N2959" i="1"/>
  <c r="B2960" i="1"/>
  <c r="K2960" i="1"/>
  <c r="M2960" i="1"/>
  <c r="N2960" i="1"/>
  <c r="B2961" i="1"/>
  <c r="K2961" i="1"/>
  <c r="M2961" i="1"/>
  <c r="N2961" i="1"/>
  <c r="B2962" i="1"/>
  <c r="K2962" i="1"/>
  <c r="M2962" i="1"/>
  <c r="N2962" i="1"/>
  <c r="B2963" i="1"/>
  <c r="K2963" i="1"/>
  <c r="M2963" i="1"/>
  <c r="N2963" i="1"/>
  <c r="B2964" i="1"/>
  <c r="K2964" i="1"/>
  <c r="M2964" i="1"/>
  <c r="N2964" i="1"/>
  <c r="B2965" i="1"/>
  <c r="K2965" i="1"/>
  <c r="M2965" i="1"/>
  <c r="N2965" i="1"/>
  <c r="B2966" i="1"/>
  <c r="K2966" i="1"/>
  <c r="M2966" i="1"/>
  <c r="N2966" i="1"/>
  <c r="B2967" i="1"/>
  <c r="D2967" i="1"/>
  <c r="E2967" i="1"/>
  <c r="F2967" i="1"/>
  <c r="K2967" i="1"/>
  <c r="M2967" i="1"/>
  <c r="N2967" i="1"/>
  <c r="B2968" i="1"/>
  <c r="D2968" i="1"/>
  <c r="E2968" i="1"/>
  <c r="F2968" i="1"/>
  <c r="K2968" i="1"/>
  <c r="M2968" i="1"/>
  <c r="N2968" i="1"/>
  <c r="B2969" i="1"/>
  <c r="E2969" i="1"/>
  <c r="F2969" i="1"/>
  <c r="K2969" i="1"/>
  <c r="M2969" i="1"/>
  <c r="N2969" i="1"/>
  <c r="B2970" i="1"/>
  <c r="K2970" i="1"/>
  <c r="M2970" i="1"/>
  <c r="N2970" i="1"/>
  <c r="B2971" i="1"/>
  <c r="K2971" i="1"/>
  <c r="M2971" i="1"/>
  <c r="N2971" i="1"/>
  <c r="B2972" i="1"/>
  <c r="K2972" i="1"/>
  <c r="M2972" i="1"/>
  <c r="N2972" i="1"/>
  <c r="B2973" i="1"/>
  <c r="K2973" i="1"/>
  <c r="M2973" i="1"/>
  <c r="N2973" i="1"/>
  <c r="B2974" i="1"/>
  <c r="D2974" i="1"/>
  <c r="E2974" i="1"/>
  <c r="F2974" i="1"/>
  <c r="K2974" i="1"/>
  <c r="M2974" i="1"/>
  <c r="N2974" i="1"/>
  <c r="B2975" i="1"/>
  <c r="K2975" i="1"/>
  <c r="M2975" i="1"/>
  <c r="N2975" i="1"/>
  <c r="B2976" i="1"/>
  <c r="K2976" i="1"/>
  <c r="M2976" i="1"/>
  <c r="N2976" i="1"/>
  <c r="B2977" i="1"/>
  <c r="K2977" i="1"/>
  <c r="M2977" i="1"/>
  <c r="N2977" i="1"/>
  <c r="B2978" i="1"/>
  <c r="K2978" i="1"/>
  <c r="M2978" i="1"/>
  <c r="N2978" i="1"/>
  <c r="B2979" i="1"/>
  <c r="K2979" i="1"/>
  <c r="M2979" i="1"/>
  <c r="N2979" i="1"/>
  <c r="B2980" i="1"/>
  <c r="K2980" i="1"/>
  <c r="M2980" i="1"/>
  <c r="N2980" i="1"/>
  <c r="B2981" i="1"/>
  <c r="K2981" i="1"/>
  <c r="M2981" i="1"/>
  <c r="N2981" i="1"/>
  <c r="B2982" i="1"/>
  <c r="K2982" i="1"/>
  <c r="M2982" i="1"/>
  <c r="N2982" i="1"/>
  <c r="B2983" i="1"/>
  <c r="E2983" i="1"/>
  <c r="F2983" i="1"/>
  <c r="K2983" i="1"/>
  <c r="M2983" i="1"/>
  <c r="N2983" i="1"/>
  <c r="B2984" i="1"/>
  <c r="D2984" i="1"/>
  <c r="E2984" i="1"/>
  <c r="F2984" i="1"/>
  <c r="K2984" i="1"/>
  <c r="M2984" i="1"/>
  <c r="N2984" i="1"/>
  <c r="B2985" i="1"/>
  <c r="K2985" i="1"/>
  <c r="M2985" i="1"/>
  <c r="N2985" i="1"/>
  <c r="B2986" i="1"/>
  <c r="K2986" i="1"/>
  <c r="M2986" i="1"/>
  <c r="N2986" i="1"/>
  <c r="B2783" i="1"/>
  <c r="D2783" i="1"/>
  <c r="E2783" i="1"/>
  <c r="F2783" i="1"/>
  <c r="K2783" i="1"/>
  <c r="M2783" i="1"/>
  <c r="N2783" i="1"/>
  <c r="B2784" i="1"/>
  <c r="D2784" i="1"/>
  <c r="E2784" i="1"/>
  <c r="F2784" i="1"/>
  <c r="K2784" i="1"/>
  <c r="M2784" i="1"/>
  <c r="N2784" i="1"/>
  <c r="B2785" i="1"/>
  <c r="D2785" i="1"/>
  <c r="E2785" i="1"/>
  <c r="F2785" i="1"/>
  <c r="K2785" i="1"/>
  <c r="M2785" i="1"/>
  <c r="N2785" i="1"/>
  <c r="B2786" i="1"/>
  <c r="D2786" i="1"/>
  <c r="E2786" i="1"/>
  <c r="F2786" i="1"/>
  <c r="K2786" i="1"/>
  <c r="M2786" i="1"/>
  <c r="N2786" i="1"/>
  <c r="B2787" i="1"/>
  <c r="D2787" i="1"/>
  <c r="E2787" i="1"/>
  <c r="F2787" i="1"/>
  <c r="K2787" i="1"/>
  <c r="M2787" i="1"/>
  <c r="N2787" i="1"/>
  <c r="B2788" i="1"/>
  <c r="D2788" i="1"/>
  <c r="E2788" i="1"/>
  <c r="F2788" i="1"/>
  <c r="K2788" i="1"/>
  <c r="M2788" i="1"/>
  <c r="N2788" i="1"/>
  <c r="B2789" i="1"/>
  <c r="D2789" i="1"/>
  <c r="E2789" i="1"/>
  <c r="F2789" i="1"/>
  <c r="K2789" i="1"/>
  <c r="M2789" i="1"/>
  <c r="N2789" i="1"/>
  <c r="B2790" i="1"/>
  <c r="D2790" i="1"/>
  <c r="E2790" i="1"/>
  <c r="F2790" i="1"/>
  <c r="K2790" i="1"/>
  <c r="M2790" i="1"/>
  <c r="N2790" i="1"/>
  <c r="B2791" i="1"/>
  <c r="D2791" i="1"/>
  <c r="E2791" i="1"/>
  <c r="F2791" i="1"/>
  <c r="K2791" i="1"/>
  <c r="M2791" i="1"/>
  <c r="N2791" i="1"/>
  <c r="B2792" i="1"/>
  <c r="D2792" i="1"/>
  <c r="E2792" i="1"/>
  <c r="F2792" i="1"/>
  <c r="K2792" i="1"/>
  <c r="M2792" i="1"/>
  <c r="N2792" i="1"/>
  <c r="B2793" i="1"/>
  <c r="D2793" i="1"/>
  <c r="E2793" i="1"/>
  <c r="F2793" i="1"/>
  <c r="K2793" i="1"/>
  <c r="M2793" i="1"/>
  <c r="N2793" i="1"/>
  <c r="B2794" i="1"/>
  <c r="D2794" i="1"/>
  <c r="E2794" i="1"/>
  <c r="F2794" i="1"/>
  <c r="K2794" i="1"/>
  <c r="M2794" i="1"/>
  <c r="N2794" i="1"/>
  <c r="B2801" i="1"/>
  <c r="D2801" i="1"/>
  <c r="E2801" i="1"/>
  <c r="F2801" i="1"/>
  <c r="K2801" i="1"/>
  <c r="M2801" i="1"/>
  <c r="N2801" i="1"/>
  <c r="B2802" i="1"/>
  <c r="D2802" i="1"/>
  <c r="E2802" i="1"/>
  <c r="F2802" i="1"/>
  <c r="K2802" i="1"/>
  <c r="M2802" i="1"/>
  <c r="N2802" i="1"/>
  <c r="B2803" i="1"/>
  <c r="D2803" i="1"/>
  <c r="E2803" i="1"/>
  <c r="F2803" i="1"/>
  <c r="K2803" i="1"/>
  <c r="M2803" i="1"/>
  <c r="N2803" i="1"/>
  <c r="B2804" i="1"/>
  <c r="D2804" i="1"/>
  <c r="E2804" i="1"/>
  <c r="F2804" i="1"/>
  <c r="K2804" i="1"/>
  <c r="M2804" i="1"/>
  <c r="N2804" i="1"/>
  <c r="B2805" i="1"/>
  <c r="D2805" i="1"/>
  <c r="E2805" i="1"/>
  <c r="F2805" i="1"/>
  <c r="K2805" i="1"/>
  <c r="M2805" i="1"/>
  <c r="N2805" i="1"/>
  <c r="B2812" i="1"/>
  <c r="D2812" i="1"/>
  <c r="E2812" i="1"/>
  <c r="F2812" i="1"/>
  <c r="K2812" i="1"/>
  <c r="M2812" i="1"/>
  <c r="N2812" i="1"/>
  <c r="B2813" i="1"/>
  <c r="D2813" i="1"/>
  <c r="E2813" i="1"/>
  <c r="F2813" i="1"/>
  <c r="K2813" i="1"/>
  <c r="M2813" i="1"/>
  <c r="N2813" i="1"/>
  <c r="B2814" i="1"/>
  <c r="D2814" i="1"/>
  <c r="E2814" i="1"/>
  <c r="F2814" i="1"/>
  <c r="K2814" i="1"/>
  <c r="M2814" i="1"/>
  <c r="N2814" i="1"/>
  <c r="B2815" i="1"/>
  <c r="D2815" i="1"/>
  <c r="E2815" i="1"/>
  <c r="F2815" i="1"/>
  <c r="K2815" i="1"/>
  <c r="M2815" i="1"/>
  <c r="N2815" i="1"/>
  <c r="B2816" i="1"/>
  <c r="D2816" i="1"/>
  <c r="E2816" i="1"/>
  <c r="F2816" i="1"/>
  <c r="K2816" i="1"/>
  <c r="M2816" i="1"/>
  <c r="N2816" i="1"/>
  <c r="B2817" i="1"/>
  <c r="D2817" i="1"/>
  <c r="E2817" i="1"/>
  <c r="F2817" i="1"/>
  <c r="K2817" i="1"/>
  <c r="M2817" i="1"/>
  <c r="N2817" i="1"/>
  <c r="B2818" i="1"/>
  <c r="D2818" i="1"/>
  <c r="E2818" i="1"/>
  <c r="F2818" i="1"/>
  <c r="K2818" i="1"/>
  <c r="M2818" i="1"/>
  <c r="N2818" i="1"/>
  <c r="B2819" i="1"/>
  <c r="D2819" i="1"/>
  <c r="E2819" i="1"/>
  <c r="F2819" i="1"/>
  <c r="K2819" i="1"/>
  <c r="M2819" i="1"/>
  <c r="N2819" i="1"/>
  <c r="B2820" i="1"/>
  <c r="D2820" i="1"/>
  <c r="E2820" i="1"/>
  <c r="F2820" i="1"/>
  <c r="K2820" i="1"/>
  <c r="M2820" i="1"/>
  <c r="N2820" i="1"/>
  <c r="B2821" i="1"/>
  <c r="D2821" i="1"/>
  <c r="E2821" i="1"/>
  <c r="F2821" i="1"/>
  <c r="K2821" i="1"/>
  <c r="M2821" i="1"/>
  <c r="N2821" i="1"/>
  <c r="B2822" i="1"/>
  <c r="D2822" i="1"/>
  <c r="E2822" i="1"/>
  <c r="F2822" i="1"/>
  <c r="K2822" i="1"/>
  <c r="M2822" i="1"/>
  <c r="N2822" i="1"/>
  <c r="B2823" i="1"/>
  <c r="D2823" i="1"/>
  <c r="E2823" i="1"/>
  <c r="F2823" i="1"/>
  <c r="K2823" i="1"/>
  <c r="M2823" i="1"/>
  <c r="N2823" i="1"/>
  <c r="B2824" i="1"/>
  <c r="D2824" i="1"/>
  <c r="E2824" i="1"/>
  <c r="F2824" i="1"/>
  <c r="K2824" i="1"/>
  <c r="M2824" i="1"/>
  <c r="N2824" i="1"/>
  <c r="B2825" i="1"/>
  <c r="D2825" i="1"/>
  <c r="E2825" i="1"/>
  <c r="F2825" i="1"/>
  <c r="K2825" i="1"/>
  <c r="M2825" i="1"/>
  <c r="N2825" i="1"/>
  <c r="B2826" i="1"/>
  <c r="D2826" i="1"/>
  <c r="E2826" i="1"/>
  <c r="F2826" i="1"/>
  <c r="K2826" i="1"/>
  <c r="M2826" i="1"/>
  <c r="N2826" i="1"/>
  <c r="B2827" i="1"/>
  <c r="D2827" i="1"/>
  <c r="E2827" i="1"/>
  <c r="F2827" i="1"/>
  <c r="K2827" i="1"/>
  <c r="M2827" i="1"/>
  <c r="N2827" i="1"/>
  <c r="B2828" i="1"/>
  <c r="D2828" i="1"/>
  <c r="E2828" i="1"/>
  <c r="F2828" i="1"/>
  <c r="K2828" i="1"/>
  <c r="M2828" i="1"/>
  <c r="N2828" i="1"/>
  <c r="B2829" i="1"/>
  <c r="D2829" i="1"/>
  <c r="E2829" i="1"/>
  <c r="F2829" i="1"/>
  <c r="K2829" i="1"/>
  <c r="M2829" i="1"/>
  <c r="N2829" i="1"/>
  <c r="B2830" i="1"/>
  <c r="D2830" i="1"/>
  <c r="E2830" i="1"/>
  <c r="F2830" i="1"/>
  <c r="K2830" i="1"/>
  <c r="M2830" i="1"/>
  <c r="N2830" i="1"/>
  <c r="B2831" i="1"/>
  <c r="D2831" i="1"/>
  <c r="E2831" i="1"/>
  <c r="F2831" i="1"/>
  <c r="K2831" i="1"/>
  <c r="M2831" i="1"/>
  <c r="N2831" i="1"/>
  <c r="B2832" i="1"/>
  <c r="D2832" i="1"/>
  <c r="E2832" i="1"/>
  <c r="F2832" i="1"/>
  <c r="K2832" i="1"/>
  <c r="M2832" i="1"/>
  <c r="N2832" i="1"/>
  <c r="B2833" i="1"/>
  <c r="D2833" i="1"/>
  <c r="E2833" i="1"/>
  <c r="F2833" i="1"/>
  <c r="K2833" i="1"/>
  <c r="M2833" i="1"/>
  <c r="N2833" i="1"/>
  <c r="B2834" i="1"/>
  <c r="D2834" i="1"/>
  <c r="E2834" i="1"/>
  <c r="F2834" i="1"/>
  <c r="K2834" i="1"/>
  <c r="M2834" i="1"/>
  <c r="N2834" i="1"/>
  <c r="B2987" i="1"/>
  <c r="K2987" i="1"/>
  <c r="M2987" i="1"/>
  <c r="N2987" i="1"/>
  <c r="B2988" i="1"/>
  <c r="K2988" i="1"/>
  <c r="M2988" i="1"/>
  <c r="N2988" i="1"/>
  <c r="B2989" i="1"/>
  <c r="D2989" i="1"/>
  <c r="E2989" i="1"/>
  <c r="F2989" i="1"/>
  <c r="K2989" i="1"/>
  <c r="M2989" i="1"/>
  <c r="N2989" i="1"/>
  <c r="B3125" i="1"/>
  <c r="K3125" i="1"/>
  <c r="M3125" i="1"/>
  <c r="N3125" i="1"/>
  <c r="B3126" i="1"/>
  <c r="K3126" i="1"/>
  <c r="M3126" i="1"/>
  <c r="N3126" i="1"/>
  <c r="B3127" i="1"/>
  <c r="K3127" i="1"/>
  <c r="M3127" i="1"/>
  <c r="N3127" i="1"/>
  <c r="B3128" i="1"/>
  <c r="K3128" i="1"/>
  <c r="M3128" i="1"/>
  <c r="N3128" i="1"/>
  <c r="B3129" i="1"/>
  <c r="K3129" i="1"/>
  <c r="M3129" i="1"/>
  <c r="N3129" i="1"/>
  <c r="B3130" i="1"/>
  <c r="K3130" i="1"/>
  <c r="M3130" i="1"/>
  <c r="N3130" i="1"/>
  <c r="B3131" i="1"/>
  <c r="K3131" i="1"/>
  <c r="M3131" i="1"/>
  <c r="N3131" i="1"/>
  <c r="B3132" i="1"/>
  <c r="K3132" i="1"/>
  <c r="M3132" i="1"/>
  <c r="N3132" i="1"/>
  <c r="B3133" i="1"/>
  <c r="K3133" i="1"/>
  <c r="M3133" i="1"/>
  <c r="N3133" i="1"/>
  <c r="B3134" i="1"/>
  <c r="K3134" i="1"/>
  <c r="M3134" i="1"/>
  <c r="N3134" i="1"/>
  <c r="B3135" i="1"/>
  <c r="K3135" i="1"/>
  <c r="M3135" i="1"/>
  <c r="N3135" i="1"/>
  <c r="B3136" i="1"/>
  <c r="K3136" i="1"/>
  <c r="M3136" i="1"/>
  <c r="N3136" i="1"/>
  <c r="B3137" i="1"/>
  <c r="K3137" i="1"/>
  <c r="M3137" i="1"/>
  <c r="N3137" i="1"/>
  <c r="B3138" i="1"/>
  <c r="K3138" i="1"/>
  <c r="M3138" i="1"/>
  <c r="N3138" i="1"/>
  <c r="B3139" i="1"/>
  <c r="K3139" i="1"/>
  <c r="M3139" i="1"/>
  <c r="N3139" i="1"/>
  <c r="B3140" i="1"/>
  <c r="K3140" i="1"/>
  <c r="M3140" i="1"/>
  <c r="N3140" i="1"/>
  <c r="B2782" i="1"/>
  <c r="D2782" i="1"/>
  <c r="E2782" i="1"/>
  <c r="F2782" i="1"/>
  <c r="K2782" i="1"/>
  <c r="M2782" i="1"/>
  <c r="N2782" i="1"/>
  <c r="B3141" i="1"/>
  <c r="K3141" i="1"/>
  <c r="M3141" i="1"/>
  <c r="N3141" i="1"/>
  <c r="B2748" i="1"/>
  <c r="D2748" i="1"/>
  <c r="E2748" i="1"/>
  <c r="F2748" i="1"/>
  <c r="K2748" i="1"/>
  <c r="M2748" i="1"/>
  <c r="N2748" i="1"/>
  <c r="B2749" i="1"/>
  <c r="D2749" i="1"/>
  <c r="E2749" i="1"/>
  <c r="F2749" i="1"/>
  <c r="K2749" i="1"/>
  <c r="M2749" i="1"/>
  <c r="N2749" i="1"/>
  <c r="B2750" i="1"/>
  <c r="D2750" i="1"/>
  <c r="E2750" i="1"/>
  <c r="F2750" i="1"/>
  <c r="K2750" i="1"/>
  <c r="M2750" i="1"/>
  <c r="N2750" i="1"/>
  <c r="D2696" i="1"/>
  <c r="B2650" i="1"/>
  <c r="D2650" i="1"/>
  <c r="E2650" i="1"/>
  <c r="F2650" i="1"/>
  <c r="K2650" i="1"/>
  <c r="M2650" i="1"/>
  <c r="N2650" i="1"/>
  <c r="B2651" i="1"/>
  <c r="D2651" i="1"/>
  <c r="E2651" i="1"/>
  <c r="F2651" i="1"/>
  <c r="K2651" i="1"/>
  <c r="M2651" i="1"/>
  <c r="N2651" i="1"/>
  <c r="B2652" i="1"/>
  <c r="D2652" i="1"/>
  <c r="E2652" i="1"/>
  <c r="F2652" i="1"/>
  <c r="K2652" i="1"/>
  <c r="M2652" i="1"/>
  <c r="N2652" i="1"/>
  <c r="B2653" i="1"/>
  <c r="D2653" i="1"/>
  <c r="E2653" i="1"/>
  <c r="F2653" i="1"/>
  <c r="K2653" i="1"/>
  <c r="M2653" i="1"/>
  <c r="N2653" i="1"/>
  <c r="B2654" i="1"/>
  <c r="D2654" i="1"/>
  <c r="E2654" i="1"/>
  <c r="F2654" i="1"/>
  <c r="K2654" i="1"/>
  <c r="M2654" i="1"/>
  <c r="N2654" i="1"/>
  <c r="B2655" i="1"/>
  <c r="D2655" i="1"/>
  <c r="E2655" i="1"/>
  <c r="F2655" i="1"/>
  <c r="K2655" i="1"/>
  <c r="M2655" i="1"/>
  <c r="N2655" i="1"/>
  <c r="B2656" i="1"/>
  <c r="D2656" i="1"/>
  <c r="E2656" i="1"/>
  <c r="F2656" i="1"/>
  <c r="K2656" i="1"/>
  <c r="M2656" i="1"/>
  <c r="N2656" i="1"/>
  <c r="B2657" i="1"/>
  <c r="D2657" i="1"/>
  <c r="E2657" i="1"/>
  <c r="F2657" i="1"/>
  <c r="K2657" i="1"/>
  <c r="M2657" i="1"/>
  <c r="N2657" i="1"/>
  <c r="B2658" i="1"/>
  <c r="D2658" i="1"/>
  <c r="E2658" i="1"/>
  <c r="F2658" i="1"/>
  <c r="K2658" i="1"/>
  <c r="M2658" i="1"/>
  <c r="N2658" i="1"/>
  <c r="B2659" i="1"/>
  <c r="D2659" i="1"/>
  <c r="E2659" i="1"/>
  <c r="F2659" i="1"/>
  <c r="K2659" i="1"/>
  <c r="M2659" i="1"/>
  <c r="N2659" i="1"/>
  <c r="B2660" i="1"/>
  <c r="D2660" i="1"/>
  <c r="E2660" i="1"/>
  <c r="F2660" i="1"/>
  <c r="K2660" i="1"/>
  <c r="M2660" i="1"/>
  <c r="N2660" i="1"/>
  <c r="B2661" i="1"/>
  <c r="D2661" i="1"/>
  <c r="E2661" i="1"/>
  <c r="F2661" i="1"/>
  <c r="K2661" i="1"/>
  <c r="M2661" i="1"/>
  <c r="N2661" i="1"/>
  <c r="B2662" i="1"/>
  <c r="D2662" i="1"/>
  <c r="E2662" i="1"/>
  <c r="F2662" i="1"/>
  <c r="K2662" i="1"/>
  <c r="M2662" i="1"/>
  <c r="N2662" i="1"/>
  <c r="B2663" i="1"/>
  <c r="D2663" i="1"/>
  <c r="E2663" i="1"/>
  <c r="F2663" i="1"/>
  <c r="K2663" i="1"/>
  <c r="M2663" i="1"/>
  <c r="N2663" i="1"/>
  <c r="B2664" i="1"/>
  <c r="D2664" i="1"/>
  <c r="E2664" i="1"/>
  <c r="F2664" i="1"/>
  <c r="K2664" i="1"/>
  <c r="M2664" i="1"/>
  <c r="N2664" i="1"/>
  <c r="B2665" i="1"/>
  <c r="D2665" i="1"/>
  <c r="E2665" i="1"/>
  <c r="F2665" i="1"/>
  <c r="K2665" i="1"/>
  <c r="M2665" i="1"/>
  <c r="N2665" i="1"/>
  <c r="B2666" i="1"/>
  <c r="D2666" i="1"/>
  <c r="E2666" i="1"/>
  <c r="F2666" i="1"/>
  <c r="K2666" i="1"/>
  <c r="M2666" i="1"/>
  <c r="N2666" i="1"/>
  <c r="B2667" i="1"/>
  <c r="D2667" i="1"/>
  <c r="E2667" i="1"/>
  <c r="F2667" i="1"/>
  <c r="K2667" i="1"/>
  <c r="M2667" i="1"/>
  <c r="N2667" i="1"/>
  <c r="B2668" i="1"/>
  <c r="D2668" i="1"/>
  <c r="E2668" i="1"/>
  <c r="F2668" i="1"/>
  <c r="K2668" i="1"/>
  <c r="M2668" i="1"/>
  <c r="N2668" i="1"/>
  <c r="B2669" i="1"/>
  <c r="D2669" i="1"/>
  <c r="E2669" i="1"/>
  <c r="F2669" i="1"/>
  <c r="K2669" i="1"/>
  <c r="M2669" i="1"/>
  <c r="N2669" i="1"/>
  <c r="B2670" i="1"/>
  <c r="D2670" i="1"/>
  <c r="E2670" i="1"/>
  <c r="F2670" i="1"/>
  <c r="K2670" i="1"/>
  <c r="M2670" i="1"/>
  <c r="N2670" i="1"/>
  <c r="B2671" i="1"/>
  <c r="D2671" i="1"/>
  <c r="E2671" i="1"/>
  <c r="F2671" i="1"/>
  <c r="K2671" i="1"/>
  <c r="M2671" i="1"/>
  <c r="N2671" i="1"/>
  <c r="B2672" i="1"/>
  <c r="D2672" i="1"/>
  <c r="E2672" i="1"/>
  <c r="F2672" i="1"/>
  <c r="K2672" i="1"/>
  <c r="M2672" i="1"/>
  <c r="N2672" i="1"/>
  <c r="B2673" i="1"/>
  <c r="D2673" i="1"/>
  <c r="E2673" i="1"/>
  <c r="F2673" i="1"/>
  <c r="K2673" i="1"/>
  <c r="M2673" i="1"/>
  <c r="N2673" i="1"/>
  <c r="B2674" i="1"/>
  <c r="D2674" i="1"/>
  <c r="E2674" i="1"/>
  <c r="F2674" i="1"/>
  <c r="K2674" i="1"/>
  <c r="M2674" i="1"/>
  <c r="N2674" i="1"/>
  <c r="B2675" i="1"/>
  <c r="D2675" i="1"/>
  <c r="E2675" i="1"/>
  <c r="F2675" i="1"/>
  <c r="K2675" i="1"/>
  <c r="M2675" i="1"/>
  <c r="N2675" i="1"/>
  <c r="B2676" i="1"/>
  <c r="D2676" i="1"/>
  <c r="E2676" i="1"/>
  <c r="F2676" i="1"/>
  <c r="K2676" i="1"/>
  <c r="M2676" i="1"/>
  <c r="N2676" i="1"/>
  <c r="B2677" i="1"/>
  <c r="D2677" i="1"/>
  <c r="E2677" i="1"/>
  <c r="F2677" i="1"/>
  <c r="K2677" i="1"/>
  <c r="M2677" i="1"/>
  <c r="N2677" i="1"/>
  <c r="B2678" i="1"/>
  <c r="D2678" i="1"/>
  <c r="E2678" i="1"/>
  <c r="F2678" i="1"/>
  <c r="K2678" i="1"/>
  <c r="M2678" i="1"/>
  <c r="N2678" i="1"/>
  <c r="B2679" i="1"/>
  <c r="D2679" i="1"/>
  <c r="E2679" i="1"/>
  <c r="F2679" i="1"/>
  <c r="K2679" i="1"/>
  <c r="M2679" i="1"/>
  <c r="N2679" i="1"/>
  <c r="B2680" i="1"/>
  <c r="D2680" i="1"/>
  <c r="E2680" i="1"/>
  <c r="F2680" i="1"/>
  <c r="K2680" i="1"/>
  <c r="M2680" i="1"/>
  <c r="N2680" i="1"/>
  <c r="B2681" i="1"/>
  <c r="D2681" i="1"/>
  <c r="E2681" i="1"/>
  <c r="F2681" i="1"/>
  <c r="K2681" i="1"/>
  <c r="M2681" i="1"/>
  <c r="N2681" i="1"/>
  <c r="B2682" i="1"/>
  <c r="D2682" i="1"/>
  <c r="E2682" i="1"/>
  <c r="F2682" i="1"/>
  <c r="K2682" i="1"/>
  <c r="M2682" i="1"/>
  <c r="N2682" i="1"/>
  <c r="B2683" i="1"/>
  <c r="D2683" i="1"/>
  <c r="E2683" i="1"/>
  <c r="F2683" i="1"/>
  <c r="K2683" i="1"/>
  <c r="M2683" i="1"/>
  <c r="N2683" i="1"/>
  <c r="B2684" i="1"/>
  <c r="D2684" i="1"/>
  <c r="E2684" i="1"/>
  <c r="F2684" i="1"/>
  <c r="K2684" i="1"/>
  <c r="M2684" i="1"/>
  <c r="N2684" i="1"/>
  <c r="B2685" i="1"/>
  <c r="D2685" i="1"/>
  <c r="E2685" i="1"/>
  <c r="F2685" i="1"/>
  <c r="K2685" i="1"/>
  <c r="M2685" i="1"/>
  <c r="N2685" i="1"/>
  <c r="B2686" i="1"/>
  <c r="D2686" i="1"/>
  <c r="E2686" i="1"/>
  <c r="F2686" i="1"/>
  <c r="K2686" i="1"/>
  <c r="M2686" i="1"/>
  <c r="N2686" i="1"/>
  <c r="B2687" i="1"/>
  <c r="D2687" i="1"/>
  <c r="E2687" i="1"/>
  <c r="F2687" i="1"/>
  <c r="K2687" i="1"/>
  <c r="M2687" i="1"/>
  <c r="N2687" i="1"/>
  <c r="B2688" i="1"/>
  <c r="D2688" i="1"/>
  <c r="E2688" i="1"/>
  <c r="F2688" i="1"/>
  <c r="K2688" i="1"/>
  <c r="M2688" i="1"/>
  <c r="N2688" i="1"/>
  <c r="B2689" i="1"/>
  <c r="D2689" i="1"/>
  <c r="E2689" i="1"/>
  <c r="F2689" i="1"/>
  <c r="K2689" i="1"/>
  <c r="M2689" i="1"/>
  <c r="N2689" i="1"/>
  <c r="B2690" i="1"/>
  <c r="D2690" i="1"/>
  <c r="E2690" i="1"/>
  <c r="F2690" i="1"/>
  <c r="K2690" i="1"/>
  <c r="M2690" i="1"/>
  <c r="N2690" i="1"/>
  <c r="B2691" i="1"/>
  <c r="D2691" i="1"/>
  <c r="E2691" i="1"/>
  <c r="F2691" i="1"/>
  <c r="K2691" i="1"/>
  <c r="M2691" i="1"/>
  <c r="N2691" i="1"/>
  <c r="B2692" i="1"/>
  <c r="D2692" i="1"/>
  <c r="E2692" i="1"/>
  <c r="F2692" i="1"/>
  <c r="K2692" i="1"/>
  <c r="M2692" i="1"/>
  <c r="N2692" i="1"/>
  <c r="B2693" i="1"/>
  <c r="D2693" i="1"/>
  <c r="E2693" i="1"/>
  <c r="F2693" i="1"/>
  <c r="K2693" i="1"/>
  <c r="M2693" i="1"/>
  <c r="N2693" i="1"/>
  <c r="B2694" i="1"/>
  <c r="D2694" i="1"/>
  <c r="E2694" i="1"/>
  <c r="F2694" i="1"/>
  <c r="K2694" i="1"/>
  <c r="M2694" i="1"/>
  <c r="N2694" i="1"/>
  <c r="B2695" i="1"/>
  <c r="D2695" i="1"/>
  <c r="E2695" i="1"/>
  <c r="F2695" i="1"/>
  <c r="K2695" i="1"/>
  <c r="M2695" i="1"/>
  <c r="N2695" i="1"/>
  <c r="B2696" i="1"/>
  <c r="E2696" i="1"/>
  <c r="F2696" i="1"/>
  <c r="K2696" i="1"/>
  <c r="M2696" i="1"/>
  <c r="N2696" i="1"/>
  <c r="B2697" i="1"/>
  <c r="D2697" i="1"/>
  <c r="E2697" i="1"/>
  <c r="F2697" i="1"/>
  <c r="K2697" i="1"/>
  <c r="M2697" i="1"/>
  <c r="N2697" i="1"/>
  <c r="B2698" i="1"/>
  <c r="D2698" i="1"/>
  <c r="E2698" i="1"/>
  <c r="F2698" i="1"/>
  <c r="K2698" i="1"/>
  <c r="M2698" i="1"/>
  <c r="N2698" i="1"/>
  <c r="B2699" i="1"/>
  <c r="D2699" i="1"/>
  <c r="E2699" i="1"/>
  <c r="F2699" i="1"/>
  <c r="K2699" i="1"/>
  <c r="M2699" i="1"/>
  <c r="N2699" i="1"/>
  <c r="B2700" i="1"/>
  <c r="D2700" i="1"/>
  <c r="E2700" i="1"/>
  <c r="F2700" i="1"/>
  <c r="K2700" i="1"/>
  <c r="M2700" i="1"/>
  <c r="N2700" i="1"/>
  <c r="B2701" i="1"/>
  <c r="D2701" i="1"/>
  <c r="E2701" i="1"/>
  <c r="F2701" i="1"/>
  <c r="K2701" i="1"/>
  <c r="M2701" i="1"/>
  <c r="N2701" i="1"/>
  <c r="B2702" i="1"/>
  <c r="D2702" i="1"/>
  <c r="E2702" i="1"/>
  <c r="F2702" i="1"/>
  <c r="K2702" i="1"/>
  <c r="M2702" i="1"/>
  <c r="N2702" i="1"/>
  <c r="B2703" i="1"/>
  <c r="D2703" i="1"/>
  <c r="E2703" i="1"/>
  <c r="F2703" i="1"/>
  <c r="K2703" i="1"/>
  <c r="M2703" i="1"/>
  <c r="N2703" i="1"/>
  <c r="B2704" i="1"/>
  <c r="D2704" i="1"/>
  <c r="E2704" i="1"/>
  <c r="F2704" i="1"/>
  <c r="K2704" i="1"/>
  <c r="M2704" i="1"/>
  <c r="N2704" i="1"/>
  <c r="B2705" i="1"/>
  <c r="D2705" i="1"/>
  <c r="E2705" i="1"/>
  <c r="F2705" i="1"/>
  <c r="K2705" i="1"/>
  <c r="M2705" i="1"/>
  <c r="N2705" i="1"/>
  <c r="B2706" i="1"/>
  <c r="D2706" i="1"/>
  <c r="E2706" i="1"/>
  <c r="F2706" i="1"/>
  <c r="K2706" i="1"/>
  <c r="M2706" i="1"/>
  <c r="N2706" i="1"/>
  <c r="B2707" i="1"/>
  <c r="D2707" i="1"/>
  <c r="E2707" i="1"/>
  <c r="F2707" i="1"/>
  <c r="K2707" i="1"/>
  <c r="M2707" i="1"/>
  <c r="N2707" i="1"/>
  <c r="B2708" i="1"/>
  <c r="D2708" i="1"/>
  <c r="E2708" i="1"/>
  <c r="F2708" i="1"/>
  <c r="K2708" i="1"/>
  <c r="M2708" i="1"/>
  <c r="N2708" i="1"/>
  <c r="B2709" i="1"/>
  <c r="D2709" i="1"/>
  <c r="E2709" i="1"/>
  <c r="F2709" i="1"/>
  <c r="K2709" i="1"/>
  <c r="M2709" i="1"/>
  <c r="N2709" i="1"/>
  <c r="B2710" i="1"/>
  <c r="D2710" i="1"/>
  <c r="E2710" i="1"/>
  <c r="F2710" i="1"/>
  <c r="K2710" i="1"/>
  <c r="M2710" i="1"/>
  <c r="N2710" i="1"/>
  <c r="B2711" i="1"/>
  <c r="D2711" i="1"/>
  <c r="E2711" i="1"/>
  <c r="F2711" i="1"/>
  <c r="K2711" i="1"/>
  <c r="M2711" i="1"/>
  <c r="N2711" i="1"/>
  <c r="B2712" i="1"/>
  <c r="D2712" i="1"/>
  <c r="E2712" i="1"/>
  <c r="F2712" i="1"/>
  <c r="K2712" i="1"/>
  <c r="M2712" i="1"/>
  <c r="N2712" i="1"/>
  <c r="B2713" i="1"/>
  <c r="D2713" i="1"/>
  <c r="E2713" i="1"/>
  <c r="F2713" i="1"/>
  <c r="K2713" i="1"/>
  <c r="M2713" i="1"/>
  <c r="N2713" i="1"/>
  <c r="B2714" i="1"/>
  <c r="D2714" i="1"/>
  <c r="E2714" i="1"/>
  <c r="F2714" i="1"/>
  <c r="K2714" i="1"/>
  <c r="M2714" i="1"/>
  <c r="N2714" i="1"/>
  <c r="B2715" i="1"/>
  <c r="D2715" i="1"/>
  <c r="E2715" i="1"/>
  <c r="F2715" i="1"/>
  <c r="K2715" i="1"/>
  <c r="M2715" i="1"/>
  <c r="N2715" i="1"/>
  <c r="B2716" i="1"/>
  <c r="D2716" i="1"/>
  <c r="E2716" i="1"/>
  <c r="F2716" i="1"/>
  <c r="K2716" i="1"/>
  <c r="M2716" i="1"/>
  <c r="N2716" i="1"/>
  <c r="B2717" i="1"/>
  <c r="D2717" i="1"/>
  <c r="E2717" i="1"/>
  <c r="F2717" i="1"/>
  <c r="K2717" i="1"/>
  <c r="M2717" i="1"/>
  <c r="N2717" i="1"/>
  <c r="B2718" i="1"/>
  <c r="D2718" i="1"/>
  <c r="E2718" i="1"/>
  <c r="F2718" i="1"/>
  <c r="K2718" i="1"/>
  <c r="M2718" i="1"/>
  <c r="N2718" i="1"/>
  <c r="B2719" i="1"/>
  <c r="D2719" i="1"/>
  <c r="E2719" i="1"/>
  <c r="F2719" i="1"/>
  <c r="K2719" i="1"/>
  <c r="M2719" i="1"/>
  <c r="N2719" i="1"/>
  <c r="B2720" i="1"/>
  <c r="D2720" i="1"/>
  <c r="E2720" i="1"/>
  <c r="F2720" i="1"/>
  <c r="K2720" i="1"/>
  <c r="M2720" i="1"/>
  <c r="N2720" i="1"/>
  <c r="B2721" i="1"/>
  <c r="D2721" i="1"/>
  <c r="E2721" i="1"/>
  <c r="F2721" i="1"/>
  <c r="K2721" i="1"/>
  <c r="M2721" i="1"/>
  <c r="N2721" i="1"/>
  <c r="B2722" i="1"/>
  <c r="D2722" i="1"/>
  <c r="E2722" i="1"/>
  <c r="F2722" i="1"/>
  <c r="K2722" i="1"/>
  <c r="M2722" i="1"/>
  <c r="N2722" i="1"/>
  <c r="B2723" i="1"/>
  <c r="D2723" i="1"/>
  <c r="E2723" i="1"/>
  <c r="F2723" i="1"/>
  <c r="K2723" i="1"/>
  <c r="M2723" i="1"/>
  <c r="N2723" i="1"/>
  <c r="B2724" i="1"/>
  <c r="D2724" i="1"/>
  <c r="E2724" i="1"/>
  <c r="F2724" i="1"/>
  <c r="K2724" i="1"/>
  <c r="M2724" i="1"/>
  <c r="N2724" i="1"/>
  <c r="B2725" i="1"/>
  <c r="D2725" i="1"/>
  <c r="E2725" i="1"/>
  <c r="F2725" i="1"/>
  <c r="K2725" i="1"/>
  <c r="M2725" i="1"/>
  <c r="N2725" i="1"/>
  <c r="B2726" i="1"/>
  <c r="D2726" i="1"/>
  <c r="E2726" i="1"/>
  <c r="F2726" i="1"/>
  <c r="K2726" i="1"/>
  <c r="M2726" i="1"/>
  <c r="N2726" i="1"/>
  <c r="B2727" i="1"/>
  <c r="D2727" i="1"/>
  <c r="E2727" i="1"/>
  <c r="F2727" i="1"/>
  <c r="K2727" i="1"/>
  <c r="M2727" i="1"/>
  <c r="N2727" i="1"/>
  <c r="B2728" i="1"/>
  <c r="D2728" i="1"/>
  <c r="E2728" i="1"/>
  <c r="F2728" i="1"/>
  <c r="K2728" i="1"/>
  <c r="M2728" i="1"/>
  <c r="N2728" i="1"/>
  <c r="B2729" i="1"/>
  <c r="D2729" i="1"/>
  <c r="E2729" i="1"/>
  <c r="F2729" i="1"/>
  <c r="K2729" i="1"/>
  <c r="M2729" i="1"/>
  <c r="N2729" i="1"/>
  <c r="B2730" i="1"/>
  <c r="D2730" i="1"/>
  <c r="E2730" i="1"/>
  <c r="F2730" i="1"/>
  <c r="K2730" i="1"/>
  <c r="M2730" i="1"/>
  <c r="N2730" i="1"/>
  <c r="B2731" i="1"/>
  <c r="D2731" i="1"/>
  <c r="E2731" i="1"/>
  <c r="F2731" i="1"/>
  <c r="K2731" i="1"/>
  <c r="M2731" i="1"/>
  <c r="N2731" i="1"/>
  <c r="B2732" i="1"/>
  <c r="D2732" i="1"/>
  <c r="E2732" i="1"/>
  <c r="F2732" i="1"/>
  <c r="K2732" i="1"/>
  <c r="M2732" i="1"/>
  <c r="N2732" i="1"/>
  <c r="B2733" i="1"/>
  <c r="D2733" i="1"/>
  <c r="E2733" i="1"/>
  <c r="F2733" i="1"/>
  <c r="K2733" i="1"/>
  <c r="M2733" i="1"/>
  <c r="N2733" i="1"/>
  <c r="B2734" i="1"/>
  <c r="D2734" i="1"/>
  <c r="E2734" i="1"/>
  <c r="F2734" i="1"/>
  <c r="K2734" i="1"/>
  <c r="M2734" i="1"/>
  <c r="N2734" i="1"/>
  <c r="B2735" i="1"/>
  <c r="D2735" i="1"/>
  <c r="E2735" i="1"/>
  <c r="F2735" i="1"/>
  <c r="K2735" i="1"/>
  <c r="M2735" i="1"/>
  <c r="N2735" i="1"/>
  <c r="B2736" i="1"/>
  <c r="D2736" i="1"/>
  <c r="E2736" i="1"/>
  <c r="F2736" i="1"/>
  <c r="K2736" i="1"/>
  <c r="M2736" i="1"/>
  <c r="N2736" i="1"/>
  <c r="B2737" i="1"/>
  <c r="D2737" i="1"/>
  <c r="E2737" i="1"/>
  <c r="F2737" i="1"/>
  <c r="K2737" i="1"/>
  <c r="M2737" i="1"/>
  <c r="N2737" i="1"/>
  <c r="B2738" i="1"/>
  <c r="D2738" i="1"/>
  <c r="E2738" i="1"/>
  <c r="F2738" i="1"/>
  <c r="K2738" i="1"/>
  <c r="M2738" i="1"/>
  <c r="N2738" i="1"/>
  <c r="B2739" i="1"/>
  <c r="D2739" i="1"/>
  <c r="E2739" i="1"/>
  <c r="F2739" i="1"/>
  <c r="K2739" i="1"/>
  <c r="M2739" i="1"/>
  <c r="N2739" i="1"/>
  <c r="B2740" i="1"/>
  <c r="D2740" i="1"/>
  <c r="E2740" i="1"/>
  <c r="F2740" i="1"/>
  <c r="K2740" i="1"/>
  <c r="M2740" i="1"/>
  <c r="N2740" i="1"/>
  <c r="B2741" i="1"/>
  <c r="D2741" i="1"/>
  <c r="E2741" i="1"/>
  <c r="F2741" i="1"/>
  <c r="K2741" i="1"/>
  <c r="M2741" i="1"/>
  <c r="N2741" i="1"/>
  <c r="B2742" i="1"/>
  <c r="D2742" i="1"/>
  <c r="E2742" i="1"/>
  <c r="F2742" i="1"/>
  <c r="K2742" i="1"/>
  <c r="M2742" i="1"/>
  <c r="N2742" i="1"/>
  <c r="B2743" i="1"/>
  <c r="D2743" i="1"/>
  <c r="E2743" i="1"/>
  <c r="F2743" i="1"/>
  <c r="K2743" i="1"/>
  <c r="M2743" i="1"/>
  <c r="N2743" i="1"/>
  <c r="B2744" i="1"/>
  <c r="D2744" i="1"/>
  <c r="E2744" i="1"/>
  <c r="F2744" i="1"/>
  <c r="K2744" i="1"/>
  <c r="M2744" i="1"/>
  <c r="N2744" i="1"/>
  <c r="B2745" i="1"/>
  <c r="D2745" i="1"/>
  <c r="E2745" i="1"/>
  <c r="F2745" i="1"/>
  <c r="K2745" i="1"/>
  <c r="M2745" i="1"/>
  <c r="N2745" i="1"/>
  <c r="B2746" i="1"/>
  <c r="D2746" i="1"/>
  <c r="E2746" i="1"/>
  <c r="F2746" i="1"/>
  <c r="K2746" i="1"/>
  <c r="M2746" i="1"/>
  <c r="N2746" i="1"/>
  <c r="B2747" i="1"/>
  <c r="D2747" i="1"/>
  <c r="E2747" i="1"/>
  <c r="F2747" i="1"/>
  <c r="K2747" i="1"/>
  <c r="M2747" i="1"/>
  <c r="N2747" i="1"/>
  <c r="B2751" i="1"/>
  <c r="D2751" i="1"/>
  <c r="E2751" i="1"/>
  <c r="F2751" i="1"/>
  <c r="K2751" i="1"/>
  <c r="M2751" i="1"/>
  <c r="N2751" i="1"/>
  <c r="B2752" i="1"/>
  <c r="D2752" i="1"/>
  <c r="E2752" i="1"/>
  <c r="F2752" i="1"/>
  <c r="K2752" i="1"/>
  <c r="M2752" i="1"/>
  <c r="N2752" i="1"/>
  <c r="B2753" i="1"/>
  <c r="D2753" i="1"/>
  <c r="E2753" i="1"/>
  <c r="F2753" i="1"/>
  <c r="K2753" i="1"/>
  <c r="M2753" i="1"/>
  <c r="N2753" i="1"/>
  <c r="B2754" i="1"/>
  <c r="D2754" i="1"/>
  <c r="E2754" i="1"/>
  <c r="F2754" i="1"/>
  <c r="K2754" i="1"/>
  <c r="M2754" i="1"/>
  <c r="N2754" i="1"/>
  <c r="B2755" i="1"/>
  <c r="D2755" i="1"/>
  <c r="E2755" i="1"/>
  <c r="F2755" i="1"/>
  <c r="K2755" i="1"/>
  <c r="M2755" i="1"/>
  <c r="N2755" i="1"/>
  <c r="B2756" i="1"/>
  <c r="D2756" i="1"/>
  <c r="E2756" i="1"/>
  <c r="F2756" i="1"/>
  <c r="K2756" i="1"/>
  <c r="M2756" i="1"/>
  <c r="N2756" i="1"/>
  <c r="B2757" i="1"/>
  <c r="D2757" i="1"/>
  <c r="E2757" i="1"/>
  <c r="F2757" i="1"/>
  <c r="K2757" i="1"/>
  <c r="M2757" i="1"/>
  <c r="N2757" i="1"/>
  <c r="B2758" i="1"/>
  <c r="D2758" i="1"/>
  <c r="E2758" i="1"/>
  <c r="F2758" i="1"/>
  <c r="K2758" i="1"/>
  <c r="M2758" i="1"/>
  <c r="N2758" i="1"/>
  <c r="B2759" i="1"/>
  <c r="D2759" i="1"/>
  <c r="E2759" i="1"/>
  <c r="F2759" i="1"/>
  <c r="K2759" i="1"/>
  <c r="M2759" i="1"/>
  <c r="N2759" i="1"/>
  <c r="B2760" i="1"/>
  <c r="D2760" i="1"/>
  <c r="E2760" i="1"/>
  <c r="F2760" i="1"/>
  <c r="K2760" i="1"/>
  <c r="M2760" i="1"/>
  <c r="N2760" i="1"/>
  <c r="B2761" i="1"/>
  <c r="D2761" i="1"/>
  <c r="E2761" i="1"/>
  <c r="F2761" i="1"/>
  <c r="K2761" i="1"/>
  <c r="M2761" i="1"/>
  <c r="N2761" i="1"/>
  <c r="B2762" i="1"/>
  <c r="D2762" i="1"/>
  <c r="E2762" i="1"/>
  <c r="F2762" i="1"/>
  <c r="K2762" i="1"/>
  <c r="M2762" i="1"/>
  <c r="N2762" i="1"/>
  <c r="B2763" i="1"/>
  <c r="D2763" i="1"/>
  <c r="E2763" i="1"/>
  <c r="F2763" i="1"/>
  <c r="K2763" i="1"/>
  <c r="M2763" i="1"/>
  <c r="N2763" i="1"/>
  <c r="B2764" i="1"/>
  <c r="D2764" i="1"/>
  <c r="E2764" i="1"/>
  <c r="F2764" i="1"/>
  <c r="K2764" i="1"/>
  <c r="M2764" i="1"/>
  <c r="N2764" i="1"/>
  <c r="B2765" i="1"/>
  <c r="D2765" i="1"/>
  <c r="E2765" i="1"/>
  <c r="F2765" i="1"/>
  <c r="K2765" i="1"/>
  <c r="M2765" i="1"/>
  <c r="N2765" i="1"/>
  <c r="B2766" i="1"/>
  <c r="D2766" i="1"/>
  <c r="E2766" i="1"/>
  <c r="F2766" i="1"/>
  <c r="K2766" i="1"/>
  <c r="M2766" i="1"/>
  <c r="N2766" i="1"/>
  <c r="B2767" i="1"/>
  <c r="D2767" i="1"/>
  <c r="E2767" i="1"/>
  <c r="F2767" i="1"/>
  <c r="K2767" i="1"/>
  <c r="M2767" i="1"/>
  <c r="N2767" i="1"/>
  <c r="B2768" i="1"/>
  <c r="D2768" i="1"/>
  <c r="E2768" i="1"/>
  <c r="F2768" i="1"/>
  <c r="K2768" i="1"/>
  <c r="M2768" i="1"/>
  <c r="N2768" i="1"/>
  <c r="B2769" i="1"/>
  <c r="D2769" i="1"/>
  <c r="E2769" i="1"/>
  <c r="F2769" i="1"/>
  <c r="K2769" i="1"/>
  <c r="M2769" i="1"/>
  <c r="N2769" i="1"/>
  <c r="B2770" i="1"/>
  <c r="D2770" i="1"/>
  <c r="E2770" i="1"/>
  <c r="F2770" i="1"/>
  <c r="K2770" i="1"/>
  <c r="M2770" i="1"/>
  <c r="N2770" i="1"/>
  <c r="B2771" i="1"/>
  <c r="D2771" i="1"/>
  <c r="E2771" i="1"/>
  <c r="F2771" i="1"/>
  <c r="K2771" i="1"/>
  <c r="M2771" i="1"/>
  <c r="N2771" i="1"/>
  <c r="B2772" i="1"/>
  <c r="D2772" i="1"/>
  <c r="E2772" i="1"/>
  <c r="F2772" i="1"/>
  <c r="K2772" i="1"/>
  <c r="M2772" i="1"/>
  <c r="N2772" i="1"/>
  <c r="B2773" i="1"/>
  <c r="D2773" i="1"/>
  <c r="E2773" i="1"/>
  <c r="F2773" i="1"/>
  <c r="K2773" i="1"/>
  <c r="M2773" i="1"/>
  <c r="N2773" i="1"/>
  <c r="B2774" i="1"/>
  <c r="D2774" i="1"/>
  <c r="E2774" i="1"/>
  <c r="F2774" i="1"/>
  <c r="K2774" i="1"/>
  <c r="M2774" i="1"/>
  <c r="N2774" i="1"/>
  <c r="B2775" i="1"/>
  <c r="D2775" i="1"/>
  <c r="E2775" i="1"/>
  <c r="F2775" i="1"/>
  <c r="K2775" i="1"/>
  <c r="M2775" i="1"/>
  <c r="N2775" i="1"/>
  <c r="B2776" i="1"/>
  <c r="D2776" i="1"/>
  <c r="E2776" i="1"/>
  <c r="F2776" i="1"/>
  <c r="K2776" i="1"/>
  <c r="M2776" i="1"/>
  <c r="N2776" i="1"/>
  <c r="B2777" i="1"/>
  <c r="D2777" i="1"/>
  <c r="E2777" i="1"/>
  <c r="F2777" i="1"/>
  <c r="K2777" i="1"/>
  <c r="M2777" i="1"/>
  <c r="N2777" i="1"/>
  <c r="B2778" i="1"/>
  <c r="D2778" i="1"/>
  <c r="E2778" i="1"/>
  <c r="F2778" i="1"/>
  <c r="K2778" i="1"/>
  <c r="M2778" i="1"/>
  <c r="N2778" i="1"/>
  <c r="B2779" i="1"/>
  <c r="D2779" i="1"/>
  <c r="E2779" i="1"/>
  <c r="F2779" i="1"/>
  <c r="K2779" i="1"/>
  <c r="M2779" i="1"/>
  <c r="N2779" i="1"/>
  <c r="B2780" i="1"/>
  <c r="D2780" i="1"/>
  <c r="E2780" i="1"/>
  <c r="F2780" i="1"/>
  <c r="K2780" i="1"/>
  <c r="M2780" i="1"/>
  <c r="N2780" i="1"/>
  <c r="B2600" i="1"/>
  <c r="B2509" i="1"/>
  <c r="B2502" i="1"/>
  <c r="D2502" i="1"/>
  <c r="E2502" i="1"/>
  <c r="F2502" i="1"/>
  <c r="K2502" i="1"/>
  <c r="M2502" i="1"/>
  <c r="N2502" i="1"/>
  <c r="B2503" i="1"/>
  <c r="D2503" i="1"/>
  <c r="E2503" i="1"/>
  <c r="F2503" i="1"/>
  <c r="K2503" i="1"/>
  <c r="M2503" i="1"/>
  <c r="N2503" i="1"/>
  <c r="B2504" i="1"/>
  <c r="D2504" i="1"/>
  <c r="E2504" i="1"/>
  <c r="F2504" i="1"/>
  <c r="K2504" i="1"/>
  <c r="M2504" i="1"/>
  <c r="N2504" i="1"/>
  <c r="B2505" i="1"/>
  <c r="D2505" i="1"/>
  <c r="E2505" i="1"/>
  <c r="F2505" i="1"/>
  <c r="K2505" i="1"/>
  <c r="M2505" i="1"/>
  <c r="N2505" i="1"/>
  <c r="B2506" i="1"/>
  <c r="D2506" i="1"/>
  <c r="E2506" i="1"/>
  <c r="F2506" i="1"/>
  <c r="K2506" i="1"/>
  <c r="M2506" i="1"/>
  <c r="N2506" i="1"/>
  <c r="B2507" i="1"/>
  <c r="D2507" i="1"/>
  <c r="E2507" i="1"/>
  <c r="F2507" i="1"/>
  <c r="K2507" i="1"/>
  <c r="M2507" i="1"/>
  <c r="N2507" i="1"/>
  <c r="B2508" i="1"/>
  <c r="D2508" i="1"/>
  <c r="E2508" i="1"/>
  <c r="F2508" i="1"/>
  <c r="K2508" i="1"/>
  <c r="M2508" i="1"/>
  <c r="N2508" i="1"/>
  <c r="D2509" i="1"/>
  <c r="E2509" i="1"/>
  <c r="F2509" i="1"/>
  <c r="K2509" i="1"/>
  <c r="M2509" i="1"/>
  <c r="N2509" i="1"/>
  <c r="B2510" i="1"/>
  <c r="D2510" i="1"/>
  <c r="E2510" i="1"/>
  <c r="F2510" i="1"/>
  <c r="K2510" i="1"/>
  <c r="M2510" i="1"/>
  <c r="N2510" i="1"/>
  <c r="B2511" i="1"/>
  <c r="D2511" i="1"/>
  <c r="E2511" i="1"/>
  <c r="F2511" i="1"/>
  <c r="K2511" i="1"/>
  <c r="M2511" i="1"/>
  <c r="N2511" i="1"/>
  <c r="B2512" i="1"/>
  <c r="D2512" i="1"/>
  <c r="E2512" i="1"/>
  <c r="F2512" i="1"/>
  <c r="K2512" i="1"/>
  <c r="M2512" i="1"/>
  <c r="N2512" i="1"/>
  <c r="B2513" i="1"/>
  <c r="D2513" i="1"/>
  <c r="E2513" i="1"/>
  <c r="F2513" i="1"/>
  <c r="K2513" i="1"/>
  <c r="M2513" i="1"/>
  <c r="N2513" i="1"/>
  <c r="B2514" i="1"/>
  <c r="D2514" i="1"/>
  <c r="E2514" i="1"/>
  <c r="F2514" i="1"/>
  <c r="K2514" i="1"/>
  <c r="M2514" i="1"/>
  <c r="N2514" i="1"/>
  <c r="B2515" i="1"/>
  <c r="D2515" i="1"/>
  <c r="E2515" i="1"/>
  <c r="F2515" i="1"/>
  <c r="K2515" i="1"/>
  <c r="M2515" i="1"/>
  <c r="N2515" i="1"/>
  <c r="B2516" i="1"/>
  <c r="D2516" i="1"/>
  <c r="E2516" i="1"/>
  <c r="F2516" i="1"/>
  <c r="K2516" i="1"/>
  <c r="M2516" i="1"/>
  <c r="N2516" i="1"/>
  <c r="B2517" i="1"/>
  <c r="D2517" i="1"/>
  <c r="E2517" i="1"/>
  <c r="F2517" i="1"/>
  <c r="K2517" i="1"/>
  <c r="M2517" i="1"/>
  <c r="N2517" i="1"/>
  <c r="B2518" i="1"/>
  <c r="D2518" i="1"/>
  <c r="E2518" i="1"/>
  <c r="F2518" i="1"/>
  <c r="K2518" i="1"/>
  <c r="M2518" i="1"/>
  <c r="N2518" i="1"/>
  <c r="B2519" i="1"/>
  <c r="D2519" i="1"/>
  <c r="E2519" i="1"/>
  <c r="F2519" i="1"/>
  <c r="K2519" i="1"/>
  <c r="M2519" i="1"/>
  <c r="N2519" i="1"/>
  <c r="B2520" i="1"/>
  <c r="D2520" i="1"/>
  <c r="E2520" i="1"/>
  <c r="F2520" i="1"/>
  <c r="K2520" i="1"/>
  <c r="M2520" i="1"/>
  <c r="N2520" i="1"/>
  <c r="B2521" i="1"/>
  <c r="D2521" i="1"/>
  <c r="E2521" i="1"/>
  <c r="F2521" i="1"/>
  <c r="K2521" i="1"/>
  <c r="M2521" i="1"/>
  <c r="N2521" i="1"/>
  <c r="B2522" i="1"/>
  <c r="D2522" i="1"/>
  <c r="E2522" i="1"/>
  <c r="F2522" i="1"/>
  <c r="K2522" i="1"/>
  <c r="M2522" i="1"/>
  <c r="N2522" i="1"/>
  <c r="B2523" i="1"/>
  <c r="D2523" i="1"/>
  <c r="E2523" i="1"/>
  <c r="F2523" i="1"/>
  <c r="K2523" i="1"/>
  <c r="M2523" i="1"/>
  <c r="N2523" i="1"/>
  <c r="B2524" i="1"/>
  <c r="D2524" i="1"/>
  <c r="E2524" i="1"/>
  <c r="F2524" i="1"/>
  <c r="K2524" i="1"/>
  <c r="M2524" i="1"/>
  <c r="N2524" i="1"/>
  <c r="B2525" i="1"/>
  <c r="D2525" i="1"/>
  <c r="E2525" i="1"/>
  <c r="F2525" i="1"/>
  <c r="K2525" i="1"/>
  <c r="M2525" i="1"/>
  <c r="N2525" i="1"/>
  <c r="B2526" i="1"/>
  <c r="D2526" i="1"/>
  <c r="E2526" i="1"/>
  <c r="F2526" i="1"/>
  <c r="K2526" i="1"/>
  <c r="M2526" i="1"/>
  <c r="N2526" i="1"/>
  <c r="B2527" i="1"/>
  <c r="D2527" i="1"/>
  <c r="E2527" i="1"/>
  <c r="F2527" i="1"/>
  <c r="K2527" i="1"/>
  <c r="M2527" i="1"/>
  <c r="N2527" i="1"/>
  <c r="B2528" i="1"/>
  <c r="D2528" i="1"/>
  <c r="E2528" i="1"/>
  <c r="F2528" i="1"/>
  <c r="K2528" i="1"/>
  <c r="M2528" i="1"/>
  <c r="N2528" i="1"/>
  <c r="B2529" i="1"/>
  <c r="D2529" i="1"/>
  <c r="E2529" i="1"/>
  <c r="F2529" i="1"/>
  <c r="K2529" i="1"/>
  <c r="M2529" i="1"/>
  <c r="N2529" i="1"/>
  <c r="B2530" i="1"/>
  <c r="D2530" i="1"/>
  <c r="E2530" i="1"/>
  <c r="F2530" i="1"/>
  <c r="K2530" i="1"/>
  <c r="M2530" i="1"/>
  <c r="N2530" i="1"/>
  <c r="B2531" i="1"/>
  <c r="D2531" i="1"/>
  <c r="E2531" i="1"/>
  <c r="F2531" i="1"/>
  <c r="K2531" i="1"/>
  <c r="M2531" i="1"/>
  <c r="N2531" i="1"/>
  <c r="B2532" i="1"/>
  <c r="D2532" i="1"/>
  <c r="E2532" i="1"/>
  <c r="F2532" i="1"/>
  <c r="K2532" i="1"/>
  <c r="M2532" i="1"/>
  <c r="N2532" i="1"/>
  <c r="B2533" i="1"/>
  <c r="D2533" i="1"/>
  <c r="E2533" i="1"/>
  <c r="F2533" i="1"/>
  <c r="K2533" i="1"/>
  <c r="M2533" i="1"/>
  <c r="N2533" i="1"/>
  <c r="B2534" i="1"/>
  <c r="D2534" i="1"/>
  <c r="E2534" i="1"/>
  <c r="F2534" i="1"/>
  <c r="K2534" i="1"/>
  <c r="M2534" i="1"/>
  <c r="N2534" i="1"/>
  <c r="B2535" i="1"/>
  <c r="D2535" i="1"/>
  <c r="E2535" i="1"/>
  <c r="F2535" i="1"/>
  <c r="K2535" i="1"/>
  <c r="M2535" i="1"/>
  <c r="N2535" i="1"/>
  <c r="B2536" i="1"/>
  <c r="D2536" i="1"/>
  <c r="E2536" i="1"/>
  <c r="F2536" i="1"/>
  <c r="K2536" i="1"/>
  <c r="M2536" i="1"/>
  <c r="N2536" i="1"/>
  <c r="B2537" i="1"/>
  <c r="D2537" i="1"/>
  <c r="E2537" i="1"/>
  <c r="F2537" i="1"/>
  <c r="K2537" i="1"/>
  <c r="M2537" i="1"/>
  <c r="N2537" i="1"/>
  <c r="B2538" i="1"/>
  <c r="D2538" i="1"/>
  <c r="E2538" i="1"/>
  <c r="F2538" i="1"/>
  <c r="K2538" i="1"/>
  <c r="M2538" i="1"/>
  <c r="N2538" i="1"/>
  <c r="B2539" i="1"/>
  <c r="D2539" i="1"/>
  <c r="E2539" i="1"/>
  <c r="F2539" i="1"/>
  <c r="K2539" i="1"/>
  <c r="M2539" i="1"/>
  <c r="N2539" i="1"/>
  <c r="B2540" i="1"/>
  <c r="D2540" i="1"/>
  <c r="E2540" i="1"/>
  <c r="F2540" i="1"/>
  <c r="K2540" i="1"/>
  <c r="M2540" i="1"/>
  <c r="N2540" i="1"/>
  <c r="B2541" i="1"/>
  <c r="D2541" i="1"/>
  <c r="E2541" i="1"/>
  <c r="F2541" i="1"/>
  <c r="K2541" i="1"/>
  <c r="M2541" i="1"/>
  <c r="N2541" i="1"/>
  <c r="B2542" i="1"/>
  <c r="D2542" i="1"/>
  <c r="E2542" i="1"/>
  <c r="F2542" i="1"/>
  <c r="K2542" i="1"/>
  <c r="M2542" i="1"/>
  <c r="N2542" i="1"/>
  <c r="B2543" i="1"/>
  <c r="D2543" i="1"/>
  <c r="E2543" i="1"/>
  <c r="F2543" i="1"/>
  <c r="K2543" i="1"/>
  <c r="M2543" i="1"/>
  <c r="N2543" i="1"/>
  <c r="B2544" i="1"/>
  <c r="D2544" i="1"/>
  <c r="E2544" i="1"/>
  <c r="F2544" i="1"/>
  <c r="K2544" i="1"/>
  <c r="M2544" i="1"/>
  <c r="N2544" i="1"/>
  <c r="B2545" i="1"/>
  <c r="D2545" i="1"/>
  <c r="E2545" i="1"/>
  <c r="F2545" i="1"/>
  <c r="K2545" i="1"/>
  <c r="M2545" i="1"/>
  <c r="N2545" i="1"/>
  <c r="B2546" i="1"/>
  <c r="D2546" i="1"/>
  <c r="E2546" i="1"/>
  <c r="F2546" i="1"/>
  <c r="K2546" i="1"/>
  <c r="M2546" i="1"/>
  <c r="N2546" i="1"/>
  <c r="B2547" i="1"/>
  <c r="D2547" i="1"/>
  <c r="E2547" i="1"/>
  <c r="F2547" i="1"/>
  <c r="K2547" i="1"/>
  <c r="M2547" i="1"/>
  <c r="N2547" i="1"/>
  <c r="B2548" i="1"/>
  <c r="D2548" i="1"/>
  <c r="E2548" i="1"/>
  <c r="F2548" i="1"/>
  <c r="K2548" i="1"/>
  <c r="M2548" i="1"/>
  <c r="N2548" i="1"/>
  <c r="B2549" i="1"/>
  <c r="D2549" i="1"/>
  <c r="E2549" i="1"/>
  <c r="F2549" i="1"/>
  <c r="K2549" i="1"/>
  <c r="M2549" i="1"/>
  <c r="N2549" i="1"/>
  <c r="B2550" i="1"/>
  <c r="D2550" i="1"/>
  <c r="E2550" i="1"/>
  <c r="F2550" i="1"/>
  <c r="K2550" i="1"/>
  <c r="M2550" i="1"/>
  <c r="N2550" i="1"/>
  <c r="B2551" i="1"/>
  <c r="D2551" i="1"/>
  <c r="E2551" i="1"/>
  <c r="F2551" i="1"/>
  <c r="K2551" i="1"/>
  <c r="M2551" i="1"/>
  <c r="N2551" i="1"/>
  <c r="B2552" i="1"/>
  <c r="D2552" i="1"/>
  <c r="E2552" i="1"/>
  <c r="F2552" i="1"/>
  <c r="K2552" i="1"/>
  <c r="M2552" i="1"/>
  <c r="N2552" i="1"/>
  <c r="B2553" i="1"/>
  <c r="D2553" i="1"/>
  <c r="E2553" i="1"/>
  <c r="F2553" i="1"/>
  <c r="K2553" i="1"/>
  <c r="M2553" i="1"/>
  <c r="N2553" i="1"/>
  <c r="B2554" i="1"/>
  <c r="D2554" i="1"/>
  <c r="E2554" i="1"/>
  <c r="F2554" i="1"/>
  <c r="K2554" i="1"/>
  <c r="M2554" i="1"/>
  <c r="N2554" i="1"/>
  <c r="B2555" i="1"/>
  <c r="D2555" i="1"/>
  <c r="E2555" i="1"/>
  <c r="F2555" i="1"/>
  <c r="K2555" i="1"/>
  <c r="M2555" i="1"/>
  <c r="N2555" i="1"/>
  <c r="B2556" i="1"/>
  <c r="D2556" i="1"/>
  <c r="E2556" i="1"/>
  <c r="F2556" i="1"/>
  <c r="K2556" i="1"/>
  <c r="M2556" i="1"/>
  <c r="N2556" i="1"/>
  <c r="B2557" i="1"/>
  <c r="D2557" i="1"/>
  <c r="E2557" i="1"/>
  <c r="F2557" i="1"/>
  <c r="K2557" i="1"/>
  <c r="M2557" i="1"/>
  <c r="N2557" i="1"/>
  <c r="B2558" i="1"/>
  <c r="D2558" i="1"/>
  <c r="E2558" i="1"/>
  <c r="F2558" i="1"/>
  <c r="K2558" i="1"/>
  <c r="M2558" i="1"/>
  <c r="N2558" i="1"/>
  <c r="B2559" i="1"/>
  <c r="D2559" i="1"/>
  <c r="E2559" i="1"/>
  <c r="F2559" i="1"/>
  <c r="K2559" i="1"/>
  <c r="M2559" i="1"/>
  <c r="N2559" i="1"/>
  <c r="B2560" i="1"/>
  <c r="D2560" i="1"/>
  <c r="E2560" i="1"/>
  <c r="F2560" i="1"/>
  <c r="K2560" i="1"/>
  <c r="M2560" i="1"/>
  <c r="N2560" i="1"/>
  <c r="B2561" i="1"/>
  <c r="D2561" i="1"/>
  <c r="E2561" i="1"/>
  <c r="F2561" i="1"/>
  <c r="K2561" i="1"/>
  <c r="M2561" i="1"/>
  <c r="N2561" i="1"/>
  <c r="B2562" i="1"/>
  <c r="D2562" i="1"/>
  <c r="E2562" i="1"/>
  <c r="F2562" i="1"/>
  <c r="K2562" i="1"/>
  <c r="M2562" i="1"/>
  <c r="N2562" i="1"/>
  <c r="B2563" i="1"/>
  <c r="D2563" i="1"/>
  <c r="E2563" i="1"/>
  <c r="F2563" i="1"/>
  <c r="K2563" i="1"/>
  <c r="M2563" i="1"/>
  <c r="N2563" i="1"/>
  <c r="B2564" i="1"/>
  <c r="D2564" i="1"/>
  <c r="E2564" i="1"/>
  <c r="F2564" i="1"/>
  <c r="K2564" i="1"/>
  <c r="M2564" i="1"/>
  <c r="N2564" i="1"/>
  <c r="B2565" i="1"/>
  <c r="D2565" i="1"/>
  <c r="E2565" i="1"/>
  <c r="F2565" i="1"/>
  <c r="K2565" i="1"/>
  <c r="M2565" i="1"/>
  <c r="N2565" i="1"/>
  <c r="B2566" i="1"/>
  <c r="D2566" i="1"/>
  <c r="E2566" i="1"/>
  <c r="F2566" i="1"/>
  <c r="K2566" i="1"/>
  <c r="M2566" i="1"/>
  <c r="N2566" i="1"/>
  <c r="B2567" i="1"/>
  <c r="D2567" i="1"/>
  <c r="E2567" i="1"/>
  <c r="F2567" i="1"/>
  <c r="K2567" i="1"/>
  <c r="M2567" i="1"/>
  <c r="N2567" i="1"/>
  <c r="B2568" i="1"/>
  <c r="D2568" i="1"/>
  <c r="E2568" i="1"/>
  <c r="F2568" i="1"/>
  <c r="K2568" i="1"/>
  <c r="M2568" i="1"/>
  <c r="N2568" i="1"/>
  <c r="B2569" i="1"/>
  <c r="D2569" i="1"/>
  <c r="E2569" i="1"/>
  <c r="F2569" i="1"/>
  <c r="K2569" i="1"/>
  <c r="M2569" i="1"/>
  <c r="N2569" i="1"/>
  <c r="B2570" i="1"/>
  <c r="D2570" i="1"/>
  <c r="E2570" i="1"/>
  <c r="F2570" i="1"/>
  <c r="K2570" i="1"/>
  <c r="M2570" i="1"/>
  <c r="N2570" i="1"/>
  <c r="B2571" i="1"/>
  <c r="D2571" i="1"/>
  <c r="E2571" i="1"/>
  <c r="F2571" i="1"/>
  <c r="K2571" i="1"/>
  <c r="M2571" i="1"/>
  <c r="N2571" i="1"/>
  <c r="B2572" i="1"/>
  <c r="D2572" i="1"/>
  <c r="E2572" i="1"/>
  <c r="F2572" i="1"/>
  <c r="K2572" i="1"/>
  <c r="M2572" i="1"/>
  <c r="N2572" i="1"/>
  <c r="B2573" i="1"/>
  <c r="D2573" i="1"/>
  <c r="E2573" i="1"/>
  <c r="F2573" i="1"/>
  <c r="K2573" i="1"/>
  <c r="M2573" i="1"/>
  <c r="N2573" i="1"/>
  <c r="B2574" i="1"/>
  <c r="D2574" i="1"/>
  <c r="E2574" i="1"/>
  <c r="F2574" i="1"/>
  <c r="K2574" i="1"/>
  <c r="M2574" i="1"/>
  <c r="N2574" i="1"/>
  <c r="B2575" i="1"/>
  <c r="D2575" i="1"/>
  <c r="E2575" i="1"/>
  <c r="F2575" i="1"/>
  <c r="K2575" i="1"/>
  <c r="M2575" i="1"/>
  <c r="N2575" i="1"/>
  <c r="B2576" i="1"/>
  <c r="D2576" i="1"/>
  <c r="E2576" i="1"/>
  <c r="F2576" i="1"/>
  <c r="K2576" i="1"/>
  <c r="M2576" i="1"/>
  <c r="N2576" i="1"/>
  <c r="B2577" i="1"/>
  <c r="D2577" i="1"/>
  <c r="E2577" i="1"/>
  <c r="F2577" i="1"/>
  <c r="K2577" i="1"/>
  <c r="M2577" i="1"/>
  <c r="N2577" i="1"/>
  <c r="B2578" i="1"/>
  <c r="D2578" i="1"/>
  <c r="E2578" i="1"/>
  <c r="F2578" i="1"/>
  <c r="K2578" i="1"/>
  <c r="M2578" i="1"/>
  <c r="N2578" i="1"/>
  <c r="B2579" i="1"/>
  <c r="D2579" i="1"/>
  <c r="E2579" i="1"/>
  <c r="F2579" i="1"/>
  <c r="K2579" i="1"/>
  <c r="M2579" i="1"/>
  <c r="N2579" i="1"/>
  <c r="B2580" i="1"/>
  <c r="D2580" i="1"/>
  <c r="E2580" i="1"/>
  <c r="F2580" i="1"/>
  <c r="K2580" i="1"/>
  <c r="M2580" i="1"/>
  <c r="N2580" i="1"/>
  <c r="B2581" i="1"/>
  <c r="D2581" i="1"/>
  <c r="E2581" i="1"/>
  <c r="F2581" i="1"/>
  <c r="K2581" i="1"/>
  <c r="M2581" i="1"/>
  <c r="N2581" i="1"/>
  <c r="B2582" i="1"/>
  <c r="D2582" i="1"/>
  <c r="E2582" i="1"/>
  <c r="F2582" i="1"/>
  <c r="K2582" i="1"/>
  <c r="M2582" i="1"/>
  <c r="N2582" i="1"/>
  <c r="B2583" i="1"/>
  <c r="D2583" i="1"/>
  <c r="E2583" i="1"/>
  <c r="F2583" i="1"/>
  <c r="K2583" i="1"/>
  <c r="M2583" i="1"/>
  <c r="N2583" i="1"/>
  <c r="B2584" i="1"/>
  <c r="D2584" i="1"/>
  <c r="E2584" i="1"/>
  <c r="F2584" i="1"/>
  <c r="K2584" i="1"/>
  <c r="M2584" i="1"/>
  <c r="N2584" i="1"/>
  <c r="B2585" i="1"/>
  <c r="D2585" i="1"/>
  <c r="E2585" i="1"/>
  <c r="F2585" i="1"/>
  <c r="K2585" i="1"/>
  <c r="M2585" i="1"/>
  <c r="N2585" i="1"/>
  <c r="B2586" i="1"/>
  <c r="D2586" i="1"/>
  <c r="E2586" i="1"/>
  <c r="F2586" i="1"/>
  <c r="K2586" i="1"/>
  <c r="M2586" i="1"/>
  <c r="N2586" i="1"/>
  <c r="B2587" i="1"/>
  <c r="D2587" i="1"/>
  <c r="E2587" i="1"/>
  <c r="F2587" i="1"/>
  <c r="K2587" i="1"/>
  <c r="M2587" i="1"/>
  <c r="N2587" i="1"/>
  <c r="B2588" i="1"/>
  <c r="D2588" i="1"/>
  <c r="E2588" i="1"/>
  <c r="F2588" i="1"/>
  <c r="K2588" i="1"/>
  <c r="M2588" i="1"/>
  <c r="N2588" i="1"/>
  <c r="B2589" i="1"/>
  <c r="D2589" i="1"/>
  <c r="E2589" i="1"/>
  <c r="F2589" i="1"/>
  <c r="K2589" i="1"/>
  <c r="M2589" i="1"/>
  <c r="N2589" i="1"/>
  <c r="B2590" i="1"/>
  <c r="D2590" i="1"/>
  <c r="E2590" i="1"/>
  <c r="F2590" i="1"/>
  <c r="K2590" i="1"/>
  <c r="M2590" i="1"/>
  <c r="N2590" i="1"/>
  <c r="B2591" i="1"/>
  <c r="D2591" i="1"/>
  <c r="E2591" i="1"/>
  <c r="F2591" i="1"/>
  <c r="K2591" i="1"/>
  <c r="M2591" i="1"/>
  <c r="N2591" i="1"/>
  <c r="B2592" i="1"/>
  <c r="D2592" i="1"/>
  <c r="E2592" i="1"/>
  <c r="F2592" i="1"/>
  <c r="K2592" i="1"/>
  <c r="M2592" i="1"/>
  <c r="N2592" i="1"/>
  <c r="B2593" i="1"/>
  <c r="D2593" i="1"/>
  <c r="E2593" i="1"/>
  <c r="F2593" i="1"/>
  <c r="K2593" i="1"/>
  <c r="M2593" i="1"/>
  <c r="N2593" i="1"/>
  <c r="B2594" i="1"/>
  <c r="D2594" i="1"/>
  <c r="E2594" i="1"/>
  <c r="F2594" i="1"/>
  <c r="K2594" i="1"/>
  <c r="M2594" i="1"/>
  <c r="N2594" i="1"/>
  <c r="B2599" i="1"/>
  <c r="D2599" i="1"/>
  <c r="E2599" i="1"/>
  <c r="F2599" i="1"/>
  <c r="K2599" i="1"/>
  <c r="M2599" i="1"/>
  <c r="N2599" i="1"/>
  <c r="D2600" i="1"/>
  <c r="E2600" i="1"/>
  <c r="F2600" i="1"/>
  <c r="K2600" i="1"/>
  <c r="M2600" i="1"/>
  <c r="N2600" i="1"/>
  <c r="B2601" i="1"/>
  <c r="D2601" i="1"/>
  <c r="E2601" i="1"/>
  <c r="F2601" i="1"/>
  <c r="K2601" i="1"/>
  <c r="M2601" i="1"/>
  <c r="N2601" i="1"/>
  <c r="B2602" i="1"/>
  <c r="D2602" i="1"/>
  <c r="E2602" i="1"/>
  <c r="F2602" i="1"/>
  <c r="K2602" i="1"/>
  <c r="M2602" i="1"/>
  <c r="N2602" i="1"/>
  <c r="B2603" i="1"/>
  <c r="D2603" i="1"/>
  <c r="E2603" i="1"/>
  <c r="F2603" i="1"/>
  <c r="K2603" i="1"/>
  <c r="M2603" i="1"/>
  <c r="N2603" i="1"/>
  <c r="B2604" i="1"/>
  <c r="D2604" i="1"/>
  <c r="E2604" i="1"/>
  <c r="F2604" i="1"/>
  <c r="K2604" i="1"/>
  <c r="M2604" i="1"/>
  <c r="N2604" i="1"/>
  <c r="B2605" i="1"/>
  <c r="D2605" i="1"/>
  <c r="E2605" i="1"/>
  <c r="F2605" i="1"/>
  <c r="K2605" i="1"/>
  <c r="M2605" i="1"/>
  <c r="N2605" i="1"/>
  <c r="B2606" i="1"/>
  <c r="D2606" i="1"/>
  <c r="E2606" i="1"/>
  <c r="F2606" i="1"/>
  <c r="K2606" i="1"/>
  <c r="M2606" i="1"/>
  <c r="N2606" i="1"/>
  <c r="B2607" i="1"/>
  <c r="D2607" i="1"/>
  <c r="E2607" i="1"/>
  <c r="F2607" i="1"/>
  <c r="K2607" i="1"/>
  <c r="M2607" i="1"/>
  <c r="N2607" i="1"/>
  <c r="B2608" i="1"/>
  <c r="D2608" i="1"/>
  <c r="E2608" i="1"/>
  <c r="F2608" i="1"/>
  <c r="K2608" i="1"/>
  <c r="M2608" i="1"/>
  <c r="N2608" i="1"/>
  <c r="B2609" i="1"/>
  <c r="D2609" i="1"/>
  <c r="E2609" i="1"/>
  <c r="F2609" i="1"/>
  <c r="K2609" i="1"/>
  <c r="M2609" i="1"/>
  <c r="N2609" i="1"/>
  <c r="B2610" i="1"/>
  <c r="D2610" i="1"/>
  <c r="E2610" i="1"/>
  <c r="F2610" i="1"/>
  <c r="K2610" i="1"/>
  <c r="M2610" i="1"/>
  <c r="N2610" i="1"/>
  <c r="B2611" i="1"/>
  <c r="D2611" i="1"/>
  <c r="E2611" i="1"/>
  <c r="F2611" i="1"/>
  <c r="K2611" i="1"/>
  <c r="M2611" i="1"/>
  <c r="N2611" i="1"/>
  <c r="B2612" i="1"/>
  <c r="D2612" i="1"/>
  <c r="E2612" i="1"/>
  <c r="F2612" i="1"/>
  <c r="K2612" i="1"/>
  <c r="M2612" i="1"/>
  <c r="N2612" i="1"/>
  <c r="B2613" i="1"/>
  <c r="D2613" i="1"/>
  <c r="E2613" i="1"/>
  <c r="F2613" i="1"/>
  <c r="K2613" i="1"/>
  <c r="M2613" i="1"/>
  <c r="N2613" i="1"/>
  <c r="B2614" i="1"/>
  <c r="D2614" i="1"/>
  <c r="E2614" i="1"/>
  <c r="F2614" i="1"/>
  <c r="K2614" i="1"/>
  <c r="M2614" i="1"/>
  <c r="N2614" i="1"/>
  <c r="B2615" i="1"/>
  <c r="D2615" i="1"/>
  <c r="E2615" i="1"/>
  <c r="F2615" i="1"/>
  <c r="K2615" i="1"/>
  <c r="M2615" i="1"/>
  <c r="N2615" i="1"/>
  <c r="B2616" i="1"/>
  <c r="D2616" i="1"/>
  <c r="E2616" i="1"/>
  <c r="F2616" i="1"/>
  <c r="K2616" i="1"/>
  <c r="M2616" i="1"/>
  <c r="N2616" i="1"/>
  <c r="B2617" i="1"/>
  <c r="D2617" i="1"/>
  <c r="E2617" i="1"/>
  <c r="F2617" i="1"/>
  <c r="K2617" i="1"/>
  <c r="M2617" i="1"/>
  <c r="N2617" i="1"/>
  <c r="B2618" i="1"/>
  <c r="D2618" i="1"/>
  <c r="E2618" i="1"/>
  <c r="F2618" i="1"/>
  <c r="K2618" i="1"/>
  <c r="M2618" i="1"/>
  <c r="N2618" i="1"/>
  <c r="B2619" i="1"/>
  <c r="D2619" i="1"/>
  <c r="E2619" i="1"/>
  <c r="F2619" i="1"/>
  <c r="K2619" i="1"/>
  <c r="M2619" i="1"/>
  <c r="N2619" i="1"/>
  <c r="B2620" i="1"/>
  <c r="D2620" i="1"/>
  <c r="E2620" i="1"/>
  <c r="F2620" i="1"/>
  <c r="K2620" i="1"/>
  <c r="M2620" i="1"/>
  <c r="N2620" i="1"/>
  <c r="B2621" i="1"/>
  <c r="D2621" i="1"/>
  <c r="E2621" i="1"/>
  <c r="F2621" i="1"/>
  <c r="K2621" i="1"/>
  <c r="M2621" i="1"/>
  <c r="N2621" i="1"/>
  <c r="B2622" i="1"/>
  <c r="D2622" i="1"/>
  <c r="E2622" i="1"/>
  <c r="F2622" i="1"/>
  <c r="K2622" i="1"/>
  <c r="M2622" i="1"/>
  <c r="N2622" i="1"/>
  <c r="B2623" i="1"/>
  <c r="E2623" i="1"/>
  <c r="F2623" i="1"/>
  <c r="K2623" i="1"/>
  <c r="M2623" i="1"/>
  <c r="N2623" i="1"/>
  <c r="B2624" i="1"/>
  <c r="D2624" i="1"/>
  <c r="E2624" i="1"/>
  <c r="F2624" i="1"/>
  <c r="K2624" i="1"/>
  <c r="M2624" i="1"/>
  <c r="N2624" i="1"/>
  <c r="B2625" i="1"/>
  <c r="D2625" i="1"/>
  <c r="E2625" i="1"/>
  <c r="F2625" i="1"/>
  <c r="K2625" i="1"/>
  <c r="M2625" i="1"/>
  <c r="N2625" i="1"/>
  <c r="B2626" i="1"/>
  <c r="D2626" i="1"/>
  <c r="E2626" i="1"/>
  <c r="F2626" i="1"/>
  <c r="K2626" i="1"/>
  <c r="M2626" i="1"/>
  <c r="N2626" i="1"/>
  <c r="B2627" i="1"/>
  <c r="D2627" i="1"/>
  <c r="E2627" i="1"/>
  <c r="F2627" i="1"/>
  <c r="K2627" i="1"/>
  <c r="M2627" i="1"/>
  <c r="N2627" i="1"/>
  <c r="B2628" i="1"/>
  <c r="D2628" i="1"/>
  <c r="E2628" i="1"/>
  <c r="F2628" i="1"/>
  <c r="K2628" i="1"/>
  <c r="M2628" i="1"/>
  <c r="N2628" i="1"/>
  <c r="B2629" i="1"/>
  <c r="D2629" i="1"/>
  <c r="E2629" i="1"/>
  <c r="F2629" i="1"/>
  <c r="K2629" i="1"/>
  <c r="M2629" i="1"/>
  <c r="N2629" i="1"/>
  <c r="B2630" i="1"/>
  <c r="D2630" i="1"/>
  <c r="E2630" i="1"/>
  <c r="F2630" i="1"/>
  <c r="K2630" i="1"/>
  <c r="M2630" i="1"/>
  <c r="N2630" i="1"/>
  <c r="B2631" i="1"/>
  <c r="D2631" i="1"/>
  <c r="E2631" i="1"/>
  <c r="F2631" i="1"/>
  <c r="K2631" i="1"/>
  <c r="M2631" i="1"/>
  <c r="N2631" i="1"/>
  <c r="B2632" i="1"/>
  <c r="D2632" i="1"/>
  <c r="E2632" i="1"/>
  <c r="F2632" i="1"/>
  <c r="K2632" i="1"/>
  <c r="M2632" i="1"/>
  <c r="N2632" i="1"/>
  <c r="B2633" i="1"/>
  <c r="D2633" i="1"/>
  <c r="E2633" i="1"/>
  <c r="F2633" i="1"/>
  <c r="K2633" i="1"/>
  <c r="M2633" i="1"/>
  <c r="N2633" i="1"/>
  <c r="B2634" i="1"/>
  <c r="D2634" i="1"/>
  <c r="E2634" i="1"/>
  <c r="F2634" i="1"/>
  <c r="K2634" i="1"/>
  <c r="M2634" i="1"/>
  <c r="N2634" i="1"/>
  <c r="B2635" i="1"/>
  <c r="D2635" i="1"/>
  <c r="E2635" i="1"/>
  <c r="F2635" i="1"/>
  <c r="K2635" i="1"/>
  <c r="M2635" i="1"/>
  <c r="N2635" i="1"/>
  <c r="B2636" i="1"/>
  <c r="D2636" i="1"/>
  <c r="E2636" i="1"/>
  <c r="F2636" i="1"/>
  <c r="K2636" i="1"/>
  <c r="M2636" i="1"/>
  <c r="N2636" i="1"/>
  <c r="B2637" i="1"/>
  <c r="D2637" i="1"/>
  <c r="E2637" i="1"/>
  <c r="F2637" i="1"/>
  <c r="K2637" i="1"/>
  <c r="M2637" i="1"/>
  <c r="N2637" i="1"/>
  <c r="B2638" i="1"/>
  <c r="D2638" i="1"/>
  <c r="E2638" i="1"/>
  <c r="F2638" i="1"/>
  <c r="K2638" i="1"/>
  <c r="M2638" i="1"/>
  <c r="N2638" i="1"/>
  <c r="B2639" i="1"/>
  <c r="D2639" i="1"/>
  <c r="E2639" i="1"/>
  <c r="F2639" i="1"/>
  <c r="K2639" i="1"/>
  <c r="M2639" i="1"/>
  <c r="N2639" i="1"/>
  <c r="B2640" i="1"/>
  <c r="D2640" i="1"/>
  <c r="E2640" i="1"/>
  <c r="F2640" i="1"/>
  <c r="K2640" i="1"/>
  <c r="M2640" i="1"/>
  <c r="N2640" i="1"/>
  <c r="B2641" i="1"/>
  <c r="D2641" i="1"/>
  <c r="E2641" i="1"/>
  <c r="F2641" i="1"/>
  <c r="K2641" i="1"/>
  <c r="M2641" i="1"/>
  <c r="N2641" i="1"/>
  <c r="B2642" i="1"/>
  <c r="D2642" i="1"/>
  <c r="E2642" i="1"/>
  <c r="F2642" i="1"/>
  <c r="K2642" i="1"/>
  <c r="M2642" i="1"/>
  <c r="N2642" i="1"/>
  <c r="B2643" i="1"/>
  <c r="D2643" i="1"/>
  <c r="E2643" i="1"/>
  <c r="F2643" i="1"/>
  <c r="K2643" i="1"/>
  <c r="M2643" i="1"/>
  <c r="N2643" i="1"/>
  <c r="B2644" i="1"/>
  <c r="D2644" i="1"/>
  <c r="E2644" i="1"/>
  <c r="F2644" i="1"/>
  <c r="K2644" i="1"/>
  <c r="M2644" i="1"/>
  <c r="N2644" i="1"/>
  <c r="B2645" i="1"/>
  <c r="D2645" i="1"/>
  <c r="E2645" i="1"/>
  <c r="F2645" i="1"/>
  <c r="K2645" i="1"/>
  <c r="M2645" i="1"/>
  <c r="N2645" i="1"/>
  <c r="B2646" i="1"/>
  <c r="D2646" i="1"/>
  <c r="E2646" i="1"/>
  <c r="F2646" i="1"/>
  <c r="K2646" i="1"/>
  <c r="M2646" i="1"/>
  <c r="N2646" i="1"/>
  <c r="B2647" i="1"/>
  <c r="D2647" i="1"/>
  <c r="E2647" i="1"/>
  <c r="F2647" i="1"/>
  <c r="K2647" i="1"/>
  <c r="M2647" i="1"/>
  <c r="N2647" i="1"/>
  <c r="B2648" i="1"/>
  <c r="D2648" i="1"/>
  <c r="E2648" i="1"/>
  <c r="F2648" i="1"/>
  <c r="K2648" i="1"/>
  <c r="M2648" i="1"/>
  <c r="N2648" i="1"/>
  <c r="B2649" i="1"/>
  <c r="D2649" i="1"/>
  <c r="E2649" i="1"/>
  <c r="F2649" i="1"/>
  <c r="K2649" i="1"/>
  <c r="M2649" i="1"/>
  <c r="N2649" i="1"/>
  <c r="B2781" i="1"/>
  <c r="D2781" i="1"/>
  <c r="E2781" i="1"/>
  <c r="F2781" i="1"/>
  <c r="K2781" i="1"/>
  <c r="M2781" i="1"/>
  <c r="N2781" i="1"/>
  <c r="B2501" i="1"/>
  <c r="D2501" i="1"/>
  <c r="E2501" i="1"/>
  <c r="F2501" i="1"/>
  <c r="K2501" i="1"/>
  <c r="M2501" i="1"/>
  <c r="N2501" i="1"/>
  <c r="B2483" i="1"/>
  <c r="D2483" i="1"/>
  <c r="E2483" i="1"/>
  <c r="F2483" i="1"/>
  <c r="K2483" i="1"/>
  <c r="M2483" i="1"/>
  <c r="N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3142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3142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3142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3142" i="1"/>
  <c r="D2447" i="1"/>
  <c r="B2393" i="1"/>
  <c r="B2331" i="1"/>
  <c r="D2331" i="1"/>
  <c r="E2331" i="1"/>
  <c r="F2331" i="1"/>
  <c r="K2331" i="1"/>
  <c r="M2331" i="1"/>
  <c r="N2331" i="1"/>
  <c r="B2332" i="1"/>
  <c r="D2332" i="1"/>
  <c r="E2332" i="1"/>
  <c r="F2332" i="1"/>
  <c r="K2332" i="1"/>
  <c r="M2332" i="1"/>
  <c r="N2332" i="1"/>
  <c r="B2318" i="1"/>
  <c r="D2318" i="1"/>
  <c r="E2318" i="1"/>
  <c r="F2318" i="1"/>
  <c r="K2318" i="1"/>
  <c r="M2318" i="1"/>
  <c r="N2318" i="1"/>
  <c r="B2319" i="1"/>
  <c r="D2319" i="1"/>
  <c r="E2319" i="1"/>
  <c r="F2319" i="1"/>
  <c r="K2319" i="1"/>
  <c r="M2319" i="1"/>
  <c r="N2319" i="1"/>
  <c r="B2320" i="1"/>
  <c r="D2320" i="1"/>
  <c r="E2320" i="1"/>
  <c r="F2320" i="1"/>
  <c r="K2320" i="1"/>
  <c r="M2320" i="1"/>
  <c r="N2320" i="1"/>
  <c r="B2321" i="1"/>
  <c r="D2321" i="1"/>
  <c r="E2321" i="1"/>
  <c r="F2321" i="1"/>
  <c r="K2321" i="1"/>
  <c r="M2321" i="1"/>
  <c r="N2321" i="1"/>
  <c r="B2322" i="1"/>
  <c r="D2322" i="1"/>
  <c r="E2322" i="1"/>
  <c r="F2322" i="1"/>
  <c r="K2322" i="1"/>
  <c r="M2322" i="1"/>
  <c r="N2322" i="1"/>
  <c r="B2323" i="1"/>
  <c r="D2323" i="1"/>
  <c r="E2323" i="1"/>
  <c r="F2323" i="1"/>
  <c r="K2323" i="1"/>
  <c r="M2323" i="1"/>
  <c r="N2323" i="1"/>
  <c r="B2324" i="1"/>
  <c r="D2324" i="1"/>
  <c r="E2324" i="1"/>
  <c r="F2324" i="1"/>
  <c r="K2324" i="1"/>
  <c r="M2324" i="1"/>
  <c r="N2324" i="1"/>
  <c r="B2325" i="1"/>
  <c r="D2325" i="1"/>
  <c r="E2325" i="1"/>
  <c r="F2325" i="1"/>
  <c r="K2325" i="1"/>
  <c r="M2325" i="1"/>
  <c r="N2325" i="1"/>
  <c r="B2326" i="1"/>
  <c r="D2326" i="1"/>
  <c r="E2326" i="1"/>
  <c r="F2326" i="1"/>
  <c r="K2326" i="1"/>
  <c r="M2326" i="1"/>
  <c r="N2326" i="1"/>
  <c r="B2327" i="1"/>
  <c r="D2327" i="1"/>
  <c r="E2327" i="1"/>
  <c r="F2327" i="1"/>
  <c r="K2327" i="1"/>
  <c r="M2327" i="1"/>
  <c r="N2327" i="1"/>
  <c r="B2328" i="1"/>
  <c r="D2328" i="1"/>
  <c r="E2328" i="1"/>
  <c r="F2328" i="1"/>
  <c r="K2328" i="1"/>
  <c r="M2328" i="1"/>
  <c r="N2328" i="1"/>
  <c r="B2329" i="1"/>
  <c r="D2329" i="1"/>
  <c r="E2329" i="1"/>
  <c r="F2329" i="1"/>
  <c r="K2329" i="1"/>
  <c r="M2329" i="1"/>
  <c r="N2329" i="1"/>
  <c r="B2330" i="1"/>
  <c r="D2330" i="1"/>
  <c r="E2330" i="1"/>
  <c r="F2330" i="1"/>
  <c r="K2330" i="1"/>
  <c r="M2330" i="1"/>
  <c r="N2330" i="1"/>
  <c r="B2333" i="1"/>
  <c r="D2333" i="1"/>
  <c r="E2333" i="1"/>
  <c r="F2333" i="1"/>
  <c r="K2333" i="1"/>
  <c r="M2333" i="1"/>
  <c r="N2333" i="1"/>
  <c r="B2334" i="1"/>
  <c r="D2334" i="1"/>
  <c r="E2334" i="1"/>
  <c r="F2334" i="1"/>
  <c r="K2334" i="1"/>
  <c r="M2334" i="1"/>
  <c r="N2334" i="1"/>
  <c r="B2335" i="1"/>
  <c r="D2335" i="1"/>
  <c r="E2335" i="1"/>
  <c r="F2335" i="1"/>
  <c r="K2335" i="1"/>
  <c r="M2335" i="1"/>
  <c r="N2335" i="1"/>
  <c r="B2336" i="1"/>
  <c r="D2336" i="1"/>
  <c r="E2336" i="1"/>
  <c r="F2336" i="1"/>
  <c r="K2336" i="1"/>
  <c r="M2336" i="1"/>
  <c r="N2336" i="1"/>
  <c r="B2337" i="1"/>
  <c r="D2337" i="1"/>
  <c r="E2337" i="1"/>
  <c r="F2337" i="1"/>
  <c r="K2337" i="1"/>
  <c r="M2337" i="1"/>
  <c r="N2337" i="1"/>
  <c r="B2338" i="1"/>
  <c r="D2338" i="1"/>
  <c r="E2338" i="1"/>
  <c r="F2338" i="1"/>
  <c r="K2338" i="1"/>
  <c r="M2338" i="1"/>
  <c r="N2338" i="1"/>
  <c r="B2339" i="1"/>
  <c r="D2339" i="1"/>
  <c r="E2339" i="1"/>
  <c r="F2339" i="1"/>
  <c r="K2339" i="1"/>
  <c r="M2339" i="1"/>
  <c r="N2339" i="1"/>
  <c r="B2340" i="1"/>
  <c r="D2340" i="1"/>
  <c r="E2340" i="1"/>
  <c r="F2340" i="1"/>
  <c r="K2340" i="1"/>
  <c r="M2340" i="1"/>
  <c r="N2340" i="1"/>
  <c r="B2341" i="1"/>
  <c r="D2341" i="1"/>
  <c r="E2341" i="1"/>
  <c r="F2341" i="1"/>
  <c r="K2341" i="1"/>
  <c r="M2341" i="1"/>
  <c r="N2341" i="1"/>
  <c r="B2342" i="1"/>
  <c r="D2342" i="1"/>
  <c r="E2342" i="1"/>
  <c r="F2342" i="1"/>
  <c r="K2342" i="1"/>
  <c r="M2342" i="1"/>
  <c r="N2342" i="1"/>
  <c r="B2343" i="1"/>
  <c r="D2343" i="1"/>
  <c r="E2343" i="1"/>
  <c r="F2343" i="1"/>
  <c r="K2343" i="1"/>
  <c r="M2343" i="1"/>
  <c r="N2343" i="1"/>
  <c r="B2344" i="1"/>
  <c r="D2344" i="1"/>
  <c r="E2344" i="1"/>
  <c r="F2344" i="1"/>
  <c r="K2344" i="1"/>
  <c r="M2344" i="1"/>
  <c r="N2344" i="1"/>
  <c r="B2345" i="1"/>
  <c r="D2345" i="1"/>
  <c r="E2345" i="1"/>
  <c r="F2345" i="1"/>
  <c r="K2345" i="1"/>
  <c r="M2345" i="1"/>
  <c r="N2345" i="1"/>
  <c r="B2346" i="1"/>
  <c r="D2346" i="1"/>
  <c r="E2346" i="1"/>
  <c r="F2346" i="1"/>
  <c r="K2346" i="1"/>
  <c r="M2346" i="1"/>
  <c r="N2346" i="1"/>
  <c r="B2347" i="1"/>
  <c r="D2347" i="1"/>
  <c r="E2347" i="1"/>
  <c r="F2347" i="1"/>
  <c r="K2347" i="1"/>
  <c r="M2347" i="1"/>
  <c r="N2347" i="1"/>
  <c r="B2348" i="1"/>
  <c r="D2348" i="1"/>
  <c r="E2348" i="1"/>
  <c r="F2348" i="1"/>
  <c r="K2348" i="1"/>
  <c r="M2348" i="1"/>
  <c r="N2348" i="1"/>
  <c r="B2349" i="1"/>
  <c r="D2349" i="1"/>
  <c r="E2349" i="1"/>
  <c r="F2349" i="1"/>
  <c r="K2349" i="1"/>
  <c r="M2349" i="1"/>
  <c r="N2349" i="1"/>
  <c r="B2350" i="1"/>
  <c r="D2350" i="1"/>
  <c r="E2350" i="1"/>
  <c r="F2350" i="1"/>
  <c r="K2350" i="1"/>
  <c r="M2350" i="1"/>
  <c r="N2350" i="1"/>
  <c r="B2351" i="1"/>
  <c r="D2351" i="1"/>
  <c r="E2351" i="1"/>
  <c r="F2351" i="1"/>
  <c r="K2351" i="1"/>
  <c r="M2351" i="1"/>
  <c r="N2351" i="1"/>
  <c r="B2352" i="1"/>
  <c r="D2352" i="1"/>
  <c r="E2352" i="1"/>
  <c r="F2352" i="1"/>
  <c r="K2352" i="1"/>
  <c r="M2352" i="1"/>
  <c r="N2352" i="1"/>
  <c r="B2353" i="1"/>
  <c r="D2353" i="1"/>
  <c r="E2353" i="1"/>
  <c r="F2353" i="1"/>
  <c r="K2353" i="1"/>
  <c r="M2353" i="1"/>
  <c r="N2353" i="1"/>
  <c r="B2354" i="1"/>
  <c r="D2354" i="1"/>
  <c r="E2354" i="1"/>
  <c r="F2354" i="1"/>
  <c r="K2354" i="1"/>
  <c r="M2354" i="1"/>
  <c r="N2354" i="1"/>
  <c r="B2355" i="1"/>
  <c r="D2355" i="1"/>
  <c r="E2355" i="1"/>
  <c r="F2355" i="1"/>
  <c r="K2355" i="1"/>
  <c r="M2355" i="1"/>
  <c r="N2355" i="1"/>
  <c r="B2356" i="1"/>
  <c r="D2356" i="1"/>
  <c r="E2356" i="1"/>
  <c r="F2356" i="1"/>
  <c r="K2356" i="1"/>
  <c r="M2356" i="1"/>
  <c r="N2356" i="1"/>
  <c r="B2357" i="1"/>
  <c r="D2357" i="1"/>
  <c r="E2357" i="1"/>
  <c r="F2357" i="1"/>
  <c r="K2357" i="1"/>
  <c r="M2357" i="1"/>
  <c r="N2357" i="1"/>
  <c r="B2358" i="1"/>
  <c r="D2358" i="1"/>
  <c r="E2358" i="1"/>
  <c r="F2358" i="1"/>
  <c r="K2358" i="1"/>
  <c r="M2358" i="1"/>
  <c r="N2358" i="1"/>
  <c r="B2359" i="1"/>
  <c r="D2359" i="1"/>
  <c r="E2359" i="1"/>
  <c r="F2359" i="1"/>
  <c r="K2359" i="1"/>
  <c r="M2359" i="1"/>
  <c r="N2359" i="1"/>
  <c r="B2360" i="1"/>
  <c r="D2360" i="1"/>
  <c r="E2360" i="1"/>
  <c r="F2360" i="1"/>
  <c r="K2360" i="1"/>
  <c r="M2360" i="1"/>
  <c r="N2360" i="1"/>
  <c r="B2361" i="1"/>
  <c r="D2361" i="1"/>
  <c r="E2361" i="1"/>
  <c r="F2361" i="1"/>
  <c r="K2361" i="1"/>
  <c r="M2361" i="1"/>
  <c r="N2361" i="1"/>
  <c r="B2362" i="1"/>
  <c r="D2362" i="1"/>
  <c r="E2362" i="1"/>
  <c r="F2362" i="1"/>
  <c r="K2362" i="1"/>
  <c r="M2362" i="1"/>
  <c r="N2362" i="1"/>
  <c r="B2363" i="1"/>
  <c r="D2363" i="1"/>
  <c r="E2363" i="1"/>
  <c r="F2363" i="1"/>
  <c r="K2363" i="1"/>
  <c r="M2363" i="1"/>
  <c r="N2363" i="1"/>
  <c r="B2364" i="1"/>
  <c r="D2364" i="1"/>
  <c r="E2364" i="1"/>
  <c r="F2364" i="1"/>
  <c r="K2364" i="1"/>
  <c r="M2364" i="1"/>
  <c r="N2364" i="1"/>
  <c r="B2365" i="1"/>
  <c r="D2365" i="1"/>
  <c r="E2365" i="1"/>
  <c r="F2365" i="1"/>
  <c r="K2365" i="1"/>
  <c r="M2365" i="1"/>
  <c r="N2365" i="1"/>
  <c r="B2366" i="1"/>
  <c r="D2366" i="1"/>
  <c r="E2366" i="1"/>
  <c r="F2366" i="1"/>
  <c r="K2366" i="1"/>
  <c r="M2366" i="1"/>
  <c r="N2366" i="1"/>
  <c r="B2367" i="1"/>
  <c r="D2367" i="1"/>
  <c r="E2367" i="1"/>
  <c r="F2367" i="1"/>
  <c r="K2367" i="1"/>
  <c r="M2367" i="1"/>
  <c r="N2367" i="1"/>
  <c r="B2368" i="1"/>
  <c r="D2368" i="1"/>
  <c r="E2368" i="1"/>
  <c r="F2368" i="1"/>
  <c r="K2368" i="1"/>
  <c r="M2368" i="1"/>
  <c r="N2368" i="1"/>
  <c r="B2369" i="1"/>
  <c r="D2369" i="1"/>
  <c r="E2369" i="1"/>
  <c r="F2369" i="1"/>
  <c r="K2369" i="1"/>
  <c r="M2369" i="1"/>
  <c r="N2369" i="1"/>
  <c r="B2370" i="1"/>
  <c r="D2370" i="1"/>
  <c r="E2370" i="1"/>
  <c r="F2370" i="1"/>
  <c r="K2370" i="1"/>
  <c r="M2370" i="1"/>
  <c r="N2370" i="1"/>
  <c r="B2371" i="1"/>
  <c r="D2371" i="1"/>
  <c r="E2371" i="1"/>
  <c r="F2371" i="1"/>
  <c r="K2371" i="1"/>
  <c r="M2371" i="1"/>
  <c r="N2371" i="1"/>
  <c r="B2372" i="1"/>
  <c r="D2372" i="1"/>
  <c r="E2372" i="1"/>
  <c r="F2372" i="1"/>
  <c r="K2372" i="1"/>
  <c r="M2372" i="1"/>
  <c r="N2372" i="1"/>
  <c r="B2373" i="1"/>
  <c r="D2373" i="1"/>
  <c r="E2373" i="1"/>
  <c r="F2373" i="1"/>
  <c r="K2373" i="1"/>
  <c r="M2373" i="1"/>
  <c r="N2373" i="1"/>
  <c r="B2374" i="1"/>
  <c r="D2374" i="1"/>
  <c r="E2374" i="1"/>
  <c r="F2374" i="1"/>
  <c r="K2374" i="1"/>
  <c r="M2374" i="1"/>
  <c r="N2374" i="1"/>
  <c r="B2375" i="1"/>
  <c r="D2375" i="1"/>
  <c r="E2375" i="1"/>
  <c r="F2375" i="1"/>
  <c r="K2375" i="1"/>
  <c r="M2375" i="1"/>
  <c r="N2375" i="1"/>
  <c r="B2376" i="1"/>
  <c r="D2376" i="1"/>
  <c r="E2376" i="1"/>
  <c r="F2376" i="1"/>
  <c r="K2376" i="1"/>
  <c r="M2376" i="1"/>
  <c r="N2376" i="1"/>
  <c r="B2377" i="1"/>
  <c r="D2377" i="1"/>
  <c r="E2377" i="1"/>
  <c r="F2377" i="1"/>
  <c r="K2377" i="1"/>
  <c r="M2377" i="1"/>
  <c r="N2377" i="1"/>
  <c r="B2378" i="1"/>
  <c r="D2378" i="1"/>
  <c r="E2378" i="1"/>
  <c r="F2378" i="1"/>
  <c r="K2378" i="1"/>
  <c r="M2378" i="1"/>
  <c r="N2378" i="1"/>
  <c r="B2379" i="1"/>
  <c r="D2379" i="1"/>
  <c r="E2379" i="1"/>
  <c r="F2379" i="1"/>
  <c r="K2379" i="1"/>
  <c r="M2379" i="1"/>
  <c r="N2379" i="1"/>
  <c r="B2380" i="1"/>
  <c r="D2380" i="1"/>
  <c r="E2380" i="1"/>
  <c r="F2380" i="1"/>
  <c r="K2380" i="1"/>
  <c r="M2380" i="1"/>
  <c r="N2380" i="1"/>
  <c r="B2381" i="1"/>
  <c r="D2381" i="1"/>
  <c r="E2381" i="1"/>
  <c r="F2381" i="1"/>
  <c r="K2381" i="1"/>
  <c r="M2381" i="1"/>
  <c r="N2381" i="1"/>
  <c r="B2382" i="1"/>
  <c r="D2382" i="1"/>
  <c r="E2382" i="1"/>
  <c r="F2382" i="1"/>
  <c r="K2382" i="1"/>
  <c r="M2382" i="1"/>
  <c r="N2382" i="1"/>
  <c r="B2383" i="1"/>
  <c r="D2383" i="1"/>
  <c r="E2383" i="1"/>
  <c r="F2383" i="1"/>
  <c r="K2383" i="1"/>
  <c r="M2383" i="1"/>
  <c r="N2383" i="1"/>
  <c r="B2384" i="1"/>
  <c r="D2384" i="1"/>
  <c r="E2384" i="1"/>
  <c r="F2384" i="1"/>
  <c r="K2384" i="1"/>
  <c r="M2384" i="1"/>
  <c r="N2384" i="1"/>
  <c r="B2385" i="1"/>
  <c r="D2385" i="1"/>
  <c r="E2385" i="1"/>
  <c r="F2385" i="1"/>
  <c r="K2385" i="1"/>
  <c r="M2385" i="1"/>
  <c r="N2385" i="1"/>
  <c r="B2386" i="1"/>
  <c r="D2386" i="1"/>
  <c r="E2386" i="1"/>
  <c r="F2386" i="1"/>
  <c r="K2386" i="1"/>
  <c r="M2386" i="1"/>
  <c r="N2386" i="1"/>
  <c r="B2387" i="1"/>
  <c r="D2387" i="1"/>
  <c r="E2387" i="1"/>
  <c r="F2387" i="1"/>
  <c r="K2387" i="1"/>
  <c r="M2387" i="1"/>
  <c r="N2387" i="1"/>
  <c r="B2388" i="1"/>
  <c r="D2388" i="1"/>
  <c r="E2388" i="1"/>
  <c r="F2388" i="1"/>
  <c r="K2388" i="1"/>
  <c r="M2388" i="1"/>
  <c r="N2388" i="1"/>
  <c r="B2389" i="1"/>
  <c r="D2389" i="1"/>
  <c r="E2389" i="1"/>
  <c r="F2389" i="1"/>
  <c r="K2389" i="1"/>
  <c r="M2389" i="1"/>
  <c r="N2389" i="1"/>
  <c r="B2390" i="1"/>
  <c r="D2390" i="1"/>
  <c r="E2390" i="1"/>
  <c r="F2390" i="1"/>
  <c r="K2390" i="1"/>
  <c r="M2390" i="1"/>
  <c r="N2390" i="1"/>
  <c r="B2391" i="1"/>
  <c r="D2391" i="1"/>
  <c r="E2391" i="1"/>
  <c r="F2391" i="1"/>
  <c r="K2391" i="1"/>
  <c r="M2391" i="1"/>
  <c r="N2391" i="1"/>
  <c r="B2392" i="1"/>
  <c r="D2392" i="1"/>
  <c r="E2392" i="1"/>
  <c r="F2392" i="1"/>
  <c r="K2392" i="1"/>
  <c r="M2392" i="1"/>
  <c r="N2392" i="1"/>
  <c r="D2393" i="1"/>
  <c r="E2393" i="1"/>
  <c r="F2393" i="1"/>
  <c r="K2393" i="1"/>
  <c r="M2393" i="1"/>
  <c r="N2393" i="1"/>
  <c r="B2394" i="1"/>
  <c r="D2394" i="1"/>
  <c r="E2394" i="1"/>
  <c r="F2394" i="1"/>
  <c r="K2394" i="1"/>
  <c r="M2394" i="1"/>
  <c r="N2394" i="1"/>
  <c r="B2395" i="1"/>
  <c r="D2395" i="1"/>
  <c r="E2395" i="1"/>
  <c r="F2395" i="1"/>
  <c r="K2395" i="1"/>
  <c r="M2395" i="1"/>
  <c r="N2395" i="1"/>
  <c r="B2396" i="1"/>
  <c r="D2396" i="1"/>
  <c r="E2396" i="1"/>
  <c r="F2396" i="1"/>
  <c r="K2396" i="1"/>
  <c r="M2396" i="1"/>
  <c r="N2396" i="1"/>
  <c r="B2397" i="1"/>
  <c r="D2397" i="1"/>
  <c r="E2397" i="1"/>
  <c r="F2397" i="1"/>
  <c r="K2397" i="1"/>
  <c r="M2397" i="1"/>
  <c r="N2397" i="1"/>
  <c r="B2398" i="1"/>
  <c r="D2398" i="1"/>
  <c r="E2398" i="1"/>
  <c r="F2398" i="1"/>
  <c r="K2398" i="1"/>
  <c r="M2398" i="1"/>
  <c r="N2398" i="1"/>
  <c r="B2399" i="1"/>
  <c r="D2399" i="1"/>
  <c r="E2399" i="1"/>
  <c r="F2399" i="1"/>
  <c r="K2399" i="1"/>
  <c r="M2399" i="1"/>
  <c r="N2399" i="1"/>
  <c r="B2400" i="1"/>
  <c r="D2400" i="1"/>
  <c r="E2400" i="1"/>
  <c r="F2400" i="1"/>
  <c r="K2400" i="1"/>
  <c r="M2400" i="1"/>
  <c r="N2400" i="1"/>
  <c r="B2401" i="1"/>
  <c r="D2401" i="1"/>
  <c r="E2401" i="1"/>
  <c r="F2401" i="1"/>
  <c r="K2401" i="1"/>
  <c r="M2401" i="1"/>
  <c r="N2401" i="1"/>
  <c r="B2402" i="1"/>
  <c r="D2402" i="1"/>
  <c r="E2402" i="1"/>
  <c r="F2402" i="1"/>
  <c r="K2402" i="1"/>
  <c r="M2402" i="1"/>
  <c r="N2402" i="1"/>
  <c r="B2403" i="1"/>
  <c r="D2403" i="1"/>
  <c r="E2403" i="1"/>
  <c r="F2403" i="1"/>
  <c r="K2403" i="1"/>
  <c r="M2403" i="1"/>
  <c r="N2403" i="1"/>
  <c r="B2404" i="1"/>
  <c r="D2404" i="1"/>
  <c r="E2404" i="1"/>
  <c r="F2404" i="1"/>
  <c r="K2404" i="1"/>
  <c r="M2404" i="1"/>
  <c r="N2404" i="1"/>
  <c r="B2405" i="1"/>
  <c r="D2405" i="1"/>
  <c r="E2405" i="1"/>
  <c r="F2405" i="1"/>
  <c r="K2405" i="1"/>
  <c r="M2405" i="1"/>
  <c r="N2405" i="1"/>
  <c r="B2406" i="1"/>
  <c r="D2406" i="1"/>
  <c r="E2406" i="1"/>
  <c r="F2406" i="1"/>
  <c r="K2406" i="1"/>
  <c r="M2406" i="1"/>
  <c r="N2406" i="1"/>
  <c r="B2407" i="1"/>
  <c r="D2407" i="1"/>
  <c r="E2407" i="1"/>
  <c r="F2407" i="1"/>
  <c r="K2407" i="1"/>
  <c r="M2407" i="1"/>
  <c r="N2407" i="1"/>
  <c r="B2408" i="1"/>
  <c r="D2408" i="1"/>
  <c r="E2408" i="1"/>
  <c r="F2408" i="1"/>
  <c r="K2408" i="1"/>
  <c r="M2408" i="1"/>
  <c r="N2408" i="1"/>
  <c r="B2409" i="1"/>
  <c r="D2409" i="1"/>
  <c r="E2409" i="1"/>
  <c r="F2409" i="1"/>
  <c r="K2409" i="1"/>
  <c r="M2409" i="1"/>
  <c r="N2409" i="1"/>
  <c r="B2410" i="1"/>
  <c r="D2410" i="1"/>
  <c r="E2410" i="1"/>
  <c r="F2410" i="1"/>
  <c r="K2410" i="1"/>
  <c r="M2410" i="1"/>
  <c r="N2410" i="1"/>
  <c r="B2411" i="1"/>
  <c r="D2411" i="1"/>
  <c r="E2411" i="1"/>
  <c r="F2411" i="1"/>
  <c r="K2411" i="1"/>
  <c r="M2411" i="1"/>
  <c r="N2411" i="1"/>
  <c r="B2412" i="1"/>
  <c r="D2412" i="1"/>
  <c r="E2412" i="1"/>
  <c r="F2412" i="1"/>
  <c r="K2412" i="1"/>
  <c r="M2412" i="1"/>
  <c r="N2412" i="1"/>
  <c r="B2413" i="1"/>
  <c r="D2413" i="1"/>
  <c r="E2413" i="1"/>
  <c r="F2413" i="1"/>
  <c r="K2413" i="1"/>
  <c r="M2413" i="1"/>
  <c r="N2413" i="1"/>
  <c r="B2414" i="1"/>
  <c r="D2414" i="1"/>
  <c r="E2414" i="1"/>
  <c r="F2414" i="1"/>
  <c r="K2414" i="1"/>
  <c r="M2414" i="1"/>
  <c r="N2414" i="1"/>
  <c r="B2415" i="1"/>
  <c r="D2415" i="1"/>
  <c r="E2415" i="1"/>
  <c r="F2415" i="1"/>
  <c r="K2415" i="1"/>
  <c r="M2415" i="1"/>
  <c r="N2415" i="1"/>
  <c r="B2416" i="1"/>
  <c r="D2416" i="1"/>
  <c r="E2416" i="1"/>
  <c r="F2416" i="1"/>
  <c r="K2416" i="1"/>
  <c r="M2416" i="1"/>
  <c r="N2416" i="1"/>
  <c r="B2417" i="1"/>
  <c r="D2417" i="1"/>
  <c r="E2417" i="1"/>
  <c r="F2417" i="1"/>
  <c r="K2417" i="1"/>
  <c r="M2417" i="1"/>
  <c r="N2417" i="1"/>
  <c r="B2418" i="1"/>
  <c r="D2418" i="1"/>
  <c r="E2418" i="1"/>
  <c r="F2418" i="1"/>
  <c r="K2418" i="1"/>
  <c r="M2418" i="1"/>
  <c r="N2418" i="1"/>
  <c r="B2419" i="1"/>
  <c r="D2419" i="1"/>
  <c r="E2419" i="1"/>
  <c r="F2419" i="1"/>
  <c r="K2419" i="1"/>
  <c r="M2419" i="1"/>
  <c r="N2419" i="1"/>
  <c r="B2420" i="1"/>
  <c r="D2420" i="1"/>
  <c r="E2420" i="1"/>
  <c r="F2420" i="1"/>
  <c r="K2420" i="1"/>
  <c r="M2420" i="1"/>
  <c r="N2420" i="1"/>
  <c r="B2421" i="1"/>
  <c r="D2421" i="1"/>
  <c r="E2421" i="1"/>
  <c r="F2421" i="1"/>
  <c r="K2421" i="1"/>
  <c r="M2421" i="1"/>
  <c r="N2421" i="1"/>
  <c r="B2422" i="1"/>
  <c r="D2422" i="1"/>
  <c r="E2422" i="1"/>
  <c r="F2422" i="1"/>
  <c r="K2422" i="1"/>
  <c r="M2422" i="1"/>
  <c r="N2422" i="1"/>
  <c r="B2423" i="1"/>
  <c r="D2423" i="1"/>
  <c r="E2423" i="1"/>
  <c r="F2423" i="1"/>
  <c r="K2423" i="1"/>
  <c r="M2423" i="1"/>
  <c r="N2423" i="1"/>
  <c r="B2424" i="1"/>
  <c r="D2424" i="1"/>
  <c r="E2424" i="1"/>
  <c r="F2424" i="1"/>
  <c r="K2424" i="1"/>
  <c r="M2424" i="1"/>
  <c r="N2424" i="1"/>
  <c r="B2425" i="1"/>
  <c r="D2425" i="1"/>
  <c r="E2425" i="1"/>
  <c r="F2425" i="1"/>
  <c r="K2425" i="1"/>
  <c r="M2425" i="1"/>
  <c r="N2425" i="1"/>
  <c r="B2426" i="1"/>
  <c r="D2426" i="1"/>
  <c r="E2426" i="1"/>
  <c r="F2426" i="1"/>
  <c r="K2426" i="1"/>
  <c r="M2426" i="1"/>
  <c r="N2426" i="1"/>
  <c r="B2427" i="1"/>
  <c r="D2427" i="1"/>
  <c r="E2427" i="1"/>
  <c r="F2427" i="1"/>
  <c r="K2427" i="1"/>
  <c r="M2427" i="1"/>
  <c r="N2427" i="1"/>
  <c r="B2428" i="1"/>
  <c r="D2428" i="1"/>
  <c r="E2428" i="1"/>
  <c r="F2428" i="1"/>
  <c r="K2428" i="1"/>
  <c r="M2428" i="1"/>
  <c r="N2428" i="1"/>
  <c r="B2429" i="1"/>
  <c r="D2429" i="1"/>
  <c r="E2429" i="1"/>
  <c r="F2429" i="1"/>
  <c r="K2429" i="1"/>
  <c r="M2429" i="1"/>
  <c r="N2429" i="1"/>
  <c r="B2430" i="1"/>
  <c r="D2430" i="1"/>
  <c r="E2430" i="1"/>
  <c r="F2430" i="1"/>
  <c r="K2430" i="1"/>
  <c r="M2430" i="1"/>
  <c r="N2430" i="1"/>
  <c r="B2431" i="1"/>
  <c r="D2431" i="1"/>
  <c r="E2431" i="1"/>
  <c r="F2431" i="1"/>
  <c r="K2431" i="1"/>
  <c r="M2431" i="1"/>
  <c r="N2431" i="1"/>
  <c r="B2432" i="1"/>
  <c r="D2432" i="1"/>
  <c r="E2432" i="1"/>
  <c r="F2432" i="1"/>
  <c r="K2432" i="1"/>
  <c r="M2432" i="1"/>
  <c r="N2432" i="1"/>
  <c r="B2433" i="1"/>
  <c r="D2433" i="1"/>
  <c r="E2433" i="1"/>
  <c r="F2433" i="1"/>
  <c r="K2433" i="1"/>
  <c r="M2433" i="1"/>
  <c r="N2433" i="1"/>
  <c r="B2434" i="1"/>
  <c r="D2434" i="1"/>
  <c r="E2434" i="1"/>
  <c r="F2434" i="1"/>
  <c r="K2434" i="1"/>
  <c r="M2434" i="1"/>
  <c r="N2434" i="1"/>
  <c r="B2435" i="1"/>
  <c r="D2435" i="1"/>
  <c r="E2435" i="1"/>
  <c r="F2435" i="1"/>
  <c r="K2435" i="1"/>
  <c r="M2435" i="1"/>
  <c r="N2435" i="1"/>
  <c r="B2436" i="1"/>
  <c r="D2436" i="1"/>
  <c r="E2436" i="1"/>
  <c r="F2436" i="1"/>
  <c r="K2436" i="1"/>
  <c r="M2436" i="1"/>
  <c r="N2436" i="1"/>
  <c r="B2437" i="1"/>
  <c r="D2437" i="1"/>
  <c r="E2437" i="1"/>
  <c r="F2437" i="1"/>
  <c r="K2437" i="1"/>
  <c r="M2437" i="1"/>
  <c r="N2437" i="1"/>
  <c r="B2438" i="1"/>
  <c r="D2438" i="1"/>
  <c r="E2438" i="1"/>
  <c r="F2438" i="1"/>
  <c r="K2438" i="1"/>
  <c r="M2438" i="1"/>
  <c r="N2438" i="1"/>
  <c r="B2439" i="1"/>
  <c r="D2439" i="1"/>
  <c r="E2439" i="1"/>
  <c r="F2439" i="1"/>
  <c r="K2439" i="1"/>
  <c r="M2439" i="1"/>
  <c r="N2439" i="1"/>
  <c r="B2440" i="1"/>
  <c r="D2440" i="1"/>
  <c r="E2440" i="1"/>
  <c r="F2440" i="1"/>
  <c r="K2440" i="1"/>
  <c r="M2440" i="1"/>
  <c r="N2440" i="1"/>
  <c r="B2441" i="1"/>
  <c r="D2441" i="1"/>
  <c r="E2441" i="1"/>
  <c r="F2441" i="1"/>
  <c r="K2441" i="1"/>
  <c r="M2441" i="1"/>
  <c r="N2441" i="1"/>
  <c r="B2442" i="1"/>
  <c r="D2442" i="1"/>
  <c r="E2442" i="1"/>
  <c r="F2442" i="1"/>
  <c r="K2442" i="1"/>
  <c r="M2442" i="1"/>
  <c r="N2442" i="1"/>
  <c r="B2443" i="1"/>
  <c r="D2443" i="1"/>
  <c r="E2443" i="1"/>
  <c r="F2443" i="1"/>
  <c r="K2443" i="1"/>
  <c r="M2443" i="1"/>
  <c r="N2443" i="1"/>
  <c r="B2444" i="1"/>
  <c r="D2444" i="1"/>
  <c r="E2444" i="1"/>
  <c r="F2444" i="1"/>
  <c r="K2444" i="1"/>
  <c r="M2444" i="1"/>
  <c r="N2444" i="1"/>
  <c r="B2445" i="1"/>
  <c r="D2445" i="1"/>
  <c r="E2445" i="1"/>
  <c r="F2445" i="1"/>
  <c r="K2445" i="1"/>
  <c r="M2445" i="1"/>
  <c r="N2445" i="1"/>
  <c r="B2446" i="1"/>
  <c r="D2446" i="1"/>
  <c r="E2446" i="1"/>
  <c r="F2446" i="1"/>
  <c r="K2446" i="1"/>
  <c r="M2446" i="1"/>
  <c r="N2446" i="1"/>
  <c r="B2447" i="1"/>
  <c r="E2447" i="1"/>
  <c r="F2447" i="1"/>
  <c r="K2447" i="1"/>
  <c r="M2447" i="1"/>
  <c r="N2447" i="1"/>
  <c r="B2448" i="1"/>
  <c r="D2448" i="1"/>
  <c r="E2448" i="1"/>
  <c r="F2448" i="1"/>
  <c r="K2448" i="1"/>
  <c r="M2448" i="1"/>
  <c r="N2448" i="1"/>
  <c r="B2449" i="1"/>
  <c r="D2449" i="1"/>
  <c r="E2449" i="1"/>
  <c r="F2449" i="1"/>
  <c r="K2449" i="1"/>
  <c r="M2449" i="1"/>
  <c r="N2449" i="1"/>
  <c r="B2450" i="1"/>
  <c r="D2450" i="1"/>
  <c r="E2450" i="1"/>
  <c r="F2450" i="1"/>
  <c r="K2450" i="1"/>
  <c r="M2450" i="1"/>
  <c r="N2450" i="1"/>
  <c r="B2451" i="1"/>
  <c r="D2451" i="1"/>
  <c r="E2451" i="1"/>
  <c r="F2451" i="1"/>
  <c r="K2451" i="1"/>
  <c r="M2451" i="1"/>
  <c r="N2451" i="1"/>
  <c r="B2452" i="1"/>
  <c r="D2452" i="1"/>
  <c r="E2452" i="1"/>
  <c r="F2452" i="1"/>
  <c r="K2452" i="1"/>
  <c r="M2452" i="1"/>
  <c r="N2452" i="1"/>
  <c r="B2453" i="1"/>
  <c r="D2453" i="1"/>
  <c r="E2453" i="1"/>
  <c r="F2453" i="1"/>
  <c r="K2453" i="1"/>
  <c r="M2453" i="1"/>
  <c r="N2453" i="1"/>
  <c r="B2454" i="1"/>
  <c r="D2454" i="1"/>
  <c r="E2454" i="1"/>
  <c r="F2454" i="1"/>
  <c r="K2454" i="1"/>
  <c r="M2454" i="1"/>
  <c r="N2454" i="1"/>
  <c r="B2455" i="1"/>
  <c r="D2455" i="1"/>
  <c r="E2455" i="1"/>
  <c r="F2455" i="1"/>
  <c r="K2455" i="1"/>
  <c r="M2455" i="1"/>
  <c r="N2455" i="1"/>
  <c r="B2456" i="1"/>
  <c r="D2456" i="1"/>
  <c r="E2456" i="1"/>
  <c r="F2456" i="1"/>
  <c r="K2456" i="1"/>
  <c r="M2456" i="1"/>
  <c r="N2456" i="1"/>
  <c r="B2457" i="1"/>
  <c r="D2457" i="1"/>
  <c r="E2457" i="1"/>
  <c r="F2457" i="1"/>
  <c r="K2457" i="1"/>
  <c r="M2457" i="1"/>
  <c r="N2457" i="1"/>
  <c r="B2458" i="1"/>
  <c r="D2458" i="1"/>
  <c r="E2458" i="1"/>
  <c r="F2458" i="1"/>
  <c r="K2458" i="1"/>
  <c r="M2458" i="1"/>
  <c r="N2458" i="1"/>
  <c r="B2459" i="1"/>
  <c r="D2459" i="1"/>
  <c r="E2459" i="1"/>
  <c r="F2459" i="1"/>
  <c r="K2459" i="1"/>
  <c r="M2459" i="1"/>
  <c r="N2459" i="1"/>
  <c r="B2460" i="1"/>
  <c r="D2460" i="1"/>
  <c r="E2460" i="1"/>
  <c r="F2460" i="1"/>
  <c r="K2460" i="1"/>
  <c r="M2460" i="1"/>
  <c r="N2460" i="1"/>
  <c r="B2461" i="1"/>
  <c r="D2461" i="1"/>
  <c r="E2461" i="1"/>
  <c r="F2461" i="1"/>
  <c r="K2461" i="1"/>
  <c r="M2461" i="1"/>
  <c r="N2461" i="1"/>
  <c r="B2462" i="1"/>
  <c r="D2462" i="1"/>
  <c r="E2462" i="1"/>
  <c r="F2462" i="1"/>
  <c r="K2462" i="1"/>
  <c r="M2462" i="1"/>
  <c r="N2462" i="1"/>
  <c r="B2463" i="1"/>
  <c r="D2463" i="1"/>
  <c r="E2463" i="1"/>
  <c r="F2463" i="1"/>
  <c r="K2463" i="1"/>
  <c r="M2463" i="1"/>
  <c r="N2463" i="1"/>
  <c r="B2464" i="1"/>
  <c r="D2464" i="1"/>
  <c r="E2464" i="1"/>
  <c r="F2464" i="1"/>
  <c r="K2464" i="1"/>
  <c r="M2464" i="1"/>
  <c r="N2464" i="1"/>
  <c r="B2465" i="1"/>
  <c r="D2465" i="1"/>
  <c r="E2465" i="1"/>
  <c r="F2465" i="1"/>
  <c r="K2465" i="1"/>
  <c r="M2465" i="1"/>
  <c r="N2465" i="1"/>
  <c r="B2466" i="1"/>
  <c r="D2466" i="1"/>
  <c r="E2466" i="1"/>
  <c r="F2466" i="1"/>
  <c r="K2466" i="1"/>
  <c r="M2466" i="1"/>
  <c r="N2466" i="1"/>
  <c r="B2467" i="1"/>
  <c r="D2467" i="1"/>
  <c r="E2467" i="1"/>
  <c r="F2467" i="1"/>
  <c r="K2467" i="1"/>
  <c r="M2467" i="1"/>
  <c r="N2467" i="1"/>
  <c r="B2468" i="1"/>
  <c r="D2468" i="1"/>
  <c r="E2468" i="1"/>
  <c r="F2468" i="1"/>
  <c r="K2468" i="1"/>
  <c r="M2468" i="1"/>
  <c r="N2468" i="1"/>
  <c r="B2469" i="1"/>
  <c r="D2469" i="1"/>
  <c r="E2469" i="1"/>
  <c r="F2469" i="1"/>
  <c r="K2469" i="1"/>
  <c r="M2469" i="1"/>
  <c r="N2469" i="1"/>
  <c r="B2470" i="1"/>
  <c r="D2470" i="1"/>
  <c r="E2470" i="1"/>
  <c r="F2470" i="1"/>
  <c r="K2470" i="1"/>
  <c r="M2470" i="1"/>
  <c r="N2470" i="1"/>
  <c r="B2471" i="1"/>
  <c r="D2471" i="1"/>
  <c r="E2471" i="1"/>
  <c r="F2471" i="1"/>
  <c r="K2471" i="1"/>
  <c r="M2471" i="1"/>
  <c r="N2471" i="1"/>
  <c r="B2472" i="1"/>
  <c r="D2472" i="1"/>
  <c r="E2472" i="1"/>
  <c r="F2472" i="1"/>
  <c r="K2472" i="1"/>
  <c r="M2472" i="1"/>
  <c r="N2472" i="1"/>
  <c r="B2473" i="1"/>
  <c r="D2473" i="1"/>
  <c r="E2473" i="1"/>
  <c r="F2473" i="1"/>
  <c r="K2473" i="1"/>
  <c r="M2473" i="1"/>
  <c r="N2473" i="1"/>
  <c r="B2474" i="1"/>
  <c r="D2474" i="1"/>
  <c r="E2474" i="1"/>
  <c r="F2474" i="1"/>
  <c r="K2474" i="1"/>
  <c r="M2474" i="1"/>
  <c r="N2474" i="1"/>
  <c r="B2475" i="1"/>
  <c r="D2475" i="1"/>
  <c r="E2475" i="1"/>
  <c r="F2475" i="1"/>
  <c r="K2475" i="1"/>
  <c r="M2475" i="1"/>
  <c r="N2475" i="1"/>
  <c r="B2476" i="1"/>
  <c r="D2476" i="1"/>
  <c r="E2476" i="1"/>
  <c r="F2476" i="1"/>
  <c r="K2476" i="1"/>
  <c r="M2476" i="1"/>
  <c r="N2476" i="1"/>
  <c r="B2477" i="1"/>
  <c r="D2477" i="1"/>
  <c r="E2477" i="1"/>
  <c r="F2477" i="1"/>
  <c r="K2477" i="1"/>
  <c r="M2477" i="1"/>
  <c r="N2477" i="1"/>
  <c r="B2478" i="1"/>
  <c r="D2478" i="1"/>
  <c r="E2478" i="1"/>
  <c r="F2478" i="1"/>
  <c r="K2478" i="1"/>
  <c r="M2478" i="1"/>
  <c r="N2478" i="1"/>
  <c r="B2216" i="1"/>
  <c r="D2216" i="1"/>
  <c r="E2216" i="1"/>
  <c r="F2216" i="1"/>
  <c r="K2216" i="1"/>
  <c r="M2216" i="1"/>
  <c r="N2216" i="1"/>
  <c r="B2217" i="1"/>
  <c r="D2217" i="1"/>
  <c r="E2217" i="1"/>
  <c r="F2217" i="1"/>
  <c r="K2217" i="1"/>
  <c r="M2217" i="1"/>
  <c r="N2217" i="1"/>
  <c r="B2218" i="1"/>
  <c r="D2218" i="1"/>
  <c r="E2218" i="1"/>
  <c r="F2218" i="1"/>
  <c r="K2218" i="1"/>
  <c r="M2218" i="1"/>
  <c r="N2218" i="1"/>
  <c r="B2219" i="1"/>
  <c r="D2219" i="1"/>
  <c r="E2219" i="1"/>
  <c r="F2219" i="1"/>
  <c r="K2219" i="1"/>
  <c r="M2219" i="1"/>
  <c r="N2219" i="1"/>
  <c r="B2202" i="1"/>
  <c r="D2202" i="1"/>
  <c r="E2202" i="1"/>
  <c r="F2202" i="1"/>
  <c r="K2202" i="1"/>
  <c r="M2202" i="1"/>
  <c r="N2202" i="1"/>
  <c r="B2203" i="1"/>
  <c r="D2203" i="1"/>
  <c r="E2203" i="1"/>
  <c r="F2203" i="1"/>
  <c r="K2203" i="1"/>
  <c r="M2203" i="1"/>
  <c r="N2203" i="1"/>
  <c r="B2200" i="1"/>
  <c r="D2200" i="1"/>
  <c r="E2200" i="1"/>
  <c r="F2200" i="1"/>
  <c r="K2200" i="1"/>
  <c r="M2200" i="1"/>
  <c r="N2200" i="1"/>
  <c r="B2201" i="1"/>
  <c r="D2201" i="1"/>
  <c r="E2201" i="1"/>
  <c r="F2201" i="1"/>
  <c r="K2201" i="1"/>
  <c r="M2201" i="1"/>
  <c r="N2201" i="1"/>
  <c r="B1727" i="1"/>
  <c r="D1727" i="1"/>
  <c r="E1727" i="1"/>
  <c r="F1727" i="1"/>
  <c r="K1727" i="1"/>
  <c r="M1727" i="1"/>
  <c r="N1727" i="1"/>
  <c r="B1570" i="1"/>
  <c r="D1570" i="1"/>
  <c r="E1570" i="1"/>
  <c r="F1570" i="1"/>
  <c r="K1570" i="1"/>
  <c r="M1570" i="1"/>
  <c r="N1570" i="1"/>
  <c r="B1516" i="1"/>
  <c r="D1516" i="1"/>
  <c r="E1516" i="1"/>
  <c r="F1516" i="1"/>
  <c r="K1516" i="1"/>
  <c r="M1516" i="1"/>
  <c r="N1516" i="1"/>
  <c r="B1465" i="1"/>
  <c r="D1465" i="1"/>
  <c r="E1465" i="1"/>
  <c r="F1465" i="1"/>
  <c r="K1465" i="1"/>
  <c r="M1465" i="1"/>
  <c r="N1465" i="1"/>
  <c r="B1420" i="1"/>
  <c r="D1420" i="1"/>
  <c r="E1420" i="1"/>
  <c r="F1420" i="1"/>
  <c r="K1420" i="1"/>
  <c r="M1420" i="1"/>
  <c r="N1420" i="1"/>
  <c r="B1352" i="1"/>
  <c r="D1352" i="1"/>
  <c r="E1352" i="1"/>
  <c r="F1352" i="1"/>
  <c r="K1352" i="1"/>
  <c r="M1352" i="1"/>
  <c r="N1352" i="1"/>
  <c r="B1295" i="1"/>
  <c r="D1295" i="1"/>
  <c r="E1295" i="1"/>
  <c r="F1295" i="1"/>
  <c r="K1295" i="1"/>
  <c r="M1295" i="1"/>
  <c r="N1295" i="1"/>
  <c r="B1238" i="1"/>
  <c r="D1238" i="1"/>
  <c r="E1238" i="1"/>
  <c r="F1238" i="1"/>
  <c r="K1238" i="1"/>
  <c r="M1238" i="1"/>
  <c r="N1238" i="1"/>
  <c r="B1180" i="1"/>
  <c r="D1180" i="1"/>
  <c r="E1180" i="1"/>
  <c r="F1180" i="1"/>
  <c r="K1180" i="1"/>
  <c r="M1180" i="1"/>
  <c r="N1180" i="1"/>
  <c r="B1132" i="1"/>
  <c r="D1132" i="1"/>
  <c r="E1132" i="1"/>
  <c r="F1132" i="1"/>
  <c r="K1132" i="1"/>
  <c r="M1132" i="1"/>
  <c r="N1132" i="1"/>
  <c r="B1072" i="1"/>
  <c r="D1072" i="1"/>
  <c r="E1072" i="1"/>
  <c r="F1072" i="1"/>
  <c r="K1072" i="1"/>
  <c r="M1072" i="1"/>
  <c r="N1072" i="1"/>
  <c r="B1008" i="1"/>
  <c r="D1008" i="1"/>
  <c r="E1008" i="1"/>
  <c r="F1008" i="1"/>
  <c r="K1008" i="1"/>
  <c r="M1008" i="1"/>
  <c r="N1008" i="1"/>
  <c r="B959" i="1"/>
  <c r="D959" i="1"/>
  <c r="E959" i="1"/>
  <c r="F959" i="1"/>
  <c r="K959" i="1"/>
  <c r="M959" i="1"/>
  <c r="N959" i="1"/>
  <c r="B890" i="1"/>
  <c r="D890" i="1"/>
  <c r="E890" i="1"/>
  <c r="F890" i="1"/>
  <c r="K890" i="1"/>
  <c r="M890" i="1"/>
  <c r="N890" i="1"/>
  <c r="B839" i="1"/>
  <c r="D839" i="1"/>
  <c r="E839" i="1"/>
  <c r="F839" i="1"/>
  <c r="K839" i="1"/>
  <c r="M839" i="1"/>
  <c r="N839" i="1"/>
  <c r="B786" i="1"/>
  <c r="D786" i="1"/>
  <c r="E786" i="1"/>
  <c r="F786" i="1"/>
  <c r="K786" i="1"/>
  <c r="M786" i="1"/>
  <c r="N786" i="1"/>
  <c r="B726" i="1"/>
  <c r="D726" i="1"/>
  <c r="E726" i="1"/>
  <c r="F726" i="1"/>
  <c r="K726" i="1"/>
  <c r="M726" i="1"/>
  <c r="N726" i="1"/>
  <c r="B674" i="1"/>
  <c r="D674" i="1"/>
  <c r="E674" i="1"/>
  <c r="F674" i="1"/>
  <c r="K674" i="1"/>
  <c r="M674" i="1"/>
  <c r="N674" i="1"/>
  <c r="B613" i="1"/>
  <c r="D613" i="1"/>
  <c r="E613" i="1"/>
  <c r="F613" i="1"/>
  <c r="K613" i="1"/>
  <c r="M613" i="1"/>
  <c r="N613" i="1"/>
  <c r="B556" i="1"/>
  <c r="D556" i="1"/>
  <c r="E556" i="1"/>
  <c r="F556" i="1"/>
  <c r="K556" i="1"/>
  <c r="M556" i="1"/>
  <c r="N556" i="1"/>
  <c r="B517" i="1"/>
  <c r="D517" i="1"/>
  <c r="E517" i="1"/>
  <c r="F517" i="1"/>
  <c r="K517" i="1"/>
  <c r="M517" i="1"/>
  <c r="N517" i="1"/>
  <c r="B458" i="1"/>
  <c r="D458" i="1"/>
  <c r="E458" i="1"/>
  <c r="F458" i="1"/>
  <c r="K458" i="1"/>
  <c r="M458" i="1"/>
  <c r="N458" i="1"/>
  <c r="B413" i="1"/>
  <c r="D413" i="1"/>
  <c r="E413" i="1"/>
  <c r="F413" i="1"/>
  <c r="K413" i="1"/>
  <c r="M413" i="1"/>
  <c r="N413" i="1"/>
  <c r="B360" i="1"/>
  <c r="D360" i="1"/>
  <c r="E360" i="1"/>
  <c r="F360" i="1"/>
  <c r="K360" i="1"/>
  <c r="M360" i="1"/>
  <c r="N360" i="1"/>
  <c r="B301" i="1"/>
  <c r="D301" i="1"/>
  <c r="E301" i="1"/>
  <c r="F301" i="1"/>
  <c r="K301" i="1"/>
  <c r="M301" i="1"/>
  <c r="N301" i="1"/>
  <c r="B1728" i="1"/>
  <c r="D1728" i="1"/>
  <c r="E1728" i="1"/>
  <c r="F1728" i="1"/>
  <c r="K1728" i="1"/>
  <c r="M1728" i="1"/>
  <c r="N1728" i="1"/>
  <c r="B1571" i="1"/>
  <c r="D1571" i="1"/>
  <c r="E1571" i="1"/>
  <c r="F1571" i="1"/>
  <c r="K1571" i="1"/>
  <c r="M1571" i="1"/>
  <c r="N1571" i="1"/>
  <c r="B1517" i="1"/>
  <c r="D1517" i="1"/>
  <c r="E1517" i="1"/>
  <c r="F1517" i="1"/>
  <c r="K1517" i="1"/>
  <c r="M1517" i="1"/>
  <c r="N1517" i="1"/>
  <c r="B1466" i="1"/>
  <c r="D1466" i="1"/>
  <c r="E1466" i="1"/>
  <c r="F1466" i="1"/>
  <c r="K1466" i="1"/>
  <c r="M1466" i="1"/>
  <c r="N1466" i="1"/>
  <c r="B1421" i="1"/>
  <c r="D1421" i="1"/>
  <c r="E1421" i="1"/>
  <c r="F1421" i="1"/>
  <c r="K1421" i="1"/>
  <c r="M1421" i="1"/>
  <c r="N1421" i="1"/>
  <c r="B1353" i="1"/>
  <c r="D1353" i="1"/>
  <c r="E1353" i="1"/>
  <c r="F1353" i="1"/>
  <c r="K1353" i="1"/>
  <c r="M1353" i="1"/>
  <c r="N1353" i="1"/>
  <c r="B1296" i="1"/>
  <c r="D1296" i="1"/>
  <c r="E1296" i="1"/>
  <c r="F1296" i="1"/>
  <c r="K1296" i="1"/>
  <c r="M1296" i="1"/>
  <c r="N1296" i="1"/>
  <c r="B1239" i="1"/>
  <c r="D1239" i="1"/>
  <c r="E1239" i="1"/>
  <c r="F1239" i="1"/>
  <c r="K1239" i="1"/>
  <c r="M1239" i="1"/>
  <c r="N1239" i="1"/>
  <c r="B1181" i="1"/>
  <c r="D1181" i="1"/>
  <c r="E1181" i="1"/>
  <c r="F1181" i="1"/>
  <c r="K1181" i="1"/>
  <c r="M1181" i="1"/>
  <c r="N1181" i="1"/>
  <c r="B1133" i="1"/>
  <c r="D1133" i="1"/>
  <c r="E1133" i="1"/>
  <c r="F1133" i="1"/>
  <c r="K1133" i="1"/>
  <c r="M1133" i="1"/>
  <c r="N1133" i="1"/>
  <c r="B1073" i="1"/>
  <c r="D1073" i="1"/>
  <c r="E1073" i="1"/>
  <c r="F1073" i="1"/>
  <c r="K1073" i="1"/>
  <c r="M1073" i="1"/>
  <c r="N1073" i="1"/>
  <c r="B1009" i="1"/>
  <c r="D1009" i="1"/>
  <c r="E1009" i="1"/>
  <c r="F1009" i="1"/>
  <c r="K1009" i="1"/>
  <c r="M1009" i="1"/>
  <c r="N1009" i="1"/>
  <c r="B960" i="1"/>
  <c r="D960" i="1"/>
  <c r="E960" i="1"/>
  <c r="F960" i="1"/>
  <c r="K960" i="1"/>
  <c r="M960" i="1"/>
  <c r="N960" i="1"/>
  <c r="B891" i="1"/>
  <c r="D891" i="1"/>
  <c r="E891" i="1"/>
  <c r="F891" i="1"/>
  <c r="K891" i="1"/>
  <c r="M891" i="1"/>
  <c r="N891" i="1"/>
  <c r="B840" i="1"/>
  <c r="D840" i="1"/>
  <c r="E840" i="1"/>
  <c r="F840" i="1"/>
  <c r="K840" i="1"/>
  <c r="M840" i="1"/>
  <c r="N840" i="1"/>
  <c r="B787" i="1"/>
  <c r="D787" i="1"/>
  <c r="E787" i="1"/>
  <c r="F787" i="1"/>
  <c r="K787" i="1"/>
  <c r="M787" i="1"/>
  <c r="N787" i="1"/>
  <c r="B727" i="1"/>
  <c r="D727" i="1"/>
  <c r="E727" i="1"/>
  <c r="F727" i="1"/>
  <c r="K727" i="1"/>
  <c r="M727" i="1"/>
  <c r="N727" i="1"/>
  <c r="B675" i="1"/>
  <c r="D675" i="1"/>
  <c r="E675" i="1"/>
  <c r="F675" i="1"/>
  <c r="K675" i="1"/>
  <c r="M675" i="1"/>
  <c r="N675" i="1"/>
  <c r="B614" i="1"/>
  <c r="D614" i="1"/>
  <c r="E614" i="1"/>
  <c r="F614" i="1"/>
  <c r="K614" i="1"/>
  <c r="M614" i="1"/>
  <c r="N614" i="1"/>
  <c r="B557" i="1"/>
  <c r="D557" i="1"/>
  <c r="E557" i="1"/>
  <c r="F557" i="1"/>
  <c r="K557" i="1"/>
  <c r="M557" i="1"/>
  <c r="N557" i="1"/>
  <c r="B518" i="1"/>
  <c r="D518" i="1"/>
  <c r="E518" i="1"/>
  <c r="F518" i="1"/>
  <c r="K518" i="1"/>
  <c r="M518" i="1"/>
  <c r="N518" i="1"/>
  <c r="B459" i="1"/>
  <c r="D459" i="1"/>
  <c r="E459" i="1"/>
  <c r="F459" i="1"/>
  <c r="K459" i="1"/>
  <c r="M459" i="1"/>
  <c r="N459" i="1"/>
  <c r="B414" i="1"/>
  <c r="D414" i="1"/>
  <c r="E414" i="1"/>
  <c r="F414" i="1"/>
  <c r="K414" i="1"/>
  <c r="M414" i="1"/>
  <c r="N414" i="1"/>
  <c r="B361" i="1"/>
  <c r="D361" i="1"/>
  <c r="E361" i="1"/>
  <c r="F361" i="1"/>
  <c r="K361" i="1"/>
  <c r="M361" i="1"/>
  <c r="N361" i="1"/>
  <c r="B302" i="1"/>
  <c r="D302" i="1"/>
  <c r="E302" i="1"/>
  <c r="F302" i="1"/>
  <c r="K302" i="1"/>
  <c r="M302" i="1"/>
  <c r="N302" i="1"/>
  <c r="B495" i="1"/>
  <c r="D495" i="1"/>
  <c r="E495" i="1"/>
  <c r="F495" i="1"/>
  <c r="K495" i="1"/>
  <c r="M495" i="1"/>
  <c r="N495" i="1"/>
  <c r="B1718" i="1"/>
  <c r="D1718" i="1"/>
  <c r="E1718" i="1"/>
  <c r="F1718" i="1"/>
  <c r="K1718" i="1"/>
  <c r="M1718" i="1"/>
  <c r="N1718" i="1"/>
  <c r="B1719" i="1"/>
  <c r="D1719" i="1"/>
  <c r="E1719" i="1"/>
  <c r="F1719" i="1"/>
  <c r="K1719" i="1"/>
  <c r="M1719" i="1"/>
  <c r="N1719" i="1"/>
  <c r="B1560" i="1"/>
  <c r="D1560" i="1"/>
  <c r="E1560" i="1"/>
  <c r="F1560" i="1"/>
  <c r="K1560" i="1"/>
  <c r="M1560" i="1"/>
  <c r="N1560" i="1"/>
  <c r="B1561" i="1"/>
  <c r="D1561" i="1"/>
  <c r="E1561" i="1"/>
  <c r="F1561" i="1"/>
  <c r="K1561" i="1"/>
  <c r="M1561" i="1"/>
  <c r="N1561" i="1"/>
  <c r="B1508" i="1"/>
  <c r="D1508" i="1"/>
  <c r="E1508" i="1"/>
  <c r="F1508" i="1"/>
  <c r="K1508" i="1"/>
  <c r="M1508" i="1"/>
  <c r="N1508" i="1"/>
  <c r="B1509" i="1"/>
  <c r="D1509" i="1"/>
  <c r="E1509" i="1"/>
  <c r="F1509" i="1"/>
  <c r="K1509" i="1"/>
  <c r="M1509" i="1"/>
  <c r="N1509" i="1"/>
  <c r="B1457" i="1"/>
  <c r="D1457" i="1"/>
  <c r="E1457" i="1"/>
  <c r="F1457" i="1"/>
  <c r="K1457" i="1"/>
  <c r="M1457" i="1"/>
  <c r="N1457" i="1"/>
  <c r="B1458" i="1"/>
  <c r="D1458" i="1"/>
  <c r="E1458" i="1"/>
  <c r="F1458" i="1"/>
  <c r="K1458" i="1"/>
  <c r="M1458" i="1"/>
  <c r="N1458" i="1"/>
  <c r="B1413" i="1"/>
  <c r="D1413" i="1"/>
  <c r="E1413" i="1"/>
  <c r="F1413" i="1"/>
  <c r="K1413" i="1"/>
  <c r="M1413" i="1"/>
  <c r="N1413" i="1"/>
  <c r="B1414" i="1"/>
  <c r="D1414" i="1"/>
  <c r="E1414" i="1"/>
  <c r="F1414" i="1"/>
  <c r="K1414" i="1"/>
  <c r="M1414" i="1"/>
  <c r="N1414" i="1"/>
  <c r="B1342" i="1"/>
  <c r="D1342" i="1"/>
  <c r="E1342" i="1"/>
  <c r="F1342" i="1"/>
  <c r="K1342" i="1"/>
  <c r="M1342" i="1"/>
  <c r="N1342" i="1"/>
  <c r="B1343" i="1"/>
  <c r="D1343" i="1"/>
  <c r="E1343" i="1"/>
  <c r="F1343" i="1"/>
  <c r="K1343" i="1"/>
  <c r="M1343" i="1"/>
  <c r="N1343" i="1"/>
  <c r="B1287" i="1"/>
  <c r="D1287" i="1"/>
  <c r="E1287" i="1"/>
  <c r="F1287" i="1"/>
  <c r="K1287" i="1"/>
  <c r="M1287" i="1"/>
  <c r="N1287" i="1"/>
  <c r="B1288" i="1"/>
  <c r="D1288" i="1"/>
  <c r="E1288" i="1"/>
  <c r="F1288" i="1"/>
  <c r="K1288" i="1"/>
  <c r="M1288" i="1"/>
  <c r="N1288" i="1"/>
  <c r="B1230" i="1"/>
  <c r="D1230" i="1"/>
  <c r="E1230" i="1"/>
  <c r="F1230" i="1"/>
  <c r="K1230" i="1"/>
  <c r="M1230" i="1"/>
  <c r="N1230" i="1"/>
  <c r="B1231" i="1"/>
  <c r="D1231" i="1"/>
  <c r="E1231" i="1"/>
  <c r="F1231" i="1"/>
  <c r="K1231" i="1"/>
  <c r="M1231" i="1"/>
  <c r="N1231" i="1"/>
  <c r="B1172" i="1"/>
  <c r="D1172" i="1"/>
  <c r="E1172" i="1"/>
  <c r="F1172" i="1"/>
  <c r="K1172" i="1"/>
  <c r="M1172" i="1"/>
  <c r="N1172" i="1"/>
  <c r="B1173" i="1"/>
  <c r="D1173" i="1"/>
  <c r="E1173" i="1"/>
  <c r="F1173" i="1"/>
  <c r="K1173" i="1"/>
  <c r="M1173" i="1"/>
  <c r="N1173" i="1"/>
  <c r="B1125" i="1"/>
  <c r="D1125" i="1"/>
  <c r="E1125" i="1"/>
  <c r="F1125" i="1"/>
  <c r="K1125" i="1"/>
  <c r="M1125" i="1"/>
  <c r="N1125" i="1"/>
  <c r="B1126" i="1"/>
  <c r="D1126" i="1"/>
  <c r="E1126" i="1"/>
  <c r="F1126" i="1"/>
  <c r="K1126" i="1"/>
  <c r="M1126" i="1"/>
  <c r="N1126" i="1"/>
  <c r="B1063" i="1"/>
  <c r="D1063" i="1"/>
  <c r="E1063" i="1"/>
  <c r="F1063" i="1"/>
  <c r="K1063" i="1"/>
  <c r="M1063" i="1"/>
  <c r="N1063" i="1"/>
  <c r="B1064" i="1"/>
  <c r="D1064" i="1"/>
  <c r="E1064" i="1"/>
  <c r="F1064" i="1"/>
  <c r="K1064" i="1"/>
  <c r="M1064" i="1"/>
  <c r="N1064" i="1"/>
  <c r="B998" i="1"/>
  <c r="D998" i="1"/>
  <c r="E998" i="1"/>
  <c r="F998" i="1"/>
  <c r="K998" i="1"/>
  <c r="M998" i="1"/>
  <c r="N998" i="1"/>
  <c r="B999" i="1"/>
  <c r="D999" i="1"/>
  <c r="E999" i="1"/>
  <c r="F999" i="1"/>
  <c r="K999" i="1"/>
  <c r="M999" i="1"/>
  <c r="N999" i="1"/>
  <c r="B952" i="1"/>
  <c r="D952" i="1"/>
  <c r="E952" i="1"/>
  <c r="F952" i="1"/>
  <c r="K952" i="1"/>
  <c r="M952" i="1"/>
  <c r="N952" i="1"/>
  <c r="B953" i="1"/>
  <c r="D953" i="1"/>
  <c r="E953" i="1"/>
  <c r="F953" i="1"/>
  <c r="K953" i="1"/>
  <c r="M953" i="1"/>
  <c r="N953" i="1"/>
  <c r="B880" i="1"/>
  <c r="D880" i="1"/>
  <c r="E880" i="1"/>
  <c r="F880" i="1"/>
  <c r="K880" i="1"/>
  <c r="M880" i="1"/>
  <c r="N880" i="1"/>
  <c r="B881" i="1"/>
  <c r="D881" i="1"/>
  <c r="E881" i="1"/>
  <c r="F881" i="1"/>
  <c r="K881" i="1"/>
  <c r="M881" i="1"/>
  <c r="N881" i="1"/>
  <c r="B831" i="1"/>
  <c r="D831" i="1"/>
  <c r="E831" i="1"/>
  <c r="F831" i="1"/>
  <c r="K831" i="1"/>
  <c r="M831" i="1"/>
  <c r="N831" i="1"/>
  <c r="B832" i="1"/>
  <c r="D832" i="1"/>
  <c r="E832" i="1"/>
  <c r="F832" i="1"/>
  <c r="K832" i="1"/>
  <c r="M832" i="1"/>
  <c r="N832" i="1"/>
  <c r="B779" i="1"/>
  <c r="D779" i="1"/>
  <c r="E779" i="1"/>
  <c r="F779" i="1"/>
  <c r="K779" i="1"/>
  <c r="M779" i="1"/>
  <c r="N779" i="1"/>
  <c r="B780" i="1"/>
  <c r="D780" i="1"/>
  <c r="E780" i="1"/>
  <c r="F780" i="1"/>
  <c r="K780" i="1"/>
  <c r="M780" i="1"/>
  <c r="N780" i="1"/>
  <c r="B716" i="1"/>
  <c r="D716" i="1"/>
  <c r="E716" i="1"/>
  <c r="F716" i="1"/>
  <c r="K716" i="1"/>
  <c r="M716" i="1"/>
  <c r="N716" i="1"/>
  <c r="B717" i="1"/>
  <c r="D717" i="1"/>
  <c r="E717" i="1"/>
  <c r="F717" i="1"/>
  <c r="K717" i="1"/>
  <c r="M717" i="1"/>
  <c r="N717" i="1"/>
  <c r="B666" i="1"/>
  <c r="D666" i="1"/>
  <c r="E666" i="1"/>
  <c r="F666" i="1"/>
  <c r="K666" i="1"/>
  <c r="M666" i="1"/>
  <c r="N666" i="1"/>
  <c r="B667" i="1"/>
  <c r="D667" i="1"/>
  <c r="E667" i="1"/>
  <c r="F667" i="1"/>
  <c r="K667" i="1"/>
  <c r="M667" i="1"/>
  <c r="N667" i="1"/>
  <c r="B605" i="1"/>
  <c r="D605" i="1"/>
  <c r="E605" i="1"/>
  <c r="F605" i="1"/>
  <c r="K605" i="1"/>
  <c r="M605" i="1"/>
  <c r="N605" i="1"/>
  <c r="B606" i="1"/>
  <c r="D606" i="1"/>
  <c r="E606" i="1"/>
  <c r="F606" i="1"/>
  <c r="K606" i="1"/>
  <c r="M606" i="1"/>
  <c r="N606" i="1"/>
  <c r="B548" i="1"/>
  <c r="D548" i="1"/>
  <c r="E548" i="1"/>
  <c r="F548" i="1"/>
  <c r="K548" i="1"/>
  <c r="M548" i="1"/>
  <c r="N548" i="1"/>
  <c r="B549" i="1"/>
  <c r="D549" i="1"/>
  <c r="E549" i="1"/>
  <c r="F549" i="1"/>
  <c r="K549" i="1"/>
  <c r="M549" i="1"/>
  <c r="N549" i="1"/>
  <c r="B509" i="1"/>
  <c r="D509" i="1"/>
  <c r="E509" i="1"/>
  <c r="F509" i="1"/>
  <c r="K509" i="1"/>
  <c r="M509" i="1"/>
  <c r="N509" i="1"/>
  <c r="B510" i="1"/>
  <c r="D510" i="1"/>
  <c r="E510" i="1"/>
  <c r="F510" i="1"/>
  <c r="K510" i="1"/>
  <c r="M510" i="1"/>
  <c r="N510" i="1"/>
  <c r="B450" i="1"/>
  <c r="D450" i="1"/>
  <c r="E450" i="1"/>
  <c r="F450" i="1"/>
  <c r="K450" i="1"/>
  <c r="M450" i="1"/>
  <c r="N450" i="1"/>
  <c r="B451" i="1"/>
  <c r="D451" i="1"/>
  <c r="E451" i="1"/>
  <c r="F451" i="1"/>
  <c r="K451" i="1"/>
  <c r="M451" i="1"/>
  <c r="N451" i="1"/>
  <c r="B405" i="1"/>
  <c r="D405" i="1"/>
  <c r="E405" i="1"/>
  <c r="F405" i="1"/>
  <c r="K405" i="1"/>
  <c r="M405" i="1"/>
  <c r="N405" i="1"/>
  <c r="B406" i="1"/>
  <c r="D406" i="1"/>
  <c r="E406" i="1"/>
  <c r="F406" i="1"/>
  <c r="K406" i="1"/>
  <c r="M406" i="1"/>
  <c r="N406" i="1"/>
  <c r="B351" i="1"/>
  <c r="D351" i="1"/>
  <c r="E351" i="1"/>
  <c r="F351" i="1"/>
  <c r="K351" i="1"/>
  <c r="M351" i="1"/>
  <c r="N351" i="1"/>
  <c r="B352" i="1"/>
  <c r="D352" i="1"/>
  <c r="E352" i="1"/>
  <c r="F352" i="1"/>
  <c r="K352" i="1"/>
  <c r="M352" i="1"/>
  <c r="N352" i="1"/>
  <c r="B292" i="1"/>
  <c r="D292" i="1"/>
  <c r="E292" i="1"/>
  <c r="F292" i="1"/>
  <c r="K292" i="1"/>
  <c r="M292" i="1"/>
  <c r="N292" i="1"/>
  <c r="B293" i="1"/>
  <c r="D293" i="1"/>
  <c r="E293" i="1"/>
  <c r="F293" i="1"/>
  <c r="K293" i="1"/>
  <c r="M293" i="1"/>
  <c r="N293" i="1"/>
  <c r="B366" i="1"/>
  <c r="D366" i="1"/>
  <c r="E366" i="1"/>
  <c r="F366" i="1"/>
  <c r="K366" i="1"/>
  <c r="M366" i="1"/>
  <c r="N366" i="1"/>
  <c r="B1716" i="1"/>
  <c r="D1716" i="1"/>
  <c r="E1716" i="1"/>
  <c r="F1716" i="1"/>
  <c r="K1716" i="1"/>
  <c r="M1716" i="1"/>
  <c r="N1716" i="1"/>
  <c r="B1717" i="1"/>
  <c r="D1717" i="1"/>
  <c r="E1717" i="1"/>
  <c r="F1717" i="1"/>
  <c r="K1717" i="1"/>
  <c r="M1717" i="1"/>
  <c r="N1717" i="1"/>
  <c r="B1558" i="1"/>
  <c r="D1558" i="1"/>
  <c r="E1558" i="1"/>
  <c r="F1558" i="1"/>
  <c r="K1558" i="1"/>
  <c r="M1558" i="1"/>
  <c r="N1558" i="1"/>
  <c r="B1559" i="1"/>
  <c r="D1559" i="1"/>
  <c r="E1559" i="1"/>
  <c r="F1559" i="1"/>
  <c r="K1559" i="1"/>
  <c r="M1559" i="1"/>
  <c r="N1559" i="1"/>
  <c r="B1506" i="1"/>
  <c r="D1506" i="1"/>
  <c r="E1506" i="1"/>
  <c r="F1506" i="1"/>
  <c r="K1506" i="1"/>
  <c r="M1506" i="1"/>
  <c r="N1506" i="1"/>
  <c r="B1507" i="1"/>
  <c r="D1507" i="1"/>
  <c r="E1507" i="1"/>
  <c r="F1507" i="1"/>
  <c r="K1507" i="1"/>
  <c r="M1507" i="1"/>
  <c r="N1507" i="1"/>
  <c r="B1455" i="1"/>
  <c r="D1455" i="1"/>
  <c r="E1455" i="1"/>
  <c r="F1455" i="1"/>
  <c r="K1455" i="1"/>
  <c r="M1455" i="1"/>
  <c r="N1455" i="1"/>
  <c r="B1456" i="1"/>
  <c r="D1456" i="1"/>
  <c r="E1456" i="1"/>
  <c r="F1456" i="1"/>
  <c r="K1456" i="1"/>
  <c r="M1456" i="1"/>
  <c r="N1456" i="1"/>
  <c r="B1411" i="1"/>
  <c r="D1411" i="1"/>
  <c r="E1411" i="1"/>
  <c r="F1411" i="1"/>
  <c r="K1411" i="1"/>
  <c r="M1411" i="1"/>
  <c r="N1411" i="1"/>
  <c r="B1412" i="1"/>
  <c r="D1412" i="1"/>
  <c r="E1412" i="1"/>
  <c r="F1412" i="1"/>
  <c r="K1412" i="1"/>
  <c r="M1412" i="1"/>
  <c r="N1412" i="1"/>
  <c r="B1340" i="1"/>
  <c r="D1340" i="1"/>
  <c r="E1340" i="1"/>
  <c r="F1340" i="1"/>
  <c r="K1340" i="1"/>
  <c r="M1340" i="1"/>
  <c r="N1340" i="1"/>
  <c r="B1341" i="1"/>
  <c r="D1341" i="1"/>
  <c r="E1341" i="1"/>
  <c r="F1341" i="1"/>
  <c r="K1341" i="1"/>
  <c r="M1341" i="1"/>
  <c r="N1341" i="1"/>
  <c r="B1285" i="1"/>
  <c r="D1285" i="1"/>
  <c r="E1285" i="1"/>
  <c r="F1285" i="1"/>
  <c r="K1285" i="1"/>
  <c r="M1285" i="1"/>
  <c r="N1285" i="1"/>
  <c r="B1286" i="1"/>
  <c r="D1286" i="1"/>
  <c r="E1286" i="1"/>
  <c r="F1286" i="1"/>
  <c r="K1286" i="1"/>
  <c r="M1286" i="1"/>
  <c r="N1286" i="1"/>
  <c r="B1228" i="1"/>
  <c r="D1228" i="1"/>
  <c r="E1228" i="1"/>
  <c r="F1228" i="1"/>
  <c r="K1228" i="1"/>
  <c r="M1228" i="1"/>
  <c r="N1228" i="1"/>
  <c r="B1229" i="1"/>
  <c r="D1229" i="1"/>
  <c r="E1229" i="1"/>
  <c r="F1229" i="1"/>
  <c r="K1229" i="1"/>
  <c r="M1229" i="1"/>
  <c r="N1229" i="1"/>
  <c r="B1170" i="1"/>
  <c r="D1170" i="1"/>
  <c r="E1170" i="1"/>
  <c r="F1170" i="1"/>
  <c r="K1170" i="1"/>
  <c r="M1170" i="1"/>
  <c r="N1170" i="1"/>
  <c r="B1171" i="1"/>
  <c r="D1171" i="1"/>
  <c r="E1171" i="1"/>
  <c r="F1171" i="1"/>
  <c r="K1171" i="1"/>
  <c r="M1171" i="1"/>
  <c r="N1171" i="1"/>
  <c r="B1123" i="1"/>
  <c r="D1123" i="1"/>
  <c r="E1123" i="1"/>
  <c r="F1123" i="1"/>
  <c r="K1123" i="1"/>
  <c r="M1123" i="1"/>
  <c r="N1123" i="1"/>
  <c r="B1124" i="1"/>
  <c r="D1124" i="1"/>
  <c r="E1124" i="1"/>
  <c r="F1124" i="1"/>
  <c r="K1124" i="1"/>
  <c r="M1124" i="1"/>
  <c r="N1124" i="1"/>
  <c r="B1061" i="1"/>
  <c r="D1061" i="1"/>
  <c r="E1061" i="1"/>
  <c r="F1061" i="1"/>
  <c r="K1061" i="1"/>
  <c r="M1061" i="1"/>
  <c r="N1061" i="1"/>
  <c r="B1062" i="1"/>
  <c r="D1062" i="1"/>
  <c r="E1062" i="1"/>
  <c r="F1062" i="1"/>
  <c r="K1062" i="1"/>
  <c r="M1062" i="1"/>
  <c r="N1062" i="1"/>
  <c r="B996" i="1"/>
  <c r="D996" i="1"/>
  <c r="E996" i="1"/>
  <c r="F996" i="1"/>
  <c r="K996" i="1"/>
  <c r="M996" i="1"/>
  <c r="N996" i="1"/>
  <c r="B997" i="1"/>
  <c r="D997" i="1"/>
  <c r="E997" i="1"/>
  <c r="F997" i="1"/>
  <c r="K997" i="1"/>
  <c r="M997" i="1"/>
  <c r="N997" i="1"/>
  <c r="B950" i="1"/>
  <c r="D950" i="1"/>
  <c r="E950" i="1"/>
  <c r="F950" i="1"/>
  <c r="K950" i="1"/>
  <c r="M950" i="1"/>
  <c r="N950" i="1"/>
  <c r="B951" i="1"/>
  <c r="D951" i="1"/>
  <c r="E951" i="1"/>
  <c r="F951" i="1"/>
  <c r="K951" i="1"/>
  <c r="M951" i="1"/>
  <c r="N951" i="1"/>
  <c r="B878" i="1"/>
  <c r="D878" i="1"/>
  <c r="E878" i="1"/>
  <c r="F878" i="1"/>
  <c r="K878" i="1"/>
  <c r="M878" i="1"/>
  <c r="N878" i="1"/>
  <c r="B879" i="1"/>
  <c r="D879" i="1"/>
  <c r="E879" i="1"/>
  <c r="F879" i="1"/>
  <c r="K879" i="1"/>
  <c r="M879" i="1"/>
  <c r="N879" i="1"/>
  <c r="B829" i="1"/>
  <c r="D829" i="1"/>
  <c r="E829" i="1"/>
  <c r="F829" i="1"/>
  <c r="K829" i="1"/>
  <c r="M829" i="1"/>
  <c r="N829" i="1"/>
  <c r="B830" i="1"/>
  <c r="D830" i="1"/>
  <c r="E830" i="1"/>
  <c r="F830" i="1"/>
  <c r="K830" i="1"/>
  <c r="M830" i="1"/>
  <c r="N830" i="1"/>
  <c r="B777" i="1"/>
  <c r="D777" i="1"/>
  <c r="E777" i="1"/>
  <c r="F777" i="1"/>
  <c r="K777" i="1"/>
  <c r="M777" i="1"/>
  <c r="N777" i="1"/>
  <c r="B778" i="1"/>
  <c r="D778" i="1"/>
  <c r="E778" i="1"/>
  <c r="F778" i="1"/>
  <c r="K778" i="1"/>
  <c r="M778" i="1"/>
  <c r="N778" i="1"/>
  <c r="B714" i="1"/>
  <c r="D714" i="1"/>
  <c r="E714" i="1"/>
  <c r="F714" i="1"/>
  <c r="K714" i="1"/>
  <c r="M714" i="1"/>
  <c r="N714" i="1"/>
  <c r="B715" i="1"/>
  <c r="D715" i="1"/>
  <c r="E715" i="1"/>
  <c r="F715" i="1"/>
  <c r="K715" i="1"/>
  <c r="M715" i="1"/>
  <c r="N715" i="1"/>
  <c r="B664" i="1"/>
  <c r="D664" i="1"/>
  <c r="E664" i="1"/>
  <c r="F664" i="1"/>
  <c r="K664" i="1"/>
  <c r="M664" i="1"/>
  <c r="N664" i="1"/>
  <c r="B665" i="1"/>
  <c r="D665" i="1"/>
  <c r="E665" i="1"/>
  <c r="F665" i="1"/>
  <c r="K665" i="1"/>
  <c r="M665" i="1"/>
  <c r="N665" i="1"/>
  <c r="B603" i="1"/>
  <c r="D603" i="1"/>
  <c r="E603" i="1"/>
  <c r="F603" i="1"/>
  <c r="K603" i="1"/>
  <c r="M603" i="1"/>
  <c r="N603" i="1"/>
  <c r="B604" i="1"/>
  <c r="D604" i="1"/>
  <c r="E604" i="1"/>
  <c r="F604" i="1"/>
  <c r="K604" i="1"/>
  <c r="M604" i="1"/>
  <c r="N604" i="1"/>
  <c r="B546" i="1"/>
  <c r="D546" i="1"/>
  <c r="E546" i="1"/>
  <c r="F546" i="1"/>
  <c r="K546" i="1"/>
  <c r="M546" i="1"/>
  <c r="N546" i="1"/>
  <c r="B547" i="1"/>
  <c r="D547" i="1"/>
  <c r="E547" i="1"/>
  <c r="F547" i="1"/>
  <c r="K547" i="1"/>
  <c r="M547" i="1"/>
  <c r="N547" i="1"/>
  <c r="B507" i="1"/>
  <c r="D507" i="1"/>
  <c r="E507" i="1"/>
  <c r="F507" i="1"/>
  <c r="K507" i="1"/>
  <c r="M507" i="1"/>
  <c r="N507" i="1"/>
  <c r="B508" i="1"/>
  <c r="D508" i="1"/>
  <c r="E508" i="1"/>
  <c r="F508" i="1"/>
  <c r="K508" i="1"/>
  <c r="M508" i="1"/>
  <c r="N508" i="1"/>
  <c r="B448" i="1"/>
  <c r="D448" i="1"/>
  <c r="E448" i="1"/>
  <c r="F448" i="1"/>
  <c r="K448" i="1"/>
  <c r="M448" i="1"/>
  <c r="N448" i="1"/>
  <c r="B449" i="1"/>
  <c r="D449" i="1"/>
  <c r="E449" i="1"/>
  <c r="F449" i="1"/>
  <c r="K449" i="1"/>
  <c r="M449" i="1"/>
  <c r="N449" i="1"/>
  <c r="B403" i="1"/>
  <c r="D403" i="1"/>
  <c r="E403" i="1"/>
  <c r="F403" i="1"/>
  <c r="K403" i="1"/>
  <c r="M403" i="1"/>
  <c r="N403" i="1"/>
  <c r="B404" i="1"/>
  <c r="D404" i="1"/>
  <c r="E404" i="1"/>
  <c r="F404" i="1"/>
  <c r="K404" i="1"/>
  <c r="M404" i="1"/>
  <c r="N404" i="1"/>
  <c r="B349" i="1"/>
  <c r="D349" i="1"/>
  <c r="E349" i="1"/>
  <c r="F349" i="1"/>
  <c r="K349" i="1"/>
  <c r="M349" i="1"/>
  <c r="N349" i="1"/>
  <c r="B350" i="1"/>
  <c r="D350" i="1"/>
  <c r="E350" i="1"/>
  <c r="F350" i="1"/>
  <c r="K350" i="1"/>
  <c r="M350" i="1"/>
  <c r="N350" i="1"/>
  <c r="B290" i="1"/>
  <c r="D290" i="1"/>
  <c r="E290" i="1"/>
  <c r="F290" i="1"/>
  <c r="K290" i="1"/>
  <c r="M290" i="1"/>
  <c r="N290" i="1"/>
  <c r="B291" i="1"/>
  <c r="D291" i="1"/>
  <c r="E291" i="1"/>
  <c r="F291" i="1"/>
  <c r="K291" i="1"/>
  <c r="M291" i="1"/>
  <c r="N291" i="1"/>
  <c r="B1714" i="1"/>
  <c r="D1714" i="1"/>
  <c r="E1714" i="1"/>
  <c r="F1714" i="1"/>
  <c r="K1714" i="1"/>
  <c r="M1714" i="1"/>
  <c r="N1714" i="1"/>
  <c r="B1715" i="1"/>
  <c r="D1715" i="1"/>
  <c r="E1715" i="1"/>
  <c r="F1715" i="1"/>
  <c r="K1715" i="1"/>
  <c r="M1715" i="1"/>
  <c r="N1715" i="1"/>
  <c r="B1556" i="1"/>
  <c r="D1556" i="1"/>
  <c r="E1556" i="1"/>
  <c r="F1556" i="1"/>
  <c r="K1556" i="1"/>
  <c r="M1556" i="1"/>
  <c r="N1556" i="1"/>
  <c r="B1557" i="1"/>
  <c r="D1557" i="1"/>
  <c r="E1557" i="1"/>
  <c r="F1557" i="1"/>
  <c r="K1557" i="1"/>
  <c r="M1557" i="1"/>
  <c r="N1557" i="1"/>
  <c r="B1504" i="1"/>
  <c r="D1504" i="1"/>
  <c r="E1504" i="1"/>
  <c r="F1504" i="1"/>
  <c r="K1504" i="1"/>
  <c r="M1504" i="1"/>
  <c r="N1504" i="1"/>
  <c r="B1505" i="1"/>
  <c r="D1505" i="1"/>
  <c r="E1505" i="1"/>
  <c r="F1505" i="1"/>
  <c r="K1505" i="1"/>
  <c r="M1505" i="1"/>
  <c r="N1505" i="1"/>
  <c r="B1454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6" i="1"/>
  <c r="B297" i="1"/>
  <c r="B298" i="1"/>
  <c r="B299" i="1"/>
  <c r="B300" i="1"/>
  <c r="B304" i="1"/>
  <c r="B305" i="1"/>
  <c r="B306" i="1"/>
  <c r="B307" i="1"/>
  <c r="B309" i="1"/>
  <c r="B310" i="1"/>
  <c r="B312" i="1"/>
  <c r="B314" i="1"/>
  <c r="B315" i="1"/>
  <c r="B317" i="1"/>
  <c r="B318" i="1"/>
  <c r="B319" i="1"/>
  <c r="B320" i="1"/>
  <c r="B321" i="1"/>
  <c r="B322" i="1"/>
  <c r="B323" i="1"/>
  <c r="B324" i="1"/>
  <c r="B326" i="1"/>
  <c r="B327" i="1"/>
  <c r="B328" i="1"/>
  <c r="B329" i="1"/>
  <c r="B330" i="1"/>
  <c r="B331" i="1"/>
  <c r="B332" i="1"/>
  <c r="B333" i="1"/>
  <c r="B334" i="1"/>
  <c r="B335" i="1"/>
  <c r="B336" i="1"/>
  <c r="B340" i="1"/>
  <c r="B341" i="1"/>
  <c r="B343" i="1"/>
  <c r="B344" i="1"/>
  <c r="B345" i="1"/>
  <c r="B346" i="1"/>
  <c r="B347" i="1"/>
  <c r="B348" i="1"/>
  <c r="B355" i="1"/>
  <c r="B356" i="1"/>
  <c r="B357" i="1"/>
  <c r="B358" i="1"/>
  <c r="B359" i="1"/>
  <c r="B303" i="1"/>
  <c r="B363" i="1"/>
  <c r="B364" i="1"/>
  <c r="B365" i="1"/>
  <c r="B368" i="1"/>
  <c r="B308" i="1"/>
  <c r="B369" i="1"/>
  <c r="B311" i="1"/>
  <c r="B371" i="1"/>
  <c r="B313" i="1"/>
  <c r="B373" i="1"/>
  <c r="B316" i="1"/>
  <c r="B375" i="1"/>
  <c r="B376" i="1"/>
  <c r="B377" i="1"/>
  <c r="B378" i="1"/>
  <c r="B379" i="1"/>
  <c r="B380" i="1"/>
  <c r="B381" i="1"/>
  <c r="B325" i="1"/>
  <c r="B383" i="1"/>
  <c r="B384" i="1"/>
  <c r="B385" i="1"/>
  <c r="B386" i="1"/>
  <c r="B387" i="1"/>
  <c r="B388" i="1"/>
  <c r="B389" i="1"/>
  <c r="B390" i="1"/>
  <c r="B391" i="1"/>
  <c r="B392" i="1"/>
  <c r="B393" i="1"/>
  <c r="B337" i="1"/>
  <c r="B397" i="1"/>
  <c r="B342" i="1"/>
  <c r="B398" i="1"/>
  <c r="B399" i="1"/>
  <c r="B400" i="1"/>
  <c r="B401" i="1"/>
  <c r="B402" i="1"/>
  <c r="B408" i="1"/>
  <c r="B409" i="1"/>
  <c r="B410" i="1"/>
  <c r="B411" i="1"/>
  <c r="B412" i="1"/>
  <c r="B362" i="1"/>
  <c r="B415" i="1"/>
  <c r="B416" i="1"/>
  <c r="B417" i="1"/>
  <c r="B418" i="1"/>
  <c r="B367" i="1"/>
  <c r="B419" i="1"/>
  <c r="B420" i="1"/>
  <c r="B370" i="1"/>
  <c r="B421" i="1"/>
  <c r="B372" i="1"/>
  <c r="B422" i="1"/>
  <c r="B374" i="1"/>
  <c r="B423" i="1"/>
  <c r="B424" i="1"/>
  <c r="B425" i="1"/>
  <c r="B426" i="1"/>
  <c r="B427" i="1"/>
  <c r="B428" i="1"/>
  <c r="B429" i="1"/>
  <c r="B382" i="1"/>
  <c r="B430" i="1"/>
  <c r="B431" i="1"/>
  <c r="B432" i="1"/>
  <c r="B433" i="1"/>
  <c r="B434" i="1"/>
  <c r="B435" i="1"/>
  <c r="B436" i="1"/>
  <c r="B437" i="1"/>
  <c r="B438" i="1"/>
  <c r="B439" i="1"/>
  <c r="B394" i="1"/>
  <c r="B440" i="1"/>
  <c r="B441" i="1"/>
  <c r="B442" i="1"/>
  <c r="B443" i="1"/>
  <c r="B444" i="1"/>
  <c r="B445" i="1"/>
  <c r="B446" i="1"/>
  <c r="B447" i="1"/>
  <c r="B452" i="1"/>
  <c r="B453" i="1"/>
  <c r="B454" i="1"/>
  <c r="B455" i="1"/>
  <c r="B456" i="1"/>
  <c r="B457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6" i="1"/>
  <c r="B497" i="1"/>
  <c r="B498" i="1"/>
  <c r="B499" i="1"/>
  <c r="B500" i="1"/>
  <c r="B501" i="1"/>
  <c r="B502" i="1"/>
  <c r="B503" i="1"/>
  <c r="B504" i="1"/>
  <c r="B505" i="1"/>
  <c r="B506" i="1"/>
  <c r="B511" i="1"/>
  <c r="B512" i="1"/>
  <c r="B513" i="1"/>
  <c r="B514" i="1"/>
  <c r="B515" i="1"/>
  <c r="B516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50" i="1"/>
  <c r="B551" i="1"/>
  <c r="B552" i="1"/>
  <c r="B553" i="1"/>
  <c r="B554" i="1"/>
  <c r="B555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7" i="1"/>
  <c r="B608" i="1"/>
  <c r="B609" i="1"/>
  <c r="B610" i="1"/>
  <c r="B611" i="1"/>
  <c r="B612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8" i="1"/>
  <c r="B669" i="1"/>
  <c r="B670" i="1"/>
  <c r="B671" i="1"/>
  <c r="B672" i="1"/>
  <c r="B673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8" i="1"/>
  <c r="B721" i="1"/>
  <c r="B722" i="1"/>
  <c r="B723" i="1"/>
  <c r="B724" i="1"/>
  <c r="B725" i="1"/>
  <c r="B728" i="1"/>
  <c r="B730" i="1"/>
  <c r="B731" i="1"/>
  <c r="B732" i="1"/>
  <c r="B733" i="1"/>
  <c r="B734" i="1"/>
  <c r="B736" i="1"/>
  <c r="B737" i="1"/>
  <c r="B738" i="1"/>
  <c r="B740" i="1"/>
  <c r="B741" i="1"/>
  <c r="B743" i="1"/>
  <c r="B744" i="1"/>
  <c r="B746" i="1"/>
  <c r="B747" i="1"/>
  <c r="B748" i="1"/>
  <c r="B749" i="1"/>
  <c r="B750" i="1"/>
  <c r="B751" i="1"/>
  <c r="B752" i="1"/>
  <c r="B753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9" i="1"/>
  <c r="B770" i="1"/>
  <c r="B771" i="1"/>
  <c r="B772" i="1"/>
  <c r="B773" i="1"/>
  <c r="B774" i="1"/>
  <c r="B775" i="1"/>
  <c r="B776" i="1"/>
  <c r="B781" i="1"/>
  <c r="B782" i="1"/>
  <c r="B783" i="1"/>
  <c r="B784" i="1"/>
  <c r="B785" i="1"/>
  <c r="B788" i="1"/>
  <c r="B789" i="1"/>
  <c r="B790" i="1"/>
  <c r="B791" i="1"/>
  <c r="B735" i="1"/>
  <c r="B792" i="1"/>
  <c r="B793" i="1"/>
  <c r="B739" i="1"/>
  <c r="B794" i="1"/>
  <c r="B742" i="1"/>
  <c r="B795" i="1"/>
  <c r="B745" i="1"/>
  <c r="B796" i="1"/>
  <c r="B797" i="1"/>
  <c r="B798" i="1"/>
  <c r="B799" i="1"/>
  <c r="B800" i="1"/>
  <c r="B801" i="1"/>
  <c r="B802" i="1"/>
  <c r="B754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33" i="1"/>
  <c r="B834" i="1"/>
  <c r="B835" i="1"/>
  <c r="B836" i="1"/>
  <c r="B837" i="1"/>
  <c r="B838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82" i="1"/>
  <c r="B885" i="1"/>
  <c r="B886" i="1"/>
  <c r="B887" i="1"/>
  <c r="B888" i="1"/>
  <c r="B889" i="1"/>
  <c r="B892" i="1"/>
  <c r="B894" i="1"/>
  <c r="B895" i="1"/>
  <c r="B896" i="1"/>
  <c r="B898" i="1"/>
  <c r="B899" i="1"/>
  <c r="B901" i="1"/>
  <c r="B902" i="1"/>
  <c r="B903" i="1"/>
  <c r="B905" i="1"/>
  <c r="B906" i="1"/>
  <c r="B908" i="1"/>
  <c r="B909" i="1"/>
  <c r="B911" i="1"/>
  <c r="B912" i="1"/>
  <c r="B913" i="1"/>
  <c r="B914" i="1"/>
  <c r="B915" i="1"/>
  <c r="B916" i="1"/>
  <c r="B917" i="1"/>
  <c r="B918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8" i="1"/>
  <c r="B939" i="1"/>
  <c r="B940" i="1"/>
  <c r="B942" i="1"/>
  <c r="B943" i="1"/>
  <c r="B944" i="1"/>
  <c r="B945" i="1"/>
  <c r="B946" i="1"/>
  <c r="B947" i="1"/>
  <c r="B948" i="1"/>
  <c r="B949" i="1"/>
  <c r="B883" i="1"/>
  <c r="B954" i="1"/>
  <c r="B955" i="1"/>
  <c r="B956" i="1"/>
  <c r="B957" i="1"/>
  <c r="B958" i="1"/>
  <c r="B893" i="1"/>
  <c r="B961" i="1"/>
  <c r="B962" i="1"/>
  <c r="B963" i="1"/>
  <c r="B964" i="1"/>
  <c r="B900" i="1"/>
  <c r="B965" i="1"/>
  <c r="B966" i="1"/>
  <c r="B904" i="1"/>
  <c r="B967" i="1"/>
  <c r="B907" i="1"/>
  <c r="B968" i="1"/>
  <c r="B910" i="1"/>
  <c r="B969" i="1"/>
  <c r="B970" i="1"/>
  <c r="B971" i="1"/>
  <c r="B972" i="1"/>
  <c r="B973" i="1"/>
  <c r="B974" i="1"/>
  <c r="B975" i="1"/>
  <c r="B919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897" i="1"/>
  <c r="B989" i="1"/>
  <c r="B990" i="1"/>
  <c r="B991" i="1"/>
  <c r="B992" i="1"/>
  <c r="B993" i="1"/>
  <c r="B994" i="1"/>
  <c r="B995" i="1"/>
  <c r="B1000" i="1"/>
  <c r="B1003" i="1"/>
  <c r="B1004" i="1"/>
  <c r="B1005" i="1"/>
  <c r="B1006" i="1"/>
  <c r="B1007" i="1"/>
  <c r="B1010" i="1"/>
  <c r="B1012" i="1"/>
  <c r="B1013" i="1"/>
  <c r="B1014" i="1"/>
  <c r="B1015" i="1"/>
  <c r="B1016" i="1"/>
  <c r="B1018" i="1"/>
  <c r="B1019" i="1"/>
  <c r="B1020" i="1"/>
  <c r="B1022" i="1"/>
  <c r="B1023" i="1"/>
  <c r="B1025" i="1"/>
  <c r="B1026" i="1"/>
  <c r="B1028" i="1"/>
  <c r="B1029" i="1"/>
  <c r="B1030" i="1"/>
  <c r="B1031" i="1"/>
  <c r="B1032" i="1"/>
  <c r="B1033" i="1"/>
  <c r="B1034" i="1"/>
  <c r="B1035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51" i="1"/>
  <c r="B1052" i="1"/>
  <c r="B1054" i="1"/>
  <c r="B1055" i="1"/>
  <c r="B1056" i="1"/>
  <c r="B1057" i="1"/>
  <c r="B1058" i="1"/>
  <c r="B1059" i="1"/>
  <c r="B1060" i="1"/>
  <c r="B1067" i="1"/>
  <c r="B1068" i="1"/>
  <c r="B1069" i="1"/>
  <c r="B1070" i="1"/>
  <c r="B1071" i="1"/>
  <c r="B1011" i="1"/>
  <c r="B1075" i="1"/>
  <c r="B1076" i="1"/>
  <c r="B1077" i="1"/>
  <c r="B1078" i="1"/>
  <c r="B1017" i="1"/>
  <c r="B1080" i="1"/>
  <c r="B1081" i="1"/>
  <c r="B1021" i="1"/>
  <c r="B1083" i="1"/>
  <c r="B1024" i="1"/>
  <c r="B1085" i="1"/>
  <c r="B1027" i="1"/>
  <c r="B1087" i="1"/>
  <c r="B1088" i="1"/>
  <c r="B1089" i="1"/>
  <c r="B1090" i="1"/>
  <c r="B1091" i="1"/>
  <c r="B1092" i="1"/>
  <c r="B1093" i="1"/>
  <c r="B1036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9" i="1"/>
  <c r="B1112" i="1"/>
  <c r="B1053" i="1"/>
  <c r="B1113" i="1"/>
  <c r="B1115" i="1"/>
  <c r="B1116" i="1"/>
  <c r="B1117" i="1"/>
  <c r="B1118" i="1"/>
  <c r="B1119" i="1"/>
  <c r="B1120" i="1"/>
  <c r="B1121" i="1"/>
  <c r="B1122" i="1"/>
  <c r="B1127" i="1"/>
  <c r="B1128" i="1"/>
  <c r="B1129" i="1"/>
  <c r="B1130" i="1"/>
  <c r="B1131" i="1"/>
  <c r="B1074" i="1"/>
  <c r="B1134" i="1"/>
  <c r="B1135" i="1"/>
  <c r="B1136" i="1"/>
  <c r="B1137" i="1"/>
  <c r="B1079" i="1"/>
  <c r="B1138" i="1"/>
  <c r="B1139" i="1"/>
  <c r="B1082" i="1"/>
  <c r="B1140" i="1"/>
  <c r="B1084" i="1"/>
  <c r="B1141" i="1"/>
  <c r="B1142" i="1"/>
  <c r="B1086" i="1"/>
  <c r="B1143" i="1"/>
  <c r="B1144" i="1"/>
  <c r="B1145" i="1"/>
  <c r="B1146" i="1"/>
  <c r="B1147" i="1"/>
  <c r="B1148" i="1"/>
  <c r="B1149" i="1"/>
  <c r="B1094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10" i="1"/>
  <c r="B1163" i="1"/>
  <c r="B1164" i="1"/>
  <c r="B1165" i="1"/>
  <c r="B1166" i="1"/>
  <c r="B1167" i="1"/>
  <c r="B1168" i="1"/>
  <c r="B1169" i="1"/>
  <c r="B1174" i="1"/>
  <c r="B1175" i="1"/>
  <c r="B1176" i="1"/>
  <c r="B1177" i="1"/>
  <c r="B1178" i="1"/>
  <c r="B1179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111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32" i="1"/>
  <c r="B1233" i="1"/>
  <c r="B1234" i="1"/>
  <c r="B1235" i="1"/>
  <c r="B1236" i="1"/>
  <c r="B1237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9" i="1"/>
  <c r="B1290" i="1"/>
  <c r="B1291" i="1"/>
  <c r="B1292" i="1"/>
  <c r="B1293" i="1"/>
  <c r="B1294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4" i="1"/>
  <c r="B1347" i="1"/>
  <c r="B1348" i="1"/>
  <c r="B1349" i="1"/>
  <c r="B1350" i="1"/>
  <c r="B1351" i="1"/>
  <c r="B1354" i="1"/>
  <c r="B1356" i="1"/>
  <c r="B1357" i="1"/>
  <c r="B1358" i="1"/>
  <c r="B1359" i="1"/>
  <c r="B1360" i="1"/>
  <c r="B1362" i="1"/>
  <c r="B1363" i="1"/>
  <c r="B1364" i="1"/>
  <c r="B1366" i="1"/>
  <c r="B1367" i="1"/>
  <c r="B1369" i="1"/>
  <c r="B1370" i="1"/>
  <c r="B1372" i="1"/>
  <c r="B1373" i="1"/>
  <c r="B1374" i="1"/>
  <c r="B1375" i="1"/>
  <c r="B1376" i="1"/>
  <c r="B1377" i="1"/>
  <c r="B1378" i="1"/>
  <c r="B1379" i="1"/>
  <c r="B1381" i="1"/>
  <c r="B1382" i="1"/>
  <c r="B1383" i="1"/>
  <c r="B1384" i="1"/>
  <c r="B1386" i="1"/>
  <c r="B1387" i="1"/>
  <c r="B1388" i="1"/>
  <c r="B1389" i="1"/>
  <c r="B1390" i="1"/>
  <c r="B1391" i="1"/>
  <c r="B1392" i="1"/>
  <c r="B1395" i="1"/>
  <c r="B1396" i="1"/>
  <c r="B1399" i="1"/>
  <c r="B1400" i="1"/>
  <c r="B1403" i="1"/>
  <c r="B1404" i="1"/>
  <c r="B1405" i="1"/>
  <c r="B1406" i="1"/>
  <c r="B1407" i="1"/>
  <c r="B1408" i="1"/>
  <c r="B1409" i="1"/>
  <c r="B1410" i="1"/>
  <c r="B1415" i="1"/>
  <c r="B1416" i="1"/>
  <c r="B1417" i="1"/>
  <c r="B1418" i="1"/>
  <c r="B1419" i="1"/>
  <c r="B1355" i="1"/>
  <c r="B1422" i="1"/>
  <c r="B1423" i="1"/>
  <c r="B1424" i="1"/>
  <c r="B1425" i="1"/>
  <c r="B1361" i="1"/>
  <c r="B1426" i="1"/>
  <c r="B1427" i="1"/>
  <c r="B1365" i="1"/>
  <c r="B1428" i="1"/>
  <c r="B1368" i="1"/>
  <c r="B1429" i="1"/>
  <c r="B1371" i="1"/>
  <c r="B1430" i="1"/>
  <c r="B1431" i="1"/>
  <c r="B1432" i="1"/>
  <c r="B1433" i="1"/>
  <c r="B1434" i="1"/>
  <c r="B1435" i="1"/>
  <c r="B1436" i="1"/>
  <c r="B1380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9" i="1"/>
  <c r="B1460" i="1"/>
  <c r="B1461" i="1"/>
  <c r="B1462" i="1"/>
  <c r="B1463" i="1"/>
  <c r="B1464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397" i="1"/>
  <c r="B1496" i="1"/>
  <c r="B1497" i="1"/>
  <c r="B1498" i="1"/>
  <c r="B1499" i="1"/>
  <c r="B1500" i="1"/>
  <c r="B1501" i="1"/>
  <c r="B1502" i="1"/>
  <c r="B1503" i="1"/>
  <c r="B1510" i="1"/>
  <c r="B1511" i="1"/>
  <c r="B1512" i="1"/>
  <c r="B1513" i="1"/>
  <c r="B1514" i="1"/>
  <c r="B1515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62" i="1"/>
  <c r="B1565" i="1"/>
  <c r="B1566" i="1"/>
  <c r="B1567" i="1"/>
  <c r="B1568" i="1"/>
  <c r="B1569" i="1"/>
  <c r="B1572" i="1"/>
  <c r="B1574" i="1"/>
  <c r="B1575" i="1"/>
  <c r="B1576" i="1"/>
  <c r="B1577" i="1"/>
  <c r="B1578" i="1"/>
  <c r="B1580" i="1"/>
  <c r="B1581" i="1"/>
  <c r="B1582" i="1"/>
  <c r="B1584" i="1"/>
  <c r="B1585" i="1"/>
  <c r="B1587" i="1"/>
  <c r="B1588" i="1"/>
  <c r="B1590" i="1"/>
  <c r="B1591" i="1"/>
  <c r="B1592" i="1"/>
  <c r="B1593" i="1"/>
  <c r="B1594" i="1"/>
  <c r="B1595" i="1"/>
  <c r="B1596" i="1"/>
  <c r="B1597" i="1"/>
  <c r="B1599" i="1"/>
  <c r="B1600" i="1"/>
  <c r="B1601" i="1"/>
  <c r="B1602" i="1"/>
  <c r="B1603" i="1"/>
  <c r="B1604" i="1"/>
  <c r="B1605" i="1"/>
  <c r="B1606" i="1"/>
  <c r="B1607" i="1"/>
  <c r="B1609" i="1"/>
  <c r="B1608" i="1"/>
  <c r="B1610" i="1"/>
  <c r="B1613" i="1"/>
  <c r="B1614" i="1"/>
  <c r="B1615" i="1"/>
  <c r="B1616" i="1"/>
  <c r="B1589" i="1"/>
  <c r="B1617" i="1"/>
  <c r="B1618" i="1"/>
  <c r="B139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20" i="1"/>
  <c r="B1722" i="1"/>
  <c r="B1723" i="1"/>
  <c r="B1724" i="1"/>
  <c r="B1725" i="1"/>
  <c r="B1726" i="1"/>
  <c r="B1573" i="1"/>
  <c r="B1729" i="1"/>
  <c r="B1730" i="1"/>
  <c r="B1731" i="1"/>
  <c r="B1732" i="1"/>
  <c r="B1733" i="1"/>
  <c r="B1579" i="1"/>
  <c r="B1734" i="1"/>
  <c r="B1735" i="1"/>
  <c r="B1736" i="1"/>
  <c r="B1583" i="1"/>
  <c r="B1737" i="1"/>
  <c r="B1738" i="1"/>
  <c r="B1586" i="1"/>
  <c r="B1739" i="1"/>
  <c r="B1740" i="1"/>
  <c r="B1741" i="1"/>
  <c r="B1743" i="1"/>
  <c r="B1744" i="1"/>
  <c r="B1745" i="1"/>
  <c r="B1746" i="1"/>
  <c r="B1747" i="1"/>
  <c r="B1748" i="1"/>
  <c r="B1749" i="1"/>
  <c r="B1598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338" i="1"/>
  <c r="B395" i="1"/>
  <c r="B1763" i="1"/>
  <c r="B1764" i="1"/>
  <c r="B1765" i="1"/>
  <c r="B1766" i="1"/>
  <c r="B1767" i="1"/>
  <c r="B1768" i="1"/>
  <c r="B767" i="1"/>
  <c r="B1769" i="1"/>
  <c r="B1770" i="1"/>
  <c r="B933" i="1"/>
  <c r="B1771" i="1"/>
  <c r="B1049" i="1"/>
  <c r="B1107" i="1"/>
  <c r="B1772" i="1"/>
  <c r="B1773" i="1"/>
  <c r="B1774" i="1"/>
  <c r="B1775" i="1"/>
  <c r="B1393" i="1"/>
  <c r="B1776" i="1"/>
  <c r="B1777" i="1"/>
  <c r="B1778" i="1"/>
  <c r="B1611" i="1"/>
  <c r="B1779" i="1"/>
  <c r="B339" i="1"/>
  <c r="B396" i="1"/>
  <c r="B1780" i="1"/>
  <c r="B1781" i="1"/>
  <c r="B1782" i="1"/>
  <c r="B1783" i="1"/>
  <c r="B1784" i="1"/>
  <c r="B1785" i="1"/>
  <c r="B768" i="1"/>
  <c r="B1786" i="1"/>
  <c r="B1787" i="1"/>
  <c r="B934" i="1"/>
  <c r="B1788" i="1"/>
  <c r="B1050" i="1"/>
  <c r="B1108" i="1"/>
  <c r="B1789" i="1"/>
  <c r="B1790" i="1"/>
  <c r="B1791" i="1"/>
  <c r="B1792" i="1"/>
  <c r="B1394" i="1"/>
  <c r="B1793" i="1"/>
  <c r="B1794" i="1"/>
  <c r="B1795" i="1"/>
  <c r="B1612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479" i="1"/>
  <c r="B2480" i="1"/>
  <c r="B2481" i="1"/>
  <c r="B2482" i="1"/>
  <c r="D1454" i="1"/>
  <c r="E1454" i="1"/>
  <c r="F1454" i="1"/>
  <c r="K1454" i="1"/>
  <c r="M1454" i="1"/>
  <c r="N1454" i="1"/>
  <c r="D1453" i="1"/>
  <c r="E1453" i="1"/>
  <c r="F1453" i="1"/>
  <c r="K1453" i="1"/>
  <c r="M1453" i="1"/>
  <c r="N1453" i="1"/>
  <c r="D1409" i="1"/>
  <c r="E1409" i="1"/>
  <c r="F1409" i="1"/>
  <c r="K1409" i="1"/>
  <c r="M1409" i="1"/>
  <c r="N1409" i="1"/>
  <c r="D1410" i="1"/>
  <c r="E1410" i="1"/>
  <c r="F1410" i="1"/>
  <c r="K1410" i="1"/>
  <c r="M1410" i="1"/>
  <c r="N1410" i="1"/>
  <c r="D1338" i="1"/>
  <c r="E1338" i="1"/>
  <c r="F1338" i="1"/>
  <c r="K1338" i="1"/>
  <c r="M1338" i="1"/>
  <c r="N1338" i="1"/>
  <c r="D1339" i="1"/>
  <c r="E1339" i="1"/>
  <c r="F1339" i="1"/>
  <c r="K1339" i="1"/>
  <c r="M1339" i="1"/>
  <c r="N1339" i="1"/>
  <c r="D1283" i="1"/>
  <c r="E1283" i="1"/>
  <c r="F1283" i="1"/>
  <c r="K1283" i="1"/>
  <c r="M1283" i="1"/>
  <c r="N1283" i="1"/>
  <c r="D1284" i="1"/>
  <c r="E1284" i="1"/>
  <c r="F1284" i="1"/>
  <c r="K1284" i="1"/>
  <c r="M1284" i="1"/>
  <c r="N1284" i="1"/>
  <c r="D1226" i="1"/>
  <c r="E1226" i="1"/>
  <c r="F1226" i="1"/>
  <c r="K1226" i="1"/>
  <c r="M1226" i="1"/>
  <c r="N1226" i="1"/>
  <c r="D1227" i="1"/>
  <c r="E1227" i="1"/>
  <c r="F1227" i="1"/>
  <c r="K1227" i="1"/>
  <c r="M1227" i="1"/>
  <c r="N1227" i="1"/>
  <c r="D1168" i="1"/>
  <c r="E1168" i="1"/>
  <c r="F1168" i="1"/>
  <c r="K1168" i="1"/>
  <c r="M1168" i="1"/>
  <c r="N1168" i="1"/>
  <c r="D1169" i="1"/>
  <c r="E1169" i="1"/>
  <c r="F1169" i="1"/>
  <c r="K1169" i="1"/>
  <c r="M1169" i="1"/>
  <c r="N1169" i="1"/>
  <c r="D1121" i="1"/>
  <c r="E1121" i="1"/>
  <c r="F1121" i="1"/>
  <c r="K1121" i="1"/>
  <c r="M1121" i="1"/>
  <c r="N1121" i="1"/>
  <c r="D1122" i="1"/>
  <c r="E1122" i="1"/>
  <c r="F1122" i="1"/>
  <c r="K1122" i="1"/>
  <c r="M1122" i="1"/>
  <c r="N1122" i="1"/>
  <c r="D1059" i="1"/>
  <c r="E1059" i="1"/>
  <c r="F1059" i="1"/>
  <c r="K1059" i="1"/>
  <c r="M1059" i="1"/>
  <c r="N1059" i="1"/>
  <c r="D1060" i="1"/>
  <c r="E1060" i="1"/>
  <c r="F1060" i="1"/>
  <c r="K1060" i="1"/>
  <c r="M1060" i="1"/>
  <c r="N1060" i="1"/>
  <c r="D994" i="1"/>
  <c r="E994" i="1"/>
  <c r="F994" i="1"/>
  <c r="K994" i="1"/>
  <c r="M994" i="1"/>
  <c r="N994" i="1"/>
  <c r="D995" i="1"/>
  <c r="E995" i="1"/>
  <c r="F995" i="1"/>
  <c r="K995" i="1"/>
  <c r="M995" i="1"/>
  <c r="N995" i="1"/>
  <c r="D948" i="1"/>
  <c r="E948" i="1"/>
  <c r="F948" i="1"/>
  <c r="K948" i="1"/>
  <c r="M948" i="1"/>
  <c r="N948" i="1"/>
  <c r="D949" i="1"/>
  <c r="E949" i="1"/>
  <c r="F949" i="1"/>
  <c r="K949" i="1"/>
  <c r="M949" i="1"/>
  <c r="N949" i="1"/>
  <c r="D876" i="1"/>
  <c r="E876" i="1"/>
  <c r="F876" i="1"/>
  <c r="K876" i="1"/>
  <c r="M876" i="1"/>
  <c r="N876" i="1"/>
  <c r="D877" i="1"/>
  <c r="E877" i="1"/>
  <c r="F877" i="1"/>
  <c r="K877" i="1"/>
  <c r="M877" i="1"/>
  <c r="N877" i="1"/>
  <c r="D827" i="1"/>
  <c r="E827" i="1"/>
  <c r="F827" i="1"/>
  <c r="K827" i="1"/>
  <c r="M827" i="1"/>
  <c r="N827" i="1"/>
  <c r="D828" i="1"/>
  <c r="E828" i="1"/>
  <c r="F828" i="1"/>
  <c r="K828" i="1"/>
  <c r="M828" i="1"/>
  <c r="N828" i="1"/>
  <c r="D775" i="1"/>
  <c r="E775" i="1"/>
  <c r="F775" i="1"/>
  <c r="K775" i="1"/>
  <c r="M775" i="1"/>
  <c r="N775" i="1"/>
  <c r="D776" i="1"/>
  <c r="E776" i="1"/>
  <c r="F776" i="1"/>
  <c r="K776" i="1"/>
  <c r="M776" i="1"/>
  <c r="N776" i="1"/>
  <c r="D712" i="1"/>
  <c r="E712" i="1"/>
  <c r="F712" i="1"/>
  <c r="K712" i="1"/>
  <c r="M712" i="1"/>
  <c r="N712" i="1"/>
  <c r="D713" i="1"/>
  <c r="E713" i="1"/>
  <c r="F713" i="1"/>
  <c r="K713" i="1"/>
  <c r="M713" i="1"/>
  <c r="N713" i="1"/>
  <c r="D662" i="1"/>
  <c r="E662" i="1"/>
  <c r="F662" i="1"/>
  <c r="K662" i="1"/>
  <c r="M662" i="1"/>
  <c r="N662" i="1"/>
  <c r="D663" i="1"/>
  <c r="E663" i="1"/>
  <c r="F663" i="1"/>
  <c r="K663" i="1"/>
  <c r="M663" i="1"/>
  <c r="N663" i="1"/>
  <c r="D601" i="1"/>
  <c r="E601" i="1"/>
  <c r="F601" i="1"/>
  <c r="K601" i="1"/>
  <c r="M601" i="1"/>
  <c r="N601" i="1"/>
  <c r="D602" i="1"/>
  <c r="E602" i="1"/>
  <c r="F602" i="1"/>
  <c r="K602" i="1"/>
  <c r="M602" i="1"/>
  <c r="N602" i="1"/>
  <c r="D544" i="1"/>
  <c r="E544" i="1"/>
  <c r="F544" i="1"/>
  <c r="K544" i="1"/>
  <c r="M544" i="1"/>
  <c r="N544" i="1"/>
  <c r="D545" i="1"/>
  <c r="E545" i="1"/>
  <c r="F545" i="1"/>
  <c r="K545" i="1"/>
  <c r="M545" i="1"/>
  <c r="N545" i="1"/>
  <c r="D505" i="1"/>
  <c r="E505" i="1"/>
  <c r="F505" i="1"/>
  <c r="K505" i="1"/>
  <c r="M505" i="1"/>
  <c r="N505" i="1"/>
  <c r="D506" i="1"/>
  <c r="E506" i="1"/>
  <c r="F506" i="1"/>
  <c r="K506" i="1"/>
  <c r="M506" i="1"/>
  <c r="N506" i="1"/>
  <c r="D446" i="1"/>
  <c r="E446" i="1"/>
  <c r="F446" i="1"/>
  <c r="K446" i="1"/>
  <c r="M446" i="1"/>
  <c r="N446" i="1"/>
  <c r="D447" i="1"/>
  <c r="E447" i="1"/>
  <c r="F447" i="1"/>
  <c r="K447" i="1"/>
  <c r="M447" i="1"/>
  <c r="N447" i="1"/>
  <c r="D401" i="1"/>
  <c r="E401" i="1"/>
  <c r="F401" i="1"/>
  <c r="K401" i="1"/>
  <c r="M401" i="1"/>
  <c r="N401" i="1"/>
  <c r="D402" i="1"/>
  <c r="E402" i="1"/>
  <c r="F402" i="1"/>
  <c r="K402" i="1"/>
  <c r="M402" i="1"/>
  <c r="N402" i="1"/>
  <c r="D347" i="1"/>
  <c r="E347" i="1"/>
  <c r="F347" i="1"/>
  <c r="K347" i="1"/>
  <c r="M347" i="1"/>
  <c r="N347" i="1"/>
  <c r="D348" i="1"/>
  <c r="E348" i="1"/>
  <c r="F348" i="1"/>
  <c r="K348" i="1"/>
  <c r="M348" i="1"/>
  <c r="N348" i="1"/>
  <c r="D288" i="1"/>
  <c r="E288" i="1"/>
  <c r="F288" i="1"/>
  <c r="K288" i="1"/>
  <c r="M288" i="1"/>
  <c r="N288" i="1"/>
  <c r="D289" i="1"/>
  <c r="E289" i="1"/>
  <c r="F289" i="1"/>
  <c r="K289" i="1"/>
  <c r="M289" i="1"/>
  <c r="N289" i="1"/>
  <c r="D1712" i="1"/>
  <c r="E1712" i="1"/>
  <c r="F1712" i="1"/>
  <c r="K1712" i="1"/>
  <c r="M1712" i="1"/>
  <c r="N1712" i="1"/>
  <c r="D1713" i="1"/>
  <c r="E1713" i="1"/>
  <c r="F1713" i="1"/>
  <c r="K1713" i="1"/>
  <c r="M1713" i="1"/>
  <c r="N1713" i="1"/>
  <c r="D1554" i="1"/>
  <c r="E1554" i="1"/>
  <c r="F1554" i="1"/>
  <c r="K1554" i="1"/>
  <c r="M1554" i="1"/>
  <c r="N1554" i="1"/>
  <c r="D1555" i="1"/>
  <c r="E1555" i="1"/>
  <c r="F1555" i="1"/>
  <c r="K1555" i="1"/>
  <c r="M1555" i="1"/>
  <c r="N1555" i="1"/>
  <c r="D1502" i="1"/>
  <c r="E1502" i="1"/>
  <c r="F1502" i="1"/>
  <c r="K1502" i="1"/>
  <c r="M1502" i="1"/>
  <c r="N1502" i="1"/>
  <c r="D1503" i="1"/>
  <c r="E1503" i="1"/>
  <c r="F1503" i="1"/>
  <c r="K1503" i="1"/>
  <c r="M1503" i="1"/>
  <c r="N1503" i="1"/>
  <c r="D1451" i="1"/>
  <c r="E1451" i="1"/>
  <c r="F1451" i="1"/>
  <c r="K1451" i="1"/>
  <c r="M1451" i="1"/>
  <c r="N1451" i="1"/>
  <c r="D1452" i="1"/>
  <c r="E1452" i="1"/>
  <c r="F1452" i="1"/>
  <c r="K1452" i="1"/>
  <c r="M1452" i="1"/>
  <c r="N1452" i="1"/>
  <c r="D1407" i="1"/>
  <c r="E1407" i="1"/>
  <c r="F1407" i="1"/>
  <c r="K1407" i="1"/>
  <c r="M1407" i="1"/>
  <c r="N1407" i="1"/>
  <c r="D1408" i="1"/>
  <c r="E1408" i="1"/>
  <c r="F1408" i="1"/>
  <c r="K1408" i="1"/>
  <c r="M1408" i="1"/>
  <c r="N1408" i="1"/>
  <c r="D1336" i="1"/>
  <c r="E1336" i="1"/>
  <c r="F1336" i="1"/>
  <c r="K1336" i="1"/>
  <c r="M1336" i="1"/>
  <c r="N1336" i="1"/>
  <c r="D1337" i="1"/>
  <c r="E1337" i="1"/>
  <c r="F1337" i="1"/>
  <c r="K1337" i="1"/>
  <c r="M1337" i="1"/>
  <c r="N1337" i="1"/>
  <c r="D1281" i="1"/>
  <c r="E1281" i="1"/>
  <c r="F1281" i="1"/>
  <c r="K1281" i="1"/>
  <c r="M1281" i="1"/>
  <c r="N1281" i="1"/>
  <c r="D1282" i="1"/>
  <c r="E1282" i="1"/>
  <c r="F1282" i="1"/>
  <c r="K1282" i="1"/>
  <c r="M1282" i="1"/>
  <c r="N1282" i="1"/>
  <c r="D1224" i="1"/>
  <c r="E1224" i="1"/>
  <c r="F1224" i="1"/>
  <c r="K1224" i="1"/>
  <c r="M1224" i="1"/>
  <c r="N1224" i="1"/>
  <c r="D1225" i="1"/>
  <c r="E1225" i="1"/>
  <c r="F1225" i="1"/>
  <c r="K1225" i="1"/>
  <c r="M1225" i="1"/>
  <c r="N1225" i="1"/>
  <c r="D1166" i="1"/>
  <c r="E1166" i="1"/>
  <c r="F1166" i="1"/>
  <c r="K1166" i="1"/>
  <c r="M1166" i="1"/>
  <c r="N1166" i="1"/>
  <c r="D1167" i="1"/>
  <c r="E1167" i="1"/>
  <c r="F1167" i="1"/>
  <c r="K1167" i="1"/>
  <c r="M1167" i="1"/>
  <c r="N1167" i="1"/>
  <c r="D1119" i="1"/>
  <c r="E1119" i="1"/>
  <c r="F1119" i="1"/>
  <c r="K1119" i="1"/>
  <c r="M1119" i="1"/>
  <c r="N1119" i="1"/>
  <c r="D1120" i="1"/>
  <c r="E1120" i="1"/>
  <c r="F1120" i="1"/>
  <c r="K1120" i="1"/>
  <c r="M1120" i="1"/>
  <c r="N1120" i="1"/>
  <c r="D1057" i="1"/>
  <c r="E1057" i="1"/>
  <c r="F1057" i="1"/>
  <c r="K1057" i="1"/>
  <c r="M1057" i="1"/>
  <c r="N1057" i="1"/>
  <c r="D1058" i="1"/>
  <c r="E1058" i="1"/>
  <c r="F1058" i="1"/>
  <c r="K1058" i="1"/>
  <c r="M1058" i="1"/>
  <c r="N1058" i="1"/>
  <c r="D992" i="1"/>
  <c r="E992" i="1"/>
  <c r="F992" i="1"/>
  <c r="K992" i="1"/>
  <c r="M992" i="1"/>
  <c r="N992" i="1"/>
  <c r="D993" i="1"/>
  <c r="E993" i="1"/>
  <c r="F993" i="1"/>
  <c r="K993" i="1"/>
  <c r="M993" i="1"/>
  <c r="N993" i="1"/>
  <c r="D946" i="1"/>
  <c r="E946" i="1"/>
  <c r="F946" i="1"/>
  <c r="K946" i="1"/>
  <c r="M946" i="1"/>
  <c r="N946" i="1"/>
  <c r="D947" i="1"/>
  <c r="E947" i="1"/>
  <c r="F947" i="1"/>
  <c r="K947" i="1"/>
  <c r="M947" i="1"/>
  <c r="N947" i="1"/>
  <c r="D874" i="1"/>
  <c r="E874" i="1"/>
  <c r="F874" i="1"/>
  <c r="K874" i="1"/>
  <c r="M874" i="1"/>
  <c r="N874" i="1"/>
  <c r="D875" i="1"/>
  <c r="E875" i="1"/>
  <c r="F875" i="1"/>
  <c r="K875" i="1"/>
  <c r="M875" i="1"/>
  <c r="N875" i="1"/>
  <c r="D825" i="1"/>
  <c r="E825" i="1"/>
  <c r="F825" i="1"/>
  <c r="K825" i="1"/>
  <c r="M825" i="1"/>
  <c r="N825" i="1"/>
  <c r="D826" i="1"/>
  <c r="E826" i="1"/>
  <c r="F826" i="1"/>
  <c r="K826" i="1"/>
  <c r="M826" i="1"/>
  <c r="N826" i="1"/>
  <c r="D773" i="1"/>
  <c r="E773" i="1"/>
  <c r="F773" i="1"/>
  <c r="K773" i="1"/>
  <c r="M773" i="1"/>
  <c r="N773" i="1"/>
  <c r="D774" i="1"/>
  <c r="E774" i="1"/>
  <c r="F774" i="1"/>
  <c r="K774" i="1"/>
  <c r="M774" i="1"/>
  <c r="N774" i="1"/>
  <c r="D710" i="1"/>
  <c r="E710" i="1"/>
  <c r="F710" i="1"/>
  <c r="K710" i="1"/>
  <c r="M710" i="1"/>
  <c r="N710" i="1"/>
  <c r="D711" i="1"/>
  <c r="E711" i="1"/>
  <c r="F711" i="1"/>
  <c r="K711" i="1"/>
  <c r="M711" i="1"/>
  <c r="N711" i="1"/>
  <c r="D660" i="1"/>
  <c r="E660" i="1"/>
  <c r="F660" i="1"/>
  <c r="K660" i="1"/>
  <c r="M660" i="1"/>
  <c r="N660" i="1"/>
  <c r="D661" i="1"/>
  <c r="E661" i="1"/>
  <c r="F661" i="1"/>
  <c r="K661" i="1"/>
  <c r="M661" i="1"/>
  <c r="N661" i="1"/>
  <c r="D599" i="1"/>
  <c r="E599" i="1"/>
  <c r="F599" i="1"/>
  <c r="K599" i="1"/>
  <c r="M599" i="1"/>
  <c r="N599" i="1"/>
  <c r="D600" i="1"/>
  <c r="E600" i="1"/>
  <c r="F600" i="1"/>
  <c r="K600" i="1"/>
  <c r="M600" i="1"/>
  <c r="N600" i="1"/>
  <c r="D542" i="1"/>
  <c r="E542" i="1"/>
  <c r="F542" i="1"/>
  <c r="K542" i="1"/>
  <c r="M542" i="1"/>
  <c r="N542" i="1"/>
  <c r="D543" i="1"/>
  <c r="E543" i="1"/>
  <c r="F543" i="1"/>
  <c r="K543" i="1"/>
  <c r="M543" i="1"/>
  <c r="N543" i="1"/>
  <c r="D503" i="1"/>
  <c r="E503" i="1"/>
  <c r="F503" i="1"/>
  <c r="K503" i="1"/>
  <c r="M503" i="1"/>
  <c r="N503" i="1"/>
  <c r="D504" i="1"/>
  <c r="E504" i="1"/>
  <c r="F504" i="1"/>
  <c r="K504" i="1"/>
  <c r="M504" i="1"/>
  <c r="N504" i="1"/>
  <c r="D444" i="1"/>
  <c r="E444" i="1"/>
  <c r="F444" i="1"/>
  <c r="K444" i="1"/>
  <c r="M444" i="1"/>
  <c r="N444" i="1"/>
  <c r="D445" i="1"/>
  <c r="E445" i="1"/>
  <c r="F445" i="1"/>
  <c r="K445" i="1"/>
  <c r="M445" i="1"/>
  <c r="N445" i="1"/>
  <c r="D399" i="1"/>
  <c r="E399" i="1"/>
  <c r="F399" i="1"/>
  <c r="K399" i="1"/>
  <c r="M399" i="1"/>
  <c r="N399" i="1"/>
  <c r="D400" i="1"/>
  <c r="E400" i="1"/>
  <c r="F400" i="1"/>
  <c r="K400" i="1"/>
  <c r="M400" i="1"/>
  <c r="N400" i="1"/>
  <c r="D345" i="1"/>
  <c r="E345" i="1"/>
  <c r="F345" i="1"/>
  <c r="K345" i="1"/>
  <c r="M345" i="1"/>
  <c r="N345" i="1"/>
  <c r="D346" i="1"/>
  <c r="E346" i="1"/>
  <c r="F346" i="1"/>
  <c r="K346" i="1"/>
  <c r="M346" i="1"/>
  <c r="N346" i="1"/>
  <c r="D286" i="1"/>
  <c r="E286" i="1"/>
  <c r="F286" i="1"/>
  <c r="K286" i="1"/>
  <c r="M286" i="1"/>
  <c r="N286" i="1"/>
  <c r="D287" i="1"/>
  <c r="E287" i="1"/>
  <c r="F287" i="1"/>
  <c r="K287" i="1"/>
  <c r="M287" i="1"/>
  <c r="N287" i="1"/>
  <c r="D1577" i="1"/>
  <c r="E1577" i="1"/>
  <c r="F1577" i="1"/>
  <c r="K1577" i="1"/>
  <c r="M1577" i="1"/>
  <c r="N1577" i="1"/>
  <c r="D1522" i="1"/>
  <c r="E1522" i="1"/>
  <c r="F1522" i="1"/>
  <c r="K1522" i="1"/>
  <c r="M1522" i="1"/>
  <c r="N1522" i="1"/>
  <c r="D1425" i="1"/>
  <c r="E1425" i="1"/>
  <c r="F1425" i="1"/>
  <c r="K1425" i="1"/>
  <c r="M1425" i="1"/>
  <c r="N1425" i="1"/>
  <c r="D1359" i="1"/>
  <c r="E1359" i="1"/>
  <c r="F1359" i="1"/>
  <c r="K1359" i="1"/>
  <c r="M1359" i="1"/>
  <c r="N1359" i="1"/>
  <c r="D1301" i="1"/>
  <c r="E1301" i="1"/>
  <c r="F1301" i="1"/>
  <c r="K1301" i="1"/>
  <c r="M1301" i="1"/>
  <c r="N1301" i="1"/>
  <c r="D1244" i="1"/>
  <c r="E1244" i="1"/>
  <c r="F1244" i="1"/>
  <c r="K1244" i="1"/>
  <c r="M1244" i="1"/>
  <c r="N1244" i="1"/>
  <c r="D1186" i="1"/>
  <c r="E1186" i="1"/>
  <c r="F1186" i="1"/>
  <c r="K1186" i="1"/>
  <c r="M1186" i="1"/>
  <c r="N1186" i="1"/>
  <c r="D1137" i="1"/>
  <c r="E1137" i="1"/>
  <c r="F1137" i="1"/>
  <c r="K1137" i="1"/>
  <c r="M1137" i="1"/>
  <c r="N1137" i="1"/>
  <c r="D1078" i="1"/>
  <c r="E1078" i="1"/>
  <c r="F1078" i="1"/>
  <c r="K1078" i="1"/>
  <c r="M1078" i="1"/>
  <c r="N1078" i="1"/>
  <c r="D1015" i="1"/>
  <c r="E1015" i="1"/>
  <c r="F1015" i="1"/>
  <c r="K1015" i="1"/>
  <c r="M1015" i="1"/>
  <c r="N1015" i="1"/>
  <c r="D964" i="1"/>
  <c r="E964" i="1"/>
  <c r="F964" i="1"/>
  <c r="K964" i="1"/>
  <c r="M964" i="1"/>
  <c r="N964" i="1"/>
  <c r="D898" i="1"/>
  <c r="E898" i="1"/>
  <c r="F898" i="1"/>
  <c r="K898" i="1"/>
  <c r="M898" i="1"/>
  <c r="N898" i="1"/>
  <c r="D791" i="1"/>
  <c r="E791" i="1"/>
  <c r="F791" i="1"/>
  <c r="K791" i="1"/>
  <c r="M791" i="1"/>
  <c r="N791" i="1"/>
  <c r="D733" i="1"/>
  <c r="E733" i="1"/>
  <c r="F733" i="1"/>
  <c r="K733" i="1"/>
  <c r="M733" i="1"/>
  <c r="N733" i="1"/>
  <c r="D619" i="1"/>
  <c r="E619" i="1"/>
  <c r="F619" i="1"/>
  <c r="K619" i="1"/>
  <c r="M619" i="1"/>
  <c r="N619" i="1"/>
  <c r="D562" i="1"/>
  <c r="E562" i="1"/>
  <c r="F562" i="1"/>
  <c r="K562" i="1"/>
  <c r="M562" i="1"/>
  <c r="N562" i="1"/>
  <c r="D464" i="1"/>
  <c r="E464" i="1"/>
  <c r="F464" i="1"/>
  <c r="K464" i="1"/>
  <c r="M464" i="1"/>
  <c r="N464" i="1"/>
  <c r="D418" i="1"/>
  <c r="E418" i="1"/>
  <c r="F418" i="1"/>
  <c r="K418" i="1"/>
  <c r="M418" i="1"/>
  <c r="N418" i="1"/>
  <c r="D1496" i="1"/>
  <c r="E1496" i="1"/>
  <c r="F1496" i="1"/>
  <c r="K1496" i="1"/>
  <c r="M1496" i="1"/>
  <c r="N1496" i="1"/>
  <c r="D1332" i="1"/>
  <c r="E1332" i="1"/>
  <c r="F1332" i="1"/>
  <c r="K1332" i="1"/>
  <c r="M1332" i="1"/>
  <c r="N1332" i="1"/>
  <c r="D1276" i="1"/>
  <c r="E1276" i="1"/>
  <c r="F1276" i="1"/>
  <c r="K1276" i="1"/>
  <c r="M1276" i="1"/>
  <c r="N1276" i="1"/>
  <c r="D1218" i="1"/>
  <c r="E1218" i="1"/>
  <c r="F1218" i="1"/>
  <c r="K1218" i="1"/>
  <c r="M1218" i="1"/>
  <c r="N1218" i="1"/>
  <c r="D1163" i="1"/>
  <c r="E1163" i="1"/>
  <c r="F1163" i="1"/>
  <c r="K1163" i="1"/>
  <c r="M1163" i="1"/>
  <c r="N1163" i="1"/>
  <c r="D1113" i="1"/>
  <c r="E1113" i="1"/>
  <c r="F1113" i="1"/>
  <c r="K1113" i="1"/>
  <c r="M1113" i="1"/>
  <c r="N1113" i="1"/>
  <c r="D1054" i="1"/>
  <c r="E1054" i="1"/>
  <c r="F1054" i="1"/>
  <c r="K1054" i="1"/>
  <c r="M1054" i="1"/>
  <c r="N1054" i="1"/>
  <c r="D989" i="1"/>
  <c r="E989" i="1"/>
  <c r="F989" i="1"/>
  <c r="K989" i="1"/>
  <c r="M989" i="1"/>
  <c r="N989" i="1"/>
  <c r="D940" i="1"/>
  <c r="E940" i="1"/>
  <c r="F940" i="1"/>
  <c r="K940" i="1"/>
  <c r="M940" i="1"/>
  <c r="N940" i="1"/>
  <c r="D871" i="1"/>
  <c r="E871" i="1"/>
  <c r="F871" i="1"/>
  <c r="K871" i="1"/>
  <c r="M871" i="1"/>
  <c r="N871" i="1"/>
  <c r="D819" i="1"/>
  <c r="E819" i="1"/>
  <c r="F819" i="1"/>
  <c r="K819" i="1"/>
  <c r="M819" i="1"/>
  <c r="N819" i="1"/>
  <c r="D770" i="1"/>
  <c r="E770" i="1"/>
  <c r="F770" i="1"/>
  <c r="K770" i="1"/>
  <c r="M770" i="1"/>
  <c r="N770" i="1"/>
  <c r="D706" i="1"/>
  <c r="E706" i="1"/>
  <c r="F706" i="1"/>
  <c r="K706" i="1"/>
  <c r="M706" i="1"/>
  <c r="N706" i="1"/>
  <c r="D652" i="1"/>
  <c r="E652" i="1"/>
  <c r="F652" i="1"/>
  <c r="K652" i="1"/>
  <c r="M652" i="1"/>
  <c r="N652" i="1"/>
  <c r="D592" i="1"/>
  <c r="E592" i="1"/>
  <c r="F592" i="1"/>
  <c r="K592" i="1"/>
  <c r="M592" i="1"/>
  <c r="N592" i="1"/>
  <c r="D494" i="1"/>
  <c r="E494" i="1"/>
  <c r="F494" i="1"/>
  <c r="K494" i="1"/>
  <c r="M494" i="1"/>
  <c r="N494" i="1"/>
  <c r="D343" i="1"/>
  <c r="E343" i="1"/>
  <c r="F343" i="1"/>
  <c r="K343" i="1"/>
  <c r="M343" i="1"/>
  <c r="N343" i="1"/>
  <c r="D1747" i="1"/>
  <c r="E1747" i="1"/>
  <c r="F1747" i="1"/>
  <c r="K1747" i="1"/>
  <c r="M1747" i="1"/>
  <c r="N1747" i="1"/>
  <c r="D1594" i="1"/>
  <c r="E1594" i="1"/>
  <c r="F1594" i="1"/>
  <c r="K1594" i="1"/>
  <c r="M1594" i="1"/>
  <c r="N1594" i="1"/>
  <c r="D1535" i="1"/>
  <c r="E1535" i="1"/>
  <c r="F1535" i="1"/>
  <c r="K1535" i="1"/>
  <c r="M1535" i="1"/>
  <c r="N1535" i="1"/>
  <c r="D1479" i="1"/>
  <c r="E1479" i="1"/>
  <c r="F1479" i="1"/>
  <c r="K1479" i="1"/>
  <c r="M1479" i="1"/>
  <c r="N1479" i="1"/>
  <c r="D1434" i="1"/>
  <c r="E1434" i="1"/>
  <c r="F1434" i="1"/>
  <c r="K1434" i="1"/>
  <c r="M1434" i="1"/>
  <c r="N1434" i="1"/>
  <c r="D1376" i="1"/>
  <c r="E1376" i="1"/>
  <c r="F1376" i="1"/>
  <c r="K1376" i="1"/>
  <c r="M1376" i="1"/>
  <c r="N1376" i="1"/>
  <c r="D1314" i="1"/>
  <c r="E1314" i="1"/>
  <c r="F1314" i="1"/>
  <c r="K1314" i="1"/>
  <c r="M1314" i="1"/>
  <c r="N1314" i="1"/>
  <c r="D1257" i="1"/>
  <c r="E1257" i="1"/>
  <c r="F1257" i="1"/>
  <c r="K1257" i="1"/>
  <c r="M1257" i="1"/>
  <c r="N1257" i="1"/>
  <c r="D1199" i="1"/>
  <c r="E1199" i="1"/>
  <c r="F1199" i="1"/>
  <c r="K1199" i="1"/>
  <c r="M1199" i="1"/>
  <c r="N1199" i="1"/>
  <c r="D1147" i="1"/>
  <c r="E1147" i="1"/>
  <c r="F1147" i="1"/>
  <c r="K1147" i="1"/>
  <c r="M1147" i="1"/>
  <c r="N1147" i="1"/>
  <c r="D1091" i="1"/>
  <c r="E1091" i="1"/>
  <c r="F1091" i="1"/>
  <c r="K1091" i="1"/>
  <c r="M1091" i="1"/>
  <c r="N1091" i="1"/>
  <c r="D1032" i="1"/>
  <c r="E1032" i="1"/>
  <c r="F1032" i="1"/>
  <c r="K1032" i="1"/>
  <c r="M1032" i="1"/>
  <c r="N1032" i="1"/>
  <c r="D973" i="1"/>
  <c r="E973" i="1"/>
  <c r="F973" i="1"/>
  <c r="K973" i="1"/>
  <c r="M973" i="1"/>
  <c r="N973" i="1"/>
  <c r="D915" i="1"/>
  <c r="E915" i="1"/>
  <c r="F915" i="1"/>
  <c r="K915" i="1"/>
  <c r="M915" i="1"/>
  <c r="N915" i="1"/>
  <c r="D853" i="1"/>
  <c r="E853" i="1"/>
  <c r="F853" i="1"/>
  <c r="K853" i="1"/>
  <c r="M853" i="1"/>
  <c r="N853" i="1"/>
  <c r="D800" i="1"/>
  <c r="E800" i="1"/>
  <c r="F800" i="1"/>
  <c r="K800" i="1"/>
  <c r="M800" i="1"/>
  <c r="N800" i="1"/>
  <c r="D750" i="1"/>
  <c r="E750" i="1"/>
  <c r="F750" i="1"/>
  <c r="K750" i="1"/>
  <c r="M750" i="1"/>
  <c r="N750" i="1"/>
  <c r="D688" i="1"/>
  <c r="E688" i="1"/>
  <c r="F688" i="1"/>
  <c r="K688" i="1"/>
  <c r="M688" i="1"/>
  <c r="N688" i="1"/>
  <c r="D632" i="1"/>
  <c r="E632" i="1"/>
  <c r="F632" i="1"/>
  <c r="K632" i="1"/>
  <c r="M632" i="1"/>
  <c r="N632" i="1"/>
  <c r="D575" i="1"/>
  <c r="E575" i="1"/>
  <c r="F575" i="1"/>
  <c r="K575" i="1"/>
  <c r="M575" i="1"/>
  <c r="N575" i="1"/>
  <c r="D531" i="1"/>
  <c r="E531" i="1"/>
  <c r="F531" i="1"/>
  <c r="K531" i="1"/>
  <c r="M531" i="1"/>
  <c r="N531" i="1"/>
  <c r="D477" i="1"/>
  <c r="E477" i="1"/>
  <c r="F477" i="1"/>
  <c r="K477" i="1"/>
  <c r="M477" i="1"/>
  <c r="N477" i="1"/>
  <c r="D427" i="1"/>
  <c r="E427" i="1"/>
  <c r="F427" i="1"/>
  <c r="K427" i="1"/>
  <c r="M427" i="1"/>
  <c r="N427" i="1"/>
  <c r="D379" i="1"/>
  <c r="E379" i="1"/>
  <c r="F379" i="1"/>
  <c r="K379" i="1"/>
  <c r="M379" i="1"/>
  <c r="N379" i="1"/>
  <c r="D321" i="1"/>
  <c r="E321" i="1"/>
  <c r="F321" i="1"/>
  <c r="K321" i="1"/>
  <c r="M321" i="1"/>
  <c r="N321" i="1"/>
  <c r="D1746" i="1"/>
  <c r="E1746" i="1"/>
  <c r="F1746" i="1"/>
  <c r="K1746" i="1"/>
  <c r="M1746" i="1"/>
  <c r="N1746" i="1"/>
  <c r="D1593" i="1"/>
  <c r="E1593" i="1"/>
  <c r="F1593" i="1"/>
  <c r="K1593" i="1"/>
  <c r="M1593" i="1"/>
  <c r="N1593" i="1"/>
  <c r="D1534" i="1"/>
  <c r="E1534" i="1"/>
  <c r="F1534" i="1"/>
  <c r="K1534" i="1"/>
  <c r="M1534" i="1"/>
  <c r="N1534" i="1"/>
  <c r="D1478" i="1"/>
  <c r="E1478" i="1"/>
  <c r="F1478" i="1"/>
  <c r="K1478" i="1"/>
  <c r="M1478" i="1"/>
  <c r="N1478" i="1"/>
  <c r="D1433" i="1"/>
  <c r="E1433" i="1"/>
  <c r="F1433" i="1"/>
  <c r="K1433" i="1"/>
  <c r="M1433" i="1"/>
  <c r="N1433" i="1"/>
  <c r="D1375" i="1"/>
  <c r="E1375" i="1"/>
  <c r="F1375" i="1"/>
  <c r="K1375" i="1"/>
  <c r="M1375" i="1"/>
  <c r="N1375" i="1"/>
  <c r="D1313" i="1"/>
  <c r="E1313" i="1"/>
  <c r="F1313" i="1"/>
  <c r="K1313" i="1"/>
  <c r="M1313" i="1"/>
  <c r="N1313" i="1"/>
  <c r="D1256" i="1"/>
  <c r="E1256" i="1"/>
  <c r="F1256" i="1"/>
  <c r="K1256" i="1"/>
  <c r="M1256" i="1"/>
  <c r="N1256" i="1"/>
  <c r="D1198" i="1"/>
  <c r="E1198" i="1"/>
  <c r="F1198" i="1"/>
  <c r="K1198" i="1"/>
  <c r="M1198" i="1"/>
  <c r="N1198" i="1"/>
  <c r="D1146" i="1"/>
  <c r="E1146" i="1"/>
  <c r="F1146" i="1"/>
  <c r="K1146" i="1"/>
  <c r="M1146" i="1"/>
  <c r="N1146" i="1"/>
  <c r="D1090" i="1"/>
  <c r="E1090" i="1"/>
  <c r="F1090" i="1"/>
  <c r="K1090" i="1"/>
  <c r="M1090" i="1"/>
  <c r="N1090" i="1"/>
  <c r="D1031" i="1"/>
  <c r="E1031" i="1"/>
  <c r="F1031" i="1"/>
  <c r="K1031" i="1"/>
  <c r="M1031" i="1"/>
  <c r="N1031" i="1"/>
  <c r="D972" i="1"/>
  <c r="E972" i="1"/>
  <c r="F972" i="1"/>
  <c r="K972" i="1"/>
  <c r="M972" i="1"/>
  <c r="N972" i="1"/>
  <c r="D914" i="1"/>
  <c r="E914" i="1"/>
  <c r="F914" i="1"/>
  <c r="K914" i="1"/>
  <c r="M914" i="1"/>
  <c r="N914" i="1"/>
  <c r="D852" i="1"/>
  <c r="E852" i="1"/>
  <c r="F852" i="1"/>
  <c r="K852" i="1"/>
  <c r="M852" i="1"/>
  <c r="N852" i="1"/>
  <c r="D799" i="1"/>
  <c r="E799" i="1"/>
  <c r="F799" i="1"/>
  <c r="K799" i="1"/>
  <c r="M799" i="1"/>
  <c r="N799" i="1"/>
  <c r="D749" i="1"/>
  <c r="E749" i="1"/>
  <c r="F749" i="1"/>
  <c r="K749" i="1"/>
  <c r="M749" i="1"/>
  <c r="N749" i="1"/>
  <c r="D687" i="1"/>
  <c r="E687" i="1"/>
  <c r="F687" i="1"/>
  <c r="K687" i="1"/>
  <c r="M687" i="1"/>
  <c r="N687" i="1"/>
  <c r="D631" i="1"/>
  <c r="E631" i="1"/>
  <c r="F631" i="1"/>
  <c r="K631" i="1"/>
  <c r="M631" i="1"/>
  <c r="N631" i="1"/>
  <c r="D574" i="1"/>
  <c r="E574" i="1"/>
  <c r="F574" i="1"/>
  <c r="K574" i="1"/>
  <c r="M574" i="1"/>
  <c r="N574" i="1"/>
  <c r="D530" i="1"/>
  <c r="E530" i="1"/>
  <c r="F530" i="1"/>
  <c r="K530" i="1"/>
  <c r="M530" i="1"/>
  <c r="N530" i="1"/>
  <c r="D476" i="1"/>
  <c r="E476" i="1"/>
  <c r="F476" i="1"/>
  <c r="K476" i="1"/>
  <c r="M476" i="1"/>
  <c r="N476" i="1"/>
  <c r="D426" i="1"/>
  <c r="E426" i="1"/>
  <c r="F426" i="1"/>
  <c r="K426" i="1"/>
  <c r="M426" i="1"/>
  <c r="N426" i="1"/>
  <c r="D378" i="1"/>
  <c r="E378" i="1"/>
  <c r="F378" i="1"/>
  <c r="K378" i="1"/>
  <c r="M378" i="1"/>
  <c r="N378" i="1"/>
  <c r="D320" i="1"/>
  <c r="E320" i="1"/>
  <c r="F320" i="1"/>
  <c r="K320" i="1"/>
  <c r="M320" i="1"/>
  <c r="N320" i="1"/>
  <c r="D307" i="1"/>
  <c r="E307" i="1"/>
  <c r="F307" i="1"/>
  <c r="K307" i="1"/>
  <c r="M307" i="1"/>
  <c r="N307" i="1"/>
  <c r="D1745" i="1"/>
  <c r="E1745" i="1"/>
  <c r="F1745" i="1"/>
  <c r="K1745" i="1"/>
  <c r="M1745" i="1"/>
  <c r="N1745" i="1"/>
  <c r="D1592" i="1"/>
  <c r="E1592" i="1"/>
  <c r="F1592" i="1"/>
  <c r="K1592" i="1"/>
  <c r="M1592" i="1"/>
  <c r="N1592" i="1"/>
  <c r="D1533" i="1"/>
  <c r="E1533" i="1"/>
  <c r="F1533" i="1"/>
  <c r="K1533" i="1"/>
  <c r="M1533" i="1"/>
  <c r="N1533" i="1"/>
  <c r="D1477" i="1"/>
  <c r="E1477" i="1"/>
  <c r="F1477" i="1"/>
  <c r="K1477" i="1"/>
  <c r="M1477" i="1"/>
  <c r="N1477" i="1"/>
  <c r="D1432" i="1"/>
  <c r="E1432" i="1"/>
  <c r="F1432" i="1"/>
  <c r="K1432" i="1"/>
  <c r="M1432" i="1"/>
  <c r="N1432" i="1"/>
  <c r="D1374" i="1"/>
  <c r="E1374" i="1"/>
  <c r="F1374" i="1"/>
  <c r="K1374" i="1"/>
  <c r="M1374" i="1"/>
  <c r="N1374" i="1"/>
  <c r="D1312" i="1"/>
  <c r="E1312" i="1"/>
  <c r="F1312" i="1"/>
  <c r="K1312" i="1"/>
  <c r="M1312" i="1"/>
  <c r="N1312" i="1"/>
  <c r="D1255" i="1"/>
  <c r="E1255" i="1"/>
  <c r="F1255" i="1"/>
  <c r="K1255" i="1"/>
  <c r="M1255" i="1"/>
  <c r="N1255" i="1"/>
  <c r="D1197" i="1"/>
  <c r="E1197" i="1"/>
  <c r="F1197" i="1"/>
  <c r="K1197" i="1"/>
  <c r="M1197" i="1"/>
  <c r="N1197" i="1"/>
  <c r="D1145" i="1"/>
  <c r="E1145" i="1"/>
  <c r="F1145" i="1"/>
  <c r="K1145" i="1"/>
  <c r="M1145" i="1"/>
  <c r="N1145" i="1"/>
  <c r="D1089" i="1"/>
  <c r="E1089" i="1"/>
  <c r="F1089" i="1"/>
  <c r="K1089" i="1"/>
  <c r="M1089" i="1"/>
  <c r="N1089" i="1"/>
  <c r="D1030" i="1"/>
  <c r="E1030" i="1"/>
  <c r="F1030" i="1"/>
  <c r="K1030" i="1"/>
  <c r="M1030" i="1"/>
  <c r="N1030" i="1"/>
  <c r="D971" i="1"/>
  <c r="E971" i="1"/>
  <c r="F971" i="1"/>
  <c r="K971" i="1"/>
  <c r="M971" i="1"/>
  <c r="N971" i="1"/>
  <c r="D913" i="1"/>
  <c r="E913" i="1"/>
  <c r="F913" i="1"/>
  <c r="K913" i="1"/>
  <c r="M913" i="1"/>
  <c r="N913" i="1"/>
  <c r="D851" i="1"/>
  <c r="E851" i="1"/>
  <c r="F851" i="1"/>
  <c r="K851" i="1"/>
  <c r="M851" i="1"/>
  <c r="N851" i="1"/>
  <c r="D798" i="1"/>
  <c r="E798" i="1"/>
  <c r="F798" i="1"/>
  <c r="K798" i="1"/>
  <c r="M798" i="1"/>
  <c r="N798" i="1"/>
  <c r="D748" i="1"/>
  <c r="E748" i="1"/>
  <c r="F748" i="1"/>
  <c r="K748" i="1"/>
  <c r="M748" i="1"/>
  <c r="N748" i="1"/>
  <c r="D686" i="1"/>
  <c r="E686" i="1"/>
  <c r="F686" i="1"/>
  <c r="K686" i="1"/>
  <c r="M686" i="1"/>
  <c r="N686" i="1"/>
  <c r="D630" i="1"/>
  <c r="E630" i="1"/>
  <c r="F630" i="1"/>
  <c r="K630" i="1"/>
  <c r="M630" i="1"/>
  <c r="N630" i="1"/>
  <c r="D573" i="1"/>
  <c r="E573" i="1"/>
  <c r="F573" i="1"/>
  <c r="K573" i="1"/>
  <c r="M573" i="1"/>
  <c r="N573" i="1"/>
  <c r="D529" i="1"/>
  <c r="E529" i="1"/>
  <c r="F529" i="1"/>
  <c r="K529" i="1"/>
  <c r="M529" i="1"/>
  <c r="N529" i="1"/>
  <c r="D475" i="1"/>
  <c r="E475" i="1"/>
  <c r="F475" i="1"/>
  <c r="K475" i="1"/>
  <c r="M475" i="1"/>
  <c r="N475" i="1"/>
  <c r="D425" i="1"/>
  <c r="E425" i="1"/>
  <c r="F425" i="1"/>
  <c r="K425" i="1"/>
  <c r="M425" i="1"/>
  <c r="N425" i="1"/>
  <c r="D377" i="1"/>
  <c r="E377" i="1"/>
  <c r="F377" i="1"/>
  <c r="K377" i="1"/>
  <c r="M377" i="1"/>
  <c r="N377" i="1"/>
  <c r="D319" i="1"/>
  <c r="E319" i="1"/>
  <c r="F319" i="1"/>
  <c r="K319" i="1"/>
  <c r="M319" i="1"/>
  <c r="N319" i="1"/>
  <c r="D1744" i="1"/>
  <c r="E1744" i="1"/>
  <c r="F1744" i="1"/>
  <c r="K1744" i="1"/>
  <c r="M1744" i="1"/>
  <c r="N1744" i="1"/>
  <c r="D1591" i="1"/>
  <c r="E1591" i="1"/>
  <c r="F1591" i="1"/>
  <c r="K1591" i="1"/>
  <c r="M1591" i="1"/>
  <c r="N1591" i="1"/>
  <c r="D1532" i="1"/>
  <c r="E1532" i="1"/>
  <c r="F1532" i="1"/>
  <c r="K1532" i="1"/>
  <c r="M1532" i="1"/>
  <c r="N1532" i="1"/>
  <c r="D1476" i="1"/>
  <c r="E1476" i="1"/>
  <c r="F1476" i="1"/>
  <c r="K1476" i="1"/>
  <c r="M1476" i="1"/>
  <c r="N1476" i="1"/>
  <c r="D1431" i="1"/>
  <c r="E1431" i="1"/>
  <c r="F1431" i="1"/>
  <c r="K1431" i="1"/>
  <c r="M1431" i="1"/>
  <c r="N1431" i="1"/>
  <c r="D1373" i="1"/>
  <c r="E1373" i="1"/>
  <c r="F1373" i="1"/>
  <c r="K1373" i="1"/>
  <c r="M1373" i="1"/>
  <c r="N1373" i="1"/>
  <c r="D1311" i="1"/>
  <c r="E1311" i="1"/>
  <c r="F1311" i="1"/>
  <c r="K1311" i="1"/>
  <c r="M1311" i="1"/>
  <c r="N1311" i="1"/>
  <c r="D1254" i="1"/>
  <c r="E1254" i="1"/>
  <c r="F1254" i="1"/>
  <c r="K1254" i="1"/>
  <c r="M1254" i="1"/>
  <c r="N1254" i="1"/>
  <c r="D1196" i="1"/>
  <c r="E1196" i="1"/>
  <c r="F1196" i="1"/>
  <c r="K1196" i="1"/>
  <c r="M1196" i="1"/>
  <c r="N1196" i="1"/>
  <c r="D1144" i="1"/>
  <c r="E1144" i="1"/>
  <c r="F1144" i="1"/>
  <c r="K1144" i="1"/>
  <c r="M1144" i="1"/>
  <c r="N1144" i="1"/>
  <c r="D1088" i="1"/>
  <c r="E1088" i="1"/>
  <c r="F1088" i="1"/>
  <c r="K1088" i="1"/>
  <c r="M1088" i="1"/>
  <c r="N1088" i="1"/>
  <c r="D1029" i="1"/>
  <c r="E1029" i="1"/>
  <c r="F1029" i="1"/>
  <c r="K1029" i="1"/>
  <c r="M1029" i="1"/>
  <c r="N1029" i="1"/>
  <c r="D970" i="1"/>
  <c r="E970" i="1"/>
  <c r="F970" i="1"/>
  <c r="K970" i="1"/>
  <c r="M970" i="1"/>
  <c r="N970" i="1"/>
  <c r="D912" i="1"/>
  <c r="E912" i="1"/>
  <c r="F912" i="1"/>
  <c r="K912" i="1"/>
  <c r="M912" i="1"/>
  <c r="N912" i="1"/>
  <c r="D850" i="1"/>
  <c r="E850" i="1"/>
  <c r="F850" i="1"/>
  <c r="K850" i="1"/>
  <c r="M850" i="1"/>
  <c r="N850" i="1"/>
  <c r="D797" i="1"/>
  <c r="E797" i="1"/>
  <c r="F797" i="1"/>
  <c r="K797" i="1"/>
  <c r="M797" i="1"/>
  <c r="N797" i="1"/>
  <c r="D747" i="1"/>
  <c r="E747" i="1"/>
  <c r="F747" i="1"/>
  <c r="K747" i="1"/>
  <c r="M747" i="1"/>
  <c r="N747" i="1"/>
  <c r="D685" i="1"/>
  <c r="E685" i="1"/>
  <c r="F685" i="1"/>
  <c r="K685" i="1"/>
  <c r="M685" i="1"/>
  <c r="N685" i="1"/>
  <c r="D629" i="1"/>
  <c r="E629" i="1"/>
  <c r="F629" i="1"/>
  <c r="K629" i="1"/>
  <c r="M629" i="1"/>
  <c r="N629" i="1"/>
  <c r="D572" i="1"/>
  <c r="E572" i="1"/>
  <c r="F572" i="1"/>
  <c r="K572" i="1"/>
  <c r="M572" i="1"/>
  <c r="N572" i="1"/>
  <c r="D528" i="1"/>
  <c r="E528" i="1"/>
  <c r="F528" i="1"/>
  <c r="K528" i="1"/>
  <c r="M528" i="1"/>
  <c r="N528" i="1"/>
  <c r="D474" i="1"/>
  <c r="E474" i="1"/>
  <c r="F474" i="1"/>
  <c r="K474" i="1"/>
  <c r="M474" i="1"/>
  <c r="N474" i="1"/>
  <c r="D424" i="1"/>
  <c r="E424" i="1"/>
  <c r="F424" i="1"/>
  <c r="K424" i="1"/>
  <c r="M424" i="1"/>
  <c r="N424" i="1"/>
  <c r="D376" i="1"/>
  <c r="E376" i="1"/>
  <c r="F376" i="1"/>
  <c r="K376" i="1"/>
  <c r="M376" i="1"/>
  <c r="N376" i="1"/>
  <c r="D318" i="1"/>
  <c r="E318" i="1"/>
  <c r="F318" i="1"/>
  <c r="K318" i="1"/>
  <c r="M318" i="1"/>
  <c r="N318" i="1"/>
  <c r="D96" i="1"/>
  <c r="E96" i="1"/>
  <c r="F96" i="1"/>
  <c r="K96" i="1"/>
  <c r="M96" i="1"/>
  <c r="N96" i="1"/>
  <c r="D244" i="1"/>
  <c r="E244" i="1"/>
  <c r="F244" i="1"/>
  <c r="K244" i="1"/>
  <c r="M244" i="1"/>
  <c r="N244" i="1"/>
  <c r="D154" i="1"/>
  <c r="E154" i="1"/>
  <c r="F154" i="1"/>
  <c r="K154" i="1"/>
  <c r="M154" i="1"/>
  <c r="N154" i="1"/>
  <c r="D49" i="1"/>
  <c r="E49" i="1"/>
  <c r="F49" i="1"/>
  <c r="K49" i="1"/>
  <c r="M49" i="1"/>
  <c r="N49" i="1"/>
  <c r="D243" i="1"/>
  <c r="E243" i="1"/>
  <c r="F243" i="1"/>
  <c r="K243" i="1"/>
  <c r="M243" i="1"/>
  <c r="N243" i="1"/>
  <c r="D242" i="1"/>
  <c r="E242" i="1"/>
  <c r="F242" i="1"/>
  <c r="K242" i="1"/>
  <c r="M242" i="1"/>
  <c r="N242" i="1"/>
  <c r="D152" i="1"/>
  <c r="E152" i="1"/>
  <c r="F152" i="1"/>
  <c r="K152" i="1"/>
  <c r="M152" i="1"/>
  <c r="N152" i="1"/>
  <c r="D109" i="1"/>
  <c r="E109" i="1"/>
  <c r="F109" i="1"/>
  <c r="K109" i="1"/>
  <c r="M109" i="1"/>
  <c r="N109" i="1"/>
  <c r="D46" i="1"/>
  <c r="E46" i="1"/>
  <c r="F46" i="1"/>
  <c r="K46" i="1"/>
  <c r="M46" i="1"/>
  <c r="N46" i="1"/>
  <c r="D29" i="1"/>
  <c r="E29" i="1"/>
  <c r="F29" i="1"/>
  <c r="K29" i="1"/>
  <c r="M29" i="1"/>
  <c r="N29" i="1"/>
  <c r="D67" i="1"/>
  <c r="E67" i="1"/>
  <c r="F67" i="1"/>
  <c r="K67" i="1"/>
  <c r="M67" i="1"/>
  <c r="N67" i="1"/>
  <c r="D51" i="1"/>
  <c r="E51" i="1"/>
  <c r="F51" i="1"/>
  <c r="K51" i="1"/>
  <c r="M51" i="1"/>
  <c r="N51" i="1"/>
  <c r="D31" i="1"/>
  <c r="E31" i="1"/>
  <c r="F31" i="1"/>
  <c r="K31" i="1"/>
  <c r="M31" i="1"/>
  <c r="N31" i="1"/>
  <c r="D14" i="1"/>
  <c r="E14" i="1"/>
  <c r="F14" i="1"/>
  <c r="K14" i="1"/>
  <c r="M14" i="1"/>
  <c r="N14" i="1"/>
  <c r="D1754" i="1"/>
  <c r="E1754" i="1"/>
  <c r="F1754" i="1"/>
  <c r="K1754" i="1"/>
  <c r="M1754" i="1"/>
  <c r="N1754" i="1"/>
  <c r="D1602" i="1"/>
  <c r="E1602" i="1"/>
  <c r="F1602" i="1"/>
  <c r="K1602" i="1"/>
  <c r="M1602" i="1"/>
  <c r="N1602" i="1"/>
  <c r="D1542" i="1"/>
  <c r="E1542" i="1"/>
  <c r="F1542" i="1"/>
  <c r="K1542" i="1"/>
  <c r="M1542" i="1"/>
  <c r="N1542" i="1"/>
  <c r="D1486" i="1"/>
  <c r="E1486" i="1"/>
  <c r="F1486" i="1"/>
  <c r="K1486" i="1"/>
  <c r="M1486" i="1"/>
  <c r="N1486" i="1"/>
  <c r="D1440" i="1"/>
  <c r="E1440" i="1"/>
  <c r="F1440" i="1"/>
  <c r="K1440" i="1"/>
  <c r="M1440" i="1"/>
  <c r="N1440" i="1"/>
  <c r="D1384" i="1"/>
  <c r="E1384" i="1"/>
  <c r="F1384" i="1"/>
  <c r="K1384" i="1"/>
  <c r="M1384" i="1"/>
  <c r="N1384" i="1"/>
  <c r="D1321" i="1"/>
  <c r="E1321" i="1"/>
  <c r="F1321" i="1"/>
  <c r="K1321" i="1"/>
  <c r="M1321" i="1"/>
  <c r="N1321" i="1"/>
  <c r="D1264" i="1"/>
  <c r="E1264" i="1"/>
  <c r="F1264" i="1"/>
  <c r="K1264" i="1"/>
  <c r="M1264" i="1"/>
  <c r="N1264" i="1"/>
  <c r="D1206" i="1"/>
  <c r="E1206" i="1"/>
  <c r="F1206" i="1"/>
  <c r="K1206" i="1"/>
  <c r="M1206" i="1"/>
  <c r="N1206" i="1"/>
  <c r="D1153" i="1"/>
  <c r="E1153" i="1"/>
  <c r="F1153" i="1"/>
  <c r="K1153" i="1"/>
  <c r="M1153" i="1"/>
  <c r="N1153" i="1"/>
  <c r="D1098" i="1"/>
  <c r="E1098" i="1"/>
  <c r="F1098" i="1"/>
  <c r="K1098" i="1"/>
  <c r="M1098" i="1"/>
  <c r="N1098" i="1"/>
  <c r="D1040" i="1"/>
  <c r="E1040" i="1"/>
  <c r="F1040" i="1"/>
  <c r="K1040" i="1"/>
  <c r="M1040" i="1"/>
  <c r="N1040" i="1"/>
  <c r="D979" i="1"/>
  <c r="E979" i="1"/>
  <c r="F979" i="1"/>
  <c r="K979" i="1"/>
  <c r="M979" i="1"/>
  <c r="N979" i="1"/>
  <c r="D923" i="1"/>
  <c r="E923" i="1"/>
  <c r="F923" i="1"/>
  <c r="K923" i="1"/>
  <c r="M923" i="1"/>
  <c r="N923" i="1"/>
  <c r="D860" i="1"/>
  <c r="E860" i="1"/>
  <c r="F860" i="1"/>
  <c r="K860" i="1"/>
  <c r="M860" i="1"/>
  <c r="N860" i="1"/>
  <c r="D806" i="1"/>
  <c r="E806" i="1"/>
  <c r="F806" i="1"/>
  <c r="K806" i="1"/>
  <c r="M806" i="1"/>
  <c r="N806" i="1"/>
  <c r="D758" i="1"/>
  <c r="E758" i="1"/>
  <c r="F758" i="1"/>
  <c r="K758" i="1"/>
  <c r="M758" i="1"/>
  <c r="N758" i="1"/>
  <c r="D695" i="1"/>
  <c r="E695" i="1"/>
  <c r="F695" i="1"/>
  <c r="K695" i="1"/>
  <c r="M695" i="1"/>
  <c r="N695" i="1"/>
  <c r="D639" i="1"/>
  <c r="E639" i="1"/>
  <c r="F639" i="1"/>
  <c r="K639" i="1"/>
  <c r="M639" i="1"/>
  <c r="N639" i="1"/>
  <c r="D582" i="1"/>
  <c r="E582" i="1"/>
  <c r="F582" i="1"/>
  <c r="K582" i="1"/>
  <c r="M582" i="1"/>
  <c r="N582" i="1"/>
  <c r="D484" i="1"/>
  <c r="E484" i="1"/>
  <c r="F484" i="1"/>
  <c r="K484" i="1"/>
  <c r="M484" i="1"/>
  <c r="N484" i="1"/>
  <c r="D433" i="1"/>
  <c r="E433" i="1"/>
  <c r="F433" i="1"/>
  <c r="K433" i="1"/>
  <c r="M433" i="1"/>
  <c r="N433" i="1"/>
  <c r="D386" i="1"/>
  <c r="E386" i="1"/>
  <c r="F386" i="1"/>
  <c r="K386" i="1"/>
  <c r="M386" i="1"/>
  <c r="N386" i="1"/>
  <c r="D329" i="1"/>
  <c r="E329" i="1"/>
  <c r="F329" i="1"/>
  <c r="K329" i="1"/>
  <c r="M329" i="1"/>
  <c r="N329" i="1"/>
  <c r="D281" i="1"/>
  <c r="E281" i="1"/>
  <c r="F281" i="1"/>
  <c r="K281" i="1"/>
  <c r="M281" i="1"/>
  <c r="N281" i="1"/>
  <c r="D266" i="1"/>
  <c r="E266" i="1"/>
  <c r="F266" i="1"/>
  <c r="K266" i="1"/>
  <c r="M266" i="1"/>
  <c r="N266" i="1"/>
  <c r="D254" i="1"/>
  <c r="E254" i="1"/>
  <c r="F254" i="1"/>
  <c r="K254" i="1"/>
  <c r="M254" i="1"/>
  <c r="N254" i="1"/>
  <c r="D240" i="1"/>
  <c r="E240" i="1"/>
  <c r="F240" i="1"/>
  <c r="K240" i="1"/>
  <c r="M240" i="1"/>
  <c r="N240" i="1"/>
  <c r="D220" i="1"/>
  <c r="E220" i="1"/>
  <c r="F220" i="1"/>
  <c r="K220" i="1"/>
  <c r="M220" i="1"/>
  <c r="N220" i="1"/>
  <c r="D206" i="1"/>
  <c r="E206" i="1"/>
  <c r="F206" i="1"/>
  <c r="K206" i="1"/>
  <c r="M206" i="1"/>
  <c r="N206" i="1"/>
  <c r="D189" i="1"/>
  <c r="E189" i="1"/>
  <c r="F189" i="1"/>
  <c r="K189" i="1"/>
  <c r="M189" i="1"/>
  <c r="N189" i="1"/>
  <c r="D178" i="1"/>
  <c r="E178" i="1"/>
  <c r="F178" i="1"/>
  <c r="K178" i="1"/>
  <c r="M178" i="1"/>
  <c r="N178" i="1"/>
  <c r="D164" i="1"/>
  <c r="E164" i="1"/>
  <c r="F164" i="1"/>
  <c r="K164" i="1"/>
  <c r="M164" i="1"/>
  <c r="N164" i="1"/>
  <c r="D145" i="1"/>
  <c r="E145" i="1"/>
  <c r="F145" i="1"/>
  <c r="K145" i="1"/>
  <c r="M145" i="1"/>
  <c r="N145" i="1"/>
  <c r="D132" i="1"/>
  <c r="E132" i="1"/>
  <c r="F132" i="1"/>
  <c r="K132" i="1"/>
  <c r="M132" i="1"/>
  <c r="N132" i="1"/>
  <c r="D119" i="1"/>
  <c r="E119" i="1"/>
  <c r="F119" i="1"/>
  <c r="K119" i="1"/>
  <c r="M119" i="1"/>
  <c r="N119" i="1"/>
  <c r="D106" i="1"/>
  <c r="E106" i="1"/>
  <c r="F106" i="1"/>
  <c r="K106" i="1"/>
  <c r="M106" i="1"/>
  <c r="N106" i="1"/>
  <c r="D92" i="1"/>
  <c r="E92" i="1"/>
  <c r="F92" i="1"/>
  <c r="K92" i="1"/>
  <c r="M92" i="1"/>
  <c r="N92" i="1"/>
  <c r="D77" i="1"/>
  <c r="E77" i="1"/>
  <c r="F77" i="1"/>
  <c r="K77" i="1"/>
  <c r="M77" i="1"/>
  <c r="N77" i="1"/>
  <c r="D61" i="1"/>
  <c r="E61" i="1"/>
  <c r="F61" i="1"/>
  <c r="K61" i="1"/>
  <c r="M61" i="1"/>
  <c r="N61" i="1"/>
  <c r="D41" i="1"/>
  <c r="E41" i="1"/>
  <c r="F41" i="1"/>
  <c r="K41" i="1"/>
  <c r="M41" i="1"/>
  <c r="N41" i="1"/>
  <c r="D24" i="1"/>
  <c r="E24" i="1"/>
  <c r="F24" i="1"/>
  <c r="K24" i="1"/>
  <c r="M24" i="1"/>
  <c r="N24" i="1"/>
  <c r="D11" i="1"/>
  <c r="E11" i="1"/>
  <c r="F11" i="1"/>
  <c r="K11" i="1"/>
  <c r="M11" i="1"/>
  <c r="N11" i="1"/>
  <c r="D1943" i="1"/>
  <c r="E1943" i="1"/>
  <c r="F1943" i="1"/>
  <c r="K1943" i="1"/>
  <c r="M1943" i="1"/>
  <c r="N1943" i="1"/>
  <c r="D1919" i="1"/>
  <c r="E1919" i="1"/>
  <c r="F1919" i="1"/>
  <c r="K1919" i="1"/>
  <c r="M1919" i="1"/>
  <c r="N1919" i="1"/>
  <c r="D256" i="1"/>
  <c r="E256" i="1"/>
  <c r="F256" i="1"/>
  <c r="K256" i="1"/>
  <c r="M256" i="1"/>
  <c r="N256" i="1"/>
  <c r="D82" i="1"/>
  <c r="E82" i="1"/>
  <c r="F82" i="1"/>
  <c r="K82" i="1"/>
  <c r="M82" i="1"/>
  <c r="N82" i="1"/>
  <c r="D66" i="1"/>
  <c r="E66" i="1"/>
  <c r="F66" i="1"/>
  <c r="K66" i="1"/>
  <c r="M66" i="1"/>
  <c r="N66" i="1"/>
  <c r="D50" i="1"/>
  <c r="E50" i="1"/>
  <c r="F50" i="1"/>
  <c r="K50" i="1"/>
  <c r="M50" i="1"/>
  <c r="N50" i="1"/>
  <c r="D30" i="1"/>
  <c r="E30" i="1"/>
  <c r="F30" i="1"/>
  <c r="K30" i="1"/>
  <c r="M30" i="1"/>
  <c r="N30" i="1"/>
  <c r="D2" i="1"/>
  <c r="E2" i="1"/>
  <c r="F2" i="1"/>
  <c r="K2" i="1"/>
  <c r="M2" i="1"/>
  <c r="N2" i="1"/>
  <c r="D12" i="1"/>
  <c r="E12" i="1"/>
  <c r="F12" i="1"/>
  <c r="K12" i="1"/>
  <c r="M12" i="1"/>
  <c r="N12" i="1"/>
  <c r="D1957" i="1"/>
  <c r="E1957" i="1"/>
  <c r="F1957" i="1"/>
  <c r="K1957" i="1"/>
  <c r="M1957" i="1"/>
  <c r="N1957" i="1"/>
  <c r="D1945" i="1"/>
  <c r="E1945" i="1"/>
  <c r="F1945" i="1"/>
  <c r="K1945" i="1"/>
  <c r="M1945" i="1"/>
  <c r="N1945" i="1"/>
  <c r="D1921" i="1"/>
  <c r="E1921" i="1"/>
  <c r="F1921" i="1"/>
  <c r="K1921" i="1"/>
  <c r="M1921" i="1"/>
  <c r="N1921" i="1"/>
  <c r="D1913" i="1"/>
  <c r="E1913" i="1"/>
  <c r="F1913" i="1"/>
  <c r="K1913" i="1"/>
  <c r="M1913" i="1"/>
  <c r="N1913" i="1"/>
  <c r="D1904" i="1"/>
  <c r="E1904" i="1"/>
  <c r="F1904" i="1"/>
  <c r="K1904" i="1"/>
  <c r="M1904" i="1"/>
  <c r="N1904" i="1"/>
  <c r="D1895" i="1"/>
  <c r="E1895" i="1"/>
  <c r="F1895" i="1"/>
  <c r="K1895" i="1"/>
  <c r="M1895" i="1"/>
  <c r="N1895" i="1"/>
  <c r="D1886" i="1"/>
  <c r="E1886" i="1"/>
  <c r="F1886" i="1"/>
  <c r="K1886" i="1"/>
  <c r="M1886" i="1"/>
  <c r="N1886" i="1"/>
  <c r="D1877" i="1"/>
  <c r="E1877" i="1"/>
  <c r="F1877" i="1"/>
  <c r="K1877" i="1"/>
  <c r="M1877" i="1"/>
  <c r="N1877" i="1"/>
  <c r="D1868" i="1"/>
  <c r="E1868" i="1"/>
  <c r="F1868" i="1"/>
  <c r="K1868" i="1"/>
  <c r="M1868" i="1"/>
  <c r="N1868" i="1"/>
  <c r="D1859" i="1"/>
  <c r="E1859" i="1"/>
  <c r="F1859" i="1"/>
  <c r="K1859" i="1"/>
  <c r="M1859" i="1"/>
  <c r="N1859" i="1"/>
  <c r="D1850" i="1"/>
  <c r="E1850" i="1"/>
  <c r="F1850" i="1"/>
  <c r="K1850" i="1"/>
  <c r="M1850" i="1"/>
  <c r="N1850" i="1"/>
  <c r="D1841" i="1"/>
  <c r="E1841" i="1"/>
  <c r="F1841" i="1"/>
  <c r="K1841" i="1"/>
  <c r="M1841" i="1"/>
  <c r="N1841" i="1"/>
  <c r="D1832" i="1"/>
  <c r="E1832" i="1"/>
  <c r="F1832" i="1"/>
  <c r="K1832" i="1"/>
  <c r="M1832" i="1"/>
  <c r="N1832" i="1"/>
  <c r="D1823" i="1"/>
  <c r="E1823" i="1"/>
  <c r="F1823" i="1"/>
  <c r="K1823" i="1"/>
  <c r="M1823" i="1"/>
  <c r="N1823" i="1"/>
  <c r="D1814" i="1"/>
  <c r="E1814" i="1"/>
  <c r="F1814" i="1"/>
  <c r="K1814" i="1"/>
  <c r="M1814" i="1"/>
  <c r="N1814" i="1"/>
  <c r="D1805" i="1"/>
  <c r="E1805" i="1"/>
  <c r="F1805" i="1"/>
  <c r="K1805" i="1"/>
  <c r="M1805" i="1"/>
  <c r="N1805" i="1"/>
  <c r="D1709" i="1"/>
  <c r="E1709" i="1"/>
  <c r="F1709" i="1"/>
  <c r="K1709" i="1"/>
  <c r="M1709" i="1"/>
  <c r="N1709" i="1"/>
  <c r="D1700" i="1"/>
  <c r="E1700" i="1"/>
  <c r="F1700" i="1"/>
  <c r="K1700" i="1"/>
  <c r="M1700" i="1"/>
  <c r="N1700" i="1"/>
  <c r="D1691" i="1"/>
  <c r="E1691" i="1"/>
  <c r="F1691" i="1"/>
  <c r="K1691" i="1"/>
  <c r="M1691" i="1"/>
  <c r="N1691" i="1"/>
  <c r="D1682" i="1"/>
  <c r="E1682" i="1"/>
  <c r="F1682" i="1"/>
  <c r="K1682" i="1"/>
  <c r="M1682" i="1"/>
  <c r="N1682" i="1"/>
  <c r="D1673" i="1"/>
  <c r="E1673" i="1"/>
  <c r="F1673" i="1"/>
  <c r="K1673" i="1"/>
  <c r="M1673" i="1"/>
  <c r="N1673" i="1"/>
  <c r="D1664" i="1"/>
  <c r="E1664" i="1"/>
  <c r="F1664" i="1"/>
  <c r="K1664" i="1"/>
  <c r="M1664" i="1"/>
  <c r="N1664" i="1"/>
  <c r="D1655" i="1"/>
  <c r="E1655" i="1"/>
  <c r="F1655" i="1"/>
  <c r="K1655" i="1"/>
  <c r="M1655" i="1"/>
  <c r="N1655" i="1"/>
  <c r="D1646" i="1"/>
  <c r="E1646" i="1"/>
  <c r="F1646" i="1"/>
  <c r="K1646" i="1"/>
  <c r="M1646" i="1"/>
  <c r="N1646" i="1"/>
  <c r="D1637" i="1"/>
  <c r="E1637" i="1"/>
  <c r="F1637" i="1"/>
  <c r="K1637" i="1"/>
  <c r="M1637" i="1"/>
  <c r="N1637" i="1"/>
  <c r="D1628" i="1"/>
  <c r="E1628" i="1"/>
  <c r="F1628" i="1"/>
  <c r="K1628" i="1"/>
  <c r="M1628" i="1"/>
  <c r="N1628" i="1"/>
  <c r="D1619" i="1"/>
  <c r="E1619" i="1"/>
  <c r="F1619" i="1"/>
  <c r="K1619" i="1"/>
  <c r="M1619" i="1"/>
  <c r="N1619" i="1"/>
  <c r="D1399" i="1"/>
  <c r="E1399" i="1"/>
  <c r="F1399" i="1"/>
  <c r="K1399" i="1"/>
  <c r="M1399" i="1"/>
  <c r="N1399" i="1"/>
  <c r="D1274" i="1"/>
  <c r="E1274" i="1"/>
  <c r="F1274" i="1"/>
  <c r="K1274" i="1"/>
  <c r="M1274" i="1"/>
  <c r="N1274" i="1"/>
  <c r="D1216" i="1"/>
  <c r="E1216" i="1"/>
  <c r="F1216" i="1"/>
  <c r="K1216" i="1"/>
  <c r="M1216" i="1"/>
  <c r="N1216" i="1"/>
  <c r="D1112" i="1"/>
  <c r="E1112" i="1"/>
  <c r="F1112" i="1"/>
  <c r="K1112" i="1"/>
  <c r="M1112" i="1"/>
  <c r="N1112" i="1"/>
  <c r="D938" i="1"/>
  <c r="E938" i="1"/>
  <c r="F938" i="1"/>
  <c r="K938" i="1"/>
  <c r="M938" i="1"/>
  <c r="N938" i="1"/>
  <c r="D817" i="1"/>
  <c r="E817" i="1"/>
  <c r="F817" i="1"/>
  <c r="K817" i="1"/>
  <c r="M817" i="1"/>
  <c r="N817" i="1"/>
  <c r="D283" i="1"/>
  <c r="E283" i="1"/>
  <c r="F283" i="1"/>
  <c r="K283" i="1"/>
  <c r="M283" i="1"/>
  <c r="N283" i="1"/>
  <c r="D208" i="1"/>
  <c r="E208" i="1"/>
  <c r="F208" i="1"/>
  <c r="K208" i="1"/>
  <c r="M208" i="1"/>
  <c r="N208" i="1"/>
  <c r="D191" i="1"/>
  <c r="E191" i="1"/>
  <c r="F191" i="1"/>
  <c r="K191" i="1"/>
  <c r="M191" i="1"/>
  <c r="N191" i="1"/>
  <c r="D166" i="1"/>
  <c r="E166" i="1"/>
  <c r="F166" i="1"/>
  <c r="K166" i="1"/>
  <c r="M166" i="1"/>
  <c r="N166" i="1"/>
  <c r="D134" i="1"/>
  <c r="E134" i="1"/>
  <c r="F134" i="1"/>
  <c r="K134" i="1"/>
  <c r="M134" i="1"/>
  <c r="N134" i="1"/>
  <c r="D121" i="1"/>
  <c r="E121" i="1"/>
  <c r="F121" i="1"/>
  <c r="K121" i="1"/>
  <c r="M121" i="1"/>
  <c r="N121" i="1"/>
  <c r="D94" i="1"/>
  <c r="E94" i="1"/>
  <c r="F94" i="1"/>
  <c r="K94" i="1"/>
  <c r="M94" i="1"/>
  <c r="N94" i="1"/>
  <c r="D79" i="1"/>
  <c r="E79" i="1"/>
  <c r="F79" i="1"/>
  <c r="K79" i="1"/>
  <c r="M79" i="1"/>
  <c r="N79" i="1"/>
  <c r="D63" i="1"/>
  <c r="E63" i="1"/>
  <c r="F63" i="1"/>
  <c r="K63" i="1"/>
  <c r="M63" i="1"/>
  <c r="N63" i="1"/>
  <c r="D43" i="1"/>
  <c r="E43" i="1"/>
  <c r="F43" i="1"/>
  <c r="K43" i="1"/>
  <c r="M43" i="1"/>
  <c r="N43" i="1"/>
  <c r="D26" i="1"/>
  <c r="E26" i="1"/>
  <c r="F26" i="1"/>
  <c r="K26" i="1"/>
  <c r="M26" i="1"/>
  <c r="N26" i="1"/>
  <c r="D5" i="1"/>
  <c r="E5" i="1"/>
  <c r="F5" i="1"/>
  <c r="K5" i="1"/>
  <c r="M5" i="1"/>
  <c r="N5" i="1"/>
  <c r="D1749" i="1"/>
  <c r="E1749" i="1"/>
  <c r="F1749" i="1"/>
  <c r="K1749" i="1"/>
  <c r="M1749" i="1"/>
  <c r="N1749" i="1"/>
  <c r="D1596" i="1"/>
  <c r="E1596" i="1"/>
  <c r="F1596" i="1"/>
  <c r="K1596" i="1"/>
  <c r="M1596" i="1"/>
  <c r="N1596" i="1"/>
  <c r="D1537" i="1"/>
  <c r="E1537" i="1"/>
  <c r="F1537" i="1"/>
  <c r="K1537" i="1"/>
  <c r="M1537" i="1"/>
  <c r="N1537" i="1"/>
  <c r="D1481" i="1"/>
  <c r="E1481" i="1"/>
  <c r="F1481" i="1"/>
  <c r="K1481" i="1"/>
  <c r="M1481" i="1"/>
  <c r="N1481" i="1"/>
  <c r="D1436" i="1"/>
  <c r="E1436" i="1"/>
  <c r="F1436" i="1"/>
  <c r="K1436" i="1"/>
  <c r="M1436" i="1"/>
  <c r="N1436" i="1"/>
  <c r="D1378" i="1"/>
  <c r="E1378" i="1"/>
  <c r="F1378" i="1"/>
  <c r="K1378" i="1"/>
  <c r="M1378" i="1"/>
  <c r="N1378" i="1"/>
  <c r="D1316" i="1"/>
  <c r="E1316" i="1"/>
  <c r="F1316" i="1"/>
  <c r="K1316" i="1"/>
  <c r="M1316" i="1"/>
  <c r="N1316" i="1"/>
  <c r="D1259" i="1"/>
  <c r="E1259" i="1"/>
  <c r="F1259" i="1"/>
  <c r="K1259" i="1"/>
  <c r="M1259" i="1"/>
  <c r="N1259" i="1"/>
  <c r="D1201" i="1"/>
  <c r="E1201" i="1"/>
  <c r="F1201" i="1"/>
  <c r="K1201" i="1"/>
  <c r="M1201" i="1"/>
  <c r="N1201" i="1"/>
  <c r="D1149" i="1"/>
  <c r="E1149" i="1"/>
  <c r="F1149" i="1"/>
  <c r="K1149" i="1"/>
  <c r="M1149" i="1"/>
  <c r="N1149" i="1"/>
  <c r="D1093" i="1"/>
  <c r="E1093" i="1"/>
  <c r="F1093" i="1"/>
  <c r="K1093" i="1"/>
  <c r="M1093" i="1"/>
  <c r="N1093" i="1"/>
  <c r="D1034" i="1"/>
  <c r="E1034" i="1"/>
  <c r="F1034" i="1"/>
  <c r="K1034" i="1"/>
  <c r="M1034" i="1"/>
  <c r="N1034" i="1"/>
  <c r="D975" i="1"/>
  <c r="E975" i="1"/>
  <c r="F975" i="1"/>
  <c r="K975" i="1"/>
  <c r="M975" i="1"/>
  <c r="N975" i="1"/>
  <c r="D917" i="1"/>
  <c r="E917" i="1"/>
  <c r="F917" i="1"/>
  <c r="K917" i="1"/>
  <c r="M917" i="1"/>
  <c r="N917" i="1"/>
  <c r="D855" i="1"/>
  <c r="E855" i="1"/>
  <c r="F855" i="1"/>
  <c r="K855" i="1"/>
  <c r="M855" i="1"/>
  <c r="N855" i="1"/>
  <c r="D802" i="1"/>
  <c r="E802" i="1"/>
  <c r="F802" i="1"/>
  <c r="K802" i="1"/>
  <c r="M802" i="1"/>
  <c r="N802" i="1"/>
  <c r="D752" i="1"/>
  <c r="E752" i="1"/>
  <c r="F752" i="1"/>
  <c r="K752" i="1"/>
  <c r="M752" i="1"/>
  <c r="N752" i="1"/>
  <c r="D690" i="1"/>
  <c r="E690" i="1"/>
  <c r="F690" i="1"/>
  <c r="K690" i="1"/>
  <c r="M690" i="1"/>
  <c r="N690" i="1"/>
  <c r="D634" i="1"/>
  <c r="E634" i="1"/>
  <c r="F634" i="1"/>
  <c r="K634" i="1"/>
  <c r="M634" i="1"/>
  <c r="N634" i="1"/>
  <c r="D577" i="1"/>
  <c r="E577" i="1"/>
  <c r="F577" i="1"/>
  <c r="K577" i="1"/>
  <c r="M577" i="1"/>
  <c r="N577" i="1"/>
  <c r="D479" i="1"/>
  <c r="E479" i="1"/>
  <c r="F479" i="1"/>
  <c r="K479" i="1"/>
  <c r="M479" i="1"/>
  <c r="N479" i="1"/>
  <c r="D429" i="1"/>
  <c r="E429" i="1"/>
  <c r="F429" i="1"/>
  <c r="K429" i="1"/>
  <c r="M429" i="1"/>
  <c r="N429" i="1"/>
  <c r="D381" i="1"/>
  <c r="E381" i="1"/>
  <c r="F381" i="1"/>
  <c r="K381" i="1"/>
  <c r="M381" i="1"/>
  <c r="N381" i="1"/>
  <c r="D323" i="1"/>
  <c r="E323" i="1"/>
  <c r="F323" i="1"/>
  <c r="K323" i="1"/>
  <c r="M323" i="1"/>
  <c r="N323" i="1"/>
  <c r="D276" i="1"/>
  <c r="E276" i="1"/>
  <c r="F276" i="1"/>
  <c r="K276" i="1"/>
  <c r="M276" i="1"/>
  <c r="N276" i="1"/>
  <c r="D261" i="1"/>
  <c r="E261" i="1"/>
  <c r="F261" i="1"/>
  <c r="K261" i="1"/>
  <c r="M261" i="1"/>
  <c r="N261" i="1"/>
  <c r="D249" i="1"/>
  <c r="E249" i="1"/>
  <c r="F249" i="1"/>
  <c r="K249" i="1"/>
  <c r="M249" i="1"/>
  <c r="N249" i="1"/>
  <c r="D235" i="1"/>
  <c r="E235" i="1"/>
  <c r="F235" i="1"/>
  <c r="K235" i="1"/>
  <c r="M235" i="1"/>
  <c r="N235" i="1"/>
  <c r="D215" i="1"/>
  <c r="E215" i="1"/>
  <c r="F215" i="1"/>
  <c r="K215" i="1"/>
  <c r="M215" i="1"/>
  <c r="N215" i="1"/>
  <c r="D201" i="1"/>
  <c r="E201" i="1"/>
  <c r="F201" i="1"/>
  <c r="K201" i="1"/>
  <c r="M201" i="1"/>
  <c r="N201" i="1"/>
  <c r="D184" i="1"/>
  <c r="E184" i="1"/>
  <c r="F184" i="1"/>
  <c r="K184" i="1"/>
  <c r="M184" i="1"/>
  <c r="N184" i="1"/>
  <c r="D173" i="1"/>
  <c r="E173" i="1"/>
  <c r="F173" i="1"/>
  <c r="K173" i="1"/>
  <c r="M173" i="1"/>
  <c r="N173" i="1"/>
  <c r="D159" i="1"/>
  <c r="E159" i="1"/>
  <c r="F159" i="1"/>
  <c r="K159" i="1"/>
  <c r="M159" i="1"/>
  <c r="N159" i="1"/>
  <c r="D140" i="1"/>
  <c r="E140" i="1"/>
  <c r="F140" i="1"/>
  <c r="K140" i="1"/>
  <c r="M140" i="1"/>
  <c r="N140" i="1"/>
  <c r="D127" i="1"/>
  <c r="E127" i="1"/>
  <c r="F127" i="1"/>
  <c r="K127" i="1"/>
  <c r="M127" i="1"/>
  <c r="N127" i="1"/>
  <c r="D114" i="1"/>
  <c r="E114" i="1"/>
  <c r="F114" i="1"/>
  <c r="K114" i="1"/>
  <c r="M114" i="1"/>
  <c r="N114" i="1"/>
  <c r="D101" i="1"/>
  <c r="E101" i="1"/>
  <c r="F101" i="1"/>
  <c r="K101" i="1"/>
  <c r="M101" i="1"/>
  <c r="N101" i="1"/>
  <c r="D87" i="1"/>
  <c r="E87" i="1"/>
  <c r="F87" i="1"/>
  <c r="K87" i="1"/>
  <c r="M87" i="1"/>
  <c r="N87" i="1"/>
  <c r="D72" i="1"/>
  <c r="E72" i="1"/>
  <c r="F72" i="1"/>
  <c r="K72" i="1"/>
  <c r="M72" i="1"/>
  <c r="N72" i="1"/>
  <c r="D56" i="1"/>
  <c r="E56" i="1"/>
  <c r="F56" i="1"/>
  <c r="K56" i="1"/>
  <c r="M56" i="1"/>
  <c r="N56" i="1"/>
  <c r="D36" i="1"/>
  <c r="E36" i="1"/>
  <c r="F36" i="1"/>
  <c r="K36" i="1"/>
  <c r="M36" i="1"/>
  <c r="N36" i="1"/>
  <c r="D19" i="1"/>
  <c r="E19" i="1"/>
  <c r="F19" i="1"/>
  <c r="K19" i="1"/>
  <c r="M19" i="1"/>
  <c r="N19" i="1"/>
  <c r="D7" i="1"/>
  <c r="E7" i="1"/>
  <c r="F7" i="1"/>
  <c r="K7" i="1"/>
  <c r="M7" i="1"/>
  <c r="N7" i="1"/>
  <c r="D1748" i="1"/>
  <c r="E1748" i="1"/>
  <c r="F1748" i="1"/>
  <c r="K1748" i="1"/>
  <c r="M1748" i="1"/>
  <c r="N1748" i="1"/>
  <c r="D1595" i="1"/>
  <c r="E1595" i="1"/>
  <c r="F1595" i="1"/>
  <c r="K1595" i="1"/>
  <c r="M1595" i="1"/>
  <c r="N1595" i="1"/>
  <c r="D1536" i="1"/>
  <c r="E1536" i="1"/>
  <c r="F1536" i="1"/>
  <c r="K1536" i="1"/>
  <c r="M1536" i="1"/>
  <c r="N1536" i="1"/>
  <c r="D1480" i="1"/>
  <c r="E1480" i="1"/>
  <c r="F1480" i="1"/>
  <c r="K1480" i="1"/>
  <c r="M1480" i="1"/>
  <c r="N1480" i="1"/>
  <c r="D1435" i="1"/>
  <c r="E1435" i="1"/>
  <c r="F1435" i="1"/>
  <c r="K1435" i="1"/>
  <c r="M1435" i="1"/>
  <c r="N1435" i="1"/>
  <c r="D1377" i="1"/>
  <c r="E1377" i="1"/>
  <c r="F1377" i="1"/>
  <c r="K1377" i="1"/>
  <c r="M1377" i="1"/>
  <c r="N1377" i="1"/>
  <c r="D1315" i="1"/>
  <c r="E1315" i="1"/>
  <c r="F1315" i="1"/>
  <c r="K1315" i="1"/>
  <c r="M1315" i="1"/>
  <c r="N1315" i="1"/>
  <c r="D1258" i="1"/>
  <c r="E1258" i="1"/>
  <c r="F1258" i="1"/>
  <c r="K1258" i="1"/>
  <c r="M1258" i="1"/>
  <c r="N1258" i="1"/>
  <c r="D1200" i="1"/>
  <c r="E1200" i="1"/>
  <c r="F1200" i="1"/>
  <c r="K1200" i="1"/>
  <c r="M1200" i="1"/>
  <c r="N1200" i="1"/>
  <c r="D1148" i="1"/>
  <c r="E1148" i="1"/>
  <c r="F1148" i="1"/>
  <c r="K1148" i="1"/>
  <c r="M1148" i="1"/>
  <c r="N1148" i="1"/>
  <c r="D1092" i="1"/>
  <c r="E1092" i="1"/>
  <c r="F1092" i="1"/>
  <c r="K1092" i="1"/>
  <c r="M1092" i="1"/>
  <c r="N1092" i="1"/>
  <c r="D1033" i="1"/>
  <c r="E1033" i="1"/>
  <c r="F1033" i="1"/>
  <c r="K1033" i="1"/>
  <c r="M1033" i="1"/>
  <c r="N1033" i="1"/>
  <c r="D974" i="1"/>
  <c r="E974" i="1"/>
  <c r="F974" i="1"/>
  <c r="K974" i="1"/>
  <c r="M974" i="1"/>
  <c r="N974" i="1"/>
  <c r="D916" i="1"/>
  <c r="E916" i="1"/>
  <c r="F916" i="1"/>
  <c r="K916" i="1"/>
  <c r="M916" i="1"/>
  <c r="N916" i="1"/>
  <c r="D854" i="1"/>
  <c r="E854" i="1"/>
  <c r="F854" i="1"/>
  <c r="K854" i="1"/>
  <c r="M854" i="1"/>
  <c r="N854" i="1"/>
  <c r="D801" i="1"/>
  <c r="E801" i="1"/>
  <c r="F801" i="1"/>
  <c r="K801" i="1"/>
  <c r="M801" i="1"/>
  <c r="N801" i="1"/>
  <c r="D751" i="1"/>
  <c r="E751" i="1"/>
  <c r="F751" i="1"/>
  <c r="K751" i="1"/>
  <c r="M751" i="1"/>
  <c r="N751" i="1"/>
  <c r="D689" i="1"/>
  <c r="E689" i="1"/>
  <c r="F689" i="1"/>
  <c r="K689" i="1"/>
  <c r="M689" i="1"/>
  <c r="N689" i="1"/>
  <c r="D633" i="1"/>
  <c r="E633" i="1"/>
  <c r="F633" i="1"/>
  <c r="K633" i="1"/>
  <c r="M633" i="1"/>
  <c r="N633" i="1"/>
  <c r="D576" i="1"/>
  <c r="E576" i="1"/>
  <c r="F576" i="1"/>
  <c r="K576" i="1"/>
  <c r="M576" i="1"/>
  <c r="N576" i="1"/>
  <c r="D478" i="1"/>
  <c r="E478" i="1"/>
  <c r="F478" i="1"/>
  <c r="K478" i="1"/>
  <c r="M478" i="1"/>
  <c r="N478" i="1"/>
  <c r="D428" i="1"/>
  <c r="E428" i="1"/>
  <c r="F428" i="1"/>
  <c r="K428" i="1"/>
  <c r="M428" i="1"/>
  <c r="N428" i="1"/>
  <c r="D380" i="1"/>
  <c r="E380" i="1"/>
  <c r="F380" i="1"/>
  <c r="K380" i="1"/>
  <c r="M380" i="1"/>
  <c r="N380" i="1"/>
  <c r="D322" i="1"/>
  <c r="E322" i="1"/>
  <c r="F322" i="1"/>
  <c r="K322" i="1"/>
  <c r="M322" i="1"/>
  <c r="N322" i="1"/>
  <c r="D275" i="1"/>
  <c r="E275" i="1"/>
  <c r="F275" i="1"/>
  <c r="K275" i="1"/>
  <c r="M275" i="1"/>
  <c r="N275" i="1"/>
  <c r="D260" i="1"/>
  <c r="E260" i="1"/>
  <c r="F260" i="1"/>
  <c r="K260" i="1"/>
  <c r="M260" i="1"/>
  <c r="N260" i="1"/>
  <c r="D248" i="1"/>
  <c r="E248" i="1"/>
  <c r="F248" i="1"/>
  <c r="K248" i="1"/>
  <c r="M248" i="1"/>
  <c r="N248" i="1"/>
  <c r="D234" i="1"/>
  <c r="E234" i="1"/>
  <c r="F234" i="1"/>
  <c r="K234" i="1"/>
  <c r="M234" i="1"/>
  <c r="N234" i="1"/>
  <c r="D214" i="1"/>
  <c r="E214" i="1"/>
  <c r="F214" i="1"/>
  <c r="K214" i="1"/>
  <c r="M214" i="1"/>
  <c r="N214" i="1"/>
  <c r="D200" i="1"/>
  <c r="E200" i="1"/>
  <c r="F200" i="1"/>
  <c r="K200" i="1"/>
  <c r="M200" i="1"/>
  <c r="N200" i="1"/>
  <c r="D183" i="1"/>
  <c r="E183" i="1"/>
  <c r="F183" i="1"/>
  <c r="K183" i="1"/>
  <c r="M183" i="1"/>
  <c r="N183" i="1"/>
  <c r="D172" i="1"/>
  <c r="E172" i="1"/>
  <c r="F172" i="1"/>
  <c r="K172" i="1"/>
  <c r="M172" i="1"/>
  <c r="N172" i="1"/>
  <c r="D158" i="1"/>
  <c r="E158" i="1"/>
  <c r="F158" i="1"/>
  <c r="K158" i="1"/>
  <c r="M158" i="1"/>
  <c r="N158" i="1"/>
  <c r="D139" i="1"/>
  <c r="E139" i="1"/>
  <c r="F139" i="1"/>
  <c r="K139" i="1"/>
  <c r="M139" i="1"/>
  <c r="N139" i="1"/>
  <c r="D126" i="1"/>
  <c r="E126" i="1"/>
  <c r="F126" i="1"/>
  <c r="K126" i="1"/>
  <c r="M126" i="1"/>
  <c r="N126" i="1"/>
  <c r="D113" i="1"/>
  <c r="E113" i="1"/>
  <c r="F113" i="1"/>
  <c r="K113" i="1"/>
  <c r="M113" i="1"/>
  <c r="N113" i="1"/>
  <c r="D100" i="1"/>
  <c r="E100" i="1"/>
  <c r="F100" i="1"/>
  <c r="K100" i="1"/>
  <c r="M100" i="1"/>
  <c r="N100" i="1"/>
  <c r="D86" i="1"/>
  <c r="E86" i="1"/>
  <c r="F86" i="1"/>
  <c r="K86" i="1"/>
  <c r="M86" i="1"/>
  <c r="N86" i="1"/>
  <c r="D71" i="1"/>
  <c r="E71" i="1"/>
  <c r="F71" i="1"/>
  <c r="K71" i="1"/>
  <c r="M71" i="1"/>
  <c r="N71" i="1"/>
  <c r="D55" i="1"/>
  <c r="E55" i="1"/>
  <c r="F55" i="1"/>
  <c r="K55" i="1"/>
  <c r="M55" i="1"/>
  <c r="N55" i="1"/>
  <c r="D35" i="1"/>
  <c r="E35" i="1"/>
  <c r="F35" i="1"/>
  <c r="K35" i="1"/>
  <c r="M35" i="1"/>
  <c r="N35" i="1"/>
  <c r="D18" i="1"/>
  <c r="E18" i="1"/>
  <c r="F18" i="1"/>
  <c r="K18" i="1"/>
  <c r="M18" i="1"/>
  <c r="N18" i="1"/>
  <c r="D6" i="1"/>
  <c r="E6" i="1"/>
  <c r="F6" i="1"/>
  <c r="K6" i="1"/>
  <c r="M6" i="1"/>
  <c r="N6" i="1"/>
  <c r="D1751" i="1"/>
  <c r="E1751" i="1"/>
  <c r="F1751" i="1"/>
  <c r="K1751" i="1"/>
  <c r="M1751" i="1"/>
  <c r="N1751" i="1"/>
  <c r="D1599" i="1"/>
  <c r="E1599" i="1"/>
  <c r="F1599" i="1"/>
  <c r="K1599" i="1"/>
  <c r="M1599" i="1"/>
  <c r="N1599" i="1"/>
  <c r="D1539" i="1"/>
  <c r="E1539" i="1"/>
  <c r="F1539" i="1"/>
  <c r="K1539" i="1"/>
  <c r="M1539" i="1"/>
  <c r="N1539" i="1"/>
  <c r="D1483" i="1"/>
  <c r="E1483" i="1"/>
  <c r="F1483" i="1"/>
  <c r="K1483" i="1"/>
  <c r="M1483" i="1"/>
  <c r="N1483" i="1"/>
  <c r="D1437" i="1"/>
  <c r="E1437" i="1"/>
  <c r="F1437" i="1"/>
  <c r="K1437" i="1"/>
  <c r="M1437" i="1"/>
  <c r="N1437" i="1"/>
  <c r="D1381" i="1"/>
  <c r="E1381" i="1"/>
  <c r="F1381" i="1"/>
  <c r="K1381" i="1"/>
  <c r="M1381" i="1"/>
  <c r="N1381" i="1"/>
  <c r="D1318" i="1"/>
  <c r="E1318" i="1"/>
  <c r="F1318" i="1"/>
  <c r="K1318" i="1"/>
  <c r="M1318" i="1"/>
  <c r="N1318" i="1"/>
  <c r="D1261" i="1"/>
  <c r="E1261" i="1"/>
  <c r="F1261" i="1"/>
  <c r="K1261" i="1"/>
  <c r="M1261" i="1"/>
  <c r="N1261" i="1"/>
  <c r="D1203" i="1"/>
  <c r="E1203" i="1"/>
  <c r="F1203" i="1"/>
  <c r="K1203" i="1"/>
  <c r="M1203" i="1"/>
  <c r="N1203" i="1"/>
  <c r="D1150" i="1"/>
  <c r="E1150" i="1"/>
  <c r="F1150" i="1"/>
  <c r="K1150" i="1"/>
  <c r="M1150" i="1"/>
  <c r="N1150" i="1"/>
  <c r="D1095" i="1"/>
  <c r="E1095" i="1"/>
  <c r="F1095" i="1"/>
  <c r="K1095" i="1"/>
  <c r="M1095" i="1"/>
  <c r="N1095" i="1"/>
  <c r="D1037" i="1"/>
  <c r="E1037" i="1"/>
  <c r="F1037" i="1"/>
  <c r="K1037" i="1"/>
  <c r="M1037" i="1"/>
  <c r="N1037" i="1"/>
  <c r="D976" i="1"/>
  <c r="E976" i="1"/>
  <c r="F976" i="1"/>
  <c r="K976" i="1"/>
  <c r="M976" i="1"/>
  <c r="N976" i="1"/>
  <c r="D920" i="1"/>
  <c r="E920" i="1"/>
  <c r="F920" i="1"/>
  <c r="K920" i="1"/>
  <c r="M920" i="1"/>
  <c r="N920" i="1"/>
  <c r="D857" i="1"/>
  <c r="E857" i="1"/>
  <c r="F857" i="1"/>
  <c r="K857" i="1"/>
  <c r="M857" i="1"/>
  <c r="N857" i="1"/>
  <c r="D803" i="1"/>
  <c r="E803" i="1"/>
  <c r="F803" i="1"/>
  <c r="K803" i="1"/>
  <c r="M803" i="1"/>
  <c r="N803" i="1"/>
  <c r="D755" i="1"/>
  <c r="E755" i="1"/>
  <c r="F755" i="1"/>
  <c r="K755" i="1"/>
  <c r="M755" i="1"/>
  <c r="N755" i="1"/>
  <c r="D692" i="1"/>
  <c r="E692" i="1"/>
  <c r="F692" i="1"/>
  <c r="K692" i="1"/>
  <c r="M692" i="1"/>
  <c r="N692" i="1"/>
  <c r="D636" i="1"/>
  <c r="E636" i="1"/>
  <c r="F636" i="1"/>
  <c r="K636" i="1"/>
  <c r="M636" i="1"/>
  <c r="N636" i="1"/>
  <c r="D579" i="1"/>
  <c r="E579" i="1"/>
  <c r="F579" i="1"/>
  <c r="K579" i="1"/>
  <c r="M579" i="1"/>
  <c r="N579" i="1"/>
  <c r="D481" i="1"/>
  <c r="E481" i="1"/>
  <c r="F481" i="1"/>
  <c r="K481" i="1"/>
  <c r="M481" i="1"/>
  <c r="N481" i="1"/>
  <c r="D430" i="1"/>
  <c r="E430" i="1"/>
  <c r="F430" i="1"/>
  <c r="K430" i="1"/>
  <c r="M430" i="1"/>
  <c r="N430" i="1"/>
  <c r="D383" i="1"/>
  <c r="E383" i="1"/>
  <c r="F383" i="1"/>
  <c r="K383" i="1"/>
  <c r="M383" i="1"/>
  <c r="N383" i="1"/>
  <c r="D326" i="1"/>
  <c r="E326" i="1"/>
  <c r="F326" i="1"/>
  <c r="K326" i="1"/>
  <c r="M326" i="1"/>
  <c r="N326" i="1"/>
  <c r="D278" i="1"/>
  <c r="E278" i="1"/>
  <c r="F278" i="1"/>
  <c r="K278" i="1"/>
  <c r="M278" i="1"/>
  <c r="N278" i="1"/>
  <c r="D263" i="1"/>
  <c r="E263" i="1"/>
  <c r="F263" i="1"/>
  <c r="K263" i="1"/>
  <c r="M263" i="1"/>
  <c r="N263" i="1"/>
  <c r="D251" i="1"/>
  <c r="E251" i="1"/>
  <c r="F251" i="1"/>
  <c r="K251" i="1"/>
  <c r="M251" i="1"/>
  <c r="N251" i="1"/>
  <c r="D237" i="1"/>
  <c r="E237" i="1"/>
  <c r="F237" i="1"/>
  <c r="K237" i="1"/>
  <c r="M237" i="1"/>
  <c r="N237" i="1"/>
  <c r="D217" i="1"/>
  <c r="E217" i="1"/>
  <c r="F217" i="1"/>
  <c r="K217" i="1"/>
  <c r="M217" i="1"/>
  <c r="N217" i="1"/>
  <c r="D203" i="1"/>
  <c r="E203" i="1"/>
  <c r="F203" i="1"/>
  <c r="K203" i="1"/>
  <c r="M203" i="1"/>
  <c r="N203" i="1"/>
  <c r="D186" i="1"/>
  <c r="E186" i="1"/>
  <c r="F186" i="1"/>
  <c r="K186" i="1"/>
  <c r="M186" i="1"/>
  <c r="N186" i="1"/>
  <c r="D175" i="1"/>
  <c r="E175" i="1"/>
  <c r="F175" i="1"/>
  <c r="K175" i="1"/>
  <c r="M175" i="1"/>
  <c r="N175" i="1"/>
  <c r="D161" i="1"/>
  <c r="E161" i="1"/>
  <c r="F161" i="1"/>
  <c r="K161" i="1"/>
  <c r="M161" i="1"/>
  <c r="N161" i="1"/>
  <c r="D142" i="1"/>
  <c r="E142" i="1"/>
  <c r="F142" i="1"/>
  <c r="K142" i="1"/>
  <c r="M142" i="1"/>
  <c r="N142" i="1"/>
  <c r="D129" i="1"/>
  <c r="E129" i="1"/>
  <c r="F129" i="1"/>
  <c r="K129" i="1"/>
  <c r="M129" i="1"/>
  <c r="N129" i="1"/>
  <c r="D116" i="1"/>
  <c r="E116" i="1"/>
  <c r="F116" i="1"/>
  <c r="K116" i="1"/>
  <c r="M116" i="1"/>
  <c r="N116" i="1"/>
  <c r="D103" i="1"/>
  <c r="E103" i="1"/>
  <c r="F103" i="1"/>
  <c r="K103" i="1"/>
  <c r="M103" i="1"/>
  <c r="N103" i="1"/>
  <c r="D89" i="1"/>
  <c r="E89" i="1"/>
  <c r="F89" i="1"/>
  <c r="K89" i="1"/>
  <c r="M89" i="1"/>
  <c r="N89" i="1"/>
  <c r="D74" i="1"/>
  <c r="E74" i="1"/>
  <c r="F74" i="1"/>
  <c r="K74" i="1"/>
  <c r="M74" i="1"/>
  <c r="N74" i="1"/>
  <c r="D58" i="1"/>
  <c r="E58" i="1"/>
  <c r="F58" i="1"/>
  <c r="K58" i="1"/>
  <c r="M58" i="1"/>
  <c r="N58" i="1"/>
  <c r="D38" i="1"/>
  <c r="E38" i="1"/>
  <c r="F38" i="1"/>
  <c r="K38" i="1"/>
  <c r="M38" i="1"/>
  <c r="N38" i="1"/>
  <c r="D21" i="1"/>
  <c r="E21" i="1"/>
  <c r="F21" i="1"/>
  <c r="K21" i="1"/>
  <c r="M21" i="1"/>
  <c r="N21" i="1"/>
  <c r="D8" i="1"/>
  <c r="E8" i="1"/>
  <c r="F8" i="1"/>
  <c r="K8" i="1"/>
  <c r="M8" i="1"/>
  <c r="N8" i="1"/>
  <c r="D1950" i="1"/>
  <c r="E1950" i="1"/>
  <c r="F1950" i="1"/>
  <c r="K1950" i="1"/>
  <c r="M1950" i="1"/>
  <c r="N1950" i="1"/>
  <c r="D1925" i="1"/>
  <c r="E1925" i="1"/>
  <c r="F1925" i="1"/>
  <c r="K1925" i="1"/>
  <c r="M1925" i="1"/>
  <c r="N1925" i="1"/>
  <c r="D1917" i="1"/>
  <c r="E1917" i="1"/>
  <c r="F1917" i="1"/>
  <c r="K1917" i="1"/>
  <c r="M1917" i="1"/>
  <c r="N1917" i="1"/>
  <c r="D1908" i="1"/>
  <c r="E1908" i="1"/>
  <c r="F1908" i="1"/>
  <c r="K1908" i="1"/>
  <c r="M1908" i="1"/>
  <c r="N1908" i="1"/>
  <c r="D1899" i="1"/>
  <c r="E1899" i="1"/>
  <c r="F1899" i="1"/>
  <c r="K1899" i="1"/>
  <c r="M1899" i="1"/>
  <c r="N1899" i="1"/>
  <c r="D1890" i="1"/>
  <c r="E1890" i="1"/>
  <c r="F1890" i="1"/>
  <c r="K1890" i="1"/>
  <c r="M1890" i="1"/>
  <c r="N1890" i="1"/>
  <c r="D1881" i="1"/>
  <c r="E1881" i="1"/>
  <c r="F1881" i="1"/>
  <c r="K1881" i="1"/>
  <c r="M1881" i="1"/>
  <c r="N1881" i="1"/>
  <c r="D1872" i="1"/>
  <c r="E1872" i="1"/>
  <c r="F1872" i="1"/>
  <c r="K1872" i="1"/>
  <c r="M1872" i="1"/>
  <c r="N1872" i="1"/>
  <c r="D1863" i="1"/>
  <c r="E1863" i="1"/>
  <c r="F1863" i="1"/>
  <c r="K1863" i="1"/>
  <c r="M1863" i="1"/>
  <c r="N1863" i="1"/>
  <c r="D1854" i="1"/>
  <c r="E1854" i="1"/>
  <c r="F1854" i="1"/>
  <c r="K1854" i="1"/>
  <c r="M1854" i="1"/>
  <c r="N1854" i="1"/>
  <c r="D1845" i="1"/>
  <c r="E1845" i="1"/>
  <c r="F1845" i="1"/>
  <c r="K1845" i="1"/>
  <c r="M1845" i="1"/>
  <c r="N1845" i="1"/>
  <c r="D1836" i="1"/>
  <c r="E1836" i="1"/>
  <c r="F1836" i="1"/>
  <c r="K1836" i="1"/>
  <c r="M1836" i="1"/>
  <c r="N1836" i="1"/>
  <c r="D1827" i="1"/>
  <c r="E1827" i="1"/>
  <c r="F1827" i="1"/>
  <c r="K1827" i="1"/>
  <c r="M1827" i="1"/>
  <c r="N1827" i="1"/>
  <c r="D1818" i="1"/>
  <c r="E1818" i="1"/>
  <c r="F1818" i="1"/>
  <c r="K1818" i="1"/>
  <c r="M1818" i="1"/>
  <c r="N1818" i="1"/>
  <c r="D1809" i="1"/>
  <c r="E1809" i="1"/>
  <c r="F1809" i="1"/>
  <c r="K1809" i="1"/>
  <c r="M1809" i="1"/>
  <c r="N1809" i="1"/>
  <c r="D1801" i="1"/>
  <c r="E1801" i="1"/>
  <c r="F1801" i="1"/>
  <c r="K1801" i="1"/>
  <c r="M1801" i="1"/>
  <c r="N1801" i="1"/>
  <c r="D1704" i="1"/>
  <c r="E1704" i="1"/>
  <c r="F1704" i="1"/>
  <c r="K1704" i="1"/>
  <c r="M1704" i="1"/>
  <c r="N1704" i="1"/>
  <c r="D1695" i="1"/>
  <c r="E1695" i="1"/>
  <c r="F1695" i="1"/>
  <c r="K1695" i="1"/>
  <c r="M1695" i="1"/>
  <c r="N1695" i="1"/>
  <c r="D1686" i="1"/>
  <c r="E1686" i="1"/>
  <c r="F1686" i="1"/>
  <c r="K1686" i="1"/>
  <c r="M1686" i="1"/>
  <c r="N1686" i="1"/>
  <c r="D1677" i="1"/>
  <c r="E1677" i="1"/>
  <c r="F1677" i="1"/>
  <c r="K1677" i="1"/>
  <c r="M1677" i="1"/>
  <c r="N1677" i="1"/>
  <c r="D1668" i="1"/>
  <c r="E1668" i="1"/>
  <c r="F1668" i="1"/>
  <c r="K1668" i="1"/>
  <c r="M1668" i="1"/>
  <c r="N1668" i="1"/>
  <c r="D1659" i="1"/>
  <c r="E1659" i="1"/>
  <c r="F1659" i="1"/>
  <c r="K1659" i="1"/>
  <c r="M1659" i="1"/>
  <c r="N1659" i="1"/>
  <c r="D1650" i="1"/>
  <c r="E1650" i="1"/>
  <c r="F1650" i="1"/>
  <c r="K1650" i="1"/>
  <c r="M1650" i="1"/>
  <c r="N1650" i="1"/>
  <c r="D1641" i="1"/>
  <c r="E1641" i="1"/>
  <c r="F1641" i="1"/>
  <c r="K1641" i="1"/>
  <c r="M1641" i="1"/>
  <c r="N1641" i="1"/>
  <c r="D1632" i="1"/>
  <c r="E1632" i="1"/>
  <c r="F1632" i="1"/>
  <c r="K1632" i="1"/>
  <c r="M1632" i="1"/>
  <c r="N1632" i="1"/>
  <c r="D1623" i="1"/>
  <c r="E1623" i="1"/>
  <c r="F1623" i="1"/>
  <c r="K1623" i="1"/>
  <c r="M1623" i="1"/>
  <c r="N1623" i="1"/>
  <c r="D1616" i="1"/>
  <c r="E1616" i="1"/>
  <c r="F1616" i="1"/>
  <c r="K1616" i="1"/>
  <c r="M1616" i="1"/>
  <c r="N1616" i="1"/>
  <c r="D273" i="1"/>
  <c r="E273" i="1"/>
  <c r="F273" i="1"/>
  <c r="K273" i="1"/>
  <c r="M273" i="1"/>
  <c r="N273" i="1"/>
  <c r="D258" i="1"/>
  <c r="E258" i="1"/>
  <c r="F258" i="1"/>
  <c r="K258" i="1"/>
  <c r="M258" i="1"/>
  <c r="N258" i="1"/>
  <c r="D246" i="1"/>
  <c r="E246" i="1"/>
  <c r="F246" i="1"/>
  <c r="K246" i="1"/>
  <c r="M246" i="1"/>
  <c r="N246" i="1"/>
  <c r="D232" i="1"/>
  <c r="E232" i="1"/>
  <c r="F232" i="1"/>
  <c r="K232" i="1"/>
  <c r="M232" i="1"/>
  <c r="N232" i="1"/>
  <c r="D212" i="1"/>
  <c r="E212" i="1"/>
  <c r="F212" i="1"/>
  <c r="K212" i="1"/>
  <c r="M212" i="1"/>
  <c r="N212" i="1"/>
  <c r="D198" i="1"/>
  <c r="E198" i="1"/>
  <c r="F198" i="1"/>
  <c r="K198" i="1"/>
  <c r="M198" i="1"/>
  <c r="N198" i="1"/>
  <c r="D181" i="1"/>
  <c r="E181" i="1"/>
  <c r="F181" i="1"/>
  <c r="K181" i="1"/>
  <c r="M181" i="1"/>
  <c r="N181" i="1"/>
  <c r="D169" i="1"/>
  <c r="E169" i="1"/>
  <c r="F169" i="1"/>
  <c r="K169" i="1"/>
  <c r="M169" i="1"/>
  <c r="N169" i="1"/>
  <c r="D156" i="1"/>
  <c r="E156" i="1"/>
  <c r="F156" i="1"/>
  <c r="K156" i="1"/>
  <c r="M156" i="1"/>
  <c r="N156" i="1"/>
  <c r="D137" i="1"/>
  <c r="E137" i="1"/>
  <c r="F137" i="1"/>
  <c r="K137" i="1"/>
  <c r="M137" i="1"/>
  <c r="N137" i="1"/>
  <c r="D124" i="1"/>
  <c r="E124" i="1"/>
  <c r="F124" i="1"/>
  <c r="K124" i="1"/>
  <c r="M124" i="1"/>
  <c r="N124" i="1"/>
  <c r="D111" i="1"/>
  <c r="E111" i="1"/>
  <c r="F111" i="1"/>
  <c r="K111" i="1"/>
  <c r="M111" i="1"/>
  <c r="N111" i="1"/>
  <c r="D98" i="1"/>
  <c r="E98" i="1"/>
  <c r="F98" i="1"/>
  <c r="K98" i="1"/>
  <c r="M98" i="1"/>
  <c r="N98" i="1"/>
  <c r="D84" i="1"/>
  <c r="E84" i="1"/>
  <c r="F84" i="1"/>
  <c r="K84" i="1"/>
  <c r="M84" i="1"/>
  <c r="N84" i="1"/>
  <c r="D69" i="1"/>
  <c r="E69" i="1"/>
  <c r="F69" i="1"/>
  <c r="K69" i="1"/>
  <c r="M69" i="1"/>
  <c r="N69" i="1"/>
  <c r="D53" i="1"/>
  <c r="E53" i="1"/>
  <c r="F53" i="1"/>
  <c r="K53" i="1"/>
  <c r="M53" i="1"/>
  <c r="N53" i="1"/>
  <c r="D33" i="1"/>
  <c r="E33" i="1"/>
  <c r="F33" i="1"/>
  <c r="K33" i="1"/>
  <c r="M33" i="1"/>
  <c r="N33" i="1"/>
  <c r="D16" i="1"/>
  <c r="E16" i="1"/>
  <c r="F16" i="1"/>
  <c r="K16" i="1"/>
  <c r="M16" i="1"/>
  <c r="N16" i="1"/>
  <c r="D4" i="1"/>
  <c r="E4" i="1"/>
  <c r="F4" i="1"/>
  <c r="K4" i="1"/>
  <c r="M4" i="1"/>
  <c r="N4" i="1"/>
  <c r="D2046" i="1"/>
  <c r="E2046" i="1"/>
  <c r="F2046" i="1"/>
  <c r="K2046" i="1"/>
  <c r="M2046" i="1"/>
  <c r="N2046" i="1"/>
  <c r="D2048" i="1"/>
  <c r="E2048" i="1"/>
  <c r="F2048" i="1"/>
  <c r="K2048" i="1"/>
  <c r="M2048" i="1"/>
  <c r="N2048" i="1"/>
  <c r="D2047" i="1"/>
  <c r="E2047" i="1"/>
  <c r="F2047" i="1"/>
  <c r="K2047" i="1"/>
  <c r="M2047" i="1"/>
  <c r="N2047" i="1"/>
  <c r="D2049" i="1"/>
  <c r="E2049" i="1"/>
  <c r="F2049" i="1"/>
  <c r="K2049" i="1"/>
  <c r="M2049" i="1"/>
  <c r="N2049" i="1"/>
  <c r="D2051" i="1"/>
  <c r="E2051" i="1"/>
  <c r="F2051" i="1"/>
  <c r="K2051" i="1"/>
  <c r="M2051" i="1"/>
  <c r="N2051" i="1"/>
  <c r="D2052" i="1"/>
  <c r="E2052" i="1"/>
  <c r="F2052" i="1"/>
  <c r="K2052" i="1"/>
  <c r="M2052" i="1"/>
  <c r="N2052" i="1"/>
  <c r="D2053" i="1"/>
  <c r="E2053" i="1"/>
  <c r="F2053" i="1"/>
  <c r="K2053" i="1"/>
  <c r="M2053" i="1"/>
  <c r="N2053" i="1"/>
  <c r="D2054" i="1"/>
  <c r="E2054" i="1"/>
  <c r="F2054" i="1"/>
  <c r="K2054" i="1"/>
  <c r="M2054" i="1"/>
  <c r="N2054" i="1"/>
  <c r="D2055" i="1"/>
  <c r="E2055" i="1"/>
  <c r="F2055" i="1"/>
  <c r="K2055" i="1"/>
  <c r="M2055" i="1"/>
  <c r="N2055" i="1"/>
  <c r="D2056" i="1"/>
  <c r="E2056" i="1"/>
  <c r="F2056" i="1"/>
  <c r="K2056" i="1"/>
  <c r="M2056" i="1"/>
  <c r="N2056" i="1"/>
  <c r="D2057" i="1"/>
  <c r="E2057" i="1"/>
  <c r="F2057" i="1"/>
  <c r="K2057" i="1"/>
  <c r="M2057" i="1"/>
  <c r="N2057" i="1"/>
  <c r="D2058" i="1"/>
  <c r="E2058" i="1"/>
  <c r="F2058" i="1"/>
  <c r="K2058" i="1"/>
  <c r="M2058" i="1"/>
  <c r="N2058" i="1"/>
  <c r="D2059" i="1"/>
  <c r="E2059" i="1"/>
  <c r="F2059" i="1"/>
  <c r="K2059" i="1"/>
  <c r="M2059" i="1"/>
  <c r="N2059" i="1"/>
  <c r="D2060" i="1"/>
  <c r="E2060" i="1"/>
  <c r="F2060" i="1"/>
  <c r="K2060" i="1"/>
  <c r="M2060" i="1"/>
  <c r="N2060" i="1"/>
  <c r="D2061" i="1"/>
  <c r="E2061" i="1"/>
  <c r="F2061" i="1"/>
  <c r="K2061" i="1"/>
  <c r="M2061" i="1"/>
  <c r="N2061" i="1"/>
  <c r="D2062" i="1"/>
  <c r="E2062" i="1"/>
  <c r="F2062" i="1"/>
  <c r="K2062" i="1"/>
  <c r="M2062" i="1"/>
  <c r="N2062" i="1"/>
  <c r="D2063" i="1"/>
  <c r="E2063" i="1"/>
  <c r="F2063" i="1"/>
  <c r="K2063" i="1"/>
  <c r="M2063" i="1"/>
  <c r="N2063" i="1"/>
  <c r="D2064" i="1"/>
  <c r="E2064" i="1"/>
  <c r="F2064" i="1"/>
  <c r="K2064" i="1"/>
  <c r="M2064" i="1"/>
  <c r="N2064" i="1"/>
  <c r="D2065" i="1"/>
  <c r="E2065" i="1"/>
  <c r="F2065" i="1"/>
  <c r="K2065" i="1"/>
  <c r="M2065" i="1"/>
  <c r="N2065" i="1"/>
  <c r="D2066" i="1"/>
  <c r="E2066" i="1"/>
  <c r="F2066" i="1"/>
  <c r="K2066" i="1"/>
  <c r="M2066" i="1"/>
  <c r="N2066" i="1"/>
  <c r="D2067" i="1"/>
  <c r="E2067" i="1"/>
  <c r="F2067" i="1"/>
  <c r="K2067" i="1"/>
  <c r="M2067" i="1"/>
  <c r="N2067" i="1"/>
  <c r="D2068" i="1"/>
  <c r="E2068" i="1"/>
  <c r="F2068" i="1"/>
  <c r="K2068" i="1"/>
  <c r="M2068" i="1"/>
  <c r="N2068" i="1"/>
  <c r="D2069" i="1"/>
  <c r="E2069" i="1"/>
  <c r="F2069" i="1"/>
  <c r="K2069" i="1"/>
  <c r="M2069" i="1"/>
  <c r="N2069" i="1"/>
  <c r="D2070" i="1"/>
  <c r="E2070" i="1"/>
  <c r="F2070" i="1"/>
  <c r="K2070" i="1"/>
  <c r="M2070" i="1"/>
  <c r="N2070" i="1"/>
  <c r="D2071" i="1"/>
  <c r="E2071" i="1"/>
  <c r="F2071" i="1"/>
  <c r="K2071" i="1"/>
  <c r="M2071" i="1"/>
  <c r="N2071" i="1"/>
  <c r="D2072" i="1"/>
  <c r="E2072" i="1"/>
  <c r="F2072" i="1"/>
  <c r="K2072" i="1"/>
  <c r="M2072" i="1"/>
  <c r="N2072" i="1"/>
  <c r="D2073" i="1"/>
  <c r="E2073" i="1"/>
  <c r="F2073" i="1"/>
  <c r="K2073" i="1"/>
  <c r="M2073" i="1"/>
  <c r="N2073" i="1"/>
  <c r="D2074" i="1"/>
  <c r="E2074" i="1"/>
  <c r="F2074" i="1"/>
  <c r="K2074" i="1"/>
  <c r="M2074" i="1"/>
  <c r="N2074" i="1"/>
  <c r="D2075" i="1"/>
  <c r="E2075" i="1"/>
  <c r="F2075" i="1"/>
  <c r="K2075" i="1"/>
  <c r="M2075" i="1"/>
  <c r="N2075" i="1"/>
  <c r="D2076" i="1"/>
  <c r="E2076" i="1"/>
  <c r="F2076" i="1"/>
  <c r="K2076" i="1"/>
  <c r="M2076" i="1"/>
  <c r="N2076" i="1"/>
  <c r="D2077" i="1"/>
  <c r="E2077" i="1"/>
  <c r="F2077" i="1"/>
  <c r="K2077" i="1"/>
  <c r="M2077" i="1"/>
  <c r="N2077" i="1"/>
  <c r="D2078" i="1"/>
  <c r="E2078" i="1"/>
  <c r="F2078" i="1"/>
  <c r="K2078" i="1"/>
  <c r="M2078" i="1"/>
  <c r="N2078" i="1"/>
  <c r="D2079" i="1"/>
  <c r="E2079" i="1"/>
  <c r="F2079" i="1"/>
  <c r="K2079" i="1"/>
  <c r="M2079" i="1"/>
  <c r="N2079" i="1"/>
  <c r="D2080" i="1"/>
  <c r="E2080" i="1"/>
  <c r="F2080" i="1"/>
  <c r="K2080" i="1"/>
  <c r="M2080" i="1"/>
  <c r="N2080" i="1"/>
  <c r="D2081" i="1"/>
  <c r="E2081" i="1"/>
  <c r="F2081" i="1"/>
  <c r="K2081" i="1"/>
  <c r="M2081" i="1"/>
  <c r="N2081" i="1"/>
  <c r="D2082" i="1"/>
  <c r="E2082" i="1"/>
  <c r="F2082" i="1"/>
  <c r="K2082" i="1"/>
  <c r="M2082" i="1"/>
  <c r="N2082" i="1"/>
  <c r="D2083" i="1"/>
  <c r="E2083" i="1"/>
  <c r="F2083" i="1"/>
  <c r="K2083" i="1"/>
  <c r="M2083" i="1"/>
  <c r="N2083" i="1"/>
  <c r="D2084" i="1"/>
  <c r="E2084" i="1"/>
  <c r="F2084" i="1"/>
  <c r="K2084" i="1"/>
  <c r="M2084" i="1"/>
  <c r="N2084" i="1"/>
  <c r="D2085" i="1"/>
  <c r="E2085" i="1"/>
  <c r="F2085" i="1"/>
  <c r="K2085" i="1"/>
  <c r="M2085" i="1"/>
  <c r="N2085" i="1"/>
  <c r="D2086" i="1"/>
  <c r="E2086" i="1"/>
  <c r="F2086" i="1"/>
  <c r="K2086" i="1"/>
  <c r="M2086" i="1"/>
  <c r="N2086" i="1"/>
  <c r="D2087" i="1"/>
  <c r="E2087" i="1"/>
  <c r="F2087" i="1"/>
  <c r="K2087" i="1"/>
  <c r="M2087" i="1"/>
  <c r="N2087" i="1"/>
  <c r="D2088" i="1"/>
  <c r="E2088" i="1"/>
  <c r="F2088" i="1"/>
  <c r="K2088" i="1"/>
  <c r="M2088" i="1"/>
  <c r="N2088" i="1"/>
  <c r="D2089" i="1"/>
  <c r="E2089" i="1"/>
  <c r="F2089" i="1"/>
  <c r="K2089" i="1"/>
  <c r="M2089" i="1"/>
  <c r="N2089" i="1"/>
  <c r="D2090" i="1"/>
  <c r="E2090" i="1"/>
  <c r="F2090" i="1"/>
  <c r="K2090" i="1"/>
  <c r="M2090" i="1"/>
  <c r="N2090" i="1"/>
  <c r="D2091" i="1"/>
  <c r="E2091" i="1"/>
  <c r="F2091" i="1"/>
  <c r="K2091" i="1"/>
  <c r="M2091" i="1"/>
  <c r="N2091" i="1"/>
  <c r="D2092" i="1"/>
  <c r="E2092" i="1"/>
  <c r="F2092" i="1"/>
  <c r="K2092" i="1"/>
  <c r="M2092" i="1"/>
  <c r="N2092" i="1"/>
  <c r="D2093" i="1"/>
  <c r="E2093" i="1"/>
  <c r="F2093" i="1"/>
  <c r="K2093" i="1"/>
  <c r="M2093" i="1"/>
  <c r="N2093" i="1"/>
  <c r="D2094" i="1"/>
  <c r="E2094" i="1"/>
  <c r="F2094" i="1"/>
  <c r="K2094" i="1"/>
  <c r="M2094" i="1"/>
  <c r="N2094" i="1"/>
  <c r="D2095" i="1"/>
  <c r="E2095" i="1"/>
  <c r="F2095" i="1"/>
  <c r="K2095" i="1"/>
  <c r="M2095" i="1"/>
  <c r="N2095" i="1"/>
  <c r="D2096" i="1"/>
  <c r="E2096" i="1"/>
  <c r="F2096" i="1"/>
  <c r="K2096" i="1"/>
  <c r="M2096" i="1"/>
  <c r="N2096" i="1"/>
  <c r="D2097" i="1"/>
  <c r="E2097" i="1"/>
  <c r="F2097" i="1"/>
  <c r="K2097" i="1"/>
  <c r="M2097" i="1"/>
  <c r="N2097" i="1"/>
  <c r="D2098" i="1"/>
  <c r="E2098" i="1"/>
  <c r="F2098" i="1"/>
  <c r="K2098" i="1"/>
  <c r="M2098" i="1"/>
  <c r="N2098" i="1"/>
  <c r="D2099" i="1"/>
  <c r="E2099" i="1"/>
  <c r="F2099" i="1"/>
  <c r="K2099" i="1"/>
  <c r="M2099" i="1"/>
  <c r="N2099" i="1"/>
  <c r="D2100" i="1"/>
  <c r="E2100" i="1"/>
  <c r="F2100" i="1"/>
  <c r="K2100" i="1"/>
  <c r="M2100" i="1"/>
  <c r="N2100" i="1"/>
  <c r="D2101" i="1"/>
  <c r="E2101" i="1"/>
  <c r="F2101" i="1"/>
  <c r="K2101" i="1"/>
  <c r="M2101" i="1"/>
  <c r="N2101" i="1"/>
  <c r="D2102" i="1"/>
  <c r="E2102" i="1"/>
  <c r="F2102" i="1"/>
  <c r="K2102" i="1"/>
  <c r="M2102" i="1"/>
  <c r="N2102" i="1"/>
  <c r="D2103" i="1"/>
  <c r="E2103" i="1"/>
  <c r="F2103" i="1"/>
  <c r="K2103" i="1"/>
  <c r="M2103" i="1"/>
  <c r="N2103" i="1"/>
  <c r="D2104" i="1"/>
  <c r="E2104" i="1"/>
  <c r="F2104" i="1"/>
  <c r="K2104" i="1"/>
  <c r="M2104" i="1"/>
  <c r="N2104" i="1"/>
  <c r="D2105" i="1"/>
  <c r="E2105" i="1"/>
  <c r="F2105" i="1"/>
  <c r="K2105" i="1"/>
  <c r="M2105" i="1"/>
  <c r="N2105" i="1"/>
  <c r="D2106" i="1"/>
  <c r="E2106" i="1"/>
  <c r="F2106" i="1"/>
  <c r="K2106" i="1"/>
  <c r="M2106" i="1"/>
  <c r="N2106" i="1"/>
  <c r="D2107" i="1"/>
  <c r="E2107" i="1"/>
  <c r="F2107" i="1"/>
  <c r="K2107" i="1"/>
  <c r="M2107" i="1"/>
  <c r="N2107" i="1"/>
  <c r="D2108" i="1"/>
  <c r="E2108" i="1"/>
  <c r="F2108" i="1"/>
  <c r="K2108" i="1"/>
  <c r="M2108" i="1"/>
  <c r="N2108" i="1"/>
  <c r="D2109" i="1"/>
  <c r="E2109" i="1"/>
  <c r="F2109" i="1"/>
  <c r="K2109" i="1"/>
  <c r="M2109" i="1"/>
  <c r="N2109" i="1"/>
  <c r="D2110" i="1"/>
  <c r="E2110" i="1"/>
  <c r="F2110" i="1"/>
  <c r="K2110" i="1"/>
  <c r="M2110" i="1"/>
  <c r="N2110" i="1"/>
  <c r="D2111" i="1"/>
  <c r="E2111" i="1"/>
  <c r="F2111" i="1"/>
  <c r="K2111" i="1"/>
  <c r="M2111" i="1"/>
  <c r="N2111" i="1"/>
  <c r="D2112" i="1"/>
  <c r="E2112" i="1"/>
  <c r="F2112" i="1"/>
  <c r="K2112" i="1"/>
  <c r="M2112" i="1"/>
  <c r="N2112" i="1"/>
  <c r="D2113" i="1"/>
  <c r="E2113" i="1"/>
  <c r="F2113" i="1"/>
  <c r="K2113" i="1"/>
  <c r="M2113" i="1"/>
  <c r="N2113" i="1"/>
  <c r="D2114" i="1"/>
  <c r="E2114" i="1"/>
  <c r="F2114" i="1"/>
  <c r="K2114" i="1"/>
  <c r="M2114" i="1"/>
  <c r="N2114" i="1"/>
  <c r="D2115" i="1"/>
  <c r="E2115" i="1"/>
  <c r="F2115" i="1"/>
  <c r="K2115" i="1"/>
  <c r="M2115" i="1"/>
  <c r="N2115" i="1"/>
  <c r="D2116" i="1"/>
  <c r="E2116" i="1"/>
  <c r="F2116" i="1"/>
  <c r="K2116" i="1"/>
  <c r="M2116" i="1"/>
  <c r="N2116" i="1"/>
  <c r="D2117" i="1"/>
  <c r="E2117" i="1"/>
  <c r="F2117" i="1"/>
  <c r="K2117" i="1"/>
  <c r="M2117" i="1"/>
  <c r="N2117" i="1"/>
  <c r="D2118" i="1"/>
  <c r="E2118" i="1"/>
  <c r="F2118" i="1"/>
  <c r="K2118" i="1"/>
  <c r="M2118" i="1"/>
  <c r="N2118" i="1"/>
  <c r="D2119" i="1"/>
  <c r="E2119" i="1"/>
  <c r="F2119" i="1"/>
  <c r="K2119" i="1"/>
  <c r="M2119" i="1"/>
  <c r="N2119" i="1"/>
  <c r="D2120" i="1"/>
  <c r="E2120" i="1"/>
  <c r="F2120" i="1"/>
  <c r="K2120" i="1"/>
  <c r="M2120" i="1"/>
  <c r="N2120" i="1"/>
  <c r="D2121" i="1"/>
  <c r="E2121" i="1"/>
  <c r="F2121" i="1"/>
  <c r="K2121" i="1"/>
  <c r="M2121" i="1"/>
  <c r="N2121" i="1"/>
  <c r="D2122" i="1"/>
  <c r="E2122" i="1"/>
  <c r="F2122" i="1"/>
  <c r="K2122" i="1"/>
  <c r="M2122" i="1"/>
  <c r="N2122" i="1"/>
  <c r="D2123" i="1"/>
  <c r="E2123" i="1"/>
  <c r="F2123" i="1"/>
  <c r="K2123" i="1"/>
  <c r="M2123" i="1"/>
  <c r="N2123" i="1"/>
  <c r="D2124" i="1"/>
  <c r="E2124" i="1"/>
  <c r="F2124" i="1"/>
  <c r="K2124" i="1"/>
  <c r="M2124" i="1"/>
  <c r="N2124" i="1"/>
  <c r="D2125" i="1"/>
  <c r="E2125" i="1"/>
  <c r="F2125" i="1"/>
  <c r="K2125" i="1"/>
  <c r="M2125" i="1"/>
  <c r="N2125" i="1"/>
  <c r="D2126" i="1"/>
  <c r="E2126" i="1"/>
  <c r="F2126" i="1"/>
  <c r="K2126" i="1"/>
  <c r="M2126" i="1"/>
  <c r="N2126" i="1"/>
  <c r="D2127" i="1"/>
  <c r="E2127" i="1"/>
  <c r="F2127" i="1"/>
  <c r="K2127" i="1"/>
  <c r="M2127" i="1"/>
  <c r="N2127" i="1"/>
  <c r="D2128" i="1"/>
  <c r="E2128" i="1"/>
  <c r="F2128" i="1"/>
  <c r="K2128" i="1"/>
  <c r="M2128" i="1"/>
  <c r="N2128" i="1"/>
  <c r="D2129" i="1"/>
  <c r="E2129" i="1"/>
  <c r="F2129" i="1"/>
  <c r="K2129" i="1"/>
  <c r="M2129" i="1"/>
  <c r="N2129" i="1"/>
  <c r="D2130" i="1"/>
  <c r="E2130" i="1"/>
  <c r="F2130" i="1"/>
  <c r="K2130" i="1"/>
  <c r="M2130" i="1"/>
  <c r="N2130" i="1"/>
  <c r="D2131" i="1"/>
  <c r="E2131" i="1"/>
  <c r="F2131" i="1"/>
  <c r="K2131" i="1"/>
  <c r="M2131" i="1"/>
  <c r="N2131" i="1"/>
  <c r="D2132" i="1"/>
  <c r="E2132" i="1"/>
  <c r="F2132" i="1"/>
  <c r="K2132" i="1"/>
  <c r="M2132" i="1"/>
  <c r="N2132" i="1"/>
  <c r="D2133" i="1"/>
  <c r="E2133" i="1"/>
  <c r="F2133" i="1"/>
  <c r="K2133" i="1"/>
  <c r="M2133" i="1"/>
  <c r="N2133" i="1"/>
  <c r="D2134" i="1"/>
  <c r="E2134" i="1"/>
  <c r="F2134" i="1"/>
  <c r="K2134" i="1"/>
  <c r="M2134" i="1"/>
  <c r="N2134" i="1"/>
  <c r="D2135" i="1"/>
  <c r="E2135" i="1"/>
  <c r="F2135" i="1"/>
  <c r="K2135" i="1"/>
  <c r="M2135" i="1"/>
  <c r="N2135" i="1"/>
  <c r="D2136" i="1"/>
  <c r="E2136" i="1"/>
  <c r="F2136" i="1"/>
  <c r="K2136" i="1"/>
  <c r="M2136" i="1"/>
  <c r="N2136" i="1"/>
  <c r="D2137" i="1"/>
  <c r="E2137" i="1"/>
  <c r="F2137" i="1"/>
  <c r="K2137" i="1"/>
  <c r="M2137" i="1"/>
  <c r="N2137" i="1"/>
  <c r="D2138" i="1"/>
  <c r="E2138" i="1"/>
  <c r="F2138" i="1"/>
  <c r="K2138" i="1"/>
  <c r="M2138" i="1"/>
  <c r="N2138" i="1"/>
  <c r="D2139" i="1"/>
  <c r="E2139" i="1"/>
  <c r="F2139" i="1"/>
  <c r="K2139" i="1"/>
  <c r="M2139" i="1"/>
  <c r="N2139" i="1"/>
  <c r="D2140" i="1"/>
  <c r="E2140" i="1"/>
  <c r="F2140" i="1"/>
  <c r="K2140" i="1"/>
  <c r="M2140" i="1"/>
  <c r="N2140" i="1"/>
  <c r="D2141" i="1"/>
  <c r="E2141" i="1"/>
  <c r="F2141" i="1"/>
  <c r="K2141" i="1"/>
  <c r="M2141" i="1"/>
  <c r="N2141" i="1"/>
  <c r="D2142" i="1"/>
  <c r="E2142" i="1"/>
  <c r="F2142" i="1"/>
  <c r="K2142" i="1"/>
  <c r="M2142" i="1"/>
  <c r="N2142" i="1"/>
  <c r="D2143" i="1"/>
  <c r="E2143" i="1"/>
  <c r="F2143" i="1"/>
  <c r="K2143" i="1"/>
  <c r="M2143" i="1"/>
  <c r="N2143" i="1"/>
  <c r="D2144" i="1"/>
  <c r="E2144" i="1"/>
  <c r="F2144" i="1"/>
  <c r="K2144" i="1"/>
  <c r="M2144" i="1"/>
  <c r="N2144" i="1"/>
  <c r="D2145" i="1"/>
  <c r="E2145" i="1"/>
  <c r="F2145" i="1"/>
  <c r="K2145" i="1"/>
  <c r="M2145" i="1"/>
  <c r="N2145" i="1"/>
  <c r="D2146" i="1"/>
  <c r="E2146" i="1"/>
  <c r="F2146" i="1"/>
  <c r="K2146" i="1"/>
  <c r="M2146" i="1"/>
  <c r="N2146" i="1"/>
  <c r="D2147" i="1"/>
  <c r="E2147" i="1"/>
  <c r="F2147" i="1"/>
  <c r="K2147" i="1"/>
  <c r="M2147" i="1"/>
  <c r="N2147" i="1"/>
  <c r="D2148" i="1"/>
  <c r="E2148" i="1"/>
  <c r="F2148" i="1"/>
  <c r="K2148" i="1"/>
  <c r="M2148" i="1"/>
  <c r="N2148" i="1"/>
  <c r="D2149" i="1"/>
  <c r="E2149" i="1"/>
  <c r="F2149" i="1"/>
  <c r="K2149" i="1"/>
  <c r="M2149" i="1"/>
  <c r="N2149" i="1"/>
  <c r="D2150" i="1"/>
  <c r="E2150" i="1"/>
  <c r="F2150" i="1"/>
  <c r="K2150" i="1"/>
  <c r="M2150" i="1"/>
  <c r="N2150" i="1"/>
  <c r="D2151" i="1"/>
  <c r="E2151" i="1"/>
  <c r="F2151" i="1"/>
  <c r="K2151" i="1"/>
  <c r="M2151" i="1"/>
  <c r="N2151" i="1"/>
  <c r="D2152" i="1"/>
  <c r="E2152" i="1"/>
  <c r="F2152" i="1"/>
  <c r="K2152" i="1"/>
  <c r="M2152" i="1"/>
  <c r="N2152" i="1"/>
  <c r="D2153" i="1"/>
  <c r="E2153" i="1"/>
  <c r="F2153" i="1"/>
  <c r="K2153" i="1"/>
  <c r="M2153" i="1"/>
  <c r="N2153" i="1"/>
  <c r="D2154" i="1"/>
  <c r="E2154" i="1"/>
  <c r="F2154" i="1"/>
  <c r="K2154" i="1"/>
  <c r="M2154" i="1"/>
  <c r="N2154" i="1"/>
  <c r="D2155" i="1"/>
  <c r="E2155" i="1"/>
  <c r="F2155" i="1"/>
  <c r="K2155" i="1"/>
  <c r="M2155" i="1"/>
  <c r="N2155" i="1"/>
  <c r="D2156" i="1"/>
  <c r="E2156" i="1"/>
  <c r="F2156" i="1"/>
  <c r="K2156" i="1"/>
  <c r="M2156" i="1"/>
  <c r="N2156" i="1"/>
  <c r="D2157" i="1"/>
  <c r="E2157" i="1"/>
  <c r="F2157" i="1"/>
  <c r="K2157" i="1"/>
  <c r="M2157" i="1"/>
  <c r="N2157" i="1"/>
  <c r="D2158" i="1"/>
  <c r="E2158" i="1"/>
  <c r="F2158" i="1"/>
  <c r="K2158" i="1"/>
  <c r="M2158" i="1"/>
  <c r="N2158" i="1"/>
  <c r="D2159" i="1"/>
  <c r="E2159" i="1"/>
  <c r="F2159" i="1"/>
  <c r="K2159" i="1"/>
  <c r="M2159" i="1"/>
  <c r="N2159" i="1"/>
  <c r="D2160" i="1"/>
  <c r="E2160" i="1"/>
  <c r="F2160" i="1"/>
  <c r="K2160" i="1"/>
  <c r="M2160" i="1"/>
  <c r="N2160" i="1"/>
  <c r="D2161" i="1"/>
  <c r="E2161" i="1"/>
  <c r="F2161" i="1"/>
  <c r="K2161" i="1"/>
  <c r="M2161" i="1"/>
  <c r="N2161" i="1"/>
  <c r="D2162" i="1"/>
  <c r="E2162" i="1"/>
  <c r="F2162" i="1"/>
  <c r="K2162" i="1"/>
  <c r="M2162" i="1"/>
  <c r="N2162" i="1"/>
  <c r="D2163" i="1"/>
  <c r="E2163" i="1"/>
  <c r="F2163" i="1"/>
  <c r="K2163" i="1"/>
  <c r="M2163" i="1"/>
  <c r="N2163" i="1"/>
  <c r="D2164" i="1"/>
  <c r="E2164" i="1"/>
  <c r="F2164" i="1"/>
  <c r="K2164" i="1"/>
  <c r="M2164" i="1"/>
  <c r="N2164" i="1"/>
  <c r="D2165" i="1"/>
  <c r="E2165" i="1"/>
  <c r="F2165" i="1"/>
  <c r="K2165" i="1"/>
  <c r="M2165" i="1"/>
  <c r="N2165" i="1"/>
  <c r="D2166" i="1"/>
  <c r="E2166" i="1"/>
  <c r="F2166" i="1"/>
  <c r="K2166" i="1"/>
  <c r="M2166" i="1"/>
  <c r="N2166" i="1"/>
  <c r="D2167" i="1"/>
  <c r="E2167" i="1"/>
  <c r="F2167" i="1"/>
  <c r="K2167" i="1"/>
  <c r="M2167" i="1"/>
  <c r="N2167" i="1"/>
  <c r="D2168" i="1"/>
  <c r="E2168" i="1"/>
  <c r="F2168" i="1"/>
  <c r="K2168" i="1"/>
  <c r="M2168" i="1"/>
  <c r="N2168" i="1"/>
  <c r="D2169" i="1"/>
  <c r="E2169" i="1"/>
  <c r="F2169" i="1"/>
  <c r="K2169" i="1"/>
  <c r="M2169" i="1"/>
  <c r="N2169" i="1"/>
  <c r="D2170" i="1"/>
  <c r="E2170" i="1"/>
  <c r="F2170" i="1"/>
  <c r="K2170" i="1"/>
  <c r="M2170" i="1"/>
  <c r="N2170" i="1"/>
  <c r="D2171" i="1"/>
  <c r="E2171" i="1"/>
  <c r="F2171" i="1"/>
  <c r="K2171" i="1"/>
  <c r="M2171" i="1"/>
  <c r="N2171" i="1"/>
  <c r="D2172" i="1"/>
  <c r="E2172" i="1"/>
  <c r="F2172" i="1"/>
  <c r="K2172" i="1"/>
  <c r="M2172" i="1"/>
  <c r="N2172" i="1"/>
  <c r="D2173" i="1"/>
  <c r="E2173" i="1"/>
  <c r="F2173" i="1"/>
  <c r="K2173" i="1"/>
  <c r="M2173" i="1"/>
  <c r="N2173" i="1"/>
  <c r="D2174" i="1"/>
  <c r="E2174" i="1"/>
  <c r="F2174" i="1"/>
  <c r="K2174" i="1"/>
  <c r="M2174" i="1"/>
  <c r="N2174" i="1"/>
  <c r="D2175" i="1"/>
  <c r="E2175" i="1"/>
  <c r="F2175" i="1"/>
  <c r="K2175" i="1"/>
  <c r="M2175" i="1"/>
  <c r="N2175" i="1"/>
  <c r="D2176" i="1"/>
  <c r="E2176" i="1"/>
  <c r="F2176" i="1"/>
  <c r="K2176" i="1"/>
  <c r="M2176" i="1"/>
  <c r="N2176" i="1"/>
  <c r="D2177" i="1"/>
  <c r="E2177" i="1"/>
  <c r="F2177" i="1"/>
  <c r="K2177" i="1"/>
  <c r="M2177" i="1"/>
  <c r="N2177" i="1"/>
  <c r="D2178" i="1"/>
  <c r="E2178" i="1"/>
  <c r="F2178" i="1"/>
  <c r="K2178" i="1"/>
  <c r="M2178" i="1"/>
  <c r="N2178" i="1"/>
  <c r="D2179" i="1"/>
  <c r="E2179" i="1"/>
  <c r="F2179" i="1"/>
  <c r="K2179" i="1"/>
  <c r="M2179" i="1"/>
  <c r="N2179" i="1"/>
  <c r="D2180" i="1"/>
  <c r="E2180" i="1"/>
  <c r="F2180" i="1"/>
  <c r="K2180" i="1"/>
  <c r="M2180" i="1"/>
  <c r="N2180" i="1"/>
  <c r="D2181" i="1"/>
  <c r="E2181" i="1"/>
  <c r="F2181" i="1"/>
  <c r="K2181" i="1"/>
  <c r="M2181" i="1"/>
  <c r="N2181" i="1"/>
  <c r="D2182" i="1"/>
  <c r="E2182" i="1"/>
  <c r="F2182" i="1"/>
  <c r="K2182" i="1"/>
  <c r="M2182" i="1"/>
  <c r="N2182" i="1"/>
  <c r="D2183" i="1"/>
  <c r="E2183" i="1"/>
  <c r="F2183" i="1"/>
  <c r="K2183" i="1"/>
  <c r="M2183" i="1"/>
  <c r="N2183" i="1"/>
  <c r="D2184" i="1"/>
  <c r="E2184" i="1"/>
  <c r="F2184" i="1"/>
  <c r="K2184" i="1"/>
  <c r="M2184" i="1"/>
  <c r="N2184" i="1"/>
  <c r="D2185" i="1"/>
  <c r="E2185" i="1"/>
  <c r="F2185" i="1"/>
  <c r="K2185" i="1"/>
  <c r="M2185" i="1"/>
  <c r="N2185" i="1"/>
  <c r="D2186" i="1"/>
  <c r="E2186" i="1"/>
  <c r="F2186" i="1"/>
  <c r="K2186" i="1"/>
  <c r="M2186" i="1"/>
  <c r="N2186" i="1"/>
  <c r="D2187" i="1"/>
  <c r="E2187" i="1"/>
  <c r="F2187" i="1"/>
  <c r="K2187" i="1"/>
  <c r="M2187" i="1"/>
  <c r="N2187" i="1"/>
  <c r="D2188" i="1"/>
  <c r="E2188" i="1"/>
  <c r="F2188" i="1"/>
  <c r="K2188" i="1"/>
  <c r="M2188" i="1"/>
  <c r="N2188" i="1"/>
  <c r="D2189" i="1"/>
  <c r="E2189" i="1"/>
  <c r="F2189" i="1"/>
  <c r="K2189" i="1"/>
  <c r="M2189" i="1"/>
  <c r="N2189" i="1"/>
  <c r="D2190" i="1"/>
  <c r="E2190" i="1"/>
  <c r="F2190" i="1"/>
  <c r="K2190" i="1"/>
  <c r="M2190" i="1"/>
  <c r="N2190" i="1"/>
  <c r="D2191" i="1"/>
  <c r="E2191" i="1"/>
  <c r="F2191" i="1"/>
  <c r="K2191" i="1"/>
  <c r="M2191" i="1"/>
  <c r="N2191" i="1"/>
  <c r="D2192" i="1"/>
  <c r="E2192" i="1"/>
  <c r="F2192" i="1"/>
  <c r="K2192" i="1"/>
  <c r="M2192" i="1"/>
  <c r="N2192" i="1"/>
  <c r="D2193" i="1"/>
  <c r="E2193" i="1"/>
  <c r="F2193" i="1"/>
  <c r="K2193" i="1"/>
  <c r="M2193" i="1"/>
  <c r="N2193" i="1"/>
  <c r="D2194" i="1"/>
  <c r="E2194" i="1"/>
  <c r="F2194" i="1"/>
  <c r="K2194" i="1"/>
  <c r="M2194" i="1"/>
  <c r="N2194" i="1"/>
  <c r="D2195" i="1"/>
  <c r="E2195" i="1"/>
  <c r="F2195" i="1"/>
  <c r="K2195" i="1"/>
  <c r="M2195" i="1"/>
  <c r="N2195" i="1"/>
  <c r="D2196" i="1"/>
  <c r="E2196" i="1"/>
  <c r="F2196" i="1"/>
  <c r="K2196" i="1"/>
  <c r="M2196" i="1"/>
  <c r="N2196" i="1"/>
  <c r="D2197" i="1"/>
  <c r="E2197" i="1"/>
  <c r="F2197" i="1"/>
  <c r="K2197" i="1"/>
  <c r="M2197" i="1"/>
  <c r="N2197" i="1"/>
  <c r="D2198" i="1"/>
  <c r="E2198" i="1"/>
  <c r="F2198" i="1"/>
  <c r="K2198" i="1"/>
  <c r="M2198" i="1"/>
  <c r="N2198" i="1"/>
  <c r="D2199" i="1"/>
  <c r="E2199" i="1"/>
  <c r="F2199" i="1"/>
  <c r="K2199" i="1"/>
  <c r="M2199" i="1"/>
  <c r="N2199" i="1"/>
  <c r="D2204" i="1"/>
  <c r="E2204" i="1"/>
  <c r="F2204" i="1"/>
  <c r="K2204" i="1"/>
  <c r="M2204" i="1"/>
  <c r="N2204" i="1"/>
  <c r="D2205" i="1"/>
  <c r="E2205" i="1"/>
  <c r="F2205" i="1"/>
  <c r="K2205" i="1"/>
  <c r="M2205" i="1"/>
  <c r="N2205" i="1"/>
  <c r="D2206" i="1"/>
  <c r="E2206" i="1"/>
  <c r="F2206" i="1"/>
  <c r="K2206" i="1"/>
  <c r="M2206" i="1"/>
  <c r="N2206" i="1"/>
  <c r="D2207" i="1"/>
  <c r="E2207" i="1"/>
  <c r="F2207" i="1"/>
  <c r="K2207" i="1"/>
  <c r="M2207" i="1"/>
  <c r="N2207" i="1"/>
  <c r="D2208" i="1"/>
  <c r="E2208" i="1"/>
  <c r="F2208" i="1"/>
  <c r="K2208" i="1"/>
  <c r="M2208" i="1"/>
  <c r="N2208" i="1"/>
  <c r="D2209" i="1"/>
  <c r="E2209" i="1"/>
  <c r="F2209" i="1"/>
  <c r="K2209" i="1"/>
  <c r="M2209" i="1"/>
  <c r="N2209" i="1"/>
  <c r="D2210" i="1"/>
  <c r="E2210" i="1"/>
  <c r="F2210" i="1"/>
  <c r="K2210" i="1"/>
  <c r="M2210" i="1"/>
  <c r="N2210" i="1"/>
  <c r="D2211" i="1"/>
  <c r="E2211" i="1"/>
  <c r="F2211" i="1"/>
  <c r="K2211" i="1"/>
  <c r="M2211" i="1"/>
  <c r="N2211" i="1"/>
  <c r="D2212" i="1"/>
  <c r="E2212" i="1"/>
  <c r="F2212" i="1"/>
  <c r="K2212" i="1"/>
  <c r="M2212" i="1"/>
  <c r="N2212" i="1"/>
  <c r="D2213" i="1"/>
  <c r="E2213" i="1"/>
  <c r="F2213" i="1"/>
  <c r="K2213" i="1"/>
  <c r="M2213" i="1"/>
  <c r="N2213" i="1"/>
  <c r="D2214" i="1"/>
  <c r="E2214" i="1"/>
  <c r="F2214" i="1"/>
  <c r="K2214" i="1"/>
  <c r="M2214" i="1"/>
  <c r="N2214" i="1"/>
  <c r="D2215" i="1"/>
  <c r="E2215" i="1"/>
  <c r="F2215" i="1"/>
  <c r="K2215" i="1"/>
  <c r="M2215" i="1"/>
  <c r="N2215" i="1"/>
  <c r="D2220" i="1"/>
  <c r="E2220" i="1"/>
  <c r="F2220" i="1"/>
  <c r="K2220" i="1"/>
  <c r="M2220" i="1"/>
  <c r="N2220" i="1"/>
  <c r="D2221" i="1"/>
  <c r="E2221" i="1"/>
  <c r="F2221" i="1"/>
  <c r="K2221" i="1"/>
  <c r="M2221" i="1"/>
  <c r="N2221" i="1"/>
  <c r="D2222" i="1"/>
  <c r="E2222" i="1"/>
  <c r="F2222" i="1"/>
  <c r="K2222" i="1"/>
  <c r="M2222" i="1"/>
  <c r="N2222" i="1"/>
  <c r="D2223" i="1"/>
  <c r="E2223" i="1"/>
  <c r="F2223" i="1"/>
  <c r="K2223" i="1"/>
  <c r="M2223" i="1"/>
  <c r="N2223" i="1"/>
  <c r="D2224" i="1"/>
  <c r="E2224" i="1"/>
  <c r="F2224" i="1"/>
  <c r="K2224" i="1"/>
  <c r="M2224" i="1"/>
  <c r="N2224" i="1"/>
  <c r="D2225" i="1"/>
  <c r="E2225" i="1"/>
  <c r="F2225" i="1"/>
  <c r="K2225" i="1"/>
  <c r="M2225" i="1"/>
  <c r="N2225" i="1"/>
  <c r="D2226" i="1"/>
  <c r="E2226" i="1"/>
  <c r="F2226" i="1"/>
  <c r="K2226" i="1"/>
  <c r="M2226" i="1"/>
  <c r="N2226" i="1"/>
  <c r="D2227" i="1"/>
  <c r="E2227" i="1"/>
  <c r="F2227" i="1"/>
  <c r="K2227" i="1"/>
  <c r="M2227" i="1"/>
  <c r="N2227" i="1"/>
  <c r="D2228" i="1"/>
  <c r="E2228" i="1"/>
  <c r="F2228" i="1"/>
  <c r="K2228" i="1"/>
  <c r="M2228" i="1"/>
  <c r="N2228" i="1"/>
  <c r="D2229" i="1"/>
  <c r="E2229" i="1"/>
  <c r="F2229" i="1"/>
  <c r="K2229" i="1"/>
  <c r="M2229" i="1"/>
  <c r="N2229" i="1"/>
  <c r="D2230" i="1"/>
  <c r="E2230" i="1"/>
  <c r="F2230" i="1"/>
  <c r="K2230" i="1"/>
  <c r="M2230" i="1"/>
  <c r="N2230" i="1"/>
  <c r="D2231" i="1"/>
  <c r="E2231" i="1"/>
  <c r="F2231" i="1"/>
  <c r="K2231" i="1"/>
  <c r="M2231" i="1"/>
  <c r="N2231" i="1"/>
  <c r="D2232" i="1"/>
  <c r="E2232" i="1"/>
  <c r="F2232" i="1"/>
  <c r="K2232" i="1"/>
  <c r="M2232" i="1"/>
  <c r="N2232" i="1"/>
  <c r="D2233" i="1"/>
  <c r="E2233" i="1"/>
  <c r="F2233" i="1"/>
  <c r="K2233" i="1"/>
  <c r="M2233" i="1"/>
  <c r="N2233" i="1"/>
  <c r="D2234" i="1"/>
  <c r="E2234" i="1"/>
  <c r="F2234" i="1"/>
  <c r="K2234" i="1"/>
  <c r="M2234" i="1"/>
  <c r="N2234" i="1"/>
  <c r="D2235" i="1"/>
  <c r="E2235" i="1"/>
  <c r="F2235" i="1"/>
  <c r="K2235" i="1"/>
  <c r="M2235" i="1"/>
  <c r="N2235" i="1"/>
  <c r="D2236" i="1"/>
  <c r="E2236" i="1"/>
  <c r="F2236" i="1"/>
  <c r="K2236" i="1"/>
  <c r="M2236" i="1"/>
  <c r="N2236" i="1"/>
  <c r="D2237" i="1"/>
  <c r="E2237" i="1"/>
  <c r="F2237" i="1"/>
  <c r="K2237" i="1"/>
  <c r="M2237" i="1"/>
  <c r="N2237" i="1"/>
  <c r="D2238" i="1"/>
  <c r="E2238" i="1"/>
  <c r="F2238" i="1"/>
  <c r="K2238" i="1"/>
  <c r="M2238" i="1"/>
  <c r="N2238" i="1"/>
  <c r="D2239" i="1"/>
  <c r="E2239" i="1"/>
  <c r="F2239" i="1"/>
  <c r="K2239" i="1"/>
  <c r="M2239" i="1"/>
  <c r="N2239" i="1"/>
  <c r="D2240" i="1"/>
  <c r="E2240" i="1"/>
  <c r="F2240" i="1"/>
  <c r="K2240" i="1"/>
  <c r="M2240" i="1"/>
  <c r="N2240" i="1"/>
  <c r="D2241" i="1"/>
  <c r="E2241" i="1"/>
  <c r="F2241" i="1"/>
  <c r="K2241" i="1"/>
  <c r="M2241" i="1"/>
  <c r="N2241" i="1"/>
  <c r="D2242" i="1"/>
  <c r="E2242" i="1"/>
  <c r="F2242" i="1"/>
  <c r="K2242" i="1"/>
  <c r="M2242" i="1"/>
  <c r="N2242" i="1"/>
  <c r="D2243" i="1"/>
  <c r="E2243" i="1"/>
  <c r="F2243" i="1"/>
  <c r="K2243" i="1"/>
  <c r="M2243" i="1"/>
  <c r="N2243" i="1"/>
  <c r="D2244" i="1"/>
  <c r="E2244" i="1"/>
  <c r="F2244" i="1"/>
  <c r="K2244" i="1"/>
  <c r="M2244" i="1"/>
  <c r="N2244" i="1"/>
  <c r="D2245" i="1"/>
  <c r="E2245" i="1"/>
  <c r="F2245" i="1"/>
  <c r="K2245" i="1"/>
  <c r="M2245" i="1"/>
  <c r="N2245" i="1"/>
  <c r="D2246" i="1"/>
  <c r="E2246" i="1"/>
  <c r="F2246" i="1"/>
  <c r="K2246" i="1"/>
  <c r="M2246" i="1"/>
  <c r="N2246" i="1"/>
  <c r="D2247" i="1"/>
  <c r="E2247" i="1"/>
  <c r="F2247" i="1"/>
  <c r="K2247" i="1"/>
  <c r="M2247" i="1"/>
  <c r="N2247" i="1"/>
  <c r="D2248" i="1"/>
  <c r="E2248" i="1"/>
  <c r="F2248" i="1"/>
  <c r="K2248" i="1"/>
  <c r="M2248" i="1"/>
  <c r="N2248" i="1"/>
  <c r="D2249" i="1"/>
  <c r="E2249" i="1"/>
  <c r="F2249" i="1"/>
  <c r="K2249" i="1"/>
  <c r="M2249" i="1"/>
  <c r="N2249" i="1"/>
  <c r="D2250" i="1"/>
  <c r="E2250" i="1"/>
  <c r="F2250" i="1"/>
  <c r="K2250" i="1"/>
  <c r="M2250" i="1"/>
  <c r="N2250" i="1"/>
  <c r="D2025" i="1"/>
  <c r="E2025" i="1"/>
  <c r="F2025" i="1"/>
  <c r="K2025" i="1"/>
  <c r="M2025" i="1"/>
  <c r="N2025" i="1"/>
  <c r="D1731" i="1"/>
  <c r="E1731" i="1"/>
  <c r="F1731" i="1"/>
  <c r="K1731" i="1"/>
  <c r="M1731" i="1"/>
  <c r="N1731" i="1"/>
  <c r="D1575" i="1"/>
  <c r="E1575" i="1"/>
  <c r="F1575" i="1"/>
  <c r="K1575" i="1"/>
  <c r="M1575" i="1"/>
  <c r="N1575" i="1"/>
  <c r="D1520" i="1"/>
  <c r="E1520" i="1"/>
  <c r="F1520" i="1"/>
  <c r="K1520" i="1"/>
  <c r="M1520" i="1"/>
  <c r="N1520" i="1"/>
  <c r="D1469" i="1"/>
  <c r="E1469" i="1"/>
  <c r="F1469" i="1"/>
  <c r="K1469" i="1"/>
  <c r="M1469" i="1"/>
  <c r="N1469" i="1"/>
  <c r="D1423" i="1"/>
  <c r="E1423" i="1"/>
  <c r="F1423" i="1"/>
  <c r="K1423" i="1"/>
  <c r="M1423" i="1"/>
  <c r="N1423" i="1"/>
  <c r="D1357" i="1"/>
  <c r="E1357" i="1"/>
  <c r="F1357" i="1"/>
  <c r="K1357" i="1"/>
  <c r="M1357" i="1"/>
  <c r="N1357" i="1"/>
  <c r="D1299" i="1"/>
  <c r="E1299" i="1"/>
  <c r="F1299" i="1"/>
  <c r="K1299" i="1"/>
  <c r="M1299" i="1"/>
  <c r="N1299" i="1"/>
  <c r="D1242" i="1"/>
  <c r="E1242" i="1"/>
  <c r="F1242" i="1"/>
  <c r="K1242" i="1"/>
  <c r="M1242" i="1"/>
  <c r="N1242" i="1"/>
  <c r="D1184" i="1"/>
  <c r="E1184" i="1"/>
  <c r="F1184" i="1"/>
  <c r="K1184" i="1"/>
  <c r="M1184" i="1"/>
  <c r="N1184" i="1"/>
  <c r="D1135" i="1"/>
  <c r="E1135" i="1"/>
  <c r="F1135" i="1"/>
  <c r="K1135" i="1"/>
  <c r="M1135" i="1"/>
  <c r="N1135" i="1"/>
  <c r="D1076" i="1"/>
  <c r="E1076" i="1"/>
  <c r="F1076" i="1"/>
  <c r="K1076" i="1"/>
  <c r="M1076" i="1"/>
  <c r="N1076" i="1"/>
  <c r="D1013" i="1"/>
  <c r="E1013" i="1"/>
  <c r="F1013" i="1"/>
  <c r="K1013" i="1"/>
  <c r="M1013" i="1"/>
  <c r="N1013" i="1"/>
  <c r="D962" i="1"/>
  <c r="E962" i="1"/>
  <c r="F962" i="1"/>
  <c r="K962" i="1"/>
  <c r="M962" i="1"/>
  <c r="N962" i="1"/>
  <c r="D895" i="1"/>
  <c r="E895" i="1"/>
  <c r="F895" i="1"/>
  <c r="K895" i="1"/>
  <c r="M895" i="1"/>
  <c r="N895" i="1"/>
  <c r="D843" i="1"/>
  <c r="E843" i="1"/>
  <c r="F843" i="1"/>
  <c r="K843" i="1"/>
  <c r="M843" i="1"/>
  <c r="N843" i="1"/>
  <c r="D789" i="1"/>
  <c r="E789" i="1"/>
  <c r="F789" i="1"/>
  <c r="K789" i="1"/>
  <c r="M789" i="1"/>
  <c r="N789" i="1"/>
  <c r="D731" i="1"/>
  <c r="E731" i="1"/>
  <c r="F731" i="1"/>
  <c r="K731" i="1"/>
  <c r="M731" i="1"/>
  <c r="N731" i="1"/>
  <c r="D678" i="1"/>
  <c r="E678" i="1"/>
  <c r="F678" i="1"/>
  <c r="K678" i="1"/>
  <c r="M678" i="1"/>
  <c r="N678" i="1"/>
  <c r="D617" i="1"/>
  <c r="E617" i="1"/>
  <c r="F617" i="1"/>
  <c r="K617" i="1"/>
  <c r="M617" i="1"/>
  <c r="N617" i="1"/>
  <c r="D560" i="1"/>
  <c r="E560" i="1"/>
  <c r="F560" i="1"/>
  <c r="K560" i="1"/>
  <c r="M560" i="1"/>
  <c r="N560" i="1"/>
  <c r="D521" i="1"/>
  <c r="E521" i="1"/>
  <c r="F521" i="1"/>
  <c r="K521" i="1"/>
  <c r="M521" i="1"/>
  <c r="N521" i="1"/>
  <c r="D462" i="1"/>
  <c r="E462" i="1"/>
  <c r="F462" i="1"/>
  <c r="K462" i="1"/>
  <c r="M462" i="1"/>
  <c r="N462" i="1"/>
  <c r="D416" i="1"/>
  <c r="E416" i="1"/>
  <c r="F416" i="1"/>
  <c r="K416" i="1"/>
  <c r="M416" i="1"/>
  <c r="N416" i="1"/>
  <c r="D364" i="1"/>
  <c r="E364" i="1"/>
  <c r="F364" i="1"/>
  <c r="K364" i="1"/>
  <c r="M364" i="1"/>
  <c r="N364" i="1"/>
  <c r="D305" i="1"/>
  <c r="E305" i="1"/>
  <c r="F305" i="1"/>
  <c r="K305" i="1"/>
  <c r="M305" i="1"/>
  <c r="N305" i="1"/>
  <c r="D1949" i="1"/>
  <c r="E1949" i="1"/>
  <c r="F1949" i="1"/>
  <c r="K1949" i="1"/>
  <c r="M1949" i="1"/>
  <c r="N1949" i="1"/>
  <c r="D1924" i="1"/>
  <c r="E1924" i="1"/>
  <c r="F1924" i="1"/>
  <c r="K1924" i="1"/>
  <c r="M1924" i="1"/>
  <c r="N1924" i="1"/>
  <c r="D1916" i="1"/>
  <c r="E1916" i="1"/>
  <c r="F1916" i="1"/>
  <c r="K1916" i="1"/>
  <c r="M1916" i="1"/>
  <c r="N1916" i="1"/>
  <c r="D1907" i="1"/>
  <c r="E1907" i="1"/>
  <c r="F1907" i="1"/>
  <c r="K1907" i="1"/>
  <c r="M1907" i="1"/>
  <c r="N1907" i="1"/>
  <c r="D1898" i="1"/>
  <c r="E1898" i="1"/>
  <c r="F1898" i="1"/>
  <c r="K1898" i="1"/>
  <c r="M1898" i="1"/>
  <c r="N1898" i="1"/>
  <c r="D1889" i="1"/>
  <c r="E1889" i="1"/>
  <c r="F1889" i="1"/>
  <c r="K1889" i="1"/>
  <c r="M1889" i="1"/>
  <c r="N1889" i="1"/>
  <c r="D1880" i="1"/>
  <c r="E1880" i="1"/>
  <c r="F1880" i="1"/>
  <c r="K1880" i="1"/>
  <c r="M1880" i="1"/>
  <c r="N1880" i="1"/>
  <c r="D1871" i="1"/>
  <c r="E1871" i="1"/>
  <c r="F1871" i="1"/>
  <c r="K1871" i="1"/>
  <c r="M1871" i="1"/>
  <c r="N1871" i="1"/>
  <c r="D1862" i="1"/>
  <c r="E1862" i="1"/>
  <c r="F1862" i="1"/>
  <c r="K1862" i="1"/>
  <c r="M1862" i="1"/>
  <c r="N1862" i="1"/>
  <c r="D1853" i="1"/>
  <c r="E1853" i="1"/>
  <c r="F1853" i="1"/>
  <c r="K1853" i="1"/>
  <c r="M1853" i="1"/>
  <c r="N1853" i="1"/>
  <c r="D1844" i="1"/>
  <c r="E1844" i="1"/>
  <c r="F1844" i="1"/>
  <c r="K1844" i="1"/>
  <c r="M1844" i="1"/>
  <c r="N1844" i="1"/>
  <c r="D1835" i="1"/>
  <c r="E1835" i="1"/>
  <c r="F1835" i="1"/>
  <c r="K1835" i="1"/>
  <c r="M1835" i="1"/>
  <c r="N1835" i="1"/>
  <c r="D1826" i="1"/>
  <c r="E1826" i="1"/>
  <c r="F1826" i="1"/>
  <c r="K1826" i="1"/>
  <c r="M1826" i="1"/>
  <c r="N1826" i="1"/>
  <c r="D1817" i="1"/>
  <c r="E1817" i="1"/>
  <c r="F1817" i="1"/>
  <c r="K1817" i="1"/>
  <c r="M1817" i="1"/>
  <c r="N1817" i="1"/>
  <c r="D1808" i="1"/>
  <c r="E1808" i="1"/>
  <c r="F1808" i="1"/>
  <c r="K1808" i="1"/>
  <c r="M1808" i="1"/>
  <c r="N1808" i="1"/>
  <c r="D1800" i="1"/>
  <c r="E1800" i="1"/>
  <c r="F1800" i="1"/>
  <c r="K1800" i="1"/>
  <c r="M1800" i="1"/>
  <c r="N1800" i="1"/>
  <c r="D1738" i="1"/>
  <c r="E1738" i="1"/>
  <c r="F1738" i="1"/>
  <c r="K1738" i="1"/>
  <c r="M1738" i="1"/>
  <c r="N1738" i="1"/>
  <c r="D1703" i="1"/>
  <c r="E1703" i="1"/>
  <c r="F1703" i="1"/>
  <c r="K1703" i="1"/>
  <c r="M1703" i="1"/>
  <c r="N1703" i="1"/>
  <c r="D1694" i="1"/>
  <c r="E1694" i="1"/>
  <c r="F1694" i="1"/>
  <c r="K1694" i="1"/>
  <c r="M1694" i="1"/>
  <c r="N1694" i="1"/>
  <c r="D1685" i="1"/>
  <c r="E1685" i="1"/>
  <c r="F1685" i="1"/>
  <c r="K1685" i="1"/>
  <c r="M1685" i="1"/>
  <c r="N1685" i="1"/>
  <c r="D1676" i="1"/>
  <c r="E1676" i="1"/>
  <c r="F1676" i="1"/>
  <c r="K1676" i="1"/>
  <c r="M1676" i="1"/>
  <c r="N1676" i="1"/>
  <c r="D1667" i="1"/>
  <c r="E1667" i="1"/>
  <c r="F1667" i="1"/>
  <c r="K1667" i="1"/>
  <c r="M1667" i="1"/>
  <c r="N1667" i="1"/>
  <c r="D1658" i="1"/>
  <c r="E1658" i="1"/>
  <c r="F1658" i="1"/>
  <c r="K1658" i="1"/>
  <c r="M1658" i="1"/>
  <c r="N1658" i="1"/>
  <c r="D1649" i="1"/>
  <c r="E1649" i="1"/>
  <c r="F1649" i="1"/>
  <c r="K1649" i="1"/>
  <c r="M1649" i="1"/>
  <c r="N1649" i="1"/>
  <c r="D1640" i="1"/>
  <c r="E1640" i="1"/>
  <c r="F1640" i="1"/>
  <c r="K1640" i="1"/>
  <c r="M1640" i="1"/>
  <c r="N1640" i="1"/>
  <c r="D1631" i="1"/>
  <c r="E1631" i="1"/>
  <c r="F1631" i="1"/>
  <c r="K1631" i="1"/>
  <c r="M1631" i="1"/>
  <c r="N1631" i="1"/>
  <c r="D1622" i="1"/>
  <c r="E1622" i="1"/>
  <c r="F1622" i="1"/>
  <c r="K1622" i="1"/>
  <c r="M1622" i="1"/>
  <c r="N1622" i="1"/>
  <c r="D1615" i="1"/>
  <c r="E1615" i="1"/>
  <c r="F1615" i="1"/>
  <c r="K1615" i="1"/>
  <c r="M1615" i="1"/>
  <c r="N1615" i="1"/>
  <c r="D1584" i="1"/>
  <c r="E1584" i="1"/>
  <c r="F1584" i="1"/>
  <c r="K1584" i="1"/>
  <c r="M1584" i="1"/>
  <c r="N1584" i="1"/>
  <c r="D1527" i="1"/>
  <c r="E1527" i="1"/>
  <c r="F1527" i="1"/>
  <c r="K1527" i="1"/>
  <c r="M1527" i="1"/>
  <c r="N1527" i="1"/>
  <c r="D1471" i="1"/>
  <c r="E1471" i="1"/>
  <c r="F1471" i="1"/>
  <c r="K1471" i="1"/>
  <c r="M1471" i="1"/>
  <c r="N1471" i="1"/>
  <c r="D1428" i="1"/>
  <c r="E1428" i="1"/>
  <c r="F1428" i="1"/>
  <c r="K1428" i="1"/>
  <c r="M1428" i="1"/>
  <c r="N1428" i="1"/>
  <c r="D1366" i="1"/>
  <c r="E1366" i="1"/>
  <c r="F1366" i="1"/>
  <c r="K1366" i="1"/>
  <c r="M1366" i="1"/>
  <c r="N1366" i="1"/>
  <c r="D1306" i="1"/>
  <c r="E1306" i="1"/>
  <c r="F1306" i="1"/>
  <c r="K1306" i="1"/>
  <c r="M1306" i="1"/>
  <c r="N1306" i="1"/>
  <c r="D1249" i="1"/>
  <c r="E1249" i="1"/>
  <c r="F1249" i="1"/>
  <c r="K1249" i="1"/>
  <c r="M1249" i="1"/>
  <c r="N1249" i="1"/>
  <c r="D1191" i="1"/>
  <c r="E1191" i="1"/>
  <c r="F1191" i="1"/>
  <c r="K1191" i="1"/>
  <c r="M1191" i="1"/>
  <c r="N1191" i="1"/>
  <c r="D1140" i="1"/>
  <c r="E1140" i="1"/>
  <c r="F1140" i="1"/>
  <c r="K1140" i="1"/>
  <c r="M1140" i="1"/>
  <c r="N1140" i="1"/>
  <c r="D1083" i="1"/>
  <c r="E1083" i="1"/>
  <c r="F1083" i="1"/>
  <c r="K1083" i="1"/>
  <c r="M1083" i="1"/>
  <c r="N1083" i="1"/>
  <c r="D1022" i="1"/>
  <c r="E1022" i="1"/>
  <c r="F1022" i="1"/>
  <c r="K1022" i="1"/>
  <c r="M1022" i="1"/>
  <c r="N1022" i="1"/>
  <c r="D967" i="1"/>
  <c r="E967" i="1"/>
  <c r="F967" i="1"/>
  <c r="K967" i="1"/>
  <c r="M967" i="1"/>
  <c r="N967" i="1"/>
  <c r="D905" i="1"/>
  <c r="E905" i="1"/>
  <c r="F905" i="1"/>
  <c r="K905" i="1"/>
  <c r="M905" i="1"/>
  <c r="N905" i="1"/>
  <c r="D845" i="1"/>
  <c r="E845" i="1"/>
  <c r="F845" i="1"/>
  <c r="K845" i="1"/>
  <c r="M845" i="1"/>
  <c r="N845" i="1"/>
  <c r="D794" i="1"/>
  <c r="E794" i="1"/>
  <c r="F794" i="1"/>
  <c r="K794" i="1"/>
  <c r="M794" i="1"/>
  <c r="N794" i="1"/>
  <c r="D740" i="1"/>
  <c r="E740" i="1"/>
  <c r="F740" i="1"/>
  <c r="K740" i="1"/>
  <c r="M740" i="1"/>
  <c r="N740" i="1"/>
  <c r="D680" i="1"/>
  <c r="E680" i="1"/>
  <c r="F680" i="1"/>
  <c r="K680" i="1"/>
  <c r="M680" i="1"/>
  <c r="N680" i="1"/>
  <c r="D624" i="1"/>
  <c r="E624" i="1"/>
  <c r="F624" i="1"/>
  <c r="K624" i="1"/>
  <c r="M624" i="1"/>
  <c r="N624" i="1"/>
  <c r="D567" i="1"/>
  <c r="E567" i="1"/>
  <c r="F567" i="1"/>
  <c r="K567" i="1"/>
  <c r="M567" i="1"/>
  <c r="N567" i="1"/>
  <c r="D523" i="1"/>
  <c r="E523" i="1"/>
  <c r="F523" i="1"/>
  <c r="K523" i="1"/>
  <c r="M523" i="1"/>
  <c r="N523" i="1"/>
  <c r="D469" i="1"/>
  <c r="E469" i="1"/>
  <c r="F469" i="1"/>
  <c r="K469" i="1"/>
  <c r="M469" i="1"/>
  <c r="N469" i="1"/>
  <c r="D421" i="1"/>
  <c r="E421" i="1"/>
  <c r="F421" i="1"/>
  <c r="K421" i="1"/>
  <c r="M421" i="1"/>
  <c r="N421" i="1"/>
  <c r="D371" i="1"/>
  <c r="E371" i="1"/>
  <c r="F371" i="1"/>
  <c r="K371" i="1"/>
  <c r="M371" i="1"/>
  <c r="N371" i="1"/>
  <c r="D312" i="1"/>
  <c r="E312" i="1"/>
  <c r="F312" i="1"/>
  <c r="K312" i="1"/>
  <c r="M312" i="1"/>
  <c r="N312" i="1"/>
  <c r="D272" i="1"/>
  <c r="E272" i="1"/>
  <c r="F272" i="1"/>
  <c r="K272" i="1"/>
  <c r="M272" i="1"/>
  <c r="N272" i="1"/>
  <c r="D257" i="1"/>
  <c r="E257" i="1"/>
  <c r="F257" i="1"/>
  <c r="K257" i="1"/>
  <c r="M257" i="1"/>
  <c r="N257" i="1"/>
  <c r="D245" i="1"/>
  <c r="E245" i="1"/>
  <c r="F245" i="1"/>
  <c r="K245" i="1"/>
  <c r="M245" i="1"/>
  <c r="N245" i="1"/>
  <c r="D231" i="1"/>
  <c r="E231" i="1"/>
  <c r="F231" i="1"/>
  <c r="K231" i="1"/>
  <c r="M231" i="1"/>
  <c r="N231" i="1"/>
  <c r="D211" i="1"/>
  <c r="E211" i="1"/>
  <c r="F211" i="1"/>
  <c r="K211" i="1"/>
  <c r="M211" i="1"/>
  <c r="N211" i="1"/>
  <c r="D197" i="1"/>
  <c r="E197" i="1"/>
  <c r="F197" i="1"/>
  <c r="K197" i="1"/>
  <c r="M197" i="1"/>
  <c r="N197" i="1"/>
  <c r="D180" i="1"/>
  <c r="E180" i="1"/>
  <c r="F180" i="1"/>
  <c r="K180" i="1"/>
  <c r="M180" i="1"/>
  <c r="N180" i="1"/>
  <c r="D168" i="1"/>
  <c r="E168" i="1"/>
  <c r="F168" i="1"/>
  <c r="K168" i="1"/>
  <c r="M168" i="1"/>
  <c r="N168" i="1"/>
  <c r="D155" i="1"/>
  <c r="E155" i="1"/>
  <c r="F155" i="1"/>
  <c r="K155" i="1"/>
  <c r="M155" i="1"/>
  <c r="N155" i="1"/>
  <c r="D136" i="1"/>
  <c r="E136" i="1"/>
  <c r="F136" i="1"/>
  <c r="K136" i="1"/>
  <c r="M136" i="1"/>
  <c r="N136" i="1"/>
  <c r="D123" i="1"/>
  <c r="E123" i="1"/>
  <c r="F123" i="1"/>
  <c r="K123" i="1"/>
  <c r="M123" i="1"/>
  <c r="N123" i="1"/>
  <c r="D110" i="1"/>
  <c r="E110" i="1"/>
  <c r="F110" i="1"/>
  <c r="K110" i="1"/>
  <c r="M110" i="1"/>
  <c r="N110" i="1"/>
  <c r="D97" i="1"/>
  <c r="E97" i="1"/>
  <c r="F97" i="1"/>
  <c r="K97" i="1"/>
  <c r="M97" i="1"/>
  <c r="N97" i="1"/>
  <c r="D83" i="1"/>
  <c r="E83" i="1"/>
  <c r="F83" i="1"/>
  <c r="K83" i="1"/>
  <c r="M83" i="1"/>
  <c r="N83" i="1"/>
  <c r="D68" i="1"/>
  <c r="E68" i="1"/>
  <c r="F68" i="1"/>
  <c r="K68" i="1"/>
  <c r="M68" i="1"/>
  <c r="N68" i="1"/>
  <c r="D52" i="1"/>
  <c r="E52" i="1"/>
  <c r="F52" i="1"/>
  <c r="K52" i="1"/>
  <c r="M52" i="1"/>
  <c r="N52" i="1"/>
  <c r="D32" i="1"/>
  <c r="E32" i="1"/>
  <c r="F32" i="1"/>
  <c r="K32" i="1"/>
  <c r="M32" i="1"/>
  <c r="N32" i="1"/>
  <c r="D15" i="1"/>
  <c r="E15" i="1"/>
  <c r="F15" i="1"/>
  <c r="K15" i="1"/>
  <c r="M15" i="1"/>
  <c r="N15" i="1"/>
  <c r="D3" i="1"/>
  <c r="E3" i="1"/>
  <c r="F3" i="1"/>
  <c r="K3" i="1"/>
  <c r="M3" i="1"/>
  <c r="N3" i="1"/>
  <c r="D1740" i="1"/>
  <c r="E1740" i="1"/>
  <c r="F1740" i="1"/>
  <c r="K1740" i="1"/>
  <c r="M1740" i="1"/>
  <c r="N1740" i="1"/>
  <c r="D1587" i="1"/>
  <c r="E1587" i="1"/>
  <c r="F1587" i="1"/>
  <c r="K1587" i="1"/>
  <c r="M1587" i="1"/>
  <c r="N1587" i="1"/>
  <c r="D1529" i="1"/>
  <c r="E1529" i="1"/>
  <c r="F1529" i="1"/>
  <c r="K1529" i="1"/>
  <c r="M1529" i="1"/>
  <c r="N1529" i="1"/>
  <c r="D1473" i="1"/>
  <c r="E1473" i="1"/>
  <c r="F1473" i="1"/>
  <c r="K1473" i="1"/>
  <c r="M1473" i="1"/>
  <c r="N1473" i="1"/>
  <c r="D1429" i="1"/>
  <c r="E1429" i="1"/>
  <c r="F1429" i="1"/>
  <c r="K1429" i="1"/>
  <c r="M1429" i="1"/>
  <c r="N1429" i="1"/>
  <c r="D1369" i="1"/>
  <c r="E1369" i="1"/>
  <c r="F1369" i="1"/>
  <c r="K1369" i="1"/>
  <c r="M1369" i="1"/>
  <c r="N1369" i="1"/>
  <c r="D1308" i="1"/>
  <c r="E1308" i="1"/>
  <c r="F1308" i="1"/>
  <c r="K1308" i="1"/>
  <c r="M1308" i="1"/>
  <c r="N1308" i="1"/>
  <c r="D1251" i="1"/>
  <c r="E1251" i="1"/>
  <c r="F1251" i="1"/>
  <c r="K1251" i="1"/>
  <c r="M1251" i="1"/>
  <c r="N1251" i="1"/>
  <c r="D1193" i="1"/>
  <c r="E1193" i="1"/>
  <c r="F1193" i="1"/>
  <c r="K1193" i="1"/>
  <c r="M1193" i="1"/>
  <c r="N1193" i="1"/>
  <c r="D1142" i="1"/>
  <c r="E1142" i="1"/>
  <c r="F1142" i="1"/>
  <c r="K1142" i="1"/>
  <c r="M1142" i="1"/>
  <c r="N1142" i="1"/>
  <c r="D1141" i="1"/>
  <c r="E1141" i="1"/>
  <c r="F1141" i="1"/>
  <c r="K1141" i="1"/>
  <c r="M1141" i="1"/>
  <c r="N1141" i="1"/>
  <c r="D1085" i="1"/>
  <c r="E1085" i="1"/>
  <c r="F1085" i="1"/>
  <c r="K1085" i="1"/>
  <c r="M1085" i="1"/>
  <c r="N1085" i="1"/>
  <c r="D1025" i="1"/>
  <c r="E1025" i="1"/>
  <c r="F1025" i="1"/>
  <c r="K1025" i="1"/>
  <c r="M1025" i="1"/>
  <c r="N1025" i="1"/>
  <c r="D968" i="1"/>
  <c r="E968" i="1"/>
  <c r="F968" i="1"/>
  <c r="K968" i="1"/>
  <c r="M968" i="1"/>
  <c r="N968" i="1"/>
  <c r="D908" i="1"/>
  <c r="E908" i="1"/>
  <c r="F908" i="1"/>
  <c r="K908" i="1"/>
  <c r="M908" i="1"/>
  <c r="N908" i="1"/>
  <c r="D847" i="1"/>
  <c r="E847" i="1"/>
  <c r="F847" i="1"/>
  <c r="K847" i="1"/>
  <c r="M847" i="1"/>
  <c r="N847" i="1"/>
  <c r="D795" i="1"/>
  <c r="E795" i="1"/>
  <c r="F795" i="1"/>
  <c r="K795" i="1"/>
  <c r="M795" i="1"/>
  <c r="N795" i="1"/>
  <c r="D743" i="1"/>
  <c r="E743" i="1"/>
  <c r="F743" i="1"/>
  <c r="K743" i="1"/>
  <c r="M743" i="1"/>
  <c r="N743" i="1"/>
  <c r="D682" i="1"/>
  <c r="E682" i="1"/>
  <c r="F682" i="1"/>
  <c r="K682" i="1"/>
  <c r="M682" i="1"/>
  <c r="N682" i="1"/>
  <c r="D626" i="1"/>
  <c r="E626" i="1"/>
  <c r="F626" i="1"/>
  <c r="K626" i="1"/>
  <c r="M626" i="1"/>
  <c r="N626" i="1"/>
  <c r="D569" i="1"/>
  <c r="E569" i="1"/>
  <c r="F569" i="1"/>
  <c r="K569" i="1"/>
  <c r="M569" i="1"/>
  <c r="N569" i="1"/>
  <c r="D525" i="1"/>
  <c r="E525" i="1"/>
  <c r="F525" i="1"/>
  <c r="K525" i="1"/>
  <c r="M525" i="1"/>
  <c r="N525" i="1"/>
  <c r="D471" i="1"/>
  <c r="E471" i="1"/>
  <c r="F471" i="1"/>
  <c r="K471" i="1"/>
  <c r="M471" i="1"/>
  <c r="N471" i="1"/>
  <c r="D422" i="1"/>
  <c r="E422" i="1"/>
  <c r="F422" i="1"/>
  <c r="K422" i="1"/>
  <c r="M422" i="1"/>
  <c r="N422" i="1"/>
  <c r="D373" i="1"/>
  <c r="E373" i="1"/>
  <c r="F373" i="1"/>
  <c r="K373" i="1"/>
  <c r="M373" i="1"/>
  <c r="N373" i="1"/>
  <c r="D314" i="1"/>
  <c r="E314" i="1"/>
  <c r="F314" i="1"/>
  <c r="K314" i="1"/>
  <c r="M314" i="1"/>
  <c r="N314" i="1"/>
  <c r="D1752" i="1"/>
  <c r="E1752" i="1"/>
  <c r="F1752" i="1"/>
  <c r="K1752" i="1"/>
  <c r="M1752" i="1"/>
  <c r="N1752" i="1"/>
  <c r="D1600" i="1"/>
  <c r="E1600" i="1"/>
  <c r="F1600" i="1"/>
  <c r="K1600" i="1"/>
  <c r="M1600" i="1"/>
  <c r="N1600" i="1"/>
  <c r="D1540" i="1"/>
  <c r="E1540" i="1"/>
  <c r="F1540" i="1"/>
  <c r="K1540" i="1"/>
  <c r="M1540" i="1"/>
  <c r="N1540" i="1"/>
  <c r="D1484" i="1"/>
  <c r="E1484" i="1"/>
  <c r="F1484" i="1"/>
  <c r="K1484" i="1"/>
  <c r="M1484" i="1"/>
  <c r="N1484" i="1"/>
  <c r="D1438" i="1"/>
  <c r="E1438" i="1"/>
  <c r="F1438" i="1"/>
  <c r="K1438" i="1"/>
  <c r="M1438" i="1"/>
  <c r="N1438" i="1"/>
  <c r="D1382" i="1"/>
  <c r="E1382" i="1"/>
  <c r="F1382" i="1"/>
  <c r="K1382" i="1"/>
  <c r="M1382" i="1"/>
  <c r="N1382" i="1"/>
  <c r="D1319" i="1"/>
  <c r="E1319" i="1"/>
  <c r="F1319" i="1"/>
  <c r="K1319" i="1"/>
  <c r="M1319" i="1"/>
  <c r="N1319" i="1"/>
  <c r="D1262" i="1"/>
  <c r="E1262" i="1"/>
  <c r="F1262" i="1"/>
  <c r="K1262" i="1"/>
  <c r="M1262" i="1"/>
  <c r="N1262" i="1"/>
  <c r="D1204" i="1"/>
  <c r="E1204" i="1"/>
  <c r="F1204" i="1"/>
  <c r="K1204" i="1"/>
  <c r="M1204" i="1"/>
  <c r="N1204" i="1"/>
  <c r="D1151" i="1"/>
  <c r="E1151" i="1"/>
  <c r="F1151" i="1"/>
  <c r="K1151" i="1"/>
  <c r="M1151" i="1"/>
  <c r="N1151" i="1"/>
  <c r="D1096" i="1"/>
  <c r="E1096" i="1"/>
  <c r="F1096" i="1"/>
  <c r="K1096" i="1"/>
  <c r="M1096" i="1"/>
  <c r="N1096" i="1"/>
  <c r="D1038" i="1"/>
  <c r="E1038" i="1"/>
  <c r="F1038" i="1"/>
  <c r="K1038" i="1"/>
  <c r="M1038" i="1"/>
  <c r="N1038" i="1"/>
  <c r="D977" i="1"/>
  <c r="E977" i="1"/>
  <c r="F977" i="1"/>
  <c r="K977" i="1"/>
  <c r="M977" i="1"/>
  <c r="N977" i="1"/>
  <c r="D921" i="1"/>
  <c r="E921" i="1"/>
  <c r="F921" i="1"/>
  <c r="K921" i="1"/>
  <c r="M921" i="1"/>
  <c r="N921" i="1"/>
  <c r="D858" i="1"/>
  <c r="E858" i="1"/>
  <c r="F858" i="1"/>
  <c r="K858" i="1"/>
  <c r="M858" i="1"/>
  <c r="N858" i="1"/>
  <c r="D804" i="1"/>
  <c r="E804" i="1"/>
  <c r="F804" i="1"/>
  <c r="K804" i="1"/>
  <c r="M804" i="1"/>
  <c r="N804" i="1"/>
  <c r="D756" i="1"/>
  <c r="E756" i="1"/>
  <c r="F756" i="1"/>
  <c r="K756" i="1"/>
  <c r="M756" i="1"/>
  <c r="N756" i="1"/>
  <c r="D693" i="1"/>
  <c r="E693" i="1"/>
  <c r="F693" i="1"/>
  <c r="K693" i="1"/>
  <c r="M693" i="1"/>
  <c r="N693" i="1"/>
  <c r="D637" i="1"/>
  <c r="E637" i="1"/>
  <c r="F637" i="1"/>
  <c r="K637" i="1"/>
  <c r="M637" i="1"/>
  <c r="N637" i="1"/>
  <c r="D580" i="1"/>
  <c r="E580" i="1"/>
  <c r="F580" i="1"/>
  <c r="K580" i="1"/>
  <c r="M580" i="1"/>
  <c r="N580" i="1"/>
  <c r="D482" i="1"/>
  <c r="E482" i="1"/>
  <c r="F482" i="1"/>
  <c r="K482" i="1"/>
  <c r="M482" i="1"/>
  <c r="N482" i="1"/>
  <c r="D431" i="1"/>
  <c r="E431" i="1"/>
  <c r="F431" i="1"/>
  <c r="K431" i="1"/>
  <c r="M431" i="1"/>
  <c r="N431" i="1"/>
  <c r="D384" i="1"/>
  <c r="E384" i="1"/>
  <c r="F384" i="1"/>
  <c r="K384" i="1"/>
  <c r="M384" i="1"/>
  <c r="N384" i="1"/>
  <c r="D327" i="1"/>
  <c r="E327" i="1"/>
  <c r="F327" i="1"/>
  <c r="K327" i="1"/>
  <c r="M327" i="1"/>
  <c r="N327" i="1"/>
  <c r="D279" i="1"/>
  <c r="E279" i="1"/>
  <c r="F279" i="1"/>
  <c r="K279" i="1"/>
  <c r="M279" i="1"/>
  <c r="N279" i="1"/>
  <c r="D264" i="1"/>
  <c r="E264" i="1"/>
  <c r="F264" i="1"/>
  <c r="K264" i="1"/>
  <c r="M264" i="1"/>
  <c r="N264" i="1"/>
  <c r="D252" i="1"/>
  <c r="E252" i="1"/>
  <c r="F252" i="1"/>
  <c r="K252" i="1"/>
  <c r="M252" i="1"/>
  <c r="N252" i="1"/>
  <c r="D238" i="1"/>
  <c r="E238" i="1"/>
  <c r="F238" i="1"/>
  <c r="K238" i="1"/>
  <c r="M238" i="1"/>
  <c r="N238" i="1"/>
  <c r="D218" i="1"/>
  <c r="E218" i="1"/>
  <c r="F218" i="1"/>
  <c r="K218" i="1"/>
  <c r="M218" i="1"/>
  <c r="N218" i="1"/>
  <c r="D204" i="1"/>
  <c r="E204" i="1"/>
  <c r="F204" i="1"/>
  <c r="K204" i="1"/>
  <c r="M204" i="1"/>
  <c r="N204" i="1"/>
  <c r="D187" i="1"/>
  <c r="E187" i="1"/>
  <c r="F187" i="1"/>
  <c r="K187" i="1"/>
  <c r="M187" i="1"/>
  <c r="N187" i="1"/>
  <c r="D176" i="1"/>
  <c r="E176" i="1"/>
  <c r="F176" i="1"/>
  <c r="K176" i="1"/>
  <c r="M176" i="1"/>
  <c r="N176" i="1"/>
  <c r="D162" i="1"/>
  <c r="E162" i="1"/>
  <c r="F162" i="1"/>
  <c r="K162" i="1"/>
  <c r="M162" i="1"/>
  <c r="N162" i="1"/>
  <c r="D143" i="1"/>
  <c r="E143" i="1"/>
  <c r="F143" i="1"/>
  <c r="K143" i="1"/>
  <c r="M143" i="1"/>
  <c r="N143" i="1"/>
  <c r="D130" i="1"/>
  <c r="E130" i="1"/>
  <c r="F130" i="1"/>
  <c r="K130" i="1"/>
  <c r="M130" i="1"/>
  <c r="N130" i="1"/>
  <c r="D117" i="1"/>
  <c r="E117" i="1"/>
  <c r="F117" i="1"/>
  <c r="K117" i="1"/>
  <c r="M117" i="1"/>
  <c r="N117" i="1"/>
  <c r="D104" i="1"/>
  <c r="E104" i="1"/>
  <c r="F104" i="1"/>
  <c r="K104" i="1"/>
  <c r="M104" i="1"/>
  <c r="N104" i="1"/>
  <c r="D90" i="1"/>
  <c r="E90" i="1"/>
  <c r="F90" i="1"/>
  <c r="K90" i="1"/>
  <c r="M90" i="1"/>
  <c r="N90" i="1"/>
  <c r="D75" i="1"/>
  <c r="E75" i="1"/>
  <c r="F75" i="1"/>
  <c r="K75" i="1"/>
  <c r="M75" i="1"/>
  <c r="N75" i="1"/>
  <c r="D59" i="1"/>
  <c r="E59" i="1"/>
  <c r="F59" i="1"/>
  <c r="K59" i="1"/>
  <c r="M59" i="1"/>
  <c r="N59" i="1"/>
  <c r="N39" i="1"/>
  <c r="M39" i="1"/>
  <c r="K39" i="1"/>
  <c r="F39" i="1"/>
  <c r="E39" i="1"/>
  <c r="D39" i="1"/>
  <c r="D22" i="1"/>
  <c r="E22" i="1"/>
  <c r="F22" i="1"/>
  <c r="K22" i="1"/>
  <c r="M22" i="1"/>
  <c r="N22" i="1"/>
  <c r="D9" i="1"/>
  <c r="E9" i="1"/>
  <c r="F9" i="1"/>
  <c r="K9" i="1"/>
  <c r="M9" i="1"/>
  <c r="N9" i="1"/>
  <c r="D1758" i="1"/>
  <c r="E1758" i="1"/>
  <c r="F1758" i="1"/>
  <c r="K1758" i="1"/>
  <c r="M1758" i="1"/>
  <c r="N1758" i="1"/>
  <c r="D1606" i="1"/>
  <c r="E1606" i="1"/>
  <c r="F1606" i="1"/>
  <c r="K1606" i="1"/>
  <c r="M1606" i="1"/>
  <c r="N1606" i="1"/>
  <c r="D1546" i="1"/>
  <c r="E1546" i="1"/>
  <c r="F1546" i="1"/>
  <c r="K1546" i="1"/>
  <c r="M1546" i="1"/>
  <c r="N1546" i="1"/>
  <c r="D1490" i="1"/>
  <c r="E1490" i="1"/>
  <c r="F1490" i="1"/>
  <c r="K1490" i="1"/>
  <c r="M1490" i="1"/>
  <c r="N1490" i="1"/>
  <c r="D1444" i="1"/>
  <c r="E1444" i="1"/>
  <c r="F1444" i="1"/>
  <c r="K1444" i="1"/>
  <c r="M1444" i="1"/>
  <c r="N1444" i="1"/>
  <c r="D1388" i="1"/>
  <c r="E1388" i="1"/>
  <c r="F1388" i="1"/>
  <c r="K1388" i="1"/>
  <c r="M1388" i="1"/>
  <c r="N1388" i="1"/>
  <c r="D1325" i="1"/>
  <c r="E1325" i="1"/>
  <c r="F1325" i="1"/>
  <c r="K1325" i="1"/>
  <c r="M1325" i="1"/>
  <c r="N1325" i="1"/>
  <c r="D1268" i="1"/>
  <c r="E1268" i="1"/>
  <c r="F1268" i="1"/>
  <c r="K1268" i="1"/>
  <c r="M1268" i="1"/>
  <c r="N1268" i="1"/>
  <c r="D1210" i="1"/>
  <c r="E1210" i="1"/>
  <c r="F1210" i="1"/>
  <c r="K1210" i="1"/>
  <c r="M1210" i="1"/>
  <c r="N1210" i="1"/>
  <c r="D1157" i="1"/>
  <c r="E1157" i="1"/>
  <c r="F1157" i="1"/>
  <c r="K1157" i="1"/>
  <c r="M1157" i="1"/>
  <c r="N1157" i="1"/>
  <c r="D1102" i="1"/>
  <c r="E1102" i="1"/>
  <c r="F1102" i="1"/>
  <c r="K1102" i="1"/>
  <c r="M1102" i="1"/>
  <c r="N1102" i="1"/>
  <c r="D1044" i="1"/>
  <c r="E1044" i="1"/>
  <c r="F1044" i="1"/>
  <c r="K1044" i="1"/>
  <c r="M1044" i="1"/>
  <c r="N1044" i="1"/>
  <c r="D983" i="1"/>
  <c r="E983" i="1"/>
  <c r="F983" i="1"/>
  <c r="K983" i="1"/>
  <c r="M983" i="1"/>
  <c r="N983" i="1"/>
  <c r="D927" i="1"/>
  <c r="E927" i="1"/>
  <c r="F927" i="1"/>
  <c r="K927" i="1"/>
  <c r="M927" i="1"/>
  <c r="N927" i="1"/>
  <c r="D864" i="1"/>
  <c r="E864" i="1"/>
  <c r="F864" i="1"/>
  <c r="K864" i="1"/>
  <c r="M864" i="1"/>
  <c r="N864" i="1"/>
  <c r="D810" i="1"/>
  <c r="E810" i="1"/>
  <c r="F810" i="1"/>
  <c r="K810" i="1"/>
  <c r="M810" i="1"/>
  <c r="N810" i="1"/>
  <c r="D762" i="1"/>
  <c r="E762" i="1"/>
  <c r="F762" i="1"/>
  <c r="K762" i="1"/>
  <c r="M762" i="1"/>
  <c r="N762" i="1"/>
  <c r="D699" i="1"/>
  <c r="E699" i="1"/>
  <c r="F699" i="1"/>
  <c r="K699" i="1"/>
  <c r="M699" i="1"/>
  <c r="N699" i="1"/>
  <c r="D643" i="1"/>
  <c r="E643" i="1"/>
  <c r="F643" i="1"/>
  <c r="K643" i="1"/>
  <c r="M643" i="1"/>
  <c r="N643" i="1"/>
  <c r="D586" i="1"/>
  <c r="E586" i="1"/>
  <c r="F586" i="1"/>
  <c r="K586" i="1"/>
  <c r="M586" i="1"/>
  <c r="N586" i="1"/>
  <c r="D535" i="1"/>
  <c r="E535" i="1"/>
  <c r="F535" i="1"/>
  <c r="K535" i="1"/>
  <c r="M535" i="1"/>
  <c r="N535" i="1"/>
  <c r="D488" i="1"/>
  <c r="E488" i="1"/>
  <c r="F488" i="1"/>
  <c r="K488" i="1"/>
  <c r="M488" i="1"/>
  <c r="N488" i="1"/>
  <c r="D438" i="1"/>
  <c r="E438" i="1"/>
  <c r="F438" i="1"/>
  <c r="K438" i="1"/>
  <c r="M438" i="1"/>
  <c r="N438" i="1"/>
  <c r="D390" i="1"/>
  <c r="E390" i="1"/>
  <c r="F390" i="1"/>
  <c r="K390" i="1"/>
  <c r="M390" i="1"/>
  <c r="N390" i="1"/>
  <c r="D333" i="1"/>
  <c r="E333" i="1"/>
  <c r="F333" i="1"/>
  <c r="K333" i="1"/>
  <c r="M333" i="1"/>
  <c r="N333" i="1"/>
  <c r="D1756" i="1"/>
  <c r="E1756" i="1"/>
  <c r="F1756" i="1"/>
  <c r="K1756" i="1"/>
  <c r="M1756" i="1"/>
  <c r="N1756" i="1"/>
  <c r="D1604" i="1"/>
  <c r="E1604" i="1"/>
  <c r="F1604" i="1"/>
  <c r="K1604" i="1"/>
  <c r="M1604" i="1"/>
  <c r="N1604" i="1"/>
  <c r="D1544" i="1"/>
  <c r="E1544" i="1"/>
  <c r="F1544" i="1"/>
  <c r="K1544" i="1"/>
  <c r="M1544" i="1"/>
  <c r="N1544" i="1"/>
  <c r="D1488" i="1"/>
  <c r="E1488" i="1"/>
  <c r="F1488" i="1"/>
  <c r="K1488" i="1"/>
  <c r="M1488" i="1"/>
  <c r="N1488" i="1"/>
  <c r="D1442" i="1"/>
  <c r="E1442" i="1"/>
  <c r="F1442" i="1"/>
  <c r="K1442" i="1"/>
  <c r="M1442" i="1"/>
  <c r="N1442" i="1"/>
  <c r="D1386" i="1"/>
  <c r="E1386" i="1"/>
  <c r="F1386" i="1"/>
  <c r="K1386" i="1"/>
  <c r="M1386" i="1"/>
  <c r="N1386" i="1"/>
  <c r="D1323" i="1"/>
  <c r="E1323" i="1"/>
  <c r="F1323" i="1"/>
  <c r="K1323" i="1"/>
  <c r="M1323" i="1"/>
  <c r="N1323" i="1"/>
  <c r="D1266" i="1"/>
  <c r="E1266" i="1"/>
  <c r="F1266" i="1"/>
  <c r="K1266" i="1"/>
  <c r="M1266" i="1"/>
  <c r="N1266" i="1"/>
  <c r="D1208" i="1"/>
  <c r="E1208" i="1"/>
  <c r="F1208" i="1"/>
  <c r="K1208" i="1"/>
  <c r="M1208" i="1"/>
  <c r="N1208" i="1"/>
  <c r="D1155" i="1"/>
  <c r="E1155" i="1"/>
  <c r="F1155" i="1"/>
  <c r="K1155" i="1"/>
  <c r="M1155" i="1"/>
  <c r="N1155" i="1"/>
  <c r="D1100" i="1"/>
  <c r="E1100" i="1"/>
  <c r="F1100" i="1"/>
  <c r="K1100" i="1"/>
  <c r="M1100" i="1"/>
  <c r="N1100" i="1"/>
  <c r="D1042" i="1"/>
  <c r="E1042" i="1"/>
  <c r="F1042" i="1"/>
  <c r="K1042" i="1"/>
  <c r="M1042" i="1"/>
  <c r="N1042" i="1"/>
  <c r="D981" i="1"/>
  <c r="E981" i="1"/>
  <c r="F981" i="1"/>
  <c r="K981" i="1"/>
  <c r="M981" i="1"/>
  <c r="N981" i="1"/>
  <c r="D925" i="1"/>
  <c r="E925" i="1"/>
  <c r="F925" i="1"/>
  <c r="K925" i="1"/>
  <c r="M925" i="1"/>
  <c r="N925" i="1"/>
  <c r="D862" i="1"/>
  <c r="E862" i="1"/>
  <c r="F862" i="1"/>
  <c r="K862" i="1"/>
  <c r="M862" i="1"/>
  <c r="N862" i="1"/>
  <c r="D808" i="1"/>
  <c r="E808" i="1"/>
  <c r="F808" i="1"/>
  <c r="K808" i="1"/>
  <c r="M808" i="1"/>
  <c r="N808" i="1"/>
  <c r="D760" i="1"/>
  <c r="E760" i="1"/>
  <c r="F760" i="1"/>
  <c r="K760" i="1"/>
  <c r="M760" i="1"/>
  <c r="N760" i="1"/>
  <c r="D697" i="1"/>
  <c r="E697" i="1"/>
  <c r="F697" i="1"/>
  <c r="K697" i="1"/>
  <c r="M697" i="1"/>
  <c r="N697" i="1"/>
  <c r="D641" i="1"/>
  <c r="E641" i="1"/>
  <c r="F641" i="1"/>
  <c r="K641" i="1"/>
  <c r="M641" i="1"/>
  <c r="N641" i="1"/>
  <c r="D584" i="1"/>
  <c r="E584" i="1"/>
  <c r="F584" i="1"/>
  <c r="K584" i="1"/>
  <c r="M584" i="1"/>
  <c r="N584" i="1"/>
  <c r="D533" i="1"/>
  <c r="E533" i="1"/>
  <c r="F533" i="1"/>
  <c r="K533" i="1"/>
  <c r="M533" i="1"/>
  <c r="N533" i="1"/>
  <c r="D486" i="1"/>
  <c r="E486" i="1"/>
  <c r="F486" i="1"/>
  <c r="K486" i="1"/>
  <c r="M486" i="1"/>
  <c r="N486" i="1"/>
  <c r="D435" i="1"/>
  <c r="E435" i="1"/>
  <c r="F435" i="1"/>
  <c r="K435" i="1"/>
  <c r="M435" i="1"/>
  <c r="N435" i="1"/>
  <c r="D388" i="1"/>
  <c r="E388" i="1"/>
  <c r="F388" i="1"/>
  <c r="K388" i="1"/>
  <c r="M388" i="1"/>
  <c r="N388" i="1"/>
  <c r="D331" i="1"/>
  <c r="E331" i="1"/>
  <c r="F331" i="1"/>
  <c r="K331" i="1"/>
  <c r="M331" i="1"/>
  <c r="N331" i="1"/>
  <c r="D1757" i="1"/>
  <c r="E1757" i="1"/>
  <c r="F1757" i="1"/>
  <c r="K1757" i="1"/>
  <c r="M1757" i="1"/>
  <c r="N1757" i="1"/>
  <c r="D1605" i="1"/>
  <c r="E1605" i="1"/>
  <c r="F1605" i="1"/>
  <c r="K1605" i="1"/>
  <c r="M1605" i="1"/>
  <c r="N1605" i="1"/>
  <c r="D1545" i="1"/>
  <c r="E1545" i="1"/>
  <c r="F1545" i="1"/>
  <c r="K1545" i="1"/>
  <c r="M1545" i="1"/>
  <c r="N1545" i="1"/>
  <c r="D1489" i="1"/>
  <c r="E1489" i="1"/>
  <c r="F1489" i="1"/>
  <c r="K1489" i="1"/>
  <c r="M1489" i="1"/>
  <c r="N1489" i="1"/>
  <c r="D1443" i="1"/>
  <c r="E1443" i="1"/>
  <c r="F1443" i="1"/>
  <c r="K1443" i="1"/>
  <c r="M1443" i="1"/>
  <c r="N1443" i="1"/>
  <c r="D1387" i="1"/>
  <c r="E1387" i="1"/>
  <c r="F1387" i="1"/>
  <c r="K1387" i="1"/>
  <c r="M1387" i="1"/>
  <c r="N1387" i="1"/>
  <c r="D1324" i="1"/>
  <c r="E1324" i="1"/>
  <c r="F1324" i="1"/>
  <c r="K1324" i="1"/>
  <c r="M1324" i="1"/>
  <c r="N1324" i="1"/>
  <c r="D1267" i="1"/>
  <c r="E1267" i="1"/>
  <c r="F1267" i="1"/>
  <c r="K1267" i="1"/>
  <c r="M1267" i="1"/>
  <c r="N1267" i="1"/>
  <c r="D1209" i="1"/>
  <c r="E1209" i="1"/>
  <c r="F1209" i="1"/>
  <c r="K1209" i="1"/>
  <c r="M1209" i="1"/>
  <c r="N1209" i="1"/>
  <c r="D1156" i="1"/>
  <c r="E1156" i="1"/>
  <c r="F1156" i="1"/>
  <c r="K1156" i="1"/>
  <c r="M1156" i="1"/>
  <c r="N1156" i="1"/>
  <c r="D1101" i="1"/>
  <c r="E1101" i="1"/>
  <c r="F1101" i="1"/>
  <c r="K1101" i="1"/>
  <c r="M1101" i="1"/>
  <c r="N1101" i="1"/>
  <c r="D1043" i="1"/>
  <c r="E1043" i="1"/>
  <c r="F1043" i="1"/>
  <c r="K1043" i="1"/>
  <c r="M1043" i="1"/>
  <c r="N1043" i="1"/>
  <c r="D982" i="1"/>
  <c r="E982" i="1"/>
  <c r="F982" i="1"/>
  <c r="K982" i="1"/>
  <c r="M982" i="1"/>
  <c r="N982" i="1"/>
  <c r="D926" i="1"/>
  <c r="E926" i="1"/>
  <c r="F926" i="1"/>
  <c r="K926" i="1"/>
  <c r="M926" i="1"/>
  <c r="N926" i="1"/>
  <c r="D863" i="1"/>
  <c r="E863" i="1"/>
  <c r="F863" i="1"/>
  <c r="K863" i="1"/>
  <c r="M863" i="1"/>
  <c r="N863" i="1"/>
  <c r="D809" i="1"/>
  <c r="E809" i="1"/>
  <c r="F809" i="1"/>
  <c r="K809" i="1"/>
  <c r="M809" i="1"/>
  <c r="N809" i="1"/>
  <c r="D761" i="1"/>
  <c r="E761" i="1"/>
  <c r="F761" i="1"/>
  <c r="K761" i="1"/>
  <c r="M761" i="1"/>
  <c r="N761" i="1"/>
  <c r="D698" i="1"/>
  <c r="E698" i="1"/>
  <c r="F698" i="1"/>
  <c r="K698" i="1"/>
  <c r="M698" i="1"/>
  <c r="N698" i="1"/>
  <c r="D642" i="1"/>
  <c r="E642" i="1"/>
  <c r="F642" i="1"/>
  <c r="K642" i="1"/>
  <c r="M642" i="1"/>
  <c r="N642" i="1"/>
  <c r="D585" i="1"/>
  <c r="E585" i="1"/>
  <c r="F585" i="1"/>
  <c r="K585" i="1"/>
  <c r="M585" i="1"/>
  <c r="N585" i="1"/>
  <c r="D534" i="1"/>
  <c r="E534" i="1"/>
  <c r="F534" i="1"/>
  <c r="K534" i="1"/>
  <c r="M534" i="1"/>
  <c r="N534" i="1"/>
  <c r="D487" i="1"/>
  <c r="E487" i="1"/>
  <c r="F487" i="1"/>
  <c r="K487" i="1"/>
  <c r="M487" i="1"/>
  <c r="N487" i="1"/>
  <c r="D436" i="1"/>
  <c r="E436" i="1"/>
  <c r="F436" i="1"/>
  <c r="K436" i="1"/>
  <c r="M436" i="1"/>
  <c r="N436" i="1"/>
  <c r="D389" i="1"/>
  <c r="E389" i="1"/>
  <c r="F389" i="1"/>
  <c r="K389" i="1"/>
  <c r="M389" i="1"/>
  <c r="N389" i="1"/>
  <c r="D332" i="1"/>
  <c r="E332" i="1"/>
  <c r="F332" i="1"/>
  <c r="K332" i="1"/>
  <c r="M332" i="1"/>
  <c r="N332" i="1"/>
  <c r="D1759" i="1"/>
  <c r="E1759" i="1"/>
  <c r="F1759" i="1"/>
  <c r="K1759" i="1"/>
  <c r="M1759" i="1"/>
  <c r="N1759" i="1"/>
  <c r="D1607" i="1"/>
  <c r="E1607" i="1"/>
  <c r="F1607" i="1"/>
  <c r="K1607" i="1"/>
  <c r="M1607" i="1"/>
  <c r="N1607" i="1"/>
  <c r="D1547" i="1"/>
  <c r="E1547" i="1"/>
  <c r="F1547" i="1"/>
  <c r="K1547" i="1"/>
  <c r="M1547" i="1"/>
  <c r="N1547" i="1"/>
  <c r="D1491" i="1"/>
  <c r="E1491" i="1"/>
  <c r="F1491" i="1"/>
  <c r="K1491" i="1"/>
  <c r="M1491" i="1"/>
  <c r="N1491" i="1"/>
  <c r="D1445" i="1"/>
  <c r="E1445" i="1"/>
  <c r="F1445" i="1"/>
  <c r="K1445" i="1"/>
  <c r="M1445" i="1"/>
  <c r="N1445" i="1"/>
  <c r="D1389" i="1"/>
  <c r="E1389" i="1"/>
  <c r="F1389" i="1"/>
  <c r="K1389" i="1"/>
  <c r="M1389" i="1"/>
  <c r="N1389" i="1"/>
  <c r="D1326" i="1"/>
  <c r="E1326" i="1"/>
  <c r="F1326" i="1"/>
  <c r="K1326" i="1"/>
  <c r="M1326" i="1"/>
  <c r="N1326" i="1"/>
  <c r="D1269" i="1"/>
  <c r="E1269" i="1"/>
  <c r="F1269" i="1"/>
  <c r="K1269" i="1"/>
  <c r="M1269" i="1"/>
  <c r="N1269" i="1"/>
  <c r="D1211" i="1"/>
  <c r="E1211" i="1"/>
  <c r="F1211" i="1"/>
  <c r="K1211" i="1"/>
  <c r="M1211" i="1"/>
  <c r="N1211" i="1"/>
  <c r="D1158" i="1"/>
  <c r="E1158" i="1"/>
  <c r="F1158" i="1"/>
  <c r="K1158" i="1"/>
  <c r="M1158" i="1"/>
  <c r="N1158" i="1"/>
  <c r="D1103" i="1"/>
  <c r="E1103" i="1"/>
  <c r="F1103" i="1"/>
  <c r="K1103" i="1"/>
  <c r="M1103" i="1"/>
  <c r="N1103" i="1"/>
  <c r="D1045" i="1"/>
  <c r="E1045" i="1"/>
  <c r="F1045" i="1"/>
  <c r="K1045" i="1"/>
  <c r="M1045" i="1"/>
  <c r="N1045" i="1"/>
  <c r="D984" i="1"/>
  <c r="E984" i="1"/>
  <c r="F984" i="1"/>
  <c r="K984" i="1"/>
  <c r="M984" i="1"/>
  <c r="N984" i="1"/>
  <c r="D928" i="1"/>
  <c r="E928" i="1"/>
  <c r="F928" i="1"/>
  <c r="K928" i="1"/>
  <c r="M928" i="1"/>
  <c r="N928" i="1"/>
  <c r="D865" i="1"/>
  <c r="E865" i="1"/>
  <c r="F865" i="1"/>
  <c r="K865" i="1"/>
  <c r="M865" i="1"/>
  <c r="N865" i="1"/>
  <c r="D811" i="1"/>
  <c r="E811" i="1"/>
  <c r="F811" i="1"/>
  <c r="K811" i="1"/>
  <c r="M811" i="1"/>
  <c r="N811" i="1"/>
  <c r="D763" i="1"/>
  <c r="E763" i="1"/>
  <c r="F763" i="1"/>
  <c r="K763" i="1"/>
  <c r="M763" i="1"/>
  <c r="N763" i="1"/>
  <c r="D700" i="1"/>
  <c r="E700" i="1"/>
  <c r="F700" i="1"/>
  <c r="K700" i="1"/>
  <c r="M700" i="1"/>
  <c r="N700" i="1"/>
  <c r="D644" i="1"/>
  <c r="E644" i="1"/>
  <c r="F644" i="1"/>
  <c r="K644" i="1"/>
  <c r="M644" i="1"/>
  <c r="N644" i="1"/>
  <c r="D587" i="1"/>
  <c r="E587" i="1"/>
  <c r="F587" i="1"/>
  <c r="K587" i="1"/>
  <c r="M587" i="1"/>
  <c r="N587" i="1"/>
  <c r="D536" i="1"/>
  <c r="E536" i="1"/>
  <c r="F536" i="1"/>
  <c r="K536" i="1"/>
  <c r="M536" i="1"/>
  <c r="N536" i="1"/>
  <c r="D489" i="1"/>
  <c r="E489" i="1"/>
  <c r="F489" i="1"/>
  <c r="K489" i="1"/>
  <c r="M489" i="1"/>
  <c r="N489" i="1"/>
  <c r="D437" i="1"/>
  <c r="E437" i="1"/>
  <c r="F437" i="1"/>
  <c r="K437" i="1"/>
  <c r="M437" i="1"/>
  <c r="N437" i="1"/>
  <c r="D391" i="1"/>
  <c r="E391" i="1"/>
  <c r="F391" i="1"/>
  <c r="K391" i="1"/>
  <c r="M391" i="1"/>
  <c r="N391" i="1"/>
  <c r="D334" i="1"/>
  <c r="E334" i="1"/>
  <c r="F334" i="1"/>
  <c r="K334" i="1"/>
  <c r="M334" i="1"/>
  <c r="N334" i="1"/>
  <c r="D1760" i="1"/>
  <c r="E1760" i="1"/>
  <c r="F1760" i="1"/>
  <c r="K1760" i="1"/>
  <c r="M1760" i="1"/>
  <c r="N1760" i="1"/>
  <c r="D1608" i="1"/>
  <c r="E1608" i="1"/>
  <c r="F1608" i="1"/>
  <c r="K1608" i="1"/>
  <c r="M1608" i="1"/>
  <c r="N1608" i="1"/>
  <c r="D1548" i="1"/>
  <c r="E1548" i="1"/>
  <c r="F1548" i="1"/>
  <c r="K1548" i="1"/>
  <c r="M1548" i="1"/>
  <c r="N1548" i="1"/>
  <c r="D1492" i="1"/>
  <c r="E1492" i="1"/>
  <c r="F1492" i="1"/>
  <c r="K1492" i="1"/>
  <c r="M1492" i="1"/>
  <c r="N1492" i="1"/>
  <c r="D1446" i="1"/>
  <c r="E1446" i="1"/>
  <c r="F1446" i="1"/>
  <c r="K1446" i="1"/>
  <c r="M1446" i="1"/>
  <c r="N1446" i="1"/>
  <c r="D1390" i="1"/>
  <c r="E1390" i="1"/>
  <c r="F1390" i="1"/>
  <c r="K1390" i="1"/>
  <c r="M1390" i="1"/>
  <c r="N1390" i="1"/>
  <c r="D1327" i="1"/>
  <c r="E1327" i="1"/>
  <c r="F1327" i="1"/>
  <c r="K1327" i="1"/>
  <c r="M1327" i="1"/>
  <c r="N1327" i="1"/>
  <c r="D1270" i="1"/>
  <c r="E1270" i="1"/>
  <c r="F1270" i="1"/>
  <c r="K1270" i="1"/>
  <c r="M1270" i="1"/>
  <c r="N1270" i="1"/>
  <c r="D1212" i="1"/>
  <c r="E1212" i="1"/>
  <c r="F1212" i="1"/>
  <c r="K1212" i="1"/>
  <c r="M1212" i="1"/>
  <c r="N1212" i="1"/>
  <c r="D1159" i="1"/>
  <c r="E1159" i="1"/>
  <c r="F1159" i="1"/>
  <c r="K1159" i="1"/>
  <c r="M1159" i="1"/>
  <c r="N1159" i="1"/>
  <c r="D1104" i="1"/>
  <c r="E1104" i="1"/>
  <c r="F1104" i="1"/>
  <c r="K1104" i="1"/>
  <c r="M1104" i="1"/>
  <c r="N1104" i="1"/>
  <c r="D1046" i="1"/>
  <c r="E1046" i="1"/>
  <c r="F1046" i="1"/>
  <c r="K1046" i="1"/>
  <c r="M1046" i="1"/>
  <c r="N1046" i="1"/>
  <c r="D985" i="1"/>
  <c r="E985" i="1"/>
  <c r="F985" i="1"/>
  <c r="K985" i="1"/>
  <c r="M985" i="1"/>
  <c r="N985" i="1"/>
  <c r="D929" i="1"/>
  <c r="E929" i="1"/>
  <c r="F929" i="1"/>
  <c r="K929" i="1"/>
  <c r="M929" i="1"/>
  <c r="N929" i="1"/>
  <c r="D866" i="1"/>
  <c r="E866" i="1"/>
  <c r="F866" i="1"/>
  <c r="K866" i="1"/>
  <c r="M866" i="1"/>
  <c r="N866" i="1"/>
  <c r="D812" i="1"/>
  <c r="E812" i="1"/>
  <c r="F812" i="1"/>
  <c r="K812" i="1"/>
  <c r="M812" i="1"/>
  <c r="N812" i="1"/>
  <c r="D764" i="1"/>
  <c r="E764" i="1"/>
  <c r="F764" i="1"/>
  <c r="K764" i="1"/>
  <c r="M764" i="1"/>
  <c r="N764" i="1"/>
  <c r="D701" i="1"/>
  <c r="E701" i="1"/>
  <c r="F701" i="1"/>
  <c r="K701" i="1"/>
  <c r="M701" i="1"/>
  <c r="N701" i="1"/>
  <c r="D645" i="1"/>
  <c r="E645" i="1"/>
  <c r="F645" i="1"/>
  <c r="K645" i="1"/>
  <c r="M645" i="1"/>
  <c r="N645" i="1"/>
  <c r="D588" i="1"/>
  <c r="E588" i="1"/>
  <c r="F588" i="1"/>
  <c r="K588" i="1"/>
  <c r="M588" i="1"/>
  <c r="N588" i="1"/>
  <c r="D537" i="1"/>
  <c r="E537" i="1"/>
  <c r="F537" i="1"/>
  <c r="K537" i="1"/>
  <c r="M537" i="1"/>
  <c r="N537" i="1"/>
  <c r="D490" i="1"/>
  <c r="E490" i="1"/>
  <c r="F490" i="1"/>
  <c r="K490" i="1"/>
  <c r="M490" i="1"/>
  <c r="N490" i="1"/>
  <c r="D439" i="1"/>
  <c r="E439" i="1"/>
  <c r="F439" i="1"/>
  <c r="K439" i="1"/>
  <c r="M439" i="1"/>
  <c r="N439" i="1"/>
  <c r="D392" i="1"/>
  <c r="E392" i="1"/>
  <c r="F392" i="1"/>
  <c r="K392" i="1"/>
  <c r="M392" i="1"/>
  <c r="N392" i="1"/>
  <c r="D335" i="1"/>
  <c r="E335" i="1"/>
  <c r="F335" i="1"/>
  <c r="K335" i="1"/>
  <c r="M335" i="1"/>
  <c r="N335" i="1"/>
  <c r="D1736" i="1"/>
  <c r="E1736" i="1"/>
  <c r="F1736" i="1"/>
  <c r="K1736" i="1"/>
  <c r="M1736" i="1"/>
  <c r="N1736" i="1"/>
  <c r="D1581" i="1"/>
  <c r="E1581" i="1"/>
  <c r="F1581" i="1"/>
  <c r="K1581" i="1"/>
  <c r="M1581" i="1"/>
  <c r="N1581" i="1"/>
  <c r="D1525" i="1"/>
  <c r="E1525" i="1"/>
  <c r="F1525" i="1"/>
  <c r="K1525" i="1"/>
  <c r="M1525" i="1"/>
  <c r="N1525" i="1"/>
  <c r="D1427" i="1"/>
  <c r="E1427" i="1"/>
  <c r="F1427" i="1"/>
  <c r="K1427" i="1"/>
  <c r="M1427" i="1"/>
  <c r="N1427" i="1"/>
  <c r="D1363" i="1"/>
  <c r="E1363" i="1"/>
  <c r="F1363" i="1"/>
  <c r="K1363" i="1"/>
  <c r="M1363" i="1"/>
  <c r="N1363" i="1"/>
  <c r="D1304" i="1"/>
  <c r="E1304" i="1"/>
  <c r="F1304" i="1"/>
  <c r="K1304" i="1"/>
  <c r="M1304" i="1"/>
  <c r="N1304" i="1"/>
  <c r="D1247" i="1"/>
  <c r="E1247" i="1"/>
  <c r="F1247" i="1"/>
  <c r="K1247" i="1"/>
  <c r="M1247" i="1"/>
  <c r="N1247" i="1"/>
  <c r="D1189" i="1"/>
  <c r="E1189" i="1"/>
  <c r="F1189" i="1"/>
  <c r="K1189" i="1"/>
  <c r="M1189" i="1"/>
  <c r="N1189" i="1"/>
  <c r="D1139" i="1"/>
  <c r="E1139" i="1"/>
  <c r="F1139" i="1"/>
  <c r="K1139" i="1"/>
  <c r="M1139" i="1"/>
  <c r="N1139" i="1"/>
  <c r="D1081" i="1"/>
  <c r="E1081" i="1"/>
  <c r="F1081" i="1"/>
  <c r="K1081" i="1"/>
  <c r="M1081" i="1"/>
  <c r="N1081" i="1"/>
  <c r="D1019" i="1"/>
  <c r="E1019" i="1"/>
  <c r="F1019" i="1"/>
  <c r="K1019" i="1"/>
  <c r="M1019" i="1"/>
  <c r="N1019" i="1"/>
  <c r="D966" i="1"/>
  <c r="E966" i="1"/>
  <c r="F966" i="1"/>
  <c r="K966" i="1"/>
  <c r="M966" i="1"/>
  <c r="N966" i="1"/>
  <c r="D902" i="1"/>
  <c r="E902" i="1"/>
  <c r="F902" i="1"/>
  <c r="K902" i="1"/>
  <c r="M902" i="1"/>
  <c r="N902" i="1"/>
  <c r="D793" i="1"/>
  <c r="E793" i="1"/>
  <c r="F793" i="1"/>
  <c r="K793" i="1"/>
  <c r="M793" i="1"/>
  <c r="N793" i="1"/>
  <c r="D737" i="1"/>
  <c r="E737" i="1"/>
  <c r="F737" i="1"/>
  <c r="K737" i="1"/>
  <c r="M737" i="1"/>
  <c r="N737" i="1"/>
  <c r="D622" i="1"/>
  <c r="E622" i="1"/>
  <c r="F622" i="1"/>
  <c r="K622" i="1"/>
  <c r="M622" i="1"/>
  <c r="N622" i="1"/>
  <c r="D565" i="1"/>
  <c r="E565" i="1"/>
  <c r="F565" i="1"/>
  <c r="K565" i="1"/>
  <c r="M565" i="1"/>
  <c r="N565" i="1"/>
  <c r="D467" i="1"/>
  <c r="E467" i="1"/>
  <c r="F467" i="1"/>
  <c r="K467" i="1"/>
  <c r="M467" i="1"/>
  <c r="N467" i="1"/>
  <c r="D420" i="1"/>
  <c r="E420" i="1"/>
  <c r="F420" i="1"/>
  <c r="K420" i="1"/>
  <c r="M420" i="1"/>
  <c r="N420" i="1"/>
  <c r="D369" i="1"/>
  <c r="E369" i="1"/>
  <c r="F369" i="1"/>
  <c r="K369" i="1"/>
  <c r="M369" i="1"/>
  <c r="N369" i="1"/>
  <c r="D310" i="1"/>
  <c r="E310" i="1"/>
  <c r="F310" i="1"/>
  <c r="K310" i="1"/>
  <c r="M310" i="1"/>
  <c r="N310" i="1"/>
  <c r="D1797" i="1"/>
  <c r="E1797" i="1"/>
  <c r="F1797" i="1"/>
  <c r="K1797" i="1"/>
  <c r="M1797" i="1"/>
  <c r="N1797" i="1"/>
  <c r="D1613" i="1"/>
  <c r="E1613" i="1"/>
  <c r="F1613" i="1"/>
  <c r="K1613" i="1"/>
  <c r="M1613" i="1"/>
  <c r="N1613" i="1"/>
  <c r="D1551" i="1"/>
  <c r="E1551" i="1"/>
  <c r="F1551" i="1"/>
  <c r="K1551" i="1"/>
  <c r="M1551" i="1"/>
  <c r="N1551" i="1"/>
  <c r="D1495" i="1"/>
  <c r="E1495" i="1"/>
  <c r="F1495" i="1"/>
  <c r="K1495" i="1"/>
  <c r="M1495" i="1"/>
  <c r="N1495" i="1"/>
  <c r="D1449" i="1"/>
  <c r="E1449" i="1"/>
  <c r="F1449" i="1"/>
  <c r="K1449" i="1"/>
  <c r="M1449" i="1"/>
  <c r="N1449" i="1"/>
  <c r="D1395" i="1"/>
  <c r="E1395" i="1"/>
  <c r="F1395" i="1"/>
  <c r="K1395" i="1"/>
  <c r="M1395" i="1"/>
  <c r="N1395" i="1"/>
  <c r="D1330" i="1"/>
  <c r="E1330" i="1"/>
  <c r="F1330" i="1"/>
  <c r="K1330" i="1"/>
  <c r="M1330" i="1"/>
  <c r="N1330" i="1"/>
  <c r="D1215" i="1"/>
  <c r="E1215" i="1"/>
  <c r="F1215" i="1"/>
  <c r="K1215" i="1"/>
  <c r="M1215" i="1"/>
  <c r="N1215" i="1"/>
  <c r="D1162" i="1"/>
  <c r="E1162" i="1"/>
  <c r="F1162" i="1"/>
  <c r="K1162" i="1"/>
  <c r="M1162" i="1"/>
  <c r="N1162" i="1"/>
  <c r="D1109" i="1"/>
  <c r="E1109" i="1"/>
  <c r="F1109" i="1"/>
  <c r="K1109" i="1"/>
  <c r="M1109" i="1"/>
  <c r="N1109" i="1"/>
  <c r="D1051" i="1"/>
  <c r="E1051" i="1"/>
  <c r="F1051" i="1"/>
  <c r="K1051" i="1"/>
  <c r="M1051" i="1"/>
  <c r="N1051" i="1"/>
  <c r="D988" i="1"/>
  <c r="E988" i="1"/>
  <c r="F988" i="1"/>
  <c r="K988" i="1"/>
  <c r="M988" i="1"/>
  <c r="N988" i="1"/>
  <c r="D930" i="1"/>
  <c r="E930" i="1"/>
  <c r="F930" i="1"/>
  <c r="K930" i="1"/>
  <c r="M930" i="1"/>
  <c r="N930" i="1"/>
  <c r="D869" i="1"/>
  <c r="E869" i="1"/>
  <c r="F869" i="1"/>
  <c r="K869" i="1"/>
  <c r="M869" i="1"/>
  <c r="N869" i="1"/>
  <c r="D815" i="1"/>
  <c r="E815" i="1"/>
  <c r="F815" i="1"/>
  <c r="K815" i="1"/>
  <c r="M815" i="1"/>
  <c r="N815" i="1"/>
  <c r="D769" i="1"/>
  <c r="E769" i="1"/>
  <c r="F769" i="1"/>
  <c r="K769" i="1"/>
  <c r="M769" i="1"/>
  <c r="N769" i="1"/>
  <c r="D704" i="1"/>
  <c r="E704" i="1"/>
  <c r="F704" i="1"/>
  <c r="K704" i="1"/>
  <c r="M704" i="1"/>
  <c r="N704" i="1"/>
  <c r="D648" i="1"/>
  <c r="E648" i="1"/>
  <c r="F648" i="1"/>
  <c r="K648" i="1"/>
  <c r="M648" i="1"/>
  <c r="N648" i="1"/>
  <c r="D591" i="1"/>
  <c r="E591" i="1"/>
  <c r="F591" i="1"/>
  <c r="K591" i="1"/>
  <c r="M591" i="1"/>
  <c r="N591" i="1"/>
  <c r="D540" i="1"/>
  <c r="E540" i="1"/>
  <c r="F540" i="1"/>
  <c r="K540" i="1"/>
  <c r="M540" i="1"/>
  <c r="N540" i="1"/>
  <c r="D493" i="1"/>
  <c r="E493" i="1"/>
  <c r="F493" i="1"/>
  <c r="K493" i="1"/>
  <c r="M493" i="1"/>
  <c r="N493" i="1"/>
  <c r="D442" i="1"/>
  <c r="E442" i="1"/>
  <c r="F442" i="1"/>
  <c r="K442" i="1"/>
  <c r="M442" i="1"/>
  <c r="N442" i="1"/>
  <c r="D397" i="1"/>
  <c r="E397" i="1"/>
  <c r="F397" i="1"/>
  <c r="K397" i="1"/>
  <c r="M397" i="1"/>
  <c r="N397" i="1"/>
  <c r="D340" i="1"/>
  <c r="E340" i="1"/>
  <c r="F340" i="1"/>
  <c r="K340" i="1"/>
  <c r="M340" i="1"/>
  <c r="N340" i="1"/>
  <c r="D1761" i="1"/>
  <c r="E1761" i="1"/>
  <c r="F1761" i="1"/>
  <c r="K1761" i="1"/>
  <c r="M1761" i="1"/>
  <c r="N1761" i="1"/>
  <c r="D1609" i="1"/>
  <c r="E1609" i="1"/>
  <c r="F1609" i="1"/>
  <c r="K1609" i="1"/>
  <c r="M1609" i="1"/>
  <c r="N1609" i="1"/>
  <c r="D1549" i="1"/>
  <c r="E1549" i="1"/>
  <c r="F1549" i="1"/>
  <c r="K1549" i="1"/>
  <c r="M1549" i="1"/>
  <c r="N1549" i="1"/>
  <c r="D1493" i="1"/>
  <c r="E1493" i="1"/>
  <c r="F1493" i="1"/>
  <c r="K1493" i="1"/>
  <c r="M1493" i="1"/>
  <c r="N1493" i="1"/>
  <c r="D1447" i="1"/>
  <c r="E1447" i="1"/>
  <c r="F1447" i="1"/>
  <c r="K1447" i="1"/>
  <c r="M1447" i="1"/>
  <c r="N1447" i="1"/>
  <c r="D1391" i="1"/>
  <c r="E1391" i="1"/>
  <c r="F1391" i="1"/>
  <c r="K1391" i="1"/>
  <c r="M1391" i="1"/>
  <c r="N1391" i="1"/>
  <c r="D1328" i="1"/>
  <c r="E1328" i="1"/>
  <c r="F1328" i="1"/>
  <c r="K1328" i="1"/>
  <c r="M1328" i="1"/>
  <c r="N1328" i="1"/>
  <c r="D1271" i="1"/>
  <c r="E1271" i="1"/>
  <c r="F1271" i="1"/>
  <c r="K1271" i="1"/>
  <c r="M1271" i="1"/>
  <c r="N1271" i="1"/>
  <c r="D1213" i="1"/>
  <c r="E1213" i="1"/>
  <c r="F1213" i="1"/>
  <c r="K1213" i="1"/>
  <c r="M1213" i="1"/>
  <c r="N1213" i="1"/>
  <c r="D1160" i="1"/>
  <c r="E1160" i="1"/>
  <c r="F1160" i="1"/>
  <c r="K1160" i="1"/>
  <c r="M1160" i="1"/>
  <c r="N1160" i="1"/>
  <c r="D1105" i="1"/>
  <c r="E1105" i="1"/>
  <c r="F1105" i="1"/>
  <c r="K1105" i="1"/>
  <c r="M1105" i="1"/>
  <c r="N1105" i="1"/>
  <c r="D1047" i="1"/>
  <c r="E1047" i="1"/>
  <c r="F1047" i="1"/>
  <c r="K1047" i="1"/>
  <c r="M1047" i="1"/>
  <c r="N1047" i="1"/>
  <c r="D986" i="1"/>
  <c r="E986" i="1"/>
  <c r="F986" i="1"/>
  <c r="K986" i="1"/>
  <c r="M986" i="1"/>
  <c r="N986" i="1"/>
  <c r="D867" i="1"/>
  <c r="E867" i="1"/>
  <c r="F867" i="1"/>
  <c r="K867" i="1"/>
  <c r="M867" i="1"/>
  <c r="N867" i="1"/>
  <c r="D813" i="1"/>
  <c r="E813" i="1"/>
  <c r="F813" i="1"/>
  <c r="K813" i="1"/>
  <c r="M813" i="1"/>
  <c r="N813" i="1"/>
  <c r="D765" i="1"/>
  <c r="E765" i="1"/>
  <c r="F765" i="1"/>
  <c r="K765" i="1"/>
  <c r="M765" i="1"/>
  <c r="N765" i="1"/>
  <c r="D702" i="1"/>
  <c r="E702" i="1"/>
  <c r="F702" i="1"/>
  <c r="K702" i="1"/>
  <c r="M702" i="1"/>
  <c r="N702" i="1"/>
  <c r="D646" i="1"/>
  <c r="E646" i="1"/>
  <c r="F646" i="1"/>
  <c r="K646" i="1"/>
  <c r="M646" i="1"/>
  <c r="N646" i="1"/>
  <c r="D589" i="1"/>
  <c r="E589" i="1"/>
  <c r="F589" i="1"/>
  <c r="K589" i="1"/>
  <c r="M589" i="1"/>
  <c r="N589" i="1"/>
  <c r="D538" i="1"/>
  <c r="E538" i="1"/>
  <c r="F538" i="1"/>
  <c r="K538" i="1"/>
  <c r="M538" i="1"/>
  <c r="N538" i="1"/>
  <c r="D491" i="1"/>
  <c r="E491" i="1"/>
  <c r="F491" i="1"/>
  <c r="K491" i="1"/>
  <c r="M491" i="1"/>
  <c r="N491" i="1"/>
  <c r="D440" i="1"/>
  <c r="E440" i="1"/>
  <c r="F440" i="1"/>
  <c r="K440" i="1"/>
  <c r="M440" i="1"/>
  <c r="N440" i="1"/>
  <c r="D393" i="1"/>
  <c r="E393" i="1"/>
  <c r="F393" i="1"/>
  <c r="K393" i="1"/>
  <c r="M393" i="1"/>
  <c r="N393" i="1"/>
  <c r="D336" i="1"/>
  <c r="E336" i="1"/>
  <c r="F336" i="1"/>
  <c r="K336" i="1"/>
  <c r="M336" i="1"/>
  <c r="N336" i="1"/>
  <c r="D658" i="1"/>
  <c r="E658" i="1"/>
  <c r="F658" i="1"/>
  <c r="K658" i="1"/>
  <c r="M658" i="1"/>
  <c r="N658" i="1"/>
  <c r="D501" i="1"/>
  <c r="E501" i="1"/>
  <c r="F501" i="1"/>
  <c r="K501" i="1"/>
  <c r="M501" i="1"/>
  <c r="N501" i="1"/>
  <c r="D657" i="1"/>
  <c r="E657" i="1"/>
  <c r="F657" i="1"/>
  <c r="K657" i="1"/>
  <c r="M657" i="1"/>
  <c r="N657" i="1"/>
  <c r="D597" i="1"/>
  <c r="E597" i="1"/>
  <c r="F597" i="1"/>
  <c r="K597" i="1"/>
  <c r="M597" i="1"/>
  <c r="N597" i="1"/>
  <c r="D500" i="1"/>
  <c r="E500" i="1"/>
  <c r="F500" i="1"/>
  <c r="K500" i="1"/>
  <c r="M500" i="1"/>
  <c r="N500" i="1"/>
  <c r="D1732" i="1"/>
  <c r="E1732" i="1"/>
  <c r="F1732" i="1"/>
  <c r="K1732" i="1"/>
  <c r="M1732" i="1"/>
  <c r="N1732" i="1"/>
  <c r="D1576" i="1"/>
  <c r="E1576" i="1"/>
  <c r="F1576" i="1"/>
  <c r="K1576" i="1"/>
  <c r="M1576" i="1"/>
  <c r="N1576" i="1"/>
  <c r="D1521" i="1"/>
  <c r="E1521" i="1"/>
  <c r="F1521" i="1"/>
  <c r="K1521" i="1"/>
  <c r="M1521" i="1"/>
  <c r="N1521" i="1"/>
  <c r="D1470" i="1"/>
  <c r="E1470" i="1"/>
  <c r="F1470" i="1"/>
  <c r="K1470" i="1"/>
  <c r="M1470" i="1"/>
  <c r="N1470" i="1"/>
  <c r="D1424" i="1"/>
  <c r="E1424" i="1"/>
  <c r="F1424" i="1"/>
  <c r="K1424" i="1"/>
  <c r="M1424" i="1"/>
  <c r="N1424" i="1"/>
  <c r="D1300" i="1"/>
  <c r="E1300" i="1"/>
  <c r="F1300" i="1"/>
  <c r="K1300" i="1"/>
  <c r="M1300" i="1"/>
  <c r="N1300" i="1"/>
  <c r="D1243" i="1"/>
  <c r="E1243" i="1"/>
  <c r="F1243" i="1"/>
  <c r="K1243" i="1"/>
  <c r="M1243" i="1"/>
  <c r="N1243" i="1"/>
  <c r="D1185" i="1"/>
  <c r="E1185" i="1"/>
  <c r="F1185" i="1"/>
  <c r="K1185" i="1"/>
  <c r="M1185" i="1"/>
  <c r="N1185" i="1"/>
  <c r="D1136" i="1"/>
  <c r="E1136" i="1"/>
  <c r="F1136" i="1"/>
  <c r="K1136" i="1"/>
  <c r="M1136" i="1"/>
  <c r="N1136" i="1"/>
  <c r="D1077" i="1"/>
  <c r="E1077" i="1"/>
  <c r="F1077" i="1"/>
  <c r="K1077" i="1"/>
  <c r="M1077" i="1"/>
  <c r="N1077" i="1"/>
  <c r="D1014" i="1"/>
  <c r="E1014" i="1"/>
  <c r="F1014" i="1"/>
  <c r="K1014" i="1"/>
  <c r="M1014" i="1"/>
  <c r="N1014" i="1"/>
  <c r="D963" i="1"/>
  <c r="E963" i="1"/>
  <c r="F963" i="1"/>
  <c r="K963" i="1"/>
  <c r="M963" i="1"/>
  <c r="N963" i="1"/>
  <c r="D896" i="1"/>
  <c r="E896" i="1"/>
  <c r="F896" i="1"/>
  <c r="K896" i="1"/>
  <c r="M896" i="1"/>
  <c r="N896" i="1"/>
  <c r="D844" i="1"/>
  <c r="E844" i="1"/>
  <c r="F844" i="1"/>
  <c r="K844" i="1"/>
  <c r="M844" i="1"/>
  <c r="N844" i="1"/>
  <c r="D790" i="1"/>
  <c r="E790" i="1"/>
  <c r="F790" i="1"/>
  <c r="K790" i="1"/>
  <c r="M790" i="1"/>
  <c r="N790" i="1"/>
  <c r="D732" i="1"/>
  <c r="E732" i="1"/>
  <c r="F732" i="1"/>
  <c r="K732" i="1"/>
  <c r="M732" i="1"/>
  <c r="N732" i="1"/>
  <c r="D679" i="1"/>
  <c r="E679" i="1"/>
  <c r="F679" i="1"/>
  <c r="K679" i="1"/>
  <c r="M679" i="1"/>
  <c r="N679" i="1"/>
  <c r="D618" i="1"/>
  <c r="E618" i="1"/>
  <c r="F618" i="1"/>
  <c r="K618" i="1"/>
  <c r="M618" i="1"/>
  <c r="N618" i="1"/>
  <c r="D561" i="1"/>
  <c r="E561" i="1"/>
  <c r="F561" i="1"/>
  <c r="K561" i="1"/>
  <c r="M561" i="1"/>
  <c r="N561" i="1"/>
  <c r="D522" i="1"/>
  <c r="E522" i="1"/>
  <c r="F522" i="1"/>
  <c r="K522" i="1"/>
  <c r="M522" i="1"/>
  <c r="N522" i="1"/>
  <c r="D463" i="1"/>
  <c r="E463" i="1"/>
  <c r="F463" i="1"/>
  <c r="K463" i="1"/>
  <c r="M463" i="1"/>
  <c r="N463" i="1"/>
  <c r="D417" i="1"/>
  <c r="E417" i="1"/>
  <c r="F417" i="1"/>
  <c r="K417" i="1"/>
  <c r="M417" i="1"/>
  <c r="N417" i="1"/>
  <c r="D365" i="1"/>
  <c r="E365" i="1"/>
  <c r="F365" i="1"/>
  <c r="K365" i="1"/>
  <c r="M365" i="1"/>
  <c r="N365" i="1"/>
  <c r="D306" i="1"/>
  <c r="E306" i="1"/>
  <c r="F306" i="1"/>
  <c r="K306" i="1"/>
  <c r="M306" i="1"/>
  <c r="N306" i="1"/>
  <c r="D1755" i="1"/>
  <c r="E1755" i="1"/>
  <c r="F1755" i="1"/>
  <c r="K1755" i="1"/>
  <c r="M1755" i="1"/>
  <c r="N1755" i="1"/>
  <c r="D1603" i="1"/>
  <c r="E1603" i="1"/>
  <c r="F1603" i="1"/>
  <c r="K1603" i="1"/>
  <c r="M1603" i="1"/>
  <c r="N1603" i="1"/>
  <c r="D1543" i="1"/>
  <c r="E1543" i="1"/>
  <c r="F1543" i="1"/>
  <c r="K1543" i="1"/>
  <c r="M1543" i="1"/>
  <c r="N1543" i="1"/>
  <c r="D1487" i="1"/>
  <c r="E1487" i="1"/>
  <c r="F1487" i="1"/>
  <c r="K1487" i="1"/>
  <c r="M1487" i="1"/>
  <c r="N1487" i="1"/>
  <c r="D1441" i="1"/>
  <c r="E1441" i="1"/>
  <c r="F1441" i="1"/>
  <c r="K1441" i="1"/>
  <c r="M1441" i="1"/>
  <c r="N1441" i="1"/>
  <c r="D1358" i="1"/>
  <c r="E1358" i="1"/>
  <c r="F1358" i="1"/>
  <c r="K1358" i="1"/>
  <c r="M1358" i="1"/>
  <c r="N1358" i="1"/>
  <c r="D1322" i="1"/>
  <c r="E1322" i="1"/>
  <c r="F1322" i="1"/>
  <c r="K1322" i="1"/>
  <c r="M1322" i="1"/>
  <c r="N1322" i="1"/>
  <c r="D1265" i="1"/>
  <c r="E1265" i="1"/>
  <c r="F1265" i="1"/>
  <c r="K1265" i="1"/>
  <c r="M1265" i="1"/>
  <c r="N1265" i="1"/>
  <c r="D1207" i="1"/>
  <c r="E1207" i="1"/>
  <c r="F1207" i="1"/>
  <c r="K1207" i="1"/>
  <c r="M1207" i="1"/>
  <c r="N1207" i="1"/>
  <c r="D1154" i="1"/>
  <c r="E1154" i="1"/>
  <c r="F1154" i="1"/>
  <c r="K1154" i="1"/>
  <c r="M1154" i="1"/>
  <c r="N1154" i="1"/>
  <c r="D1099" i="1"/>
  <c r="E1099" i="1"/>
  <c r="F1099" i="1"/>
  <c r="K1099" i="1"/>
  <c r="M1099" i="1"/>
  <c r="N1099" i="1"/>
  <c r="D1041" i="1"/>
  <c r="E1041" i="1"/>
  <c r="F1041" i="1"/>
  <c r="K1041" i="1"/>
  <c r="M1041" i="1"/>
  <c r="N1041" i="1"/>
  <c r="D980" i="1"/>
  <c r="E980" i="1"/>
  <c r="F980" i="1"/>
  <c r="K980" i="1"/>
  <c r="M980" i="1"/>
  <c r="N980" i="1"/>
  <c r="D924" i="1"/>
  <c r="E924" i="1"/>
  <c r="F924" i="1"/>
  <c r="K924" i="1"/>
  <c r="M924" i="1"/>
  <c r="N924" i="1"/>
  <c r="D861" i="1"/>
  <c r="E861" i="1"/>
  <c r="F861" i="1"/>
  <c r="K861" i="1"/>
  <c r="M861" i="1"/>
  <c r="N861" i="1"/>
  <c r="D807" i="1"/>
  <c r="E807" i="1"/>
  <c r="F807" i="1"/>
  <c r="K807" i="1"/>
  <c r="M807" i="1"/>
  <c r="N807" i="1"/>
  <c r="D759" i="1"/>
  <c r="E759" i="1"/>
  <c r="F759" i="1"/>
  <c r="K759" i="1"/>
  <c r="M759" i="1"/>
  <c r="N759" i="1"/>
  <c r="D696" i="1"/>
  <c r="E696" i="1"/>
  <c r="F696" i="1"/>
  <c r="K696" i="1"/>
  <c r="M696" i="1"/>
  <c r="N696" i="1"/>
  <c r="D640" i="1"/>
  <c r="E640" i="1"/>
  <c r="F640" i="1"/>
  <c r="K640" i="1"/>
  <c r="M640" i="1"/>
  <c r="N640" i="1"/>
  <c r="D583" i="1"/>
  <c r="E583" i="1"/>
  <c r="F583" i="1"/>
  <c r="K583" i="1"/>
  <c r="M583" i="1"/>
  <c r="N583" i="1"/>
  <c r="D532" i="1"/>
  <c r="E532" i="1"/>
  <c r="F532" i="1"/>
  <c r="K532" i="1"/>
  <c r="M532" i="1"/>
  <c r="N532" i="1"/>
  <c r="D485" i="1"/>
  <c r="E485" i="1"/>
  <c r="F485" i="1"/>
  <c r="K485" i="1"/>
  <c r="M485" i="1"/>
  <c r="N485" i="1"/>
  <c r="D434" i="1"/>
  <c r="E434" i="1"/>
  <c r="F434" i="1"/>
  <c r="K434" i="1"/>
  <c r="M434" i="1"/>
  <c r="N434" i="1"/>
  <c r="D387" i="1"/>
  <c r="E387" i="1"/>
  <c r="F387" i="1"/>
  <c r="K387" i="1"/>
  <c r="M387" i="1"/>
  <c r="N387" i="1"/>
  <c r="D330" i="1"/>
  <c r="E330" i="1"/>
  <c r="F330" i="1"/>
  <c r="K330" i="1"/>
  <c r="M330" i="1"/>
  <c r="N330" i="1"/>
  <c r="D1405" i="1"/>
  <c r="E1405" i="1"/>
  <c r="F1405" i="1"/>
  <c r="K1405" i="1"/>
  <c r="M1405" i="1"/>
  <c r="N1405" i="1"/>
  <c r="D1279" i="1"/>
  <c r="E1279" i="1"/>
  <c r="F1279" i="1"/>
  <c r="K1279" i="1"/>
  <c r="M1279" i="1"/>
  <c r="N1279" i="1"/>
  <c r="D1222" i="1"/>
  <c r="E1222" i="1"/>
  <c r="F1222" i="1"/>
  <c r="K1222" i="1"/>
  <c r="M1222" i="1"/>
  <c r="N1222" i="1"/>
  <c r="D1117" i="1"/>
  <c r="E1117" i="1"/>
  <c r="F1117" i="1"/>
  <c r="K1117" i="1"/>
  <c r="M1117" i="1"/>
  <c r="N1117" i="1"/>
  <c r="D944" i="1"/>
  <c r="E944" i="1"/>
  <c r="F944" i="1"/>
  <c r="K944" i="1"/>
  <c r="M944" i="1"/>
  <c r="N944" i="1"/>
  <c r="D823" i="1"/>
  <c r="E823" i="1"/>
  <c r="F823" i="1"/>
  <c r="K823" i="1"/>
  <c r="M823" i="1"/>
  <c r="N823" i="1"/>
  <c r="D656" i="1"/>
  <c r="E656" i="1"/>
  <c r="F656" i="1"/>
  <c r="K656" i="1"/>
  <c r="M656" i="1"/>
  <c r="N656" i="1"/>
  <c r="D596" i="1"/>
  <c r="E596" i="1"/>
  <c r="F596" i="1"/>
  <c r="K596" i="1"/>
  <c r="M596" i="1"/>
  <c r="N596" i="1"/>
  <c r="D498" i="1"/>
  <c r="E498" i="1"/>
  <c r="F498" i="1"/>
  <c r="K498" i="1"/>
  <c r="M498" i="1"/>
  <c r="N498" i="1"/>
  <c r="D1735" i="1"/>
  <c r="E1735" i="1"/>
  <c r="F1735" i="1"/>
  <c r="K1735" i="1"/>
  <c r="M1735" i="1"/>
  <c r="N1735" i="1"/>
  <c r="D1580" i="1"/>
  <c r="E1580" i="1"/>
  <c r="F1580" i="1"/>
  <c r="K1580" i="1"/>
  <c r="M1580" i="1"/>
  <c r="N1580" i="1"/>
  <c r="D1524" i="1"/>
  <c r="E1524" i="1"/>
  <c r="F1524" i="1"/>
  <c r="K1524" i="1"/>
  <c r="M1524" i="1"/>
  <c r="N1524" i="1"/>
  <c r="D1426" i="1"/>
  <c r="E1426" i="1"/>
  <c r="F1426" i="1"/>
  <c r="K1426" i="1"/>
  <c r="M1426" i="1"/>
  <c r="N1426" i="1"/>
  <c r="D1362" i="1"/>
  <c r="E1362" i="1"/>
  <c r="F1362" i="1"/>
  <c r="K1362" i="1"/>
  <c r="M1362" i="1"/>
  <c r="N1362" i="1"/>
  <c r="D1303" i="1"/>
  <c r="E1303" i="1"/>
  <c r="F1303" i="1"/>
  <c r="K1303" i="1"/>
  <c r="M1303" i="1"/>
  <c r="N1303" i="1"/>
  <c r="D1246" i="1"/>
  <c r="E1246" i="1"/>
  <c r="F1246" i="1"/>
  <c r="K1246" i="1"/>
  <c r="M1246" i="1"/>
  <c r="N1246" i="1"/>
  <c r="D1188" i="1"/>
  <c r="E1188" i="1"/>
  <c r="F1188" i="1"/>
  <c r="K1188" i="1"/>
  <c r="M1188" i="1"/>
  <c r="N1188" i="1"/>
  <c r="D1138" i="1"/>
  <c r="E1138" i="1"/>
  <c r="F1138" i="1"/>
  <c r="K1138" i="1"/>
  <c r="M1138" i="1"/>
  <c r="N1138" i="1"/>
  <c r="D1080" i="1"/>
  <c r="E1080" i="1"/>
  <c r="F1080" i="1"/>
  <c r="K1080" i="1"/>
  <c r="M1080" i="1"/>
  <c r="N1080" i="1"/>
  <c r="D1018" i="1"/>
  <c r="E1018" i="1"/>
  <c r="F1018" i="1"/>
  <c r="K1018" i="1"/>
  <c r="M1018" i="1"/>
  <c r="N1018" i="1"/>
  <c r="D965" i="1"/>
  <c r="E965" i="1"/>
  <c r="F965" i="1"/>
  <c r="K965" i="1"/>
  <c r="M965" i="1"/>
  <c r="N965" i="1"/>
  <c r="D901" i="1"/>
  <c r="E901" i="1"/>
  <c r="F901" i="1"/>
  <c r="K901" i="1"/>
  <c r="M901" i="1"/>
  <c r="N901" i="1"/>
  <c r="D792" i="1"/>
  <c r="E792" i="1"/>
  <c r="F792" i="1"/>
  <c r="K792" i="1"/>
  <c r="M792" i="1"/>
  <c r="N792" i="1"/>
  <c r="D736" i="1"/>
  <c r="E736" i="1"/>
  <c r="F736" i="1"/>
  <c r="K736" i="1"/>
  <c r="M736" i="1"/>
  <c r="N736" i="1"/>
  <c r="D621" i="1"/>
  <c r="E621" i="1"/>
  <c r="F621" i="1"/>
  <c r="K621" i="1"/>
  <c r="M621" i="1"/>
  <c r="N621" i="1"/>
  <c r="D564" i="1"/>
  <c r="E564" i="1"/>
  <c r="F564" i="1"/>
  <c r="K564" i="1"/>
  <c r="M564" i="1"/>
  <c r="N564" i="1"/>
  <c r="D466" i="1"/>
  <c r="E466" i="1"/>
  <c r="F466" i="1"/>
  <c r="K466" i="1"/>
  <c r="M466" i="1"/>
  <c r="N466" i="1"/>
  <c r="D419" i="1"/>
  <c r="E419" i="1"/>
  <c r="F419" i="1"/>
  <c r="K419" i="1"/>
  <c r="M419" i="1"/>
  <c r="N419" i="1"/>
  <c r="D368" i="1"/>
  <c r="E368" i="1"/>
  <c r="F368" i="1"/>
  <c r="K368" i="1"/>
  <c r="M368" i="1"/>
  <c r="N368" i="1"/>
  <c r="D309" i="1"/>
  <c r="E309" i="1"/>
  <c r="F309" i="1"/>
  <c r="K309" i="1"/>
  <c r="M309" i="1"/>
  <c r="N309" i="1"/>
  <c r="D497" i="1"/>
  <c r="E497" i="1"/>
  <c r="F497" i="1"/>
  <c r="K497" i="1"/>
  <c r="M497" i="1"/>
  <c r="N497" i="1"/>
  <c r="D1753" i="1"/>
  <c r="E1753" i="1"/>
  <c r="F1753" i="1"/>
  <c r="K1753" i="1"/>
  <c r="M1753" i="1"/>
  <c r="N1753" i="1"/>
  <c r="D1601" i="1"/>
  <c r="E1601" i="1"/>
  <c r="F1601" i="1"/>
  <c r="K1601" i="1"/>
  <c r="M1601" i="1"/>
  <c r="N1601" i="1"/>
  <c r="D1541" i="1"/>
  <c r="E1541" i="1"/>
  <c r="F1541" i="1"/>
  <c r="K1541" i="1"/>
  <c r="M1541" i="1"/>
  <c r="N1541" i="1"/>
  <c r="D1485" i="1"/>
  <c r="E1485" i="1"/>
  <c r="F1485" i="1"/>
  <c r="K1485" i="1"/>
  <c r="M1485" i="1"/>
  <c r="N1485" i="1"/>
  <c r="D1439" i="1"/>
  <c r="E1439" i="1"/>
  <c r="F1439" i="1"/>
  <c r="K1439" i="1"/>
  <c r="M1439" i="1"/>
  <c r="N1439" i="1"/>
  <c r="D1383" i="1"/>
  <c r="E1383" i="1"/>
  <c r="F1383" i="1"/>
  <c r="K1383" i="1"/>
  <c r="M1383" i="1"/>
  <c r="N1383" i="1"/>
  <c r="D1320" i="1"/>
  <c r="E1320" i="1"/>
  <c r="F1320" i="1"/>
  <c r="K1320" i="1"/>
  <c r="M1320" i="1"/>
  <c r="N1320" i="1"/>
  <c r="D1263" i="1"/>
  <c r="E1263" i="1"/>
  <c r="F1263" i="1"/>
  <c r="K1263" i="1"/>
  <c r="M1263" i="1"/>
  <c r="N1263" i="1"/>
  <c r="D1205" i="1"/>
  <c r="E1205" i="1"/>
  <c r="F1205" i="1"/>
  <c r="K1205" i="1"/>
  <c r="M1205" i="1"/>
  <c r="N1205" i="1"/>
  <c r="D1152" i="1"/>
  <c r="E1152" i="1"/>
  <c r="F1152" i="1"/>
  <c r="K1152" i="1"/>
  <c r="M1152" i="1"/>
  <c r="N1152" i="1"/>
  <c r="D1097" i="1"/>
  <c r="E1097" i="1"/>
  <c r="F1097" i="1"/>
  <c r="K1097" i="1"/>
  <c r="M1097" i="1"/>
  <c r="N1097" i="1"/>
  <c r="D1039" i="1"/>
  <c r="E1039" i="1"/>
  <c r="F1039" i="1"/>
  <c r="K1039" i="1"/>
  <c r="M1039" i="1"/>
  <c r="N1039" i="1"/>
  <c r="D978" i="1"/>
  <c r="E978" i="1"/>
  <c r="F978" i="1"/>
  <c r="K978" i="1"/>
  <c r="M978" i="1"/>
  <c r="N978" i="1"/>
  <c r="D922" i="1"/>
  <c r="E922" i="1"/>
  <c r="F922" i="1"/>
  <c r="K922" i="1"/>
  <c r="M922" i="1"/>
  <c r="N922" i="1"/>
  <c r="D859" i="1"/>
  <c r="E859" i="1"/>
  <c r="F859" i="1"/>
  <c r="K859" i="1"/>
  <c r="M859" i="1"/>
  <c r="N859" i="1"/>
  <c r="D805" i="1"/>
  <c r="E805" i="1"/>
  <c r="F805" i="1"/>
  <c r="K805" i="1"/>
  <c r="M805" i="1"/>
  <c r="N805" i="1"/>
  <c r="D757" i="1"/>
  <c r="E757" i="1"/>
  <c r="F757" i="1"/>
  <c r="K757" i="1"/>
  <c r="M757" i="1"/>
  <c r="N757" i="1"/>
  <c r="D694" i="1"/>
  <c r="E694" i="1"/>
  <c r="F694" i="1"/>
  <c r="K694" i="1"/>
  <c r="M694" i="1"/>
  <c r="N694" i="1"/>
  <c r="D638" i="1"/>
  <c r="E638" i="1"/>
  <c r="F638" i="1"/>
  <c r="K638" i="1"/>
  <c r="M638" i="1"/>
  <c r="N638" i="1"/>
  <c r="D581" i="1"/>
  <c r="E581" i="1"/>
  <c r="F581" i="1"/>
  <c r="K581" i="1"/>
  <c r="M581" i="1"/>
  <c r="N581" i="1"/>
  <c r="D483" i="1"/>
  <c r="E483" i="1"/>
  <c r="F483" i="1"/>
  <c r="K483" i="1"/>
  <c r="M483" i="1"/>
  <c r="N483" i="1"/>
  <c r="D432" i="1"/>
  <c r="E432" i="1"/>
  <c r="F432" i="1"/>
  <c r="K432" i="1"/>
  <c r="M432" i="1"/>
  <c r="N432" i="1"/>
  <c r="D385" i="1"/>
  <c r="E385" i="1"/>
  <c r="F385" i="1"/>
  <c r="K385" i="1"/>
  <c r="M385" i="1"/>
  <c r="N385" i="1"/>
  <c r="D328" i="1"/>
  <c r="E328" i="1"/>
  <c r="F328" i="1"/>
  <c r="K328" i="1"/>
  <c r="M328" i="1"/>
  <c r="N328" i="1"/>
  <c r="D280" i="1"/>
  <c r="E280" i="1"/>
  <c r="F280" i="1"/>
  <c r="K280" i="1"/>
  <c r="M280" i="1"/>
  <c r="N280" i="1"/>
  <c r="D265" i="1"/>
  <c r="E265" i="1"/>
  <c r="F265" i="1"/>
  <c r="K265" i="1"/>
  <c r="M265" i="1"/>
  <c r="N265" i="1"/>
  <c r="D253" i="1"/>
  <c r="E253" i="1"/>
  <c r="F253" i="1"/>
  <c r="K253" i="1"/>
  <c r="M253" i="1"/>
  <c r="N253" i="1"/>
  <c r="D239" i="1"/>
  <c r="E239" i="1"/>
  <c r="F239" i="1"/>
  <c r="K239" i="1"/>
  <c r="M239" i="1"/>
  <c r="N239" i="1"/>
  <c r="D219" i="1"/>
  <c r="E219" i="1"/>
  <c r="F219" i="1"/>
  <c r="K219" i="1"/>
  <c r="M219" i="1"/>
  <c r="N219" i="1"/>
  <c r="D205" i="1"/>
  <c r="E205" i="1"/>
  <c r="F205" i="1"/>
  <c r="K205" i="1"/>
  <c r="M205" i="1"/>
  <c r="N205" i="1"/>
  <c r="D188" i="1"/>
  <c r="E188" i="1"/>
  <c r="F188" i="1"/>
  <c r="K188" i="1"/>
  <c r="M188" i="1"/>
  <c r="N188" i="1"/>
  <c r="D177" i="1"/>
  <c r="E177" i="1"/>
  <c r="F177" i="1"/>
  <c r="K177" i="1"/>
  <c r="M177" i="1"/>
  <c r="N177" i="1"/>
  <c r="D163" i="1"/>
  <c r="E163" i="1"/>
  <c r="F163" i="1"/>
  <c r="K163" i="1"/>
  <c r="M163" i="1"/>
  <c r="N163" i="1"/>
  <c r="D144" i="1"/>
  <c r="E144" i="1"/>
  <c r="F144" i="1"/>
  <c r="K144" i="1"/>
  <c r="M144" i="1"/>
  <c r="N144" i="1"/>
  <c r="D131" i="1"/>
  <c r="E131" i="1"/>
  <c r="F131" i="1"/>
  <c r="K131" i="1"/>
  <c r="M131" i="1"/>
  <c r="N131" i="1"/>
  <c r="D118" i="1"/>
  <c r="E118" i="1"/>
  <c r="F118" i="1"/>
  <c r="K118" i="1"/>
  <c r="M118" i="1"/>
  <c r="N118" i="1"/>
  <c r="D105" i="1"/>
  <c r="E105" i="1"/>
  <c r="F105" i="1"/>
  <c r="K105" i="1"/>
  <c r="M105" i="1"/>
  <c r="N105" i="1"/>
  <c r="D91" i="1"/>
  <c r="E91" i="1"/>
  <c r="F91" i="1"/>
  <c r="K91" i="1"/>
  <c r="M91" i="1"/>
  <c r="N91" i="1"/>
  <c r="D76" i="1"/>
  <c r="E76" i="1"/>
  <c r="F76" i="1"/>
  <c r="K76" i="1"/>
  <c r="M76" i="1"/>
  <c r="N76" i="1"/>
  <c r="D60" i="1"/>
  <c r="E60" i="1"/>
  <c r="F60" i="1"/>
  <c r="K60" i="1"/>
  <c r="M60" i="1"/>
  <c r="N60" i="1"/>
  <c r="D40" i="1"/>
  <c r="E40" i="1"/>
  <c r="F40" i="1"/>
  <c r="K40" i="1"/>
  <c r="M40" i="1"/>
  <c r="N40" i="1"/>
  <c r="D23" i="1"/>
  <c r="E23" i="1"/>
  <c r="F23" i="1"/>
  <c r="K23" i="1"/>
  <c r="M23" i="1"/>
  <c r="N23" i="1"/>
  <c r="D10" i="1"/>
  <c r="E10" i="1"/>
  <c r="F10" i="1"/>
  <c r="K10" i="1"/>
  <c r="M10" i="1"/>
  <c r="N10" i="1"/>
  <c r="D1730" i="1"/>
  <c r="E1730" i="1"/>
  <c r="F1730" i="1"/>
  <c r="K1730" i="1"/>
  <c r="M1730" i="1"/>
  <c r="N1730" i="1"/>
  <c r="D1574" i="1"/>
  <c r="E1574" i="1"/>
  <c r="F1574" i="1"/>
  <c r="K1574" i="1"/>
  <c r="M1574" i="1"/>
  <c r="N1574" i="1"/>
  <c r="D1519" i="1"/>
  <c r="E1519" i="1"/>
  <c r="F1519" i="1"/>
  <c r="K1519" i="1"/>
  <c r="M1519" i="1"/>
  <c r="N1519" i="1"/>
  <c r="D1468" i="1"/>
  <c r="E1468" i="1"/>
  <c r="F1468" i="1"/>
  <c r="K1468" i="1"/>
  <c r="M1468" i="1"/>
  <c r="N1468" i="1"/>
  <c r="D1422" i="1"/>
  <c r="E1422" i="1"/>
  <c r="F1422" i="1"/>
  <c r="K1422" i="1"/>
  <c r="M1422" i="1"/>
  <c r="N1422" i="1"/>
  <c r="D1356" i="1"/>
  <c r="E1356" i="1"/>
  <c r="F1356" i="1"/>
  <c r="K1356" i="1"/>
  <c r="M1356" i="1"/>
  <c r="N1356" i="1"/>
  <c r="D1298" i="1"/>
  <c r="E1298" i="1"/>
  <c r="F1298" i="1"/>
  <c r="K1298" i="1"/>
  <c r="M1298" i="1"/>
  <c r="N1298" i="1"/>
  <c r="D1241" i="1"/>
  <c r="E1241" i="1"/>
  <c r="F1241" i="1"/>
  <c r="K1241" i="1"/>
  <c r="M1241" i="1"/>
  <c r="N1241" i="1"/>
  <c r="D1183" i="1"/>
  <c r="E1183" i="1"/>
  <c r="F1183" i="1"/>
  <c r="K1183" i="1"/>
  <c r="M1183" i="1"/>
  <c r="N1183" i="1"/>
  <c r="D1134" i="1"/>
  <c r="E1134" i="1"/>
  <c r="F1134" i="1"/>
  <c r="K1134" i="1"/>
  <c r="M1134" i="1"/>
  <c r="N1134" i="1"/>
  <c r="D1075" i="1"/>
  <c r="E1075" i="1"/>
  <c r="F1075" i="1"/>
  <c r="K1075" i="1"/>
  <c r="M1075" i="1"/>
  <c r="N1075" i="1"/>
  <c r="D1012" i="1"/>
  <c r="E1012" i="1"/>
  <c r="F1012" i="1"/>
  <c r="K1012" i="1"/>
  <c r="M1012" i="1"/>
  <c r="N1012" i="1"/>
  <c r="D961" i="1"/>
  <c r="E961" i="1"/>
  <c r="F961" i="1"/>
  <c r="K961" i="1"/>
  <c r="M961" i="1"/>
  <c r="N961" i="1"/>
  <c r="D894" i="1"/>
  <c r="E894" i="1"/>
  <c r="F894" i="1"/>
  <c r="K894" i="1"/>
  <c r="M894" i="1"/>
  <c r="N894" i="1"/>
  <c r="D842" i="1"/>
  <c r="E842" i="1"/>
  <c r="F842" i="1"/>
  <c r="K842" i="1"/>
  <c r="M842" i="1"/>
  <c r="N842" i="1"/>
  <c r="D788" i="1"/>
  <c r="E788" i="1"/>
  <c r="F788" i="1"/>
  <c r="K788" i="1"/>
  <c r="M788" i="1"/>
  <c r="N788" i="1"/>
  <c r="D730" i="1"/>
  <c r="E730" i="1"/>
  <c r="F730" i="1"/>
  <c r="K730" i="1"/>
  <c r="M730" i="1"/>
  <c r="N730" i="1"/>
  <c r="D677" i="1"/>
  <c r="E677" i="1"/>
  <c r="F677" i="1"/>
  <c r="K677" i="1"/>
  <c r="M677" i="1"/>
  <c r="N677" i="1"/>
  <c r="D616" i="1"/>
  <c r="E616" i="1"/>
  <c r="F616" i="1"/>
  <c r="K616" i="1"/>
  <c r="M616" i="1"/>
  <c r="N616" i="1"/>
  <c r="D559" i="1"/>
  <c r="E559" i="1"/>
  <c r="F559" i="1"/>
  <c r="K559" i="1"/>
  <c r="M559" i="1"/>
  <c r="N559" i="1"/>
  <c r="D520" i="1"/>
  <c r="E520" i="1"/>
  <c r="F520" i="1"/>
  <c r="K520" i="1"/>
  <c r="M520" i="1"/>
  <c r="N520" i="1"/>
  <c r="D461" i="1"/>
  <c r="E461" i="1"/>
  <c r="F461" i="1"/>
  <c r="K461" i="1"/>
  <c r="M461" i="1"/>
  <c r="N461" i="1"/>
  <c r="D415" i="1"/>
  <c r="E415" i="1"/>
  <c r="F415" i="1"/>
  <c r="K415" i="1"/>
  <c r="M415" i="1"/>
  <c r="N415" i="1"/>
  <c r="D363" i="1"/>
  <c r="E363" i="1"/>
  <c r="F363" i="1"/>
  <c r="K363" i="1"/>
  <c r="M363" i="1"/>
  <c r="N363" i="1"/>
  <c r="D304" i="1"/>
  <c r="E304" i="1"/>
  <c r="F304" i="1"/>
  <c r="K304" i="1"/>
  <c r="M304" i="1"/>
  <c r="N304" i="1"/>
  <c r="D1725" i="1"/>
  <c r="E1725" i="1"/>
  <c r="F1725" i="1"/>
  <c r="K1725" i="1"/>
  <c r="M1725" i="1"/>
  <c r="N1725" i="1"/>
  <c r="D1568" i="1"/>
  <c r="E1568" i="1"/>
  <c r="F1568" i="1"/>
  <c r="K1568" i="1"/>
  <c r="M1568" i="1"/>
  <c r="N1568" i="1"/>
  <c r="D1514" i="1"/>
  <c r="E1514" i="1"/>
  <c r="F1514" i="1"/>
  <c r="K1514" i="1"/>
  <c r="M1514" i="1"/>
  <c r="N1514" i="1"/>
  <c r="D1463" i="1"/>
  <c r="E1463" i="1"/>
  <c r="F1463" i="1"/>
  <c r="K1463" i="1"/>
  <c r="M1463" i="1"/>
  <c r="N1463" i="1"/>
  <c r="D1418" i="1"/>
  <c r="E1418" i="1"/>
  <c r="F1418" i="1"/>
  <c r="K1418" i="1"/>
  <c r="M1418" i="1"/>
  <c r="N1418" i="1"/>
  <c r="D1350" i="1"/>
  <c r="E1350" i="1"/>
  <c r="F1350" i="1"/>
  <c r="K1350" i="1"/>
  <c r="M1350" i="1"/>
  <c r="N1350" i="1"/>
  <c r="D1292" i="1"/>
  <c r="E1292" i="1"/>
  <c r="F1292" i="1"/>
  <c r="K1292" i="1"/>
  <c r="M1292" i="1"/>
  <c r="N1292" i="1"/>
  <c r="D1236" i="1"/>
  <c r="E1236" i="1"/>
  <c r="F1236" i="1"/>
  <c r="K1236" i="1"/>
  <c r="M1236" i="1"/>
  <c r="N1236" i="1"/>
  <c r="D1178" i="1"/>
  <c r="E1178" i="1"/>
  <c r="F1178" i="1"/>
  <c r="K1178" i="1"/>
  <c r="M1178" i="1"/>
  <c r="N1178" i="1"/>
  <c r="D1130" i="1"/>
  <c r="E1130" i="1"/>
  <c r="F1130" i="1"/>
  <c r="K1130" i="1"/>
  <c r="M1130" i="1"/>
  <c r="N1130" i="1"/>
  <c r="D1070" i="1"/>
  <c r="E1070" i="1"/>
  <c r="F1070" i="1"/>
  <c r="K1070" i="1"/>
  <c r="M1070" i="1"/>
  <c r="N1070" i="1"/>
  <c r="D1006" i="1"/>
  <c r="E1006" i="1"/>
  <c r="F1006" i="1"/>
  <c r="K1006" i="1"/>
  <c r="M1006" i="1"/>
  <c r="N1006" i="1"/>
  <c r="D957" i="1"/>
  <c r="E957" i="1"/>
  <c r="F957" i="1"/>
  <c r="K957" i="1"/>
  <c r="M957" i="1"/>
  <c r="N957" i="1"/>
  <c r="D888" i="1"/>
  <c r="E888" i="1"/>
  <c r="F888" i="1"/>
  <c r="K888" i="1"/>
  <c r="M888" i="1"/>
  <c r="N888" i="1"/>
  <c r="D837" i="1"/>
  <c r="E837" i="1"/>
  <c r="F837" i="1"/>
  <c r="K837" i="1"/>
  <c r="M837" i="1"/>
  <c r="N837" i="1"/>
  <c r="D784" i="1"/>
  <c r="E784" i="1"/>
  <c r="F784" i="1"/>
  <c r="K784" i="1"/>
  <c r="M784" i="1"/>
  <c r="N784" i="1"/>
  <c r="D724" i="1"/>
  <c r="E724" i="1"/>
  <c r="F724" i="1"/>
  <c r="K724" i="1"/>
  <c r="M724" i="1"/>
  <c r="N724" i="1"/>
  <c r="D672" i="1"/>
  <c r="E672" i="1"/>
  <c r="F672" i="1"/>
  <c r="K672" i="1"/>
  <c r="M672" i="1"/>
  <c r="N672" i="1"/>
  <c r="D611" i="1"/>
  <c r="E611" i="1"/>
  <c r="F611" i="1"/>
  <c r="K611" i="1"/>
  <c r="M611" i="1"/>
  <c r="N611" i="1"/>
  <c r="D554" i="1"/>
  <c r="E554" i="1"/>
  <c r="F554" i="1"/>
  <c r="K554" i="1"/>
  <c r="M554" i="1"/>
  <c r="N554" i="1"/>
  <c r="D515" i="1"/>
  <c r="E515" i="1"/>
  <c r="F515" i="1"/>
  <c r="K515" i="1"/>
  <c r="M515" i="1"/>
  <c r="N515" i="1"/>
  <c r="D456" i="1"/>
  <c r="E456" i="1"/>
  <c r="F456" i="1"/>
  <c r="K456" i="1"/>
  <c r="M456" i="1"/>
  <c r="N456" i="1"/>
  <c r="D411" i="1"/>
  <c r="E411" i="1"/>
  <c r="F411" i="1"/>
  <c r="K411" i="1"/>
  <c r="M411" i="1"/>
  <c r="N411" i="1"/>
  <c r="D358" i="1"/>
  <c r="E358" i="1"/>
  <c r="F358" i="1"/>
  <c r="K358" i="1"/>
  <c r="M358" i="1"/>
  <c r="N358" i="1"/>
  <c r="D299" i="1"/>
  <c r="E299" i="1"/>
  <c r="F299" i="1"/>
  <c r="K299" i="1"/>
  <c r="M299" i="1"/>
  <c r="N299" i="1"/>
  <c r="D1723" i="1"/>
  <c r="E1723" i="1"/>
  <c r="F1723" i="1"/>
  <c r="K1723" i="1"/>
  <c r="M1723" i="1"/>
  <c r="N1723" i="1"/>
  <c r="D1566" i="1"/>
  <c r="E1566" i="1"/>
  <c r="F1566" i="1"/>
  <c r="K1566" i="1"/>
  <c r="M1566" i="1"/>
  <c r="N1566" i="1"/>
  <c r="D1512" i="1"/>
  <c r="E1512" i="1"/>
  <c r="F1512" i="1"/>
  <c r="K1512" i="1"/>
  <c r="M1512" i="1"/>
  <c r="N1512" i="1"/>
  <c r="D1461" i="1"/>
  <c r="E1461" i="1"/>
  <c r="F1461" i="1"/>
  <c r="K1461" i="1"/>
  <c r="M1461" i="1"/>
  <c r="N1461" i="1"/>
  <c r="D1416" i="1"/>
  <c r="E1416" i="1"/>
  <c r="F1416" i="1"/>
  <c r="K1416" i="1"/>
  <c r="M1416" i="1"/>
  <c r="N1416" i="1"/>
  <c r="D1348" i="1"/>
  <c r="E1348" i="1"/>
  <c r="F1348" i="1"/>
  <c r="K1348" i="1"/>
  <c r="M1348" i="1"/>
  <c r="N1348" i="1"/>
  <c r="D1291" i="1"/>
  <c r="E1291" i="1"/>
  <c r="F1291" i="1"/>
  <c r="K1291" i="1"/>
  <c r="M1291" i="1"/>
  <c r="N1291" i="1"/>
  <c r="D1234" i="1"/>
  <c r="E1234" i="1"/>
  <c r="F1234" i="1"/>
  <c r="K1234" i="1"/>
  <c r="M1234" i="1"/>
  <c r="N1234" i="1"/>
  <c r="D1176" i="1"/>
  <c r="E1176" i="1"/>
  <c r="F1176" i="1"/>
  <c r="K1176" i="1"/>
  <c r="M1176" i="1"/>
  <c r="N1176" i="1"/>
  <c r="D1128" i="1"/>
  <c r="E1128" i="1"/>
  <c r="F1128" i="1"/>
  <c r="K1128" i="1"/>
  <c r="M1128" i="1"/>
  <c r="N1128" i="1"/>
  <c r="D1068" i="1"/>
  <c r="E1068" i="1"/>
  <c r="F1068" i="1"/>
  <c r="K1068" i="1"/>
  <c r="M1068" i="1"/>
  <c r="N1068" i="1"/>
  <c r="D1004" i="1"/>
  <c r="E1004" i="1"/>
  <c r="F1004" i="1"/>
  <c r="K1004" i="1"/>
  <c r="M1004" i="1"/>
  <c r="N1004" i="1"/>
  <c r="D955" i="1"/>
  <c r="E955" i="1"/>
  <c r="F955" i="1"/>
  <c r="K955" i="1"/>
  <c r="M955" i="1"/>
  <c r="N955" i="1"/>
  <c r="D886" i="1"/>
  <c r="E886" i="1"/>
  <c r="F886" i="1"/>
  <c r="K886" i="1"/>
  <c r="M886" i="1"/>
  <c r="N886" i="1"/>
  <c r="D835" i="1"/>
  <c r="E835" i="1"/>
  <c r="F835" i="1"/>
  <c r="K835" i="1"/>
  <c r="M835" i="1"/>
  <c r="N835" i="1"/>
  <c r="D782" i="1"/>
  <c r="E782" i="1"/>
  <c r="F782" i="1"/>
  <c r="K782" i="1"/>
  <c r="M782" i="1"/>
  <c r="N782" i="1"/>
  <c r="D722" i="1"/>
  <c r="E722" i="1"/>
  <c r="F722" i="1"/>
  <c r="K722" i="1"/>
  <c r="M722" i="1"/>
  <c r="N722" i="1"/>
  <c r="D670" i="1"/>
  <c r="E670" i="1"/>
  <c r="F670" i="1"/>
  <c r="K670" i="1"/>
  <c r="M670" i="1"/>
  <c r="N670" i="1"/>
  <c r="D609" i="1"/>
  <c r="E609" i="1"/>
  <c r="F609" i="1"/>
  <c r="K609" i="1"/>
  <c r="M609" i="1"/>
  <c r="N609" i="1"/>
  <c r="D552" i="1"/>
  <c r="E552" i="1"/>
  <c r="F552" i="1"/>
  <c r="K552" i="1"/>
  <c r="M552" i="1"/>
  <c r="N552" i="1"/>
  <c r="D513" i="1"/>
  <c r="E513" i="1"/>
  <c r="F513" i="1"/>
  <c r="K513" i="1"/>
  <c r="M513" i="1"/>
  <c r="N513" i="1"/>
  <c r="D454" i="1"/>
  <c r="E454" i="1"/>
  <c r="F454" i="1"/>
  <c r="K454" i="1"/>
  <c r="M454" i="1"/>
  <c r="N454" i="1"/>
  <c r="D409" i="1"/>
  <c r="E409" i="1"/>
  <c r="F409" i="1"/>
  <c r="K409" i="1"/>
  <c r="M409" i="1"/>
  <c r="N409" i="1"/>
  <c r="D356" i="1"/>
  <c r="E356" i="1"/>
  <c r="F356" i="1"/>
  <c r="K356" i="1"/>
  <c r="M356" i="1"/>
  <c r="N356" i="1"/>
  <c r="D297" i="1"/>
  <c r="E297" i="1"/>
  <c r="F297" i="1"/>
  <c r="K297" i="1"/>
  <c r="M297" i="1"/>
  <c r="N297" i="1"/>
  <c r="D1743" i="1"/>
  <c r="E1743" i="1"/>
  <c r="F1743" i="1"/>
  <c r="K1743" i="1"/>
  <c r="M1743" i="1"/>
  <c r="N1743" i="1"/>
  <c r="D1590" i="1"/>
  <c r="E1590" i="1"/>
  <c r="F1590" i="1"/>
  <c r="K1590" i="1"/>
  <c r="M1590" i="1"/>
  <c r="N1590" i="1"/>
  <c r="D1531" i="1"/>
  <c r="E1531" i="1"/>
  <c r="F1531" i="1"/>
  <c r="K1531" i="1"/>
  <c r="M1531" i="1"/>
  <c r="N1531" i="1"/>
  <c r="D1475" i="1"/>
  <c r="E1475" i="1"/>
  <c r="F1475" i="1"/>
  <c r="K1475" i="1"/>
  <c r="M1475" i="1"/>
  <c r="N1475" i="1"/>
  <c r="D1430" i="1"/>
  <c r="E1430" i="1"/>
  <c r="F1430" i="1"/>
  <c r="K1430" i="1"/>
  <c r="M1430" i="1"/>
  <c r="N1430" i="1"/>
  <c r="D1372" i="1"/>
  <c r="E1372" i="1"/>
  <c r="F1372" i="1"/>
  <c r="K1372" i="1"/>
  <c r="M1372" i="1"/>
  <c r="N1372" i="1"/>
  <c r="D1310" i="1"/>
  <c r="E1310" i="1"/>
  <c r="F1310" i="1"/>
  <c r="K1310" i="1"/>
  <c r="M1310" i="1"/>
  <c r="N1310" i="1"/>
  <c r="D1253" i="1"/>
  <c r="E1253" i="1"/>
  <c r="F1253" i="1"/>
  <c r="K1253" i="1"/>
  <c r="M1253" i="1"/>
  <c r="N1253" i="1"/>
  <c r="D1195" i="1"/>
  <c r="E1195" i="1"/>
  <c r="F1195" i="1"/>
  <c r="K1195" i="1"/>
  <c r="M1195" i="1"/>
  <c r="N1195" i="1"/>
  <c r="D1143" i="1"/>
  <c r="E1143" i="1"/>
  <c r="F1143" i="1"/>
  <c r="K1143" i="1"/>
  <c r="M1143" i="1"/>
  <c r="N1143" i="1"/>
  <c r="D1087" i="1"/>
  <c r="E1087" i="1"/>
  <c r="F1087" i="1"/>
  <c r="K1087" i="1"/>
  <c r="M1087" i="1"/>
  <c r="N1087" i="1"/>
  <c r="D1028" i="1"/>
  <c r="E1028" i="1"/>
  <c r="F1028" i="1"/>
  <c r="K1028" i="1"/>
  <c r="M1028" i="1"/>
  <c r="N1028" i="1"/>
  <c r="D969" i="1"/>
  <c r="E969" i="1"/>
  <c r="F969" i="1"/>
  <c r="K969" i="1"/>
  <c r="M969" i="1"/>
  <c r="N969" i="1"/>
  <c r="D911" i="1"/>
  <c r="E911" i="1"/>
  <c r="F911" i="1"/>
  <c r="K911" i="1"/>
  <c r="M911" i="1"/>
  <c r="N911" i="1"/>
  <c r="D849" i="1"/>
  <c r="E849" i="1"/>
  <c r="F849" i="1"/>
  <c r="K849" i="1"/>
  <c r="M849" i="1"/>
  <c r="N849" i="1"/>
  <c r="D796" i="1"/>
  <c r="E796" i="1"/>
  <c r="F796" i="1"/>
  <c r="K796" i="1"/>
  <c r="M796" i="1"/>
  <c r="N796" i="1"/>
  <c r="D746" i="1"/>
  <c r="E746" i="1"/>
  <c r="F746" i="1"/>
  <c r="K746" i="1"/>
  <c r="M746" i="1"/>
  <c r="N746" i="1"/>
  <c r="D684" i="1"/>
  <c r="E684" i="1"/>
  <c r="F684" i="1"/>
  <c r="K684" i="1"/>
  <c r="M684" i="1"/>
  <c r="N684" i="1"/>
  <c r="D628" i="1"/>
  <c r="E628" i="1"/>
  <c r="F628" i="1"/>
  <c r="K628" i="1"/>
  <c r="M628" i="1"/>
  <c r="N628" i="1"/>
  <c r="D571" i="1"/>
  <c r="E571" i="1"/>
  <c r="F571" i="1"/>
  <c r="K571" i="1"/>
  <c r="M571" i="1"/>
  <c r="N571" i="1"/>
  <c r="D527" i="1"/>
  <c r="E527" i="1"/>
  <c r="F527" i="1"/>
  <c r="K527" i="1"/>
  <c r="M527" i="1"/>
  <c r="N527" i="1"/>
  <c r="D473" i="1"/>
  <c r="E473" i="1"/>
  <c r="F473" i="1"/>
  <c r="K473" i="1"/>
  <c r="M473" i="1"/>
  <c r="N473" i="1"/>
  <c r="D423" i="1"/>
  <c r="E423" i="1"/>
  <c r="F423" i="1"/>
  <c r="K423" i="1"/>
  <c r="M423" i="1"/>
  <c r="N423" i="1"/>
  <c r="D375" i="1"/>
  <c r="E375" i="1"/>
  <c r="F375" i="1"/>
  <c r="K375" i="1"/>
  <c r="M375" i="1"/>
  <c r="N375" i="1"/>
  <c r="D317" i="1"/>
  <c r="E317" i="1"/>
  <c r="F317" i="1"/>
  <c r="K317" i="1"/>
  <c r="M317" i="1"/>
  <c r="N317" i="1"/>
  <c r="D650" i="1"/>
  <c r="E650" i="1"/>
  <c r="F650" i="1"/>
  <c r="K650" i="1"/>
  <c r="M650" i="1"/>
  <c r="N650" i="1"/>
  <c r="D1403" i="1"/>
  <c r="E1403" i="1"/>
  <c r="F1403" i="1"/>
  <c r="K1403" i="1"/>
  <c r="M1403" i="1"/>
  <c r="N1403" i="1"/>
  <c r="D1278" i="1"/>
  <c r="E1278" i="1"/>
  <c r="F1278" i="1"/>
  <c r="K1278" i="1"/>
  <c r="M1278" i="1"/>
  <c r="N1278" i="1"/>
  <c r="D1220" i="1"/>
  <c r="E1220" i="1"/>
  <c r="F1220" i="1"/>
  <c r="K1220" i="1"/>
  <c r="M1220" i="1"/>
  <c r="N1220" i="1"/>
  <c r="D1115" i="1"/>
  <c r="E1115" i="1"/>
  <c r="F1115" i="1"/>
  <c r="K1115" i="1"/>
  <c r="M1115" i="1"/>
  <c r="N1115" i="1"/>
  <c r="D942" i="1"/>
  <c r="E942" i="1"/>
  <c r="F942" i="1"/>
  <c r="K942" i="1"/>
  <c r="M942" i="1"/>
  <c r="N942" i="1"/>
  <c r="D821" i="1"/>
  <c r="E821" i="1"/>
  <c r="F821" i="1"/>
  <c r="K821" i="1"/>
  <c r="M821" i="1"/>
  <c r="N821" i="1"/>
  <c r="D654" i="1"/>
  <c r="E654" i="1"/>
  <c r="F654" i="1"/>
  <c r="K654" i="1"/>
  <c r="M654" i="1"/>
  <c r="N654" i="1"/>
  <c r="D595" i="1"/>
  <c r="E595" i="1"/>
  <c r="F595" i="1"/>
  <c r="K595" i="1"/>
  <c r="M595" i="1"/>
  <c r="N595" i="1"/>
  <c r="D496" i="1"/>
  <c r="E496" i="1"/>
  <c r="F496" i="1"/>
  <c r="K496" i="1"/>
  <c r="M496" i="1"/>
  <c r="N496" i="1"/>
  <c r="D1404" i="1"/>
  <c r="E1404" i="1"/>
  <c r="F1404" i="1"/>
  <c r="K1404" i="1"/>
  <c r="M1404" i="1"/>
  <c r="N1404" i="1"/>
  <c r="D1221" i="1"/>
  <c r="E1221" i="1"/>
  <c r="F1221" i="1"/>
  <c r="K1221" i="1"/>
  <c r="M1221" i="1"/>
  <c r="N1221" i="1"/>
  <c r="D1116" i="1"/>
  <c r="E1116" i="1"/>
  <c r="F1116" i="1"/>
  <c r="K1116" i="1"/>
  <c r="M1116" i="1"/>
  <c r="N1116" i="1"/>
  <c r="D943" i="1"/>
  <c r="E943" i="1"/>
  <c r="F943" i="1"/>
  <c r="K943" i="1"/>
  <c r="M943" i="1"/>
  <c r="N943" i="1"/>
  <c r="D822" i="1"/>
  <c r="E822" i="1"/>
  <c r="F822" i="1"/>
  <c r="K822" i="1"/>
  <c r="M822" i="1"/>
  <c r="N822" i="1"/>
  <c r="D655" i="1"/>
  <c r="E655" i="1"/>
  <c r="F655" i="1"/>
  <c r="K655" i="1"/>
  <c r="M655" i="1"/>
  <c r="N655" i="1"/>
  <c r="D210" i="1"/>
  <c r="E210" i="1"/>
  <c r="F210" i="1"/>
  <c r="K210" i="1"/>
  <c r="M210" i="1"/>
  <c r="N210" i="1"/>
  <c r="D196" i="1"/>
  <c r="E196" i="1"/>
  <c r="F196" i="1"/>
  <c r="K196" i="1"/>
  <c r="M196" i="1"/>
  <c r="N196" i="1"/>
  <c r="D179" i="1"/>
  <c r="E179" i="1"/>
  <c r="F179" i="1"/>
  <c r="K179" i="1"/>
  <c r="M179" i="1"/>
  <c r="N179" i="1"/>
  <c r="D147" i="1"/>
  <c r="E147" i="1"/>
  <c r="F147" i="1"/>
  <c r="K147" i="1"/>
  <c r="M147" i="1"/>
  <c r="N147" i="1"/>
  <c r="D108" i="1"/>
  <c r="E108" i="1"/>
  <c r="F108" i="1"/>
  <c r="K108" i="1"/>
  <c r="M108" i="1"/>
  <c r="N108" i="1"/>
  <c r="D81" i="1"/>
  <c r="E81" i="1"/>
  <c r="F81" i="1"/>
  <c r="K81" i="1"/>
  <c r="M81" i="1"/>
  <c r="N81" i="1"/>
  <c r="D65" i="1"/>
  <c r="E65" i="1"/>
  <c r="F65" i="1"/>
  <c r="K65" i="1"/>
  <c r="M65" i="1"/>
  <c r="N65" i="1"/>
  <c r="D45" i="1"/>
  <c r="E45" i="1"/>
  <c r="F45" i="1"/>
  <c r="K45" i="1"/>
  <c r="M45" i="1"/>
  <c r="N45" i="1"/>
  <c r="D28" i="1"/>
  <c r="E28" i="1"/>
  <c r="F28" i="1"/>
  <c r="K28" i="1"/>
  <c r="M28" i="1"/>
  <c r="N28" i="1"/>
  <c r="D13" i="1"/>
  <c r="E13" i="1"/>
  <c r="F13" i="1"/>
  <c r="K13" i="1"/>
  <c r="M13" i="1"/>
  <c r="N13" i="1"/>
  <c r="D1711" i="1"/>
  <c r="E1711" i="1"/>
  <c r="F1711" i="1"/>
  <c r="K1711" i="1"/>
  <c r="M1711" i="1"/>
  <c r="N1711" i="1"/>
  <c r="D1553" i="1"/>
  <c r="E1553" i="1"/>
  <c r="F1553" i="1"/>
  <c r="K1553" i="1"/>
  <c r="M1553" i="1"/>
  <c r="N1553" i="1"/>
  <c r="D1501" i="1"/>
  <c r="E1501" i="1"/>
  <c r="F1501" i="1"/>
  <c r="K1501" i="1"/>
  <c r="M1501" i="1"/>
  <c r="N1501" i="1"/>
  <c r="D1450" i="1"/>
  <c r="E1450" i="1"/>
  <c r="F1450" i="1"/>
  <c r="K1450" i="1"/>
  <c r="M1450" i="1"/>
  <c r="N1450" i="1"/>
  <c r="D1406" i="1"/>
  <c r="E1406" i="1"/>
  <c r="F1406" i="1"/>
  <c r="K1406" i="1"/>
  <c r="M1406" i="1"/>
  <c r="N1406" i="1"/>
  <c r="D1335" i="1"/>
  <c r="E1335" i="1"/>
  <c r="F1335" i="1"/>
  <c r="K1335" i="1"/>
  <c r="M1335" i="1"/>
  <c r="N1335" i="1"/>
  <c r="D1280" i="1"/>
  <c r="E1280" i="1"/>
  <c r="F1280" i="1"/>
  <c r="K1280" i="1"/>
  <c r="M1280" i="1"/>
  <c r="N1280" i="1"/>
  <c r="D1223" i="1"/>
  <c r="E1223" i="1"/>
  <c r="F1223" i="1"/>
  <c r="K1223" i="1"/>
  <c r="M1223" i="1"/>
  <c r="N1223" i="1"/>
  <c r="D1165" i="1"/>
  <c r="E1165" i="1"/>
  <c r="F1165" i="1"/>
  <c r="K1165" i="1"/>
  <c r="M1165" i="1"/>
  <c r="N1165" i="1"/>
  <c r="D1118" i="1"/>
  <c r="E1118" i="1"/>
  <c r="F1118" i="1"/>
  <c r="K1118" i="1"/>
  <c r="M1118" i="1"/>
  <c r="N1118" i="1"/>
  <c r="D1056" i="1"/>
  <c r="E1056" i="1"/>
  <c r="F1056" i="1"/>
  <c r="K1056" i="1"/>
  <c r="M1056" i="1"/>
  <c r="N1056" i="1"/>
  <c r="D991" i="1"/>
  <c r="E991" i="1"/>
  <c r="F991" i="1"/>
  <c r="K991" i="1"/>
  <c r="M991" i="1"/>
  <c r="N991" i="1"/>
  <c r="D945" i="1"/>
  <c r="E945" i="1"/>
  <c r="F945" i="1"/>
  <c r="K945" i="1"/>
  <c r="M945" i="1"/>
  <c r="N945" i="1"/>
  <c r="D873" i="1"/>
  <c r="E873" i="1"/>
  <c r="F873" i="1"/>
  <c r="K873" i="1"/>
  <c r="M873" i="1"/>
  <c r="N873" i="1"/>
  <c r="D824" i="1"/>
  <c r="E824" i="1"/>
  <c r="F824" i="1"/>
  <c r="K824" i="1"/>
  <c r="M824" i="1"/>
  <c r="N824" i="1"/>
  <c r="D772" i="1"/>
  <c r="E772" i="1"/>
  <c r="F772" i="1"/>
  <c r="K772" i="1"/>
  <c r="M772" i="1"/>
  <c r="N772" i="1"/>
  <c r="D709" i="1"/>
  <c r="E709" i="1"/>
  <c r="F709" i="1"/>
  <c r="K709" i="1"/>
  <c r="M709" i="1"/>
  <c r="N709" i="1"/>
  <c r="D659" i="1"/>
  <c r="E659" i="1"/>
  <c r="F659" i="1"/>
  <c r="K659" i="1"/>
  <c r="M659" i="1"/>
  <c r="N659" i="1"/>
  <c r="D598" i="1"/>
  <c r="E598" i="1"/>
  <c r="F598" i="1"/>
  <c r="K598" i="1"/>
  <c r="M598" i="1"/>
  <c r="N598" i="1"/>
  <c r="D541" i="1"/>
  <c r="E541" i="1"/>
  <c r="F541" i="1"/>
  <c r="K541" i="1"/>
  <c r="M541" i="1"/>
  <c r="N541" i="1"/>
  <c r="D502" i="1"/>
  <c r="E502" i="1"/>
  <c r="F502" i="1"/>
  <c r="K502" i="1"/>
  <c r="M502" i="1"/>
  <c r="N502" i="1"/>
  <c r="D443" i="1"/>
  <c r="E443" i="1"/>
  <c r="F443" i="1"/>
  <c r="K443" i="1"/>
  <c r="M443" i="1"/>
  <c r="N443" i="1"/>
  <c r="D398" i="1"/>
  <c r="E398" i="1"/>
  <c r="F398" i="1"/>
  <c r="K398" i="1"/>
  <c r="M398" i="1"/>
  <c r="N398" i="1"/>
  <c r="D344" i="1"/>
  <c r="E344" i="1"/>
  <c r="F344" i="1"/>
  <c r="K344" i="1"/>
  <c r="M344" i="1"/>
  <c r="N344" i="1"/>
  <c r="D285" i="1"/>
  <c r="E285" i="1"/>
  <c r="F285" i="1"/>
  <c r="K285" i="1"/>
  <c r="M285" i="1"/>
  <c r="N285" i="1"/>
  <c r="D1722" i="1"/>
  <c r="E1722" i="1"/>
  <c r="F1722" i="1"/>
  <c r="K1722" i="1"/>
  <c r="M1722" i="1"/>
  <c r="N1722" i="1"/>
  <c r="D1565" i="1"/>
  <c r="E1565" i="1"/>
  <c r="F1565" i="1"/>
  <c r="K1565" i="1"/>
  <c r="M1565" i="1"/>
  <c r="N1565" i="1"/>
  <c r="D1511" i="1"/>
  <c r="E1511" i="1"/>
  <c r="F1511" i="1"/>
  <c r="K1511" i="1"/>
  <c r="M1511" i="1"/>
  <c r="N1511" i="1"/>
  <c r="D1460" i="1"/>
  <c r="E1460" i="1"/>
  <c r="F1460" i="1"/>
  <c r="K1460" i="1"/>
  <c r="M1460" i="1"/>
  <c r="N1460" i="1"/>
  <c r="D1415" i="1"/>
  <c r="E1415" i="1"/>
  <c r="F1415" i="1"/>
  <c r="K1415" i="1"/>
  <c r="M1415" i="1"/>
  <c r="N1415" i="1"/>
  <c r="D1347" i="1"/>
  <c r="E1347" i="1"/>
  <c r="F1347" i="1"/>
  <c r="K1347" i="1"/>
  <c r="M1347" i="1"/>
  <c r="N1347" i="1"/>
  <c r="D1290" i="1"/>
  <c r="E1290" i="1"/>
  <c r="F1290" i="1"/>
  <c r="K1290" i="1"/>
  <c r="M1290" i="1"/>
  <c r="N1290" i="1"/>
  <c r="D1233" i="1"/>
  <c r="E1233" i="1"/>
  <c r="F1233" i="1"/>
  <c r="K1233" i="1"/>
  <c r="M1233" i="1"/>
  <c r="N1233" i="1"/>
  <c r="D1175" i="1"/>
  <c r="E1175" i="1"/>
  <c r="F1175" i="1"/>
  <c r="K1175" i="1"/>
  <c r="M1175" i="1"/>
  <c r="N1175" i="1"/>
  <c r="D1127" i="1"/>
  <c r="E1127" i="1"/>
  <c r="F1127" i="1"/>
  <c r="K1127" i="1"/>
  <c r="M1127" i="1"/>
  <c r="N1127" i="1"/>
  <c r="D1067" i="1"/>
  <c r="E1067" i="1"/>
  <c r="F1067" i="1"/>
  <c r="K1067" i="1"/>
  <c r="M1067" i="1"/>
  <c r="N1067" i="1"/>
  <c r="D1003" i="1"/>
  <c r="E1003" i="1"/>
  <c r="F1003" i="1"/>
  <c r="K1003" i="1"/>
  <c r="M1003" i="1"/>
  <c r="N1003" i="1"/>
  <c r="D954" i="1"/>
  <c r="E954" i="1"/>
  <c r="F954" i="1"/>
  <c r="K954" i="1"/>
  <c r="M954" i="1"/>
  <c r="N954" i="1"/>
  <c r="D885" i="1"/>
  <c r="E885" i="1"/>
  <c r="F885" i="1"/>
  <c r="K885" i="1"/>
  <c r="M885" i="1"/>
  <c r="N885" i="1"/>
  <c r="D834" i="1"/>
  <c r="E834" i="1"/>
  <c r="F834" i="1"/>
  <c r="K834" i="1"/>
  <c r="M834" i="1"/>
  <c r="N834" i="1"/>
  <c r="D781" i="1"/>
  <c r="E781" i="1"/>
  <c r="F781" i="1"/>
  <c r="K781" i="1"/>
  <c r="M781" i="1"/>
  <c r="N781" i="1"/>
  <c r="D721" i="1"/>
  <c r="E721" i="1"/>
  <c r="F721" i="1"/>
  <c r="K721" i="1"/>
  <c r="M721" i="1"/>
  <c r="N721" i="1"/>
  <c r="D669" i="1"/>
  <c r="E669" i="1"/>
  <c r="F669" i="1"/>
  <c r="K669" i="1"/>
  <c r="M669" i="1"/>
  <c r="N669" i="1"/>
  <c r="D608" i="1"/>
  <c r="E608" i="1"/>
  <c r="F608" i="1"/>
  <c r="K608" i="1"/>
  <c r="M608" i="1"/>
  <c r="N608" i="1"/>
  <c r="D551" i="1"/>
  <c r="E551" i="1"/>
  <c r="F551" i="1"/>
  <c r="K551" i="1"/>
  <c r="M551" i="1"/>
  <c r="N551" i="1"/>
  <c r="D512" i="1"/>
  <c r="E512" i="1"/>
  <c r="F512" i="1"/>
  <c r="K512" i="1"/>
  <c r="M512" i="1"/>
  <c r="N512" i="1"/>
  <c r="D453" i="1"/>
  <c r="E453" i="1"/>
  <c r="F453" i="1"/>
  <c r="K453" i="1"/>
  <c r="M453" i="1"/>
  <c r="N453" i="1"/>
  <c r="D408" i="1"/>
  <c r="E408" i="1"/>
  <c r="F408" i="1"/>
  <c r="K408" i="1"/>
  <c r="M408" i="1"/>
  <c r="N408" i="1"/>
  <c r="D355" i="1"/>
  <c r="E355" i="1"/>
  <c r="F355" i="1"/>
  <c r="K355" i="1"/>
  <c r="M355" i="1"/>
  <c r="N355" i="1"/>
  <c r="D296" i="1"/>
  <c r="E296" i="1"/>
  <c r="F296" i="1"/>
  <c r="K296" i="1"/>
  <c r="M296" i="1"/>
  <c r="N296" i="1"/>
  <c r="D1726" i="1"/>
  <c r="E1726" i="1"/>
  <c r="F1726" i="1"/>
  <c r="K1726" i="1"/>
  <c r="M1726" i="1"/>
  <c r="N1726" i="1"/>
  <c r="D1569" i="1"/>
  <c r="E1569" i="1"/>
  <c r="F1569" i="1"/>
  <c r="K1569" i="1"/>
  <c r="M1569" i="1"/>
  <c r="N1569" i="1"/>
  <c r="D1515" i="1"/>
  <c r="E1515" i="1"/>
  <c r="F1515" i="1"/>
  <c r="K1515" i="1"/>
  <c r="M1515" i="1"/>
  <c r="N1515" i="1"/>
  <c r="D1464" i="1"/>
  <c r="E1464" i="1"/>
  <c r="F1464" i="1"/>
  <c r="K1464" i="1"/>
  <c r="M1464" i="1"/>
  <c r="N1464" i="1"/>
  <c r="D1419" i="1"/>
  <c r="E1419" i="1"/>
  <c r="F1419" i="1"/>
  <c r="K1419" i="1"/>
  <c r="M1419" i="1"/>
  <c r="N1419" i="1"/>
  <c r="D1351" i="1"/>
  <c r="E1351" i="1"/>
  <c r="F1351" i="1"/>
  <c r="K1351" i="1"/>
  <c r="M1351" i="1"/>
  <c r="N1351" i="1"/>
  <c r="D1294" i="1"/>
  <c r="E1294" i="1"/>
  <c r="F1294" i="1"/>
  <c r="K1294" i="1"/>
  <c r="M1294" i="1"/>
  <c r="N1294" i="1"/>
  <c r="D1237" i="1"/>
  <c r="E1237" i="1"/>
  <c r="F1237" i="1"/>
  <c r="K1237" i="1"/>
  <c r="M1237" i="1"/>
  <c r="N1237" i="1"/>
  <c r="D1179" i="1"/>
  <c r="E1179" i="1"/>
  <c r="F1179" i="1"/>
  <c r="K1179" i="1"/>
  <c r="M1179" i="1"/>
  <c r="N1179" i="1"/>
  <c r="D1131" i="1"/>
  <c r="E1131" i="1"/>
  <c r="F1131" i="1"/>
  <c r="K1131" i="1"/>
  <c r="M1131" i="1"/>
  <c r="N1131" i="1"/>
  <c r="D1071" i="1"/>
  <c r="E1071" i="1"/>
  <c r="F1071" i="1"/>
  <c r="K1071" i="1"/>
  <c r="M1071" i="1"/>
  <c r="N1071" i="1"/>
  <c r="D1007" i="1"/>
  <c r="E1007" i="1"/>
  <c r="F1007" i="1"/>
  <c r="K1007" i="1"/>
  <c r="M1007" i="1"/>
  <c r="N1007" i="1"/>
  <c r="D958" i="1"/>
  <c r="E958" i="1"/>
  <c r="F958" i="1"/>
  <c r="K958" i="1"/>
  <c r="M958" i="1"/>
  <c r="N958" i="1"/>
  <c r="D889" i="1"/>
  <c r="E889" i="1"/>
  <c r="F889" i="1"/>
  <c r="K889" i="1"/>
  <c r="M889" i="1"/>
  <c r="N889" i="1"/>
  <c r="D838" i="1"/>
  <c r="E838" i="1"/>
  <c r="F838" i="1"/>
  <c r="K838" i="1"/>
  <c r="M838" i="1"/>
  <c r="N838" i="1"/>
  <c r="D785" i="1"/>
  <c r="E785" i="1"/>
  <c r="F785" i="1"/>
  <c r="K785" i="1"/>
  <c r="M785" i="1"/>
  <c r="N785" i="1"/>
  <c r="D725" i="1"/>
  <c r="E725" i="1"/>
  <c r="F725" i="1"/>
  <c r="K725" i="1"/>
  <c r="M725" i="1"/>
  <c r="N725" i="1"/>
  <c r="D673" i="1"/>
  <c r="E673" i="1"/>
  <c r="F673" i="1"/>
  <c r="K673" i="1"/>
  <c r="M673" i="1"/>
  <c r="N673" i="1"/>
  <c r="D612" i="1"/>
  <c r="E612" i="1"/>
  <c r="F612" i="1"/>
  <c r="K612" i="1"/>
  <c r="M612" i="1"/>
  <c r="N612" i="1"/>
  <c r="D555" i="1"/>
  <c r="E555" i="1"/>
  <c r="F555" i="1"/>
  <c r="K555" i="1"/>
  <c r="M555" i="1"/>
  <c r="N555" i="1"/>
  <c r="D516" i="1"/>
  <c r="E516" i="1"/>
  <c r="F516" i="1"/>
  <c r="K516" i="1"/>
  <c r="M516" i="1"/>
  <c r="N516" i="1"/>
  <c r="D457" i="1"/>
  <c r="E457" i="1"/>
  <c r="F457" i="1"/>
  <c r="K457" i="1"/>
  <c r="M457" i="1"/>
  <c r="N457" i="1"/>
  <c r="D412" i="1"/>
  <c r="E412" i="1"/>
  <c r="F412" i="1"/>
  <c r="K412" i="1"/>
  <c r="M412" i="1"/>
  <c r="N412" i="1"/>
  <c r="D359" i="1"/>
  <c r="E359" i="1"/>
  <c r="F359" i="1"/>
  <c r="K359" i="1"/>
  <c r="M359" i="1"/>
  <c r="N359" i="1"/>
  <c r="D300" i="1"/>
  <c r="E300" i="1"/>
  <c r="F300" i="1"/>
  <c r="K300" i="1"/>
  <c r="M300" i="1"/>
  <c r="N300" i="1"/>
  <c r="D1954" i="1"/>
  <c r="E1954" i="1"/>
  <c r="F1954" i="1"/>
  <c r="K1954" i="1"/>
  <c r="M1954" i="1"/>
  <c r="N1954" i="1"/>
  <c r="D1911" i="1"/>
  <c r="E1911" i="1"/>
  <c r="F1911" i="1"/>
  <c r="K1911" i="1"/>
  <c r="M1911" i="1"/>
  <c r="N1911" i="1"/>
  <c r="D1902" i="1"/>
  <c r="E1902" i="1"/>
  <c r="F1902" i="1"/>
  <c r="K1902" i="1"/>
  <c r="M1902" i="1"/>
  <c r="N1902" i="1"/>
  <c r="D1893" i="1"/>
  <c r="E1893" i="1"/>
  <c r="F1893" i="1"/>
  <c r="K1893" i="1"/>
  <c r="M1893" i="1"/>
  <c r="N1893" i="1"/>
  <c r="D1884" i="1"/>
  <c r="E1884" i="1"/>
  <c r="F1884" i="1"/>
  <c r="K1884" i="1"/>
  <c r="M1884" i="1"/>
  <c r="N1884" i="1"/>
  <c r="D1875" i="1"/>
  <c r="E1875" i="1"/>
  <c r="F1875" i="1"/>
  <c r="K1875" i="1"/>
  <c r="M1875" i="1"/>
  <c r="N1875" i="1"/>
  <c r="D1866" i="1"/>
  <c r="E1866" i="1"/>
  <c r="F1866" i="1"/>
  <c r="K1866" i="1"/>
  <c r="M1866" i="1"/>
  <c r="N1866" i="1"/>
  <c r="D1857" i="1"/>
  <c r="E1857" i="1"/>
  <c r="F1857" i="1"/>
  <c r="K1857" i="1"/>
  <c r="M1857" i="1"/>
  <c r="N1857" i="1"/>
  <c r="D1848" i="1"/>
  <c r="E1848" i="1"/>
  <c r="F1848" i="1"/>
  <c r="K1848" i="1"/>
  <c r="M1848" i="1"/>
  <c r="N1848" i="1"/>
  <c r="D1839" i="1"/>
  <c r="E1839" i="1"/>
  <c r="F1839" i="1"/>
  <c r="K1839" i="1"/>
  <c r="M1839" i="1"/>
  <c r="N1839" i="1"/>
  <c r="D1830" i="1"/>
  <c r="E1830" i="1"/>
  <c r="F1830" i="1"/>
  <c r="K1830" i="1"/>
  <c r="M1830" i="1"/>
  <c r="N1830" i="1"/>
  <c r="D1821" i="1"/>
  <c r="E1821" i="1"/>
  <c r="F1821" i="1"/>
  <c r="K1821" i="1"/>
  <c r="M1821" i="1"/>
  <c r="N1821" i="1"/>
  <c r="D1812" i="1"/>
  <c r="E1812" i="1"/>
  <c r="F1812" i="1"/>
  <c r="K1812" i="1"/>
  <c r="M1812" i="1"/>
  <c r="N1812" i="1"/>
  <c r="D1803" i="1"/>
  <c r="E1803" i="1"/>
  <c r="F1803" i="1"/>
  <c r="K1803" i="1"/>
  <c r="M1803" i="1"/>
  <c r="N1803" i="1"/>
  <c r="D1707" i="1"/>
  <c r="E1707" i="1"/>
  <c r="F1707" i="1"/>
  <c r="K1707" i="1"/>
  <c r="M1707" i="1"/>
  <c r="N1707" i="1"/>
  <c r="D1698" i="1"/>
  <c r="E1698" i="1"/>
  <c r="F1698" i="1"/>
  <c r="K1698" i="1"/>
  <c r="M1698" i="1"/>
  <c r="N1698" i="1"/>
  <c r="D1689" i="1"/>
  <c r="E1689" i="1"/>
  <c r="F1689" i="1"/>
  <c r="K1689" i="1"/>
  <c r="M1689" i="1"/>
  <c r="N1689" i="1"/>
  <c r="N1680" i="1"/>
  <c r="M1680" i="1"/>
  <c r="K1680" i="1"/>
  <c r="F1680" i="1"/>
  <c r="E1680" i="1"/>
  <c r="D1680" i="1"/>
  <c r="D1671" i="1"/>
  <c r="E1671" i="1"/>
  <c r="F1671" i="1"/>
  <c r="K1671" i="1"/>
  <c r="M1671" i="1"/>
  <c r="N1671" i="1"/>
  <c r="D1662" i="1"/>
  <c r="E1662" i="1"/>
  <c r="F1662" i="1"/>
  <c r="K1662" i="1"/>
  <c r="M1662" i="1"/>
  <c r="N1662" i="1"/>
  <c r="D1653" i="1"/>
  <c r="E1653" i="1"/>
  <c r="F1653" i="1"/>
  <c r="K1653" i="1"/>
  <c r="M1653" i="1"/>
  <c r="N1653" i="1"/>
  <c r="D1644" i="1"/>
  <c r="E1644" i="1"/>
  <c r="F1644" i="1"/>
  <c r="K1644" i="1"/>
  <c r="M1644" i="1"/>
  <c r="N1644" i="1"/>
  <c r="D1635" i="1"/>
  <c r="E1635" i="1"/>
  <c r="F1635" i="1"/>
  <c r="K1635" i="1"/>
  <c r="M1635" i="1"/>
  <c r="N1635" i="1"/>
  <c r="D1626" i="1"/>
  <c r="E1626" i="1"/>
  <c r="F1626" i="1"/>
  <c r="K1626" i="1"/>
  <c r="M1626" i="1"/>
  <c r="N1626" i="1"/>
  <c r="D1618" i="1"/>
  <c r="E1618" i="1"/>
  <c r="F1618" i="1"/>
  <c r="K1618" i="1"/>
  <c r="M1618" i="1"/>
  <c r="N1618" i="1"/>
  <c r="D1724" i="1"/>
  <c r="E1724" i="1"/>
  <c r="F1724" i="1"/>
  <c r="K1724" i="1"/>
  <c r="M1724" i="1"/>
  <c r="N1724" i="1"/>
  <c r="D1567" i="1"/>
  <c r="E1567" i="1"/>
  <c r="F1567" i="1"/>
  <c r="K1567" i="1"/>
  <c r="M1567" i="1"/>
  <c r="N1567" i="1"/>
  <c r="D1513" i="1"/>
  <c r="E1513" i="1"/>
  <c r="F1513" i="1"/>
  <c r="K1513" i="1"/>
  <c r="M1513" i="1"/>
  <c r="N1513" i="1"/>
  <c r="D1462" i="1"/>
  <c r="E1462" i="1"/>
  <c r="F1462" i="1"/>
  <c r="K1462" i="1"/>
  <c r="M1462" i="1"/>
  <c r="N1462" i="1"/>
  <c r="D1417" i="1"/>
  <c r="E1417" i="1"/>
  <c r="F1417" i="1"/>
  <c r="K1417" i="1"/>
  <c r="M1417" i="1"/>
  <c r="N1417" i="1"/>
  <c r="D1349" i="1"/>
  <c r="E1349" i="1"/>
  <c r="F1349" i="1"/>
  <c r="K1349" i="1"/>
  <c r="M1349" i="1"/>
  <c r="N1349" i="1"/>
  <c r="D1293" i="1"/>
  <c r="E1293" i="1"/>
  <c r="F1293" i="1"/>
  <c r="K1293" i="1"/>
  <c r="M1293" i="1"/>
  <c r="N1293" i="1"/>
  <c r="D1235" i="1"/>
  <c r="E1235" i="1"/>
  <c r="F1235" i="1"/>
  <c r="K1235" i="1"/>
  <c r="M1235" i="1"/>
  <c r="N1235" i="1"/>
  <c r="D1177" i="1"/>
  <c r="E1177" i="1"/>
  <c r="F1177" i="1"/>
  <c r="K1177" i="1"/>
  <c r="M1177" i="1"/>
  <c r="N1177" i="1"/>
  <c r="D1129" i="1"/>
  <c r="E1129" i="1"/>
  <c r="F1129" i="1"/>
  <c r="K1129" i="1"/>
  <c r="M1129" i="1"/>
  <c r="N1129" i="1"/>
  <c r="D1069" i="1"/>
  <c r="E1069" i="1"/>
  <c r="F1069" i="1"/>
  <c r="K1069" i="1"/>
  <c r="M1069" i="1"/>
  <c r="N1069" i="1"/>
  <c r="D1005" i="1"/>
  <c r="E1005" i="1"/>
  <c r="F1005" i="1"/>
  <c r="K1005" i="1"/>
  <c r="M1005" i="1"/>
  <c r="N1005" i="1"/>
  <c r="D956" i="1"/>
  <c r="E956" i="1"/>
  <c r="F956" i="1"/>
  <c r="K956" i="1"/>
  <c r="M956" i="1"/>
  <c r="N956" i="1"/>
  <c r="D887" i="1"/>
  <c r="E887" i="1"/>
  <c r="F887" i="1"/>
  <c r="K887" i="1"/>
  <c r="M887" i="1"/>
  <c r="N887" i="1"/>
  <c r="D836" i="1"/>
  <c r="E836" i="1"/>
  <c r="F836" i="1"/>
  <c r="K836" i="1"/>
  <c r="M836" i="1"/>
  <c r="N836" i="1"/>
  <c r="D783" i="1"/>
  <c r="E783" i="1"/>
  <c r="F783" i="1"/>
  <c r="K783" i="1"/>
  <c r="M783" i="1"/>
  <c r="N783" i="1"/>
  <c r="D723" i="1"/>
  <c r="E723" i="1"/>
  <c r="F723" i="1"/>
  <c r="K723" i="1"/>
  <c r="M723" i="1"/>
  <c r="N723" i="1"/>
  <c r="D671" i="1"/>
  <c r="E671" i="1"/>
  <c r="F671" i="1"/>
  <c r="K671" i="1"/>
  <c r="M671" i="1"/>
  <c r="N671" i="1"/>
  <c r="D610" i="1"/>
  <c r="E610" i="1"/>
  <c r="F610" i="1"/>
  <c r="K610" i="1"/>
  <c r="M610" i="1"/>
  <c r="N610" i="1"/>
  <c r="D553" i="1"/>
  <c r="E553" i="1"/>
  <c r="F553" i="1"/>
  <c r="K553" i="1"/>
  <c r="M553" i="1"/>
  <c r="N553" i="1"/>
  <c r="D514" i="1"/>
  <c r="E514" i="1"/>
  <c r="F514" i="1"/>
  <c r="K514" i="1"/>
  <c r="M514" i="1"/>
  <c r="N514" i="1"/>
  <c r="D455" i="1"/>
  <c r="E455" i="1"/>
  <c r="F455" i="1"/>
  <c r="K455" i="1"/>
  <c r="M455" i="1"/>
  <c r="N455" i="1"/>
  <c r="D410" i="1"/>
  <c r="E410" i="1"/>
  <c r="F410" i="1"/>
  <c r="K410" i="1"/>
  <c r="M410" i="1"/>
  <c r="N410" i="1"/>
  <c r="D357" i="1"/>
  <c r="E357" i="1"/>
  <c r="F357" i="1"/>
  <c r="K357" i="1"/>
  <c r="M357" i="1"/>
  <c r="N357" i="1"/>
  <c r="D298" i="1"/>
  <c r="E298" i="1"/>
  <c r="F298" i="1"/>
  <c r="K298" i="1"/>
  <c r="M298" i="1"/>
  <c r="N298" i="1"/>
  <c r="D1953" i="1"/>
  <c r="E1953" i="1"/>
  <c r="F1953" i="1"/>
  <c r="K1953" i="1"/>
  <c r="M1953" i="1"/>
  <c r="N1953" i="1"/>
  <c r="D1910" i="1"/>
  <c r="E1910" i="1"/>
  <c r="F1910" i="1"/>
  <c r="K1910" i="1"/>
  <c r="M1910" i="1"/>
  <c r="N1910" i="1"/>
  <c r="D1901" i="1"/>
  <c r="E1901" i="1"/>
  <c r="F1901" i="1"/>
  <c r="K1901" i="1"/>
  <c r="M1901" i="1"/>
  <c r="N1901" i="1"/>
  <c r="D1892" i="1"/>
  <c r="E1892" i="1"/>
  <c r="F1892" i="1"/>
  <c r="K1892" i="1"/>
  <c r="M1892" i="1"/>
  <c r="N1892" i="1"/>
  <c r="D1883" i="1"/>
  <c r="E1883" i="1"/>
  <c r="F1883" i="1"/>
  <c r="K1883" i="1"/>
  <c r="M1883" i="1"/>
  <c r="N1883" i="1"/>
  <c r="D1874" i="1"/>
  <c r="E1874" i="1"/>
  <c r="F1874" i="1"/>
  <c r="K1874" i="1"/>
  <c r="M1874" i="1"/>
  <c r="N1874" i="1"/>
  <c r="D1865" i="1"/>
  <c r="E1865" i="1"/>
  <c r="F1865" i="1"/>
  <c r="K1865" i="1"/>
  <c r="M1865" i="1"/>
  <c r="N1865" i="1"/>
  <c r="D1856" i="1"/>
  <c r="E1856" i="1"/>
  <c r="F1856" i="1"/>
  <c r="K1856" i="1"/>
  <c r="M1856" i="1"/>
  <c r="N1856" i="1"/>
  <c r="D1847" i="1"/>
  <c r="E1847" i="1"/>
  <c r="F1847" i="1"/>
  <c r="K1847" i="1"/>
  <c r="M1847" i="1"/>
  <c r="N1847" i="1"/>
  <c r="D1838" i="1"/>
  <c r="E1838" i="1"/>
  <c r="F1838" i="1"/>
  <c r="K1838" i="1"/>
  <c r="M1838" i="1"/>
  <c r="N1838" i="1"/>
  <c r="D1829" i="1"/>
  <c r="E1829" i="1"/>
  <c r="F1829" i="1"/>
  <c r="K1829" i="1"/>
  <c r="M1829" i="1"/>
  <c r="N1829" i="1"/>
  <c r="D1820" i="1"/>
  <c r="E1820" i="1"/>
  <c r="F1820" i="1"/>
  <c r="K1820" i="1"/>
  <c r="M1820" i="1"/>
  <c r="N1820" i="1"/>
  <c r="D1811" i="1"/>
  <c r="E1811" i="1"/>
  <c r="F1811" i="1"/>
  <c r="K1811" i="1"/>
  <c r="M1811" i="1"/>
  <c r="N1811" i="1"/>
  <c r="D1802" i="1"/>
  <c r="E1802" i="1"/>
  <c r="F1802" i="1"/>
  <c r="K1802" i="1"/>
  <c r="M1802" i="1"/>
  <c r="N1802" i="1"/>
  <c r="D1706" i="1"/>
  <c r="E1706" i="1"/>
  <c r="F1706" i="1"/>
  <c r="K1706" i="1"/>
  <c r="M1706" i="1"/>
  <c r="N1706" i="1"/>
  <c r="D1697" i="1"/>
  <c r="E1697" i="1"/>
  <c r="F1697" i="1"/>
  <c r="K1697" i="1"/>
  <c r="M1697" i="1"/>
  <c r="N1697" i="1"/>
  <c r="D1688" i="1"/>
  <c r="E1688" i="1"/>
  <c r="F1688" i="1"/>
  <c r="K1688" i="1"/>
  <c r="M1688" i="1"/>
  <c r="N1688" i="1"/>
  <c r="D1679" i="1"/>
  <c r="E1679" i="1"/>
  <c r="F1679" i="1"/>
  <c r="K1679" i="1"/>
  <c r="M1679" i="1"/>
  <c r="N1679" i="1"/>
  <c r="D1670" i="1"/>
  <c r="E1670" i="1"/>
  <c r="F1670" i="1"/>
  <c r="K1670" i="1"/>
  <c r="M1670" i="1"/>
  <c r="N1670" i="1"/>
  <c r="D1661" i="1"/>
  <c r="E1661" i="1"/>
  <c r="F1661" i="1"/>
  <c r="K1661" i="1"/>
  <c r="M1661" i="1"/>
  <c r="N1661" i="1"/>
  <c r="D1652" i="1"/>
  <c r="E1652" i="1"/>
  <c r="F1652" i="1"/>
  <c r="K1652" i="1"/>
  <c r="M1652" i="1"/>
  <c r="N1652" i="1"/>
  <c r="D1643" i="1"/>
  <c r="E1643" i="1"/>
  <c r="F1643" i="1"/>
  <c r="K1643" i="1"/>
  <c r="M1643" i="1"/>
  <c r="N1643" i="1"/>
  <c r="D1634" i="1"/>
  <c r="E1634" i="1"/>
  <c r="F1634" i="1"/>
  <c r="K1634" i="1"/>
  <c r="M1634" i="1"/>
  <c r="N1634" i="1"/>
  <c r="D1617" i="1"/>
  <c r="E1617" i="1"/>
  <c r="F1617" i="1"/>
  <c r="K1617" i="1"/>
  <c r="M1617" i="1"/>
  <c r="N1617" i="1"/>
  <c r="D1625" i="1"/>
  <c r="E1625" i="1"/>
  <c r="F1625" i="1"/>
  <c r="K1625" i="1"/>
  <c r="M1625" i="1"/>
  <c r="N1625" i="1"/>
  <c r="D1762" i="1"/>
  <c r="E1762" i="1"/>
  <c r="F1762" i="1"/>
  <c r="K1762" i="1"/>
  <c r="M1762" i="1"/>
  <c r="N1762" i="1"/>
  <c r="D1610" i="1"/>
  <c r="E1610" i="1"/>
  <c r="F1610" i="1"/>
  <c r="K1610" i="1"/>
  <c r="M1610" i="1"/>
  <c r="N1610" i="1"/>
  <c r="D1550" i="1"/>
  <c r="E1550" i="1"/>
  <c r="F1550" i="1"/>
  <c r="K1550" i="1"/>
  <c r="M1550" i="1"/>
  <c r="N1550" i="1"/>
  <c r="D1494" i="1"/>
  <c r="E1494" i="1"/>
  <c r="F1494" i="1"/>
  <c r="K1494" i="1"/>
  <c r="M1494" i="1"/>
  <c r="N1494" i="1"/>
  <c r="D1448" i="1"/>
  <c r="E1448" i="1"/>
  <c r="F1448" i="1"/>
  <c r="K1448" i="1"/>
  <c r="M1448" i="1"/>
  <c r="N1448" i="1"/>
  <c r="D1392" i="1"/>
  <c r="E1392" i="1"/>
  <c r="F1392" i="1"/>
  <c r="K1392" i="1"/>
  <c r="M1392" i="1"/>
  <c r="N1392" i="1"/>
  <c r="D1329" i="1"/>
  <c r="E1329" i="1"/>
  <c r="F1329" i="1"/>
  <c r="K1329" i="1"/>
  <c r="M1329" i="1"/>
  <c r="N1329" i="1"/>
  <c r="D1272" i="1"/>
  <c r="E1272" i="1"/>
  <c r="F1272" i="1"/>
  <c r="K1272" i="1"/>
  <c r="M1272" i="1"/>
  <c r="N1272" i="1"/>
  <c r="D1214" i="1"/>
  <c r="E1214" i="1"/>
  <c r="F1214" i="1"/>
  <c r="K1214" i="1"/>
  <c r="M1214" i="1"/>
  <c r="N1214" i="1"/>
  <c r="D1161" i="1"/>
  <c r="E1161" i="1"/>
  <c r="F1161" i="1"/>
  <c r="K1161" i="1"/>
  <c r="M1161" i="1"/>
  <c r="N1161" i="1"/>
  <c r="D1106" i="1"/>
  <c r="E1106" i="1"/>
  <c r="F1106" i="1"/>
  <c r="K1106" i="1"/>
  <c r="M1106" i="1"/>
  <c r="N1106" i="1"/>
  <c r="N1048" i="1"/>
  <c r="M1048" i="1"/>
  <c r="K1048" i="1"/>
  <c r="F1048" i="1"/>
  <c r="E1048" i="1"/>
  <c r="D1048" i="1"/>
  <c r="N987" i="1"/>
  <c r="M987" i="1"/>
  <c r="K987" i="1"/>
  <c r="F987" i="1"/>
  <c r="E987" i="1"/>
  <c r="D987" i="1"/>
  <c r="D931" i="1"/>
  <c r="E931" i="1"/>
  <c r="F931" i="1"/>
  <c r="K931" i="1"/>
  <c r="M931" i="1"/>
  <c r="N931" i="1"/>
  <c r="D868" i="1"/>
  <c r="E868" i="1"/>
  <c r="F868" i="1"/>
  <c r="K868" i="1"/>
  <c r="M868" i="1"/>
  <c r="N868" i="1"/>
  <c r="D814" i="1"/>
  <c r="E814" i="1"/>
  <c r="F814" i="1"/>
  <c r="K814" i="1"/>
  <c r="M814" i="1"/>
  <c r="N814" i="1"/>
  <c r="D766" i="1"/>
  <c r="E766" i="1"/>
  <c r="F766" i="1"/>
  <c r="K766" i="1"/>
  <c r="M766" i="1"/>
  <c r="N766" i="1"/>
  <c r="D703" i="1"/>
  <c r="E703" i="1"/>
  <c r="F703" i="1"/>
  <c r="K703" i="1"/>
  <c r="M703" i="1"/>
  <c r="N703" i="1"/>
  <c r="D647" i="1"/>
  <c r="E647" i="1"/>
  <c r="F647" i="1"/>
  <c r="K647" i="1"/>
  <c r="M647" i="1"/>
  <c r="N647" i="1"/>
  <c r="D590" i="1"/>
  <c r="E590" i="1"/>
  <c r="F590" i="1"/>
  <c r="K590" i="1"/>
  <c r="M590" i="1"/>
  <c r="N590" i="1"/>
  <c r="D539" i="1"/>
  <c r="E539" i="1"/>
  <c r="F539" i="1"/>
  <c r="K539" i="1"/>
  <c r="M539" i="1"/>
  <c r="N539" i="1"/>
  <c r="D492" i="1"/>
  <c r="E492" i="1"/>
  <c r="F492" i="1"/>
  <c r="K492" i="1"/>
  <c r="M492" i="1"/>
  <c r="N492" i="1"/>
  <c r="D441" i="1"/>
  <c r="E441" i="1"/>
  <c r="F441" i="1"/>
  <c r="K441" i="1"/>
  <c r="M441" i="1"/>
  <c r="N441" i="1"/>
  <c r="D394" i="1"/>
  <c r="E394" i="1"/>
  <c r="F394" i="1"/>
  <c r="K394" i="1"/>
  <c r="M394" i="1"/>
  <c r="N394" i="1"/>
  <c r="D337" i="1"/>
  <c r="E337" i="1"/>
  <c r="F337" i="1"/>
  <c r="K337" i="1"/>
  <c r="M337" i="1"/>
  <c r="N337" i="1"/>
  <c r="D48" i="1"/>
  <c r="E48" i="1"/>
  <c r="F48" i="1"/>
  <c r="K48" i="1"/>
  <c r="M48" i="1"/>
  <c r="N48" i="1"/>
  <c r="D47" i="1"/>
  <c r="E47" i="1"/>
  <c r="F47" i="1"/>
  <c r="K47" i="1"/>
  <c r="M47" i="1"/>
  <c r="N47" i="1"/>
  <c r="D153" i="1"/>
  <c r="E153" i="1"/>
  <c r="F153" i="1"/>
  <c r="K153" i="1"/>
  <c r="M153" i="1"/>
  <c r="N153" i="1"/>
  <c r="D1333" i="1"/>
  <c r="E1333" i="1"/>
  <c r="F1333" i="1"/>
  <c r="K1333" i="1"/>
  <c r="M1333" i="1"/>
  <c r="N1333" i="1"/>
  <c r="D1334" i="1"/>
  <c r="E1334" i="1"/>
  <c r="F1334" i="1"/>
  <c r="K1334" i="1"/>
  <c r="M1334" i="1"/>
  <c r="N1334" i="1"/>
  <c r="D1277" i="1"/>
  <c r="E1277" i="1"/>
  <c r="F1277" i="1"/>
  <c r="K1277" i="1"/>
  <c r="M1277" i="1"/>
  <c r="N1277" i="1"/>
  <c r="D1219" i="1"/>
  <c r="E1219" i="1"/>
  <c r="F1219" i="1"/>
  <c r="K1219" i="1"/>
  <c r="M1219" i="1"/>
  <c r="N1219" i="1"/>
  <c r="D1164" i="1"/>
  <c r="E1164" i="1"/>
  <c r="F1164" i="1"/>
  <c r="K1164" i="1"/>
  <c r="M1164" i="1"/>
  <c r="N1164" i="1"/>
  <c r="D1055" i="1"/>
  <c r="E1055" i="1"/>
  <c r="F1055" i="1"/>
  <c r="K1055" i="1"/>
  <c r="M1055" i="1"/>
  <c r="N1055" i="1"/>
  <c r="D990" i="1"/>
  <c r="E990" i="1"/>
  <c r="F990" i="1"/>
  <c r="K990" i="1"/>
  <c r="M990" i="1"/>
  <c r="N990" i="1"/>
  <c r="D872" i="1"/>
  <c r="E872" i="1"/>
  <c r="F872" i="1"/>
  <c r="K872" i="1"/>
  <c r="M872" i="1"/>
  <c r="N872" i="1"/>
  <c r="D820" i="1"/>
  <c r="E820" i="1"/>
  <c r="F820" i="1"/>
  <c r="K820" i="1"/>
  <c r="M820" i="1"/>
  <c r="N820" i="1"/>
  <c r="D771" i="1"/>
  <c r="E771" i="1"/>
  <c r="F771" i="1"/>
  <c r="K771" i="1"/>
  <c r="M771" i="1"/>
  <c r="N771" i="1"/>
  <c r="D707" i="1"/>
  <c r="E707" i="1"/>
  <c r="F707" i="1"/>
  <c r="K707" i="1"/>
  <c r="M707" i="1"/>
  <c r="N707" i="1"/>
  <c r="D708" i="1"/>
  <c r="E708" i="1"/>
  <c r="F708" i="1"/>
  <c r="K708" i="1"/>
  <c r="M708" i="1"/>
  <c r="N708" i="1"/>
  <c r="D653" i="1"/>
  <c r="E653" i="1"/>
  <c r="F653" i="1"/>
  <c r="K653" i="1"/>
  <c r="M653" i="1"/>
  <c r="N653" i="1"/>
  <c r="D593" i="1"/>
  <c r="E593" i="1"/>
  <c r="F593" i="1"/>
  <c r="K593" i="1"/>
  <c r="M593" i="1"/>
  <c r="N593" i="1"/>
  <c r="D1955" i="1"/>
  <c r="E1955" i="1"/>
  <c r="F1955" i="1"/>
  <c r="K1955" i="1"/>
  <c r="M1955" i="1"/>
  <c r="N1955" i="1"/>
  <c r="D1956" i="1"/>
  <c r="E1956" i="1"/>
  <c r="F1956" i="1"/>
  <c r="K1956" i="1"/>
  <c r="M1956" i="1"/>
  <c r="N1956" i="1"/>
  <c r="D1944" i="1"/>
  <c r="E1944" i="1"/>
  <c r="F1944" i="1"/>
  <c r="K1944" i="1"/>
  <c r="M1944" i="1"/>
  <c r="N1944" i="1"/>
  <c r="D1920" i="1"/>
  <c r="E1920" i="1"/>
  <c r="F1920" i="1"/>
  <c r="K1920" i="1"/>
  <c r="M1920" i="1"/>
  <c r="N1920" i="1"/>
  <c r="D1912" i="1"/>
  <c r="E1912" i="1"/>
  <c r="F1912" i="1"/>
  <c r="K1912" i="1"/>
  <c r="M1912" i="1"/>
  <c r="N1912" i="1"/>
  <c r="D1903" i="1"/>
  <c r="E1903" i="1"/>
  <c r="F1903" i="1"/>
  <c r="K1903" i="1"/>
  <c r="M1903" i="1"/>
  <c r="N1903" i="1"/>
  <c r="D1894" i="1"/>
  <c r="E1894" i="1"/>
  <c r="F1894" i="1"/>
  <c r="K1894" i="1"/>
  <c r="M1894" i="1"/>
  <c r="N1894" i="1"/>
  <c r="D1885" i="1"/>
  <c r="E1885" i="1"/>
  <c r="F1885" i="1"/>
  <c r="K1885" i="1"/>
  <c r="M1885" i="1"/>
  <c r="N1885" i="1"/>
  <c r="D1876" i="1"/>
  <c r="E1876" i="1"/>
  <c r="F1876" i="1"/>
  <c r="K1876" i="1"/>
  <c r="M1876" i="1"/>
  <c r="N1876" i="1"/>
  <c r="D1867" i="1"/>
  <c r="E1867" i="1"/>
  <c r="F1867" i="1"/>
  <c r="K1867" i="1"/>
  <c r="M1867" i="1"/>
  <c r="N1867" i="1"/>
  <c r="D1858" i="1"/>
  <c r="E1858" i="1"/>
  <c r="F1858" i="1"/>
  <c r="K1858" i="1"/>
  <c r="M1858" i="1"/>
  <c r="N1858" i="1"/>
  <c r="D1849" i="1"/>
  <c r="E1849" i="1"/>
  <c r="F1849" i="1"/>
  <c r="K1849" i="1"/>
  <c r="M1849" i="1"/>
  <c r="N1849" i="1"/>
  <c r="D1840" i="1"/>
  <c r="E1840" i="1"/>
  <c r="F1840" i="1"/>
  <c r="K1840" i="1"/>
  <c r="M1840" i="1"/>
  <c r="N1840" i="1"/>
  <c r="D1831" i="1"/>
  <c r="E1831" i="1"/>
  <c r="F1831" i="1"/>
  <c r="K1831" i="1"/>
  <c r="M1831" i="1"/>
  <c r="N1831" i="1"/>
  <c r="D1822" i="1"/>
  <c r="E1822" i="1"/>
  <c r="F1822" i="1"/>
  <c r="K1822" i="1"/>
  <c r="M1822" i="1"/>
  <c r="N1822" i="1"/>
  <c r="D1813" i="1"/>
  <c r="E1813" i="1"/>
  <c r="F1813" i="1"/>
  <c r="K1813" i="1"/>
  <c r="M1813" i="1"/>
  <c r="N1813" i="1"/>
  <c r="D1804" i="1"/>
  <c r="E1804" i="1"/>
  <c r="F1804" i="1"/>
  <c r="K1804" i="1"/>
  <c r="M1804" i="1"/>
  <c r="N1804" i="1"/>
  <c r="D1708" i="1"/>
  <c r="E1708" i="1"/>
  <c r="F1708" i="1"/>
  <c r="K1708" i="1"/>
  <c r="M1708" i="1"/>
  <c r="N1708" i="1"/>
  <c r="D1699" i="1"/>
  <c r="E1699" i="1"/>
  <c r="F1699" i="1"/>
  <c r="K1699" i="1"/>
  <c r="M1699" i="1"/>
  <c r="N1699" i="1"/>
  <c r="D1690" i="1"/>
  <c r="E1690" i="1"/>
  <c r="F1690" i="1"/>
  <c r="K1690" i="1"/>
  <c r="M1690" i="1"/>
  <c r="N1690" i="1"/>
  <c r="D1681" i="1"/>
  <c r="E1681" i="1"/>
  <c r="F1681" i="1"/>
  <c r="K1681" i="1"/>
  <c r="M1681" i="1"/>
  <c r="N1681" i="1"/>
  <c r="D1672" i="1"/>
  <c r="E1672" i="1"/>
  <c r="F1672" i="1"/>
  <c r="K1672" i="1"/>
  <c r="M1672" i="1"/>
  <c r="N1672" i="1"/>
  <c r="D1663" i="1"/>
  <c r="E1663" i="1"/>
  <c r="F1663" i="1"/>
  <c r="K1663" i="1"/>
  <c r="M1663" i="1"/>
  <c r="N1663" i="1"/>
  <c r="D1654" i="1"/>
  <c r="E1654" i="1"/>
  <c r="F1654" i="1"/>
  <c r="K1654" i="1"/>
  <c r="M1654" i="1"/>
  <c r="N1654" i="1"/>
  <c r="D1645" i="1"/>
  <c r="E1645" i="1"/>
  <c r="F1645" i="1"/>
  <c r="K1645" i="1"/>
  <c r="M1645" i="1"/>
  <c r="N1645" i="1"/>
  <c r="D1636" i="1"/>
  <c r="E1636" i="1"/>
  <c r="F1636" i="1"/>
  <c r="K1636" i="1"/>
  <c r="M1636" i="1"/>
  <c r="N1636" i="1"/>
  <c r="D1627" i="1"/>
  <c r="E1627" i="1"/>
  <c r="F1627" i="1"/>
  <c r="K1627" i="1"/>
  <c r="M1627" i="1"/>
  <c r="N1627" i="1"/>
  <c r="D1398" i="1"/>
  <c r="E1398" i="1"/>
  <c r="F1398" i="1"/>
  <c r="K1398" i="1"/>
  <c r="M1398" i="1"/>
  <c r="N1398" i="1"/>
  <c r="D1396" i="1"/>
  <c r="E1396" i="1"/>
  <c r="F1396" i="1"/>
  <c r="K1396" i="1"/>
  <c r="M1396" i="1"/>
  <c r="N1396" i="1"/>
  <c r="D1273" i="1"/>
  <c r="E1273" i="1"/>
  <c r="F1273" i="1"/>
  <c r="K1273" i="1"/>
  <c r="M1273" i="1"/>
  <c r="N1273" i="1"/>
  <c r="D1111" i="1"/>
  <c r="E1111" i="1"/>
  <c r="F1111" i="1"/>
  <c r="K1111" i="1"/>
  <c r="M1111" i="1"/>
  <c r="N1111" i="1"/>
  <c r="D932" i="1"/>
  <c r="E932" i="1"/>
  <c r="F932" i="1"/>
  <c r="K932" i="1"/>
  <c r="M932" i="1"/>
  <c r="N932" i="1"/>
  <c r="D816" i="1"/>
  <c r="E816" i="1"/>
  <c r="F816" i="1"/>
  <c r="K816" i="1"/>
  <c r="M816" i="1"/>
  <c r="N816" i="1"/>
  <c r="D649" i="1"/>
  <c r="E649" i="1"/>
  <c r="F649" i="1"/>
  <c r="K649" i="1"/>
  <c r="M649" i="1"/>
  <c r="N649" i="1"/>
  <c r="D282" i="1"/>
  <c r="E282" i="1"/>
  <c r="F282" i="1"/>
  <c r="K282" i="1"/>
  <c r="M282" i="1"/>
  <c r="N282" i="1"/>
  <c r="D207" i="1"/>
  <c r="E207" i="1"/>
  <c r="F207" i="1"/>
  <c r="K207" i="1"/>
  <c r="M207" i="1"/>
  <c r="N207" i="1"/>
  <c r="D190" i="1"/>
  <c r="E190" i="1"/>
  <c r="F190" i="1"/>
  <c r="K190" i="1"/>
  <c r="M190" i="1"/>
  <c r="N190" i="1"/>
  <c r="D165" i="1"/>
  <c r="E165" i="1"/>
  <c r="F165" i="1"/>
  <c r="K165" i="1"/>
  <c r="M165" i="1"/>
  <c r="N165" i="1"/>
  <c r="D133" i="1"/>
  <c r="E133" i="1"/>
  <c r="F133" i="1"/>
  <c r="K133" i="1"/>
  <c r="M133" i="1"/>
  <c r="N133" i="1"/>
  <c r="D120" i="1"/>
  <c r="E120" i="1"/>
  <c r="F120" i="1"/>
  <c r="K120" i="1"/>
  <c r="M120" i="1"/>
  <c r="N120" i="1"/>
  <c r="D93" i="1"/>
  <c r="E93" i="1"/>
  <c r="F93" i="1"/>
  <c r="K93" i="1"/>
  <c r="M93" i="1"/>
  <c r="N93" i="1"/>
  <c r="D78" i="1"/>
  <c r="E78" i="1"/>
  <c r="F78" i="1"/>
  <c r="K78" i="1"/>
  <c r="M78" i="1"/>
  <c r="N78" i="1"/>
  <c r="D62" i="1"/>
  <c r="E62" i="1"/>
  <c r="F62" i="1"/>
  <c r="K62" i="1"/>
  <c r="M62" i="1"/>
  <c r="N62" i="1"/>
  <c r="D42" i="1"/>
  <c r="E42" i="1"/>
  <c r="F42" i="1"/>
  <c r="K42" i="1"/>
  <c r="M42" i="1"/>
  <c r="N42" i="1"/>
  <c r="D25" i="1"/>
  <c r="E25" i="1"/>
  <c r="F25" i="1"/>
  <c r="K25" i="1"/>
  <c r="M25" i="1"/>
  <c r="N25" i="1"/>
  <c r="D1947" i="1"/>
  <c r="E1947" i="1"/>
  <c r="F1947" i="1"/>
  <c r="K1947" i="1"/>
  <c r="M1947" i="1"/>
  <c r="N1947" i="1"/>
  <c r="D1948" i="1"/>
  <c r="E1948" i="1"/>
  <c r="F1948" i="1"/>
  <c r="K1948" i="1"/>
  <c r="M1948" i="1"/>
  <c r="N1948" i="1"/>
  <c r="D1923" i="1"/>
  <c r="E1923" i="1"/>
  <c r="F1923" i="1"/>
  <c r="K1923" i="1"/>
  <c r="M1923" i="1"/>
  <c r="N1923" i="1"/>
  <c r="D1915" i="1"/>
  <c r="E1915" i="1"/>
  <c r="F1915" i="1"/>
  <c r="K1915" i="1"/>
  <c r="M1915" i="1"/>
  <c r="N1915" i="1"/>
  <c r="D1906" i="1"/>
  <c r="E1906" i="1"/>
  <c r="F1906" i="1"/>
  <c r="K1906" i="1"/>
  <c r="M1906" i="1"/>
  <c r="N1906" i="1"/>
  <c r="D1897" i="1"/>
  <c r="E1897" i="1"/>
  <c r="F1897" i="1"/>
  <c r="K1897" i="1"/>
  <c r="M1897" i="1"/>
  <c r="N1897" i="1"/>
  <c r="D1888" i="1"/>
  <c r="E1888" i="1"/>
  <c r="F1888" i="1"/>
  <c r="K1888" i="1"/>
  <c r="M1888" i="1"/>
  <c r="N1888" i="1"/>
  <c r="D1879" i="1"/>
  <c r="E1879" i="1"/>
  <c r="F1879" i="1"/>
  <c r="K1879" i="1"/>
  <c r="M1879" i="1"/>
  <c r="N1879" i="1"/>
  <c r="D1870" i="1"/>
  <c r="E1870" i="1"/>
  <c r="F1870" i="1"/>
  <c r="K1870" i="1"/>
  <c r="M1870" i="1"/>
  <c r="N1870" i="1"/>
  <c r="D1861" i="1"/>
  <c r="E1861" i="1"/>
  <c r="F1861" i="1"/>
  <c r="K1861" i="1"/>
  <c r="M1861" i="1"/>
  <c r="N1861" i="1"/>
  <c r="D1852" i="1"/>
  <c r="E1852" i="1"/>
  <c r="F1852" i="1"/>
  <c r="K1852" i="1"/>
  <c r="M1852" i="1"/>
  <c r="N1852" i="1"/>
  <c r="D1843" i="1"/>
  <c r="E1843" i="1"/>
  <c r="F1843" i="1"/>
  <c r="K1843" i="1"/>
  <c r="M1843" i="1"/>
  <c r="N1843" i="1"/>
  <c r="D1834" i="1"/>
  <c r="E1834" i="1"/>
  <c r="F1834" i="1"/>
  <c r="K1834" i="1"/>
  <c r="M1834" i="1"/>
  <c r="N1834" i="1"/>
  <c r="D1825" i="1"/>
  <c r="E1825" i="1"/>
  <c r="F1825" i="1"/>
  <c r="K1825" i="1"/>
  <c r="M1825" i="1"/>
  <c r="N1825" i="1"/>
  <c r="D1816" i="1"/>
  <c r="E1816" i="1"/>
  <c r="F1816" i="1"/>
  <c r="K1816" i="1"/>
  <c r="M1816" i="1"/>
  <c r="N1816" i="1"/>
  <c r="D1807" i="1"/>
  <c r="E1807" i="1"/>
  <c r="F1807" i="1"/>
  <c r="K1807" i="1"/>
  <c r="M1807" i="1"/>
  <c r="N1807" i="1"/>
  <c r="D1799" i="1"/>
  <c r="E1799" i="1"/>
  <c r="F1799" i="1"/>
  <c r="K1799" i="1"/>
  <c r="M1799" i="1"/>
  <c r="N1799" i="1"/>
  <c r="D1702" i="1"/>
  <c r="E1702" i="1"/>
  <c r="F1702" i="1"/>
  <c r="K1702" i="1"/>
  <c r="M1702" i="1"/>
  <c r="N1702" i="1"/>
  <c r="D1693" i="1"/>
  <c r="E1693" i="1"/>
  <c r="F1693" i="1"/>
  <c r="K1693" i="1"/>
  <c r="M1693" i="1"/>
  <c r="N1693" i="1"/>
  <c r="D1684" i="1"/>
  <c r="E1684" i="1"/>
  <c r="F1684" i="1"/>
  <c r="K1684" i="1"/>
  <c r="M1684" i="1"/>
  <c r="N1684" i="1"/>
  <c r="D1675" i="1"/>
  <c r="E1675" i="1"/>
  <c r="F1675" i="1"/>
  <c r="K1675" i="1"/>
  <c r="M1675" i="1"/>
  <c r="N1675" i="1"/>
  <c r="D1666" i="1"/>
  <c r="E1666" i="1"/>
  <c r="F1666" i="1"/>
  <c r="K1666" i="1"/>
  <c r="M1666" i="1"/>
  <c r="N1666" i="1"/>
  <c r="D1657" i="1"/>
  <c r="E1657" i="1"/>
  <c r="F1657" i="1"/>
  <c r="K1657" i="1"/>
  <c r="M1657" i="1"/>
  <c r="N1657" i="1"/>
  <c r="D1648" i="1"/>
  <c r="E1648" i="1"/>
  <c r="F1648" i="1"/>
  <c r="K1648" i="1"/>
  <c r="M1648" i="1"/>
  <c r="N1648" i="1"/>
  <c r="D1639" i="1"/>
  <c r="E1639" i="1"/>
  <c r="F1639" i="1"/>
  <c r="K1639" i="1"/>
  <c r="M1639" i="1"/>
  <c r="N1639" i="1"/>
  <c r="D1630" i="1"/>
  <c r="E1630" i="1"/>
  <c r="F1630" i="1"/>
  <c r="K1630" i="1"/>
  <c r="M1630" i="1"/>
  <c r="N1630" i="1"/>
  <c r="D1621" i="1"/>
  <c r="E1621" i="1"/>
  <c r="F1621" i="1"/>
  <c r="K1621" i="1"/>
  <c r="M1621" i="1"/>
  <c r="N1621" i="1"/>
  <c r="D1951" i="1"/>
  <c r="E1951" i="1"/>
  <c r="F1951" i="1"/>
  <c r="K1951" i="1"/>
  <c r="M1951" i="1"/>
  <c r="N1951" i="1"/>
  <c r="D1952" i="1"/>
  <c r="E1952" i="1"/>
  <c r="F1952" i="1"/>
  <c r="K1952" i="1"/>
  <c r="M1952" i="1"/>
  <c r="N1952" i="1"/>
  <c r="D1926" i="1"/>
  <c r="E1926" i="1"/>
  <c r="F1926" i="1"/>
  <c r="K1926" i="1"/>
  <c r="M1926" i="1"/>
  <c r="N1926" i="1"/>
  <c r="D1918" i="1"/>
  <c r="E1918" i="1"/>
  <c r="F1918" i="1"/>
  <c r="K1918" i="1"/>
  <c r="M1918" i="1"/>
  <c r="N1918" i="1"/>
  <c r="D1909" i="1"/>
  <c r="E1909" i="1"/>
  <c r="F1909" i="1"/>
  <c r="K1909" i="1"/>
  <c r="M1909" i="1"/>
  <c r="N1909" i="1"/>
  <c r="D1900" i="1"/>
  <c r="E1900" i="1"/>
  <c r="F1900" i="1"/>
  <c r="K1900" i="1"/>
  <c r="M1900" i="1"/>
  <c r="N1900" i="1"/>
  <c r="D1891" i="1"/>
  <c r="E1891" i="1"/>
  <c r="F1891" i="1"/>
  <c r="K1891" i="1"/>
  <c r="M1891" i="1"/>
  <c r="N1891" i="1"/>
  <c r="D1882" i="1"/>
  <c r="E1882" i="1"/>
  <c r="F1882" i="1"/>
  <c r="K1882" i="1"/>
  <c r="M1882" i="1"/>
  <c r="N1882" i="1"/>
  <c r="D1873" i="1"/>
  <c r="E1873" i="1"/>
  <c r="F1873" i="1"/>
  <c r="K1873" i="1"/>
  <c r="M1873" i="1"/>
  <c r="N1873" i="1"/>
  <c r="D1864" i="1"/>
  <c r="E1864" i="1"/>
  <c r="F1864" i="1"/>
  <c r="K1864" i="1"/>
  <c r="M1864" i="1"/>
  <c r="N1864" i="1"/>
  <c r="D1855" i="1"/>
  <c r="E1855" i="1"/>
  <c r="F1855" i="1"/>
  <c r="K1855" i="1"/>
  <c r="M1855" i="1"/>
  <c r="N1855" i="1"/>
  <c r="D1846" i="1"/>
  <c r="E1846" i="1"/>
  <c r="F1846" i="1"/>
  <c r="K1846" i="1"/>
  <c r="M1846" i="1"/>
  <c r="N1846" i="1"/>
  <c r="D1837" i="1"/>
  <c r="E1837" i="1"/>
  <c r="F1837" i="1"/>
  <c r="K1837" i="1"/>
  <c r="M1837" i="1"/>
  <c r="N1837" i="1"/>
  <c r="D1828" i="1"/>
  <c r="E1828" i="1"/>
  <c r="F1828" i="1"/>
  <c r="K1828" i="1"/>
  <c r="M1828" i="1"/>
  <c r="N1828" i="1"/>
  <c r="D1819" i="1"/>
  <c r="E1819" i="1"/>
  <c r="F1819" i="1"/>
  <c r="K1819" i="1"/>
  <c r="M1819" i="1"/>
  <c r="N1819" i="1"/>
  <c r="D1810" i="1"/>
  <c r="E1810" i="1"/>
  <c r="F1810" i="1"/>
  <c r="K1810" i="1"/>
  <c r="M1810" i="1"/>
  <c r="N1810" i="1"/>
  <c r="D1741" i="1"/>
  <c r="E1741" i="1"/>
  <c r="F1741" i="1"/>
  <c r="K1741" i="1"/>
  <c r="M1741" i="1"/>
  <c r="N1741" i="1"/>
  <c r="D1705" i="1"/>
  <c r="E1705" i="1"/>
  <c r="F1705" i="1"/>
  <c r="K1705" i="1"/>
  <c r="M1705" i="1"/>
  <c r="N1705" i="1"/>
  <c r="D1696" i="1"/>
  <c r="E1696" i="1"/>
  <c r="F1696" i="1"/>
  <c r="K1696" i="1"/>
  <c r="M1696" i="1"/>
  <c r="N1696" i="1"/>
  <c r="D1687" i="1"/>
  <c r="E1687" i="1"/>
  <c r="F1687" i="1"/>
  <c r="K1687" i="1"/>
  <c r="M1687" i="1"/>
  <c r="N1687" i="1"/>
  <c r="D1678" i="1"/>
  <c r="E1678" i="1"/>
  <c r="F1678" i="1"/>
  <c r="K1678" i="1"/>
  <c r="M1678" i="1"/>
  <c r="N1678" i="1"/>
  <c r="D1669" i="1"/>
  <c r="E1669" i="1"/>
  <c r="F1669" i="1"/>
  <c r="K1669" i="1"/>
  <c r="M1669" i="1"/>
  <c r="N1669" i="1"/>
  <c r="D1660" i="1"/>
  <c r="E1660" i="1"/>
  <c r="F1660" i="1"/>
  <c r="K1660" i="1"/>
  <c r="M1660" i="1"/>
  <c r="N1660" i="1"/>
  <c r="D1651" i="1"/>
  <c r="E1651" i="1"/>
  <c r="F1651" i="1"/>
  <c r="K1651" i="1"/>
  <c r="M1651" i="1"/>
  <c r="N1651" i="1"/>
  <c r="D1642" i="1"/>
  <c r="E1642" i="1"/>
  <c r="F1642" i="1"/>
  <c r="K1642" i="1"/>
  <c r="M1642" i="1"/>
  <c r="N1642" i="1"/>
  <c r="D1633" i="1"/>
  <c r="E1633" i="1"/>
  <c r="F1633" i="1"/>
  <c r="K1633" i="1"/>
  <c r="M1633" i="1"/>
  <c r="N1633" i="1"/>
  <c r="D1624" i="1"/>
  <c r="E1624" i="1"/>
  <c r="F1624" i="1"/>
  <c r="K1624" i="1"/>
  <c r="M1624" i="1"/>
  <c r="N1624" i="1"/>
  <c r="D1589" i="1"/>
  <c r="E1589" i="1"/>
  <c r="F1589" i="1"/>
  <c r="K1589" i="1"/>
  <c r="M1589" i="1"/>
  <c r="N1589" i="1"/>
  <c r="D1588" i="1"/>
  <c r="E1588" i="1"/>
  <c r="F1588" i="1"/>
  <c r="K1588" i="1"/>
  <c r="M1588" i="1"/>
  <c r="N1588" i="1"/>
  <c r="D1530" i="1"/>
  <c r="E1530" i="1"/>
  <c r="F1530" i="1"/>
  <c r="K1530" i="1"/>
  <c r="M1530" i="1"/>
  <c r="N1530" i="1"/>
  <c r="D1474" i="1"/>
  <c r="E1474" i="1"/>
  <c r="F1474" i="1"/>
  <c r="K1474" i="1"/>
  <c r="M1474" i="1"/>
  <c r="N1474" i="1"/>
  <c r="D1371" i="1"/>
  <c r="E1371" i="1"/>
  <c r="F1371" i="1"/>
  <c r="K1371" i="1"/>
  <c r="M1371" i="1"/>
  <c r="N1371" i="1"/>
  <c r="D1370" i="1"/>
  <c r="E1370" i="1"/>
  <c r="F1370" i="1"/>
  <c r="K1370" i="1"/>
  <c r="M1370" i="1"/>
  <c r="N1370" i="1"/>
  <c r="D1309" i="1"/>
  <c r="E1309" i="1"/>
  <c r="F1309" i="1"/>
  <c r="K1309" i="1"/>
  <c r="M1309" i="1"/>
  <c r="N1309" i="1"/>
  <c r="D1252" i="1"/>
  <c r="E1252" i="1"/>
  <c r="F1252" i="1"/>
  <c r="K1252" i="1"/>
  <c r="M1252" i="1"/>
  <c r="N1252" i="1"/>
  <c r="D1086" i="1"/>
  <c r="E1086" i="1"/>
  <c r="F1086" i="1"/>
  <c r="K1086" i="1"/>
  <c r="M1086" i="1"/>
  <c r="N1086" i="1"/>
  <c r="D1194" i="1"/>
  <c r="E1194" i="1"/>
  <c r="F1194" i="1"/>
  <c r="K1194" i="1"/>
  <c r="M1194" i="1"/>
  <c r="N1194" i="1"/>
  <c r="D1027" i="1"/>
  <c r="E1027" i="1"/>
  <c r="F1027" i="1"/>
  <c r="K1027" i="1"/>
  <c r="M1027" i="1"/>
  <c r="N1027" i="1"/>
  <c r="D1026" i="1"/>
  <c r="E1026" i="1"/>
  <c r="F1026" i="1"/>
  <c r="K1026" i="1"/>
  <c r="M1026" i="1"/>
  <c r="N1026" i="1"/>
  <c r="D910" i="1"/>
  <c r="E910" i="1"/>
  <c r="F910" i="1"/>
  <c r="K910" i="1"/>
  <c r="M910" i="1"/>
  <c r="N910" i="1"/>
  <c r="D909" i="1"/>
  <c r="E909" i="1"/>
  <c r="F909" i="1"/>
  <c r="K909" i="1"/>
  <c r="M909" i="1"/>
  <c r="N909" i="1"/>
  <c r="D848" i="1"/>
  <c r="E848" i="1"/>
  <c r="F848" i="1"/>
  <c r="K848" i="1"/>
  <c r="M848" i="1"/>
  <c r="N848" i="1"/>
  <c r="D745" i="1"/>
  <c r="E745" i="1"/>
  <c r="F745" i="1"/>
  <c r="K745" i="1"/>
  <c r="M745" i="1"/>
  <c r="N745" i="1"/>
  <c r="D744" i="1"/>
  <c r="E744" i="1"/>
  <c r="F744" i="1"/>
  <c r="K744" i="1"/>
  <c r="M744" i="1"/>
  <c r="N744" i="1"/>
  <c r="D683" i="1"/>
  <c r="E683" i="1"/>
  <c r="F683" i="1"/>
  <c r="K683" i="1"/>
  <c r="M683" i="1"/>
  <c r="N683" i="1"/>
  <c r="D627" i="1"/>
  <c r="E627" i="1"/>
  <c r="F627" i="1"/>
  <c r="K627" i="1"/>
  <c r="M627" i="1"/>
  <c r="N627" i="1"/>
  <c r="D570" i="1"/>
  <c r="E570" i="1"/>
  <c r="F570" i="1"/>
  <c r="K570" i="1"/>
  <c r="M570" i="1"/>
  <c r="N570" i="1"/>
  <c r="D526" i="1"/>
  <c r="E526" i="1"/>
  <c r="F526" i="1"/>
  <c r="K526" i="1"/>
  <c r="M526" i="1"/>
  <c r="N526" i="1"/>
  <c r="D472" i="1"/>
  <c r="E472" i="1"/>
  <c r="F472" i="1"/>
  <c r="K472" i="1"/>
  <c r="M472" i="1"/>
  <c r="N472" i="1"/>
  <c r="D374" i="1"/>
  <c r="E374" i="1"/>
  <c r="F374" i="1"/>
  <c r="K374" i="1"/>
  <c r="M374" i="1"/>
  <c r="N374" i="1"/>
  <c r="D316" i="1"/>
  <c r="E316" i="1"/>
  <c r="F316" i="1"/>
  <c r="K316" i="1"/>
  <c r="M316" i="1"/>
  <c r="N316" i="1"/>
  <c r="D315" i="1"/>
  <c r="E315" i="1"/>
  <c r="F315" i="1"/>
  <c r="K315" i="1"/>
  <c r="M315" i="1"/>
  <c r="N315" i="1"/>
  <c r="D274" i="1"/>
  <c r="E274" i="1"/>
  <c r="F274" i="1"/>
  <c r="K274" i="1"/>
  <c r="M274" i="1"/>
  <c r="N274" i="1"/>
  <c r="D259" i="1"/>
  <c r="E259" i="1"/>
  <c r="F259" i="1"/>
  <c r="K259" i="1"/>
  <c r="M259" i="1"/>
  <c r="N259" i="1"/>
  <c r="D247" i="1"/>
  <c r="E247" i="1"/>
  <c r="F247" i="1"/>
  <c r="K247" i="1"/>
  <c r="M247" i="1"/>
  <c r="N247" i="1"/>
  <c r="D233" i="1"/>
  <c r="E233" i="1"/>
  <c r="F233" i="1"/>
  <c r="K233" i="1"/>
  <c r="M233" i="1"/>
  <c r="N233" i="1"/>
  <c r="D213" i="1"/>
  <c r="E213" i="1"/>
  <c r="F213" i="1"/>
  <c r="K213" i="1"/>
  <c r="M213" i="1"/>
  <c r="N213" i="1"/>
  <c r="D199" i="1"/>
  <c r="E199" i="1"/>
  <c r="F199" i="1"/>
  <c r="K199" i="1"/>
  <c r="M199" i="1"/>
  <c r="N199" i="1"/>
  <c r="D182" i="1"/>
  <c r="E182" i="1"/>
  <c r="F182" i="1"/>
  <c r="K182" i="1"/>
  <c r="M182" i="1"/>
  <c r="N182" i="1"/>
  <c r="D170" i="1"/>
  <c r="E170" i="1"/>
  <c r="F170" i="1"/>
  <c r="K170" i="1"/>
  <c r="M170" i="1"/>
  <c r="N170" i="1"/>
  <c r="D157" i="1"/>
  <c r="E157" i="1"/>
  <c r="F157" i="1"/>
  <c r="K157" i="1"/>
  <c r="M157" i="1"/>
  <c r="N157" i="1"/>
  <c r="D138" i="1"/>
  <c r="E138" i="1"/>
  <c r="F138" i="1"/>
  <c r="K138" i="1"/>
  <c r="M138" i="1"/>
  <c r="N138" i="1"/>
  <c r="D125" i="1"/>
  <c r="E125" i="1"/>
  <c r="F125" i="1"/>
  <c r="K125" i="1"/>
  <c r="M125" i="1"/>
  <c r="N125" i="1"/>
  <c r="D112" i="1"/>
  <c r="E112" i="1"/>
  <c r="F112" i="1"/>
  <c r="K112" i="1"/>
  <c r="M112" i="1"/>
  <c r="N112" i="1"/>
  <c r="D99" i="1"/>
  <c r="E99" i="1"/>
  <c r="F99" i="1"/>
  <c r="K99" i="1"/>
  <c r="M99" i="1"/>
  <c r="N99" i="1"/>
  <c r="D85" i="1"/>
  <c r="E85" i="1"/>
  <c r="F85" i="1"/>
  <c r="K85" i="1"/>
  <c r="M85" i="1"/>
  <c r="N85" i="1"/>
  <c r="D70" i="1"/>
  <c r="E70" i="1"/>
  <c r="F70" i="1"/>
  <c r="K70" i="1"/>
  <c r="M70" i="1"/>
  <c r="N70" i="1"/>
  <c r="D54" i="1"/>
  <c r="E54" i="1"/>
  <c r="F54" i="1"/>
  <c r="K54" i="1"/>
  <c r="M54" i="1"/>
  <c r="N54" i="1"/>
  <c r="N34" i="1"/>
  <c r="M34" i="1"/>
  <c r="K34" i="1"/>
  <c r="F34" i="1"/>
  <c r="E34" i="1"/>
  <c r="D34" i="1"/>
  <c r="D17" i="1"/>
  <c r="E17" i="1"/>
  <c r="F17" i="1"/>
  <c r="K17" i="1"/>
  <c r="M17" i="1"/>
  <c r="N17" i="1"/>
  <c r="D499" i="1"/>
  <c r="E499" i="1"/>
  <c r="F499" i="1"/>
  <c r="K499" i="1"/>
  <c r="M499" i="1"/>
  <c r="N499" i="1"/>
  <c r="D1733" i="1"/>
  <c r="E1733" i="1"/>
  <c r="F1733" i="1"/>
  <c r="K1733" i="1"/>
  <c r="M1733" i="1"/>
  <c r="N1733" i="1"/>
  <c r="D1586" i="1"/>
  <c r="E1586" i="1"/>
  <c r="F1586" i="1"/>
  <c r="K1586" i="1"/>
  <c r="M1586" i="1"/>
  <c r="N1586" i="1"/>
  <c r="D1739" i="1"/>
  <c r="E1739" i="1"/>
  <c r="F1739" i="1"/>
  <c r="K1739" i="1"/>
  <c r="M1739" i="1"/>
  <c r="N1739" i="1"/>
  <c r="D1585" i="1"/>
  <c r="E1585" i="1"/>
  <c r="F1585" i="1"/>
  <c r="K1585" i="1"/>
  <c r="M1585" i="1"/>
  <c r="N1585" i="1"/>
  <c r="D1528" i="1"/>
  <c r="E1528" i="1"/>
  <c r="F1528" i="1"/>
  <c r="K1528" i="1"/>
  <c r="M1528" i="1"/>
  <c r="N1528" i="1"/>
  <c r="D1472" i="1"/>
  <c r="E1472" i="1"/>
  <c r="F1472" i="1"/>
  <c r="K1472" i="1"/>
  <c r="M1472" i="1"/>
  <c r="N1472" i="1"/>
  <c r="D1368" i="1"/>
  <c r="E1368" i="1"/>
  <c r="F1368" i="1"/>
  <c r="K1368" i="1"/>
  <c r="M1368" i="1"/>
  <c r="N1368" i="1"/>
  <c r="D1367" i="1"/>
  <c r="E1367" i="1"/>
  <c r="F1367" i="1"/>
  <c r="K1367" i="1"/>
  <c r="M1367" i="1"/>
  <c r="N1367" i="1"/>
  <c r="D1307" i="1"/>
  <c r="E1307" i="1"/>
  <c r="F1307" i="1"/>
  <c r="K1307" i="1"/>
  <c r="M1307" i="1"/>
  <c r="N1307" i="1"/>
  <c r="D1250" i="1"/>
  <c r="E1250" i="1"/>
  <c r="F1250" i="1"/>
  <c r="K1250" i="1"/>
  <c r="M1250" i="1"/>
  <c r="N1250" i="1"/>
  <c r="D1192" i="1"/>
  <c r="E1192" i="1"/>
  <c r="F1192" i="1"/>
  <c r="K1192" i="1"/>
  <c r="M1192" i="1"/>
  <c r="N1192" i="1"/>
  <c r="D1084" i="1"/>
  <c r="E1084" i="1"/>
  <c r="F1084" i="1"/>
  <c r="K1084" i="1"/>
  <c r="M1084" i="1"/>
  <c r="N1084" i="1"/>
  <c r="D1024" i="1"/>
  <c r="E1024" i="1"/>
  <c r="F1024" i="1"/>
  <c r="K1024" i="1"/>
  <c r="M1024" i="1"/>
  <c r="N1024" i="1"/>
  <c r="D1023" i="1"/>
  <c r="E1023" i="1"/>
  <c r="F1023" i="1"/>
  <c r="K1023" i="1"/>
  <c r="M1023" i="1"/>
  <c r="N1023" i="1"/>
  <c r="D907" i="1"/>
  <c r="E907" i="1"/>
  <c r="F907" i="1"/>
  <c r="K907" i="1"/>
  <c r="M907" i="1"/>
  <c r="N907" i="1"/>
  <c r="D906" i="1"/>
  <c r="E906" i="1"/>
  <c r="F906" i="1"/>
  <c r="K906" i="1"/>
  <c r="M906" i="1"/>
  <c r="N906" i="1"/>
  <c r="D846" i="1"/>
  <c r="E846" i="1"/>
  <c r="F846" i="1"/>
  <c r="K846" i="1"/>
  <c r="M846" i="1"/>
  <c r="N846" i="1"/>
  <c r="D742" i="1"/>
  <c r="E742" i="1"/>
  <c r="F742" i="1"/>
  <c r="K742" i="1"/>
  <c r="M742" i="1"/>
  <c r="N742" i="1"/>
  <c r="D741" i="1"/>
  <c r="E741" i="1"/>
  <c r="F741" i="1"/>
  <c r="K741" i="1"/>
  <c r="M741" i="1"/>
  <c r="N741" i="1"/>
  <c r="D681" i="1"/>
  <c r="E681" i="1"/>
  <c r="F681" i="1"/>
  <c r="K681" i="1"/>
  <c r="M681" i="1"/>
  <c r="N681" i="1"/>
  <c r="D625" i="1"/>
  <c r="E625" i="1"/>
  <c r="F625" i="1"/>
  <c r="K625" i="1"/>
  <c r="M625" i="1"/>
  <c r="N625" i="1"/>
  <c r="D568" i="1"/>
  <c r="E568" i="1"/>
  <c r="F568" i="1"/>
  <c r="K568" i="1"/>
  <c r="M568" i="1"/>
  <c r="N568" i="1"/>
  <c r="D524" i="1"/>
  <c r="E524" i="1"/>
  <c r="F524" i="1"/>
  <c r="K524" i="1"/>
  <c r="M524" i="1"/>
  <c r="N524" i="1"/>
  <c r="D470" i="1"/>
  <c r="E470" i="1"/>
  <c r="F470" i="1"/>
  <c r="K470" i="1"/>
  <c r="M470" i="1"/>
  <c r="N470" i="1"/>
  <c r="D372" i="1"/>
  <c r="E372" i="1"/>
  <c r="F372" i="1"/>
  <c r="K372" i="1"/>
  <c r="M372" i="1"/>
  <c r="N372" i="1"/>
  <c r="D313" i="1"/>
  <c r="E313" i="1"/>
  <c r="F313" i="1"/>
  <c r="K313" i="1"/>
  <c r="M313" i="1"/>
  <c r="N313" i="1"/>
  <c r="D1598" i="1"/>
  <c r="E1598" i="1"/>
  <c r="F1598" i="1"/>
  <c r="K1598" i="1"/>
  <c r="M1598" i="1"/>
  <c r="N1598" i="1"/>
  <c r="D1750" i="1"/>
  <c r="E1750" i="1"/>
  <c r="F1750" i="1"/>
  <c r="K1750" i="1"/>
  <c r="M1750" i="1"/>
  <c r="N1750" i="1"/>
  <c r="D1597" i="1"/>
  <c r="E1597" i="1"/>
  <c r="F1597" i="1"/>
  <c r="K1597" i="1"/>
  <c r="M1597" i="1"/>
  <c r="N1597" i="1"/>
  <c r="D1538" i="1"/>
  <c r="E1538" i="1"/>
  <c r="F1538" i="1"/>
  <c r="K1538" i="1"/>
  <c r="M1538" i="1"/>
  <c r="N1538" i="1"/>
  <c r="D1482" i="1"/>
  <c r="E1482" i="1"/>
  <c r="F1482" i="1"/>
  <c r="K1482" i="1"/>
  <c r="M1482" i="1"/>
  <c r="N1482" i="1"/>
  <c r="D1380" i="1"/>
  <c r="E1380" i="1"/>
  <c r="F1380" i="1"/>
  <c r="K1380" i="1"/>
  <c r="M1380" i="1"/>
  <c r="N1380" i="1"/>
  <c r="D1379" i="1"/>
  <c r="E1379" i="1"/>
  <c r="F1379" i="1"/>
  <c r="K1379" i="1"/>
  <c r="M1379" i="1"/>
  <c r="N1379" i="1"/>
  <c r="D1317" i="1"/>
  <c r="E1317" i="1"/>
  <c r="F1317" i="1"/>
  <c r="K1317" i="1"/>
  <c r="M1317" i="1"/>
  <c r="N1317" i="1"/>
  <c r="D1260" i="1"/>
  <c r="E1260" i="1"/>
  <c r="F1260" i="1"/>
  <c r="K1260" i="1"/>
  <c r="M1260" i="1"/>
  <c r="N1260" i="1"/>
  <c r="D1202" i="1"/>
  <c r="E1202" i="1"/>
  <c r="F1202" i="1"/>
  <c r="K1202" i="1"/>
  <c r="M1202" i="1"/>
  <c r="N1202" i="1"/>
  <c r="D1094" i="1"/>
  <c r="E1094" i="1"/>
  <c r="F1094" i="1"/>
  <c r="K1094" i="1"/>
  <c r="M1094" i="1"/>
  <c r="N1094" i="1"/>
  <c r="D1036" i="1"/>
  <c r="E1036" i="1"/>
  <c r="F1036" i="1"/>
  <c r="K1036" i="1"/>
  <c r="M1036" i="1"/>
  <c r="N1036" i="1"/>
  <c r="D1035" i="1"/>
  <c r="E1035" i="1"/>
  <c r="F1035" i="1"/>
  <c r="K1035" i="1"/>
  <c r="M1035" i="1"/>
  <c r="N1035" i="1"/>
  <c r="D919" i="1"/>
  <c r="E919" i="1"/>
  <c r="F919" i="1"/>
  <c r="K919" i="1"/>
  <c r="M919" i="1"/>
  <c r="N919" i="1"/>
  <c r="D918" i="1"/>
  <c r="E918" i="1"/>
  <c r="F918" i="1"/>
  <c r="K918" i="1"/>
  <c r="M918" i="1"/>
  <c r="N918" i="1"/>
  <c r="D856" i="1"/>
  <c r="E856" i="1"/>
  <c r="F856" i="1"/>
  <c r="K856" i="1"/>
  <c r="M856" i="1"/>
  <c r="N856" i="1"/>
  <c r="D754" i="1"/>
  <c r="E754" i="1"/>
  <c r="F754" i="1"/>
  <c r="K754" i="1"/>
  <c r="M754" i="1"/>
  <c r="N754" i="1"/>
  <c r="D753" i="1"/>
  <c r="E753" i="1"/>
  <c r="F753" i="1"/>
  <c r="K753" i="1"/>
  <c r="M753" i="1"/>
  <c r="N753" i="1"/>
  <c r="D691" i="1"/>
  <c r="E691" i="1"/>
  <c r="F691" i="1"/>
  <c r="K691" i="1"/>
  <c r="M691" i="1"/>
  <c r="N691" i="1"/>
  <c r="D635" i="1"/>
  <c r="E635" i="1"/>
  <c r="F635" i="1"/>
  <c r="K635" i="1"/>
  <c r="M635" i="1"/>
  <c r="N635" i="1"/>
  <c r="D578" i="1"/>
  <c r="E578" i="1"/>
  <c r="F578" i="1"/>
  <c r="K578" i="1"/>
  <c r="M578" i="1"/>
  <c r="N578" i="1"/>
  <c r="D480" i="1"/>
  <c r="E480" i="1"/>
  <c r="F480" i="1"/>
  <c r="K480" i="1"/>
  <c r="M480" i="1"/>
  <c r="N480" i="1"/>
  <c r="D382" i="1"/>
  <c r="E382" i="1"/>
  <c r="F382" i="1"/>
  <c r="K382" i="1"/>
  <c r="M382" i="1"/>
  <c r="N382" i="1"/>
  <c r="D325" i="1"/>
  <c r="E325" i="1"/>
  <c r="F325" i="1"/>
  <c r="K325" i="1"/>
  <c r="M325" i="1"/>
  <c r="N325" i="1"/>
  <c r="D324" i="1"/>
  <c r="E324" i="1"/>
  <c r="F324" i="1"/>
  <c r="K324" i="1"/>
  <c r="M324" i="1"/>
  <c r="N324" i="1"/>
  <c r="D277" i="1"/>
  <c r="E277" i="1"/>
  <c r="F277" i="1"/>
  <c r="K277" i="1"/>
  <c r="M277" i="1"/>
  <c r="N277" i="1"/>
  <c r="D262" i="1"/>
  <c r="E262" i="1"/>
  <c r="F262" i="1"/>
  <c r="K262" i="1"/>
  <c r="M262" i="1"/>
  <c r="N262" i="1"/>
  <c r="D250" i="1"/>
  <c r="E250" i="1"/>
  <c r="F250" i="1"/>
  <c r="K250" i="1"/>
  <c r="M250" i="1"/>
  <c r="N250" i="1"/>
  <c r="D236" i="1"/>
  <c r="E236" i="1"/>
  <c r="F236" i="1"/>
  <c r="K236" i="1"/>
  <c r="M236" i="1"/>
  <c r="N236" i="1"/>
  <c r="D216" i="1"/>
  <c r="E216" i="1"/>
  <c r="F216" i="1"/>
  <c r="K216" i="1"/>
  <c r="M216" i="1"/>
  <c r="N216" i="1"/>
  <c r="D202" i="1"/>
  <c r="E202" i="1"/>
  <c r="F202" i="1"/>
  <c r="K202" i="1"/>
  <c r="M202" i="1"/>
  <c r="N202" i="1"/>
  <c r="D185" i="1"/>
  <c r="E185" i="1"/>
  <c r="F185" i="1"/>
  <c r="K185" i="1"/>
  <c r="M185" i="1"/>
  <c r="N185" i="1"/>
  <c r="D174" i="1"/>
  <c r="E174" i="1"/>
  <c r="F174" i="1"/>
  <c r="K174" i="1"/>
  <c r="M174" i="1"/>
  <c r="N174" i="1"/>
  <c r="D160" i="1"/>
  <c r="E160" i="1"/>
  <c r="F160" i="1"/>
  <c r="K160" i="1"/>
  <c r="M160" i="1"/>
  <c r="N160" i="1"/>
  <c r="D141" i="1"/>
  <c r="E141" i="1"/>
  <c r="F141" i="1"/>
  <c r="K141" i="1"/>
  <c r="M141" i="1"/>
  <c r="N141" i="1"/>
  <c r="D128" i="1"/>
  <c r="E128" i="1"/>
  <c r="F128" i="1"/>
  <c r="K128" i="1"/>
  <c r="M128" i="1"/>
  <c r="N128" i="1"/>
  <c r="D115" i="1"/>
  <c r="E115" i="1"/>
  <c r="F115" i="1"/>
  <c r="K115" i="1"/>
  <c r="M115" i="1"/>
  <c r="N115" i="1"/>
  <c r="D102" i="1"/>
  <c r="E102" i="1"/>
  <c r="F102" i="1"/>
  <c r="K102" i="1"/>
  <c r="M102" i="1"/>
  <c r="N102" i="1"/>
  <c r="D88" i="1"/>
  <c r="E88" i="1"/>
  <c r="F88" i="1"/>
  <c r="K88" i="1"/>
  <c r="M88" i="1"/>
  <c r="N88" i="1"/>
  <c r="D73" i="1"/>
  <c r="E73" i="1"/>
  <c r="F73" i="1"/>
  <c r="K73" i="1"/>
  <c r="M73" i="1"/>
  <c r="N73" i="1"/>
  <c r="D57" i="1"/>
  <c r="E57" i="1"/>
  <c r="F57" i="1"/>
  <c r="K57" i="1"/>
  <c r="M57" i="1"/>
  <c r="N57" i="1"/>
  <c r="D37" i="1"/>
  <c r="E37" i="1"/>
  <c r="F37" i="1"/>
  <c r="K37" i="1"/>
  <c r="M37" i="1"/>
  <c r="N37" i="1"/>
  <c r="D20" i="1"/>
  <c r="E20" i="1"/>
  <c r="F20" i="1"/>
  <c r="K20" i="1"/>
  <c r="M20" i="1"/>
  <c r="N20" i="1"/>
  <c r="D1578" i="1"/>
  <c r="E1578" i="1"/>
  <c r="F1578" i="1"/>
  <c r="K1578" i="1"/>
  <c r="M1578" i="1"/>
  <c r="N1578" i="1"/>
  <c r="D1016" i="1"/>
  <c r="D1579" i="1"/>
  <c r="E1579" i="1"/>
  <c r="F1579" i="1"/>
  <c r="K1579" i="1"/>
  <c r="M1579" i="1"/>
  <c r="N1579" i="1"/>
  <c r="D1734" i="1"/>
  <c r="E1734" i="1"/>
  <c r="F1734" i="1"/>
  <c r="K1734" i="1"/>
  <c r="M1734" i="1"/>
  <c r="N1734" i="1"/>
  <c r="D1523" i="1"/>
  <c r="E1523" i="1"/>
  <c r="F1523" i="1"/>
  <c r="K1523" i="1"/>
  <c r="M1523" i="1"/>
  <c r="N1523" i="1"/>
  <c r="D1361" i="1"/>
  <c r="E1361" i="1"/>
  <c r="F1361" i="1"/>
  <c r="K1361" i="1"/>
  <c r="M1361" i="1"/>
  <c r="N1361" i="1"/>
  <c r="D1360" i="1"/>
  <c r="E1360" i="1"/>
  <c r="F1360" i="1"/>
  <c r="K1360" i="1"/>
  <c r="M1360" i="1"/>
  <c r="N1360" i="1"/>
  <c r="D1302" i="1"/>
  <c r="E1302" i="1"/>
  <c r="F1302" i="1"/>
  <c r="K1302" i="1"/>
  <c r="M1302" i="1"/>
  <c r="N1302" i="1"/>
  <c r="D1245" i="1"/>
  <c r="E1245" i="1"/>
  <c r="F1245" i="1"/>
  <c r="K1245" i="1"/>
  <c r="M1245" i="1"/>
  <c r="N1245" i="1"/>
  <c r="D1187" i="1"/>
  <c r="E1187" i="1"/>
  <c r="F1187" i="1"/>
  <c r="K1187" i="1"/>
  <c r="M1187" i="1"/>
  <c r="N1187" i="1"/>
  <c r="D1079" i="1"/>
  <c r="E1079" i="1"/>
  <c r="F1079" i="1"/>
  <c r="K1079" i="1"/>
  <c r="M1079" i="1"/>
  <c r="N1079" i="1"/>
  <c r="D1017" i="1"/>
  <c r="E1017" i="1"/>
  <c r="F1017" i="1"/>
  <c r="K1017" i="1"/>
  <c r="M1017" i="1"/>
  <c r="N1017" i="1"/>
  <c r="E1016" i="1"/>
  <c r="F1016" i="1"/>
  <c r="K1016" i="1"/>
  <c r="M1016" i="1"/>
  <c r="N1016" i="1"/>
  <c r="D900" i="1"/>
  <c r="E900" i="1"/>
  <c r="F900" i="1"/>
  <c r="K900" i="1"/>
  <c r="M900" i="1"/>
  <c r="N900" i="1"/>
  <c r="D899" i="1"/>
  <c r="E899" i="1"/>
  <c r="F899" i="1"/>
  <c r="K899" i="1"/>
  <c r="M899" i="1"/>
  <c r="N899" i="1"/>
  <c r="D735" i="1"/>
  <c r="E735" i="1"/>
  <c r="F735" i="1"/>
  <c r="K735" i="1"/>
  <c r="M735" i="1"/>
  <c r="N735" i="1"/>
  <c r="D734" i="1"/>
  <c r="E734" i="1"/>
  <c r="F734" i="1"/>
  <c r="K734" i="1"/>
  <c r="M734" i="1"/>
  <c r="N734" i="1"/>
  <c r="D620" i="1"/>
  <c r="E620" i="1"/>
  <c r="F620" i="1"/>
  <c r="K620" i="1"/>
  <c r="M620" i="1"/>
  <c r="N620" i="1"/>
  <c r="D563" i="1"/>
  <c r="E563" i="1"/>
  <c r="F563" i="1"/>
  <c r="K563" i="1"/>
  <c r="M563" i="1"/>
  <c r="N563" i="1"/>
  <c r="D465" i="1"/>
  <c r="E465" i="1"/>
  <c r="F465" i="1"/>
  <c r="K465" i="1"/>
  <c r="M465" i="1"/>
  <c r="N465" i="1"/>
  <c r="D367" i="1"/>
  <c r="E367" i="1"/>
  <c r="F367" i="1"/>
  <c r="K367" i="1"/>
  <c r="M367" i="1"/>
  <c r="N367" i="1"/>
  <c r="D308" i="1"/>
  <c r="E308" i="1"/>
  <c r="F308" i="1"/>
  <c r="K308" i="1"/>
  <c r="M308" i="1"/>
  <c r="N308" i="1"/>
  <c r="D1573" i="1"/>
  <c r="E1573" i="1"/>
  <c r="F1573" i="1"/>
  <c r="K1573" i="1"/>
  <c r="M1573" i="1"/>
  <c r="N1573" i="1"/>
  <c r="D1729" i="1"/>
  <c r="E1729" i="1"/>
  <c r="F1729" i="1"/>
  <c r="K1729" i="1"/>
  <c r="M1729" i="1"/>
  <c r="N1729" i="1"/>
  <c r="D1572" i="1"/>
  <c r="E1572" i="1"/>
  <c r="F1572" i="1"/>
  <c r="K1572" i="1"/>
  <c r="M1572" i="1"/>
  <c r="N1572" i="1"/>
  <c r="D1518" i="1"/>
  <c r="E1518" i="1"/>
  <c r="F1518" i="1"/>
  <c r="K1518" i="1"/>
  <c r="M1518" i="1"/>
  <c r="N1518" i="1"/>
  <c r="D1467" i="1"/>
  <c r="E1467" i="1"/>
  <c r="F1467" i="1"/>
  <c r="K1467" i="1"/>
  <c r="M1467" i="1"/>
  <c r="N1467" i="1"/>
  <c r="D1355" i="1"/>
  <c r="E1355" i="1"/>
  <c r="F1355" i="1"/>
  <c r="K1355" i="1"/>
  <c r="M1355" i="1"/>
  <c r="N1355" i="1"/>
  <c r="D1354" i="1"/>
  <c r="E1354" i="1"/>
  <c r="F1354" i="1"/>
  <c r="K1354" i="1"/>
  <c r="M1354" i="1"/>
  <c r="N1354" i="1"/>
  <c r="D1297" i="1"/>
  <c r="E1297" i="1"/>
  <c r="F1297" i="1"/>
  <c r="K1297" i="1"/>
  <c r="M1297" i="1"/>
  <c r="N1297" i="1"/>
  <c r="D1240" i="1"/>
  <c r="E1240" i="1"/>
  <c r="F1240" i="1"/>
  <c r="K1240" i="1"/>
  <c r="M1240" i="1"/>
  <c r="N1240" i="1"/>
  <c r="D1182" i="1"/>
  <c r="E1182" i="1"/>
  <c r="F1182" i="1"/>
  <c r="K1182" i="1"/>
  <c r="M1182" i="1"/>
  <c r="N1182" i="1"/>
  <c r="D1074" i="1"/>
  <c r="E1074" i="1"/>
  <c r="F1074" i="1"/>
  <c r="K1074" i="1"/>
  <c r="M1074" i="1"/>
  <c r="N1074" i="1"/>
  <c r="D1011" i="1"/>
  <c r="E1011" i="1"/>
  <c r="F1011" i="1"/>
  <c r="K1011" i="1"/>
  <c r="M1011" i="1"/>
  <c r="N1011" i="1"/>
  <c r="D1010" i="1"/>
  <c r="E1010" i="1"/>
  <c r="F1010" i="1"/>
  <c r="K1010" i="1"/>
  <c r="M1010" i="1"/>
  <c r="N1010" i="1"/>
  <c r="D893" i="1"/>
  <c r="E893" i="1"/>
  <c r="F893" i="1"/>
  <c r="K893" i="1"/>
  <c r="M893" i="1"/>
  <c r="N893" i="1"/>
  <c r="D892" i="1"/>
  <c r="E892" i="1"/>
  <c r="F892" i="1"/>
  <c r="K892" i="1"/>
  <c r="M892" i="1"/>
  <c r="N892" i="1"/>
  <c r="D841" i="1"/>
  <c r="E841" i="1"/>
  <c r="F841" i="1"/>
  <c r="K841" i="1"/>
  <c r="M841" i="1"/>
  <c r="N841" i="1"/>
  <c r="D728" i="1"/>
  <c r="E728" i="1"/>
  <c r="F728" i="1"/>
  <c r="K728" i="1"/>
  <c r="M728" i="1"/>
  <c r="N728" i="1"/>
  <c r="D676" i="1"/>
  <c r="E676" i="1"/>
  <c r="F676" i="1"/>
  <c r="K676" i="1"/>
  <c r="M676" i="1"/>
  <c r="N676" i="1"/>
  <c r="D615" i="1"/>
  <c r="E615" i="1"/>
  <c r="F615" i="1"/>
  <c r="K615" i="1"/>
  <c r="M615" i="1"/>
  <c r="N615" i="1"/>
  <c r="D558" i="1"/>
  <c r="E558" i="1"/>
  <c r="F558" i="1"/>
  <c r="K558" i="1"/>
  <c r="M558" i="1"/>
  <c r="N558" i="1"/>
  <c r="D519" i="1"/>
  <c r="E519" i="1"/>
  <c r="F519" i="1"/>
  <c r="K519" i="1"/>
  <c r="M519" i="1"/>
  <c r="N519" i="1"/>
  <c r="D460" i="1"/>
  <c r="E460" i="1"/>
  <c r="F460" i="1"/>
  <c r="K460" i="1"/>
  <c r="M460" i="1"/>
  <c r="N460" i="1"/>
  <c r="D362" i="1"/>
  <c r="E362" i="1"/>
  <c r="F362" i="1"/>
  <c r="K362" i="1"/>
  <c r="M362" i="1"/>
  <c r="N362" i="1"/>
  <c r="D303" i="1"/>
  <c r="E303" i="1"/>
  <c r="F303" i="1"/>
  <c r="K303" i="1"/>
  <c r="M303" i="1"/>
  <c r="N303" i="1"/>
  <c r="D1583" i="1"/>
  <c r="E1583" i="1"/>
  <c r="F1583" i="1"/>
  <c r="K1583" i="1"/>
  <c r="M1583" i="1"/>
  <c r="N1583" i="1"/>
  <c r="D1737" i="1"/>
  <c r="E1737" i="1"/>
  <c r="F1737" i="1"/>
  <c r="K1737" i="1"/>
  <c r="M1737" i="1"/>
  <c r="N1737" i="1"/>
  <c r="D1582" i="1"/>
  <c r="E1582" i="1"/>
  <c r="F1582" i="1"/>
  <c r="K1582" i="1"/>
  <c r="M1582" i="1"/>
  <c r="N1582" i="1"/>
  <c r="D1526" i="1"/>
  <c r="E1526" i="1"/>
  <c r="F1526" i="1"/>
  <c r="K1526" i="1"/>
  <c r="M1526" i="1"/>
  <c r="N1526" i="1"/>
  <c r="D1365" i="1"/>
  <c r="E1365" i="1"/>
  <c r="F1365" i="1"/>
  <c r="K1365" i="1"/>
  <c r="M1365" i="1"/>
  <c r="N1365" i="1"/>
  <c r="D1364" i="1"/>
  <c r="E1364" i="1"/>
  <c r="F1364" i="1"/>
  <c r="K1364" i="1"/>
  <c r="M1364" i="1"/>
  <c r="N1364" i="1"/>
  <c r="D1305" i="1"/>
  <c r="E1305" i="1"/>
  <c r="F1305" i="1"/>
  <c r="K1305" i="1"/>
  <c r="M1305" i="1"/>
  <c r="N1305" i="1"/>
  <c r="D1248" i="1"/>
  <c r="E1248" i="1"/>
  <c r="F1248" i="1"/>
  <c r="K1248" i="1"/>
  <c r="M1248" i="1"/>
  <c r="N1248" i="1"/>
  <c r="D1190" i="1"/>
  <c r="E1190" i="1"/>
  <c r="F1190" i="1"/>
  <c r="K1190" i="1"/>
  <c r="M1190" i="1"/>
  <c r="N1190" i="1"/>
  <c r="D1082" i="1"/>
  <c r="E1082" i="1"/>
  <c r="F1082" i="1"/>
  <c r="K1082" i="1"/>
  <c r="M1082" i="1"/>
  <c r="N1082" i="1"/>
  <c r="D1021" i="1"/>
  <c r="E1021" i="1"/>
  <c r="F1021" i="1"/>
  <c r="K1021" i="1"/>
  <c r="M1021" i="1"/>
  <c r="N1021" i="1"/>
  <c r="D1020" i="1"/>
  <c r="E1020" i="1"/>
  <c r="F1020" i="1"/>
  <c r="K1020" i="1"/>
  <c r="M1020" i="1"/>
  <c r="N1020" i="1"/>
  <c r="D904" i="1"/>
  <c r="E904" i="1"/>
  <c r="F904" i="1"/>
  <c r="K904" i="1"/>
  <c r="M904" i="1"/>
  <c r="N904" i="1"/>
  <c r="D903" i="1"/>
  <c r="E903" i="1"/>
  <c r="F903" i="1"/>
  <c r="K903" i="1"/>
  <c r="M903" i="1"/>
  <c r="N903" i="1"/>
  <c r="D739" i="1"/>
  <c r="E739" i="1"/>
  <c r="F739" i="1"/>
  <c r="K739" i="1"/>
  <c r="M739" i="1"/>
  <c r="N739" i="1"/>
  <c r="D738" i="1"/>
  <c r="E738" i="1"/>
  <c r="F738" i="1"/>
  <c r="K738" i="1"/>
  <c r="M738" i="1"/>
  <c r="N738" i="1"/>
  <c r="D623" i="1"/>
  <c r="E623" i="1"/>
  <c r="F623" i="1"/>
  <c r="K623" i="1"/>
  <c r="M623" i="1"/>
  <c r="N623" i="1"/>
  <c r="D566" i="1"/>
  <c r="E566" i="1"/>
  <c r="F566" i="1"/>
  <c r="K566" i="1"/>
  <c r="M566" i="1"/>
  <c r="N566" i="1"/>
  <c r="D468" i="1"/>
  <c r="E468" i="1"/>
  <c r="F468" i="1"/>
  <c r="K468" i="1"/>
  <c r="M468" i="1"/>
  <c r="N468" i="1"/>
  <c r="D370" i="1"/>
  <c r="E370" i="1"/>
  <c r="F370" i="1"/>
  <c r="K370" i="1"/>
  <c r="M370" i="1"/>
  <c r="N370" i="1"/>
  <c r="D311" i="1"/>
  <c r="E311" i="1"/>
  <c r="F311" i="1"/>
  <c r="K311" i="1"/>
  <c r="M311" i="1"/>
  <c r="N311" i="1"/>
  <c r="D1720" i="1"/>
  <c r="E1720" i="1"/>
  <c r="F1720" i="1"/>
  <c r="K1720" i="1"/>
  <c r="M1720" i="1"/>
  <c r="N1720" i="1"/>
  <c r="D1562" i="1"/>
  <c r="E1562" i="1"/>
  <c r="F1562" i="1"/>
  <c r="K1562" i="1"/>
  <c r="M1562" i="1"/>
  <c r="N1562" i="1"/>
  <c r="D1510" i="1"/>
  <c r="E1510" i="1"/>
  <c r="F1510" i="1"/>
  <c r="K1510" i="1"/>
  <c r="M1510" i="1"/>
  <c r="N1510" i="1"/>
  <c r="D1459" i="1"/>
  <c r="E1459" i="1"/>
  <c r="F1459" i="1"/>
  <c r="K1459" i="1"/>
  <c r="M1459" i="1"/>
  <c r="N1459" i="1"/>
  <c r="D1344" i="1"/>
  <c r="E1344" i="1"/>
  <c r="F1344" i="1"/>
  <c r="K1344" i="1"/>
  <c r="M1344" i="1"/>
  <c r="N1344" i="1"/>
  <c r="D1289" i="1"/>
  <c r="E1289" i="1"/>
  <c r="F1289" i="1"/>
  <c r="K1289" i="1"/>
  <c r="M1289" i="1"/>
  <c r="N1289" i="1"/>
  <c r="D1232" i="1"/>
  <c r="E1232" i="1"/>
  <c r="F1232" i="1"/>
  <c r="K1232" i="1"/>
  <c r="M1232" i="1"/>
  <c r="N1232" i="1"/>
  <c r="D1174" i="1"/>
  <c r="E1174" i="1"/>
  <c r="F1174" i="1"/>
  <c r="K1174" i="1"/>
  <c r="M1174" i="1"/>
  <c r="N1174" i="1"/>
  <c r="D1000" i="1"/>
  <c r="E1000" i="1"/>
  <c r="F1000" i="1"/>
  <c r="K1000" i="1"/>
  <c r="M1000" i="1"/>
  <c r="N1000" i="1"/>
  <c r="D883" i="1"/>
  <c r="E883" i="1"/>
  <c r="F883" i="1"/>
  <c r="K883" i="1"/>
  <c r="M883" i="1"/>
  <c r="N883" i="1"/>
  <c r="D882" i="1"/>
  <c r="E882" i="1"/>
  <c r="F882" i="1"/>
  <c r="K882" i="1"/>
  <c r="M882" i="1"/>
  <c r="N882" i="1"/>
  <c r="D833" i="1"/>
  <c r="E833" i="1"/>
  <c r="F833" i="1"/>
  <c r="K833" i="1"/>
  <c r="M833" i="1"/>
  <c r="N833" i="1"/>
  <c r="D718" i="1"/>
  <c r="E718" i="1"/>
  <c r="F718" i="1"/>
  <c r="K718" i="1"/>
  <c r="M718" i="1"/>
  <c r="N718" i="1"/>
  <c r="D668" i="1"/>
  <c r="E668" i="1"/>
  <c r="F668" i="1"/>
  <c r="K668" i="1"/>
  <c r="M668" i="1"/>
  <c r="N668" i="1"/>
  <c r="D607" i="1"/>
  <c r="E607" i="1"/>
  <c r="F607" i="1"/>
  <c r="K607" i="1"/>
  <c r="M607" i="1"/>
  <c r="N607" i="1"/>
  <c r="D550" i="1"/>
  <c r="E550" i="1"/>
  <c r="F550" i="1"/>
  <c r="K550" i="1"/>
  <c r="M550" i="1"/>
  <c r="N550" i="1"/>
  <c r="D511" i="1"/>
  <c r="E511" i="1"/>
  <c r="F511" i="1"/>
  <c r="K511" i="1"/>
  <c r="M511" i="1"/>
  <c r="N511" i="1"/>
  <c r="D452" i="1"/>
  <c r="E452" i="1"/>
  <c r="F452" i="1"/>
  <c r="K452" i="1"/>
  <c r="M452" i="1"/>
  <c r="N452" i="1"/>
  <c r="D148" i="1"/>
  <c r="E148" i="1"/>
  <c r="F148" i="1"/>
  <c r="K148" i="1"/>
  <c r="M148" i="1"/>
  <c r="N148" i="1"/>
  <c r="D149" i="1"/>
  <c r="E149" i="1"/>
  <c r="F149" i="1"/>
  <c r="K149" i="1"/>
  <c r="M149" i="1"/>
  <c r="N149" i="1"/>
  <c r="D150" i="1"/>
  <c r="E150" i="1"/>
  <c r="F150" i="1"/>
  <c r="K150" i="1"/>
  <c r="M150" i="1"/>
  <c r="N150" i="1"/>
  <c r="D151" i="1"/>
  <c r="E151" i="1"/>
  <c r="F151" i="1"/>
  <c r="K151" i="1"/>
  <c r="M151" i="1"/>
  <c r="N151" i="1"/>
  <c r="D1958" i="1"/>
  <c r="E1958" i="1"/>
  <c r="F1958" i="1"/>
  <c r="K1958" i="1"/>
  <c r="M1958" i="1"/>
  <c r="N1958" i="1"/>
  <c r="D1959" i="1"/>
  <c r="E1959" i="1"/>
  <c r="F1959" i="1"/>
  <c r="K1959" i="1"/>
  <c r="M1959" i="1"/>
  <c r="N1959" i="1"/>
  <c r="D1946" i="1"/>
  <c r="E1946" i="1"/>
  <c r="F1946" i="1"/>
  <c r="K1946" i="1"/>
  <c r="M1946" i="1"/>
  <c r="N1946" i="1"/>
  <c r="D1922" i="1"/>
  <c r="E1922" i="1"/>
  <c r="F1922" i="1"/>
  <c r="K1922" i="1"/>
  <c r="M1922" i="1"/>
  <c r="N1922" i="1"/>
  <c r="D1914" i="1"/>
  <c r="E1914" i="1"/>
  <c r="F1914" i="1"/>
  <c r="K1914" i="1"/>
  <c r="M1914" i="1"/>
  <c r="N1914" i="1"/>
  <c r="D1905" i="1"/>
  <c r="E1905" i="1"/>
  <c r="F1905" i="1"/>
  <c r="K1905" i="1"/>
  <c r="M1905" i="1"/>
  <c r="N1905" i="1"/>
  <c r="D1896" i="1"/>
  <c r="E1896" i="1"/>
  <c r="F1896" i="1"/>
  <c r="K1896" i="1"/>
  <c r="M1896" i="1"/>
  <c r="N1896" i="1"/>
  <c r="D1887" i="1"/>
  <c r="E1887" i="1"/>
  <c r="F1887" i="1"/>
  <c r="K1887" i="1"/>
  <c r="M1887" i="1"/>
  <c r="N1887" i="1"/>
  <c r="D1878" i="1"/>
  <c r="E1878" i="1"/>
  <c r="F1878" i="1"/>
  <c r="K1878" i="1"/>
  <c r="M1878" i="1"/>
  <c r="N1878" i="1"/>
  <c r="D1869" i="1"/>
  <c r="E1869" i="1"/>
  <c r="F1869" i="1"/>
  <c r="K1869" i="1"/>
  <c r="M1869" i="1"/>
  <c r="N1869" i="1"/>
  <c r="D1860" i="1"/>
  <c r="E1860" i="1"/>
  <c r="F1860" i="1"/>
  <c r="K1860" i="1"/>
  <c r="M1860" i="1"/>
  <c r="N1860" i="1"/>
  <c r="D1851" i="1"/>
  <c r="E1851" i="1"/>
  <c r="F1851" i="1"/>
  <c r="K1851" i="1"/>
  <c r="M1851" i="1"/>
  <c r="N1851" i="1"/>
  <c r="D1842" i="1"/>
  <c r="E1842" i="1"/>
  <c r="F1842" i="1"/>
  <c r="K1842" i="1"/>
  <c r="M1842" i="1"/>
  <c r="N1842" i="1"/>
  <c r="D1833" i="1"/>
  <c r="E1833" i="1"/>
  <c r="F1833" i="1"/>
  <c r="K1833" i="1"/>
  <c r="M1833" i="1"/>
  <c r="N1833" i="1"/>
  <c r="D1824" i="1"/>
  <c r="E1824" i="1"/>
  <c r="F1824" i="1"/>
  <c r="K1824" i="1"/>
  <c r="M1824" i="1"/>
  <c r="N1824" i="1"/>
  <c r="D1815" i="1"/>
  <c r="E1815" i="1"/>
  <c r="F1815" i="1"/>
  <c r="K1815" i="1"/>
  <c r="M1815" i="1"/>
  <c r="N1815" i="1"/>
  <c r="D1806" i="1"/>
  <c r="E1806" i="1"/>
  <c r="F1806" i="1"/>
  <c r="K1806" i="1"/>
  <c r="M1806" i="1"/>
  <c r="N1806" i="1"/>
  <c r="D1798" i="1"/>
  <c r="E1798" i="1"/>
  <c r="F1798" i="1"/>
  <c r="K1798" i="1"/>
  <c r="M1798" i="1"/>
  <c r="N1798" i="1"/>
  <c r="D1710" i="1"/>
  <c r="E1710" i="1"/>
  <c r="F1710" i="1"/>
  <c r="K1710" i="1"/>
  <c r="M1710" i="1"/>
  <c r="N1710" i="1"/>
  <c r="D1701" i="1"/>
  <c r="E1701" i="1"/>
  <c r="F1701" i="1"/>
  <c r="K1701" i="1"/>
  <c r="M1701" i="1"/>
  <c r="N1701" i="1"/>
  <c r="D1692" i="1"/>
  <c r="E1692" i="1"/>
  <c r="F1692" i="1"/>
  <c r="K1692" i="1"/>
  <c r="M1692" i="1"/>
  <c r="N1692" i="1"/>
  <c r="D1683" i="1"/>
  <c r="E1683" i="1"/>
  <c r="F1683" i="1"/>
  <c r="K1683" i="1"/>
  <c r="M1683" i="1"/>
  <c r="N1683" i="1"/>
  <c r="D1674" i="1"/>
  <c r="E1674" i="1"/>
  <c r="F1674" i="1"/>
  <c r="K1674" i="1"/>
  <c r="M1674" i="1"/>
  <c r="N1674" i="1"/>
  <c r="D1665" i="1"/>
  <c r="E1665" i="1"/>
  <c r="F1665" i="1"/>
  <c r="K1665" i="1"/>
  <c r="M1665" i="1"/>
  <c r="N1665" i="1"/>
  <c r="D1656" i="1"/>
  <c r="E1656" i="1"/>
  <c r="F1656" i="1"/>
  <c r="K1656" i="1"/>
  <c r="M1656" i="1"/>
  <c r="N1656" i="1"/>
  <c r="D1647" i="1"/>
  <c r="E1647" i="1"/>
  <c r="F1647" i="1"/>
  <c r="K1647" i="1"/>
  <c r="M1647" i="1"/>
  <c r="N1647" i="1"/>
  <c r="D1638" i="1"/>
  <c r="E1638" i="1"/>
  <c r="F1638" i="1"/>
  <c r="K1638" i="1"/>
  <c r="M1638" i="1"/>
  <c r="N1638" i="1"/>
  <c r="D1629" i="1"/>
  <c r="E1629" i="1"/>
  <c r="F1629" i="1"/>
  <c r="K1629" i="1"/>
  <c r="M1629" i="1"/>
  <c r="N1629" i="1"/>
  <c r="D1620" i="1"/>
  <c r="E1620" i="1"/>
  <c r="F1620" i="1"/>
  <c r="K1620" i="1"/>
  <c r="M1620" i="1"/>
  <c r="N1620" i="1"/>
  <c r="D1614" i="1"/>
  <c r="E1614" i="1"/>
  <c r="F1614" i="1"/>
  <c r="K1614" i="1"/>
  <c r="M1614" i="1"/>
  <c r="N1614" i="1"/>
  <c r="D1552" i="1"/>
  <c r="E1552" i="1"/>
  <c r="F1552" i="1"/>
  <c r="K1552" i="1"/>
  <c r="M1552" i="1"/>
  <c r="N1552" i="1"/>
  <c r="D1397" i="1"/>
  <c r="E1397" i="1"/>
  <c r="F1397" i="1"/>
  <c r="K1397" i="1"/>
  <c r="M1397" i="1"/>
  <c r="N1397" i="1"/>
  <c r="D1400" i="1"/>
  <c r="E1400" i="1"/>
  <c r="F1400" i="1"/>
  <c r="K1400" i="1"/>
  <c r="M1400" i="1"/>
  <c r="N1400" i="1"/>
  <c r="D1331" i="1"/>
  <c r="E1331" i="1"/>
  <c r="F1331" i="1"/>
  <c r="K1331" i="1"/>
  <c r="M1331" i="1"/>
  <c r="N1331" i="1"/>
  <c r="D1275" i="1"/>
  <c r="E1275" i="1"/>
  <c r="F1275" i="1"/>
  <c r="K1275" i="1"/>
  <c r="M1275" i="1"/>
  <c r="N1275" i="1"/>
  <c r="D1217" i="1"/>
  <c r="E1217" i="1"/>
  <c r="F1217" i="1"/>
  <c r="K1217" i="1"/>
  <c r="M1217" i="1"/>
  <c r="N1217" i="1"/>
  <c r="D1110" i="1"/>
  <c r="E1110" i="1"/>
  <c r="F1110" i="1"/>
  <c r="K1110" i="1"/>
  <c r="M1110" i="1"/>
  <c r="N1110" i="1"/>
  <c r="D1053" i="1"/>
  <c r="E1053" i="1"/>
  <c r="F1053" i="1"/>
  <c r="K1053" i="1"/>
  <c r="M1053" i="1"/>
  <c r="N1053" i="1"/>
  <c r="D1052" i="1"/>
  <c r="E1052" i="1"/>
  <c r="F1052" i="1"/>
  <c r="K1052" i="1"/>
  <c r="M1052" i="1"/>
  <c r="N1052" i="1"/>
  <c r="D897" i="1"/>
  <c r="E897" i="1"/>
  <c r="F897" i="1"/>
  <c r="K897" i="1"/>
  <c r="M897" i="1"/>
  <c r="N897" i="1"/>
  <c r="D939" i="1"/>
  <c r="E939" i="1"/>
  <c r="F939" i="1"/>
  <c r="K939" i="1"/>
  <c r="M939" i="1"/>
  <c r="N939" i="1"/>
  <c r="D870" i="1"/>
  <c r="E870" i="1"/>
  <c r="F870" i="1"/>
  <c r="K870" i="1"/>
  <c r="M870" i="1"/>
  <c r="N870" i="1"/>
  <c r="D818" i="1"/>
  <c r="E818" i="1"/>
  <c r="F818" i="1"/>
  <c r="K818" i="1"/>
  <c r="M818" i="1"/>
  <c r="N818" i="1"/>
  <c r="D705" i="1"/>
  <c r="E705" i="1"/>
  <c r="F705" i="1"/>
  <c r="K705" i="1"/>
  <c r="M705" i="1"/>
  <c r="N705" i="1"/>
  <c r="D651" i="1"/>
  <c r="E651" i="1"/>
  <c r="F651" i="1"/>
  <c r="K651" i="1"/>
  <c r="M651" i="1"/>
  <c r="N651" i="1"/>
  <c r="D342" i="1"/>
  <c r="E342" i="1"/>
  <c r="F342" i="1"/>
  <c r="K342" i="1"/>
  <c r="M342" i="1"/>
  <c r="N342" i="1"/>
  <c r="D341" i="1"/>
  <c r="E341" i="1"/>
  <c r="F341" i="1"/>
  <c r="K341" i="1"/>
  <c r="M341" i="1"/>
  <c r="N341" i="1"/>
  <c r="D284" i="1"/>
  <c r="E284" i="1"/>
  <c r="F284" i="1"/>
  <c r="K284" i="1"/>
  <c r="M284" i="1"/>
  <c r="N284" i="1"/>
  <c r="D267" i="1"/>
  <c r="E267" i="1"/>
  <c r="F267" i="1"/>
  <c r="K267" i="1"/>
  <c r="M267" i="1"/>
  <c r="N267" i="1"/>
  <c r="D255" i="1"/>
  <c r="E255" i="1"/>
  <c r="F255" i="1"/>
  <c r="K255" i="1"/>
  <c r="M255" i="1"/>
  <c r="N255" i="1"/>
  <c r="D241" i="1"/>
  <c r="E241" i="1"/>
  <c r="F241" i="1"/>
  <c r="K241" i="1"/>
  <c r="M241" i="1"/>
  <c r="N241" i="1"/>
  <c r="D221" i="1"/>
  <c r="E221" i="1"/>
  <c r="F221" i="1"/>
  <c r="K221" i="1"/>
  <c r="M221" i="1"/>
  <c r="N221" i="1"/>
  <c r="D209" i="1"/>
  <c r="E209" i="1"/>
  <c r="F209" i="1"/>
  <c r="K209" i="1"/>
  <c r="M209" i="1"/>
  <c r="N209" i="1"/>
  <c r="D192" i="1"/>
  <c r="E192" i="1"/>
  <c r="F192" i="1"/>
  <c r="K192" i="1"/>
  <c r="M192" i="1"/>
  <c r="N192" i="1"/>
  <c r="D171" i="1"/>
  <c r="E171" i="1"/>
  <c r="F171" i="1"/>
  <c r="K171" i="1"/>
  <c r="M171" i="1"/>
  <c r="N171" i="1"/>
  <c r="D167" i="1"/>
  <c r="E167" i="1"/>
  <c r="F167" i="1"/>
  <c r="K167" i="1"/>
  <c r="M167" i="1"/>
  <c r="N167" i="1"/>
  <c r="D146" i="1"/>
  <c r="E146" i="1"/>
  <c r="F146" i="1"/>
  <c r="K146" i="1"/>
  <c r="M146" i="1"/>
  <c r="N146" i="1"/>
  <c r="D135" i="1"/>
  <c r="E135" i="1"/>
  <c r="F135" i="1"/>
  <c r="K135" i="1"/>
  <c r="M135" i="1"/>
  <c r="N135" i="1"/>
  <c r="D122" i="1"/>
  <c r="E122" i="1"/>
  <c r="F122" i="1"/>
  <c r="K122" i="1"/>
  <c r="M122" i="1"/>
  <c r="N122" i="1"/>
  <c r="D107" i="1"/>
  <c r="E107" i="1"/>
  <c r="F107" i="1"/>
  <c r="K107" i="1"/>
  <c r="M107" i="1"/>
  <c r="N107" i="1"/>
  <c r="D95" i="1"/>
  <c r="E95" i="1"/>
  <c r="F95" i="1"/>
  <c r="K95" i="1"/>
  <c r="M95" i="1"/>
  <c r="N95" i="1"/>
  <c r="D80" i="1"/>
  <c r="E80" i="1"/>
  <c r="F80" i="1"/>
  <c r="K80" i="1"/>
  <c r="M80" i="1"/>
  <c r="N80" i="1"/>
  <c r="D64" i="1"/>
  <c r="E64" i="1"/>
  <c r="F64" i="1"/>
  <c r="K64" i="1"/>
  <c r="M64" i="1"/>
  <c r="N64" i="1"/>
  <c r="D44" i="1"/>
  <c r="E44" i="1"/>
  <c r="F44" i="1"/>
  <c r="K44" i="1"/>
  <c r="M44" i="1"/>
  <c r="N44" i="1"/>
  <c r="D27" i="1"/>
  <c r="E27" i="1"/>
  <c r="F27" i="1"/>
  <c r="K27" i="1"/>
  <c r="M27" i="1"/>
  <c r="N27" i="1"/>
  <c r="D1927" i="1"/>
  <c r="E1927" i="1"/>
  <c r="F1927" i="1"/>
  <c r="K1927" i="1"/>
  <c r="M1927" i="1"/>
  <c r="N1927" i="1"/>
  <c r="D1928" i="1"/>
  <c r="E1928" i="1"/>
  <c r="F1928" i="1"/>
  <c r="K1928" i="1"/>
  <c r="M1928" i="1"/>
  <c r="N1928" i="1"/>
  <c r="D1929" i="1"/>
  <c r="E1929" i="1"/>
  <c r="F1929" i="1"/>
  <c r="K1929" i="1"/>
  <c r="M1929" i="1"/>
  <c r="N1929" i="1"/>
  <c r="D1930" i="1"/>
  <c r="E1930" i="1"/>
  <c r="F1930" i="1"/>
  <c r="K1930" i="1"/>
  <c r="M1930" i="1"/>
  <c r="N1930" i="1"/>
  <c r="D1931" i="1"/>
  <c r="E1931" i="1"/>
  <c r="F1931" i="1"/>
  <c r="K1931" i="1"/>
  <c r="M1931" i="1"/>
  <c r="N1931" i="1"/>
  <c r="D1932" i="1"/>
  <c r="E1932" i="1"/>
  <c r="F1932" i="1"/>
  <c r="K1932" i="1"/>
  <c r="M1932" i="1"/>
  <c r="N1932" i="1"/>
  <c r="D1933" i="1"/>
  <c r="E1933" i="1"/>
  <c r="F1933" i="1"/>
  <c r="K1933" i="1"/>
  <c r="M1933" i="1"/>
  <c r="N1933" i="1"/>
  <c r="D1934" i="1"/>
  <c r="E1934" i="1"/>
  <c r="F1934" i="1"/>
  <c r="K1934" i="1"/>
  <c r="M1934" i="1"/>
  <c r="N1934" i="1"/>
  <c r="D1935" i="1"/>
  <c r="E1935" i="1"/>
  <c r="F1935" i="1"/>
  <c r="K1935" i="1"/>
  <c r="M1935" i="1"/>
  <c r="N1935" i="1"/>
  <c r="D1936" i="1"/>
  <c r="E1936" i="1"/>
  <c r="F1936" i="1"/>
  <c r="K1936" i="1"/>
  <c r="M1936" i="1"/>
  <c r="N1936" i="1"/>
  <c r="D1937" i="1"/>
  <c r="E1937" i="1"/>
  <c r="F1937" i="1"/>
  <c r="K1937" i="1"/>
  <c r="M1937" i="1"/>
  <c r="N1937" i="1"/>
  <c r="D1938" i="1"/>
  <c r="E1938" i="1"/>
  <c r="F1938" i="1"/>
  <c r="K1938" i="1"/>
  <c r="M1938" i="1"/>
  <c r="N1938" i="1"/>
  <c r="D1939" i="1"/>
  <c r="E1939" i="1"/>
  <c r="F1939" i="1"/>
  <c r="K1939" i="1"/>
  <c r="M1939" i="1"/>
  <c r="N1939" i="1"/>
  <c r="D1940" i="1"/>
  <c r="E1940" i="1"/>
  <c r="F1940" i="1"/>
  <c r="K1940" i="1"/>
  <c r="M1940" i="1"/>
  <c r="N1940" i="1"/>
  <c r="D1941" i="1"/>
  <c r="E1941" i="1"/>
  <c r="F1941" i="1"/>
  <c r="K1941" i="1"/>
  <c r="M1941" i="1"/>
  <c r="N1941" i="1"/>
  <c r="D1942" i="1"/>
  <c r="E1942" i="1"/>
  <c r="F1942" i="1"/>
  <c r="K1942" i="1"/>
  <c r="M1942" i="1"/>
  <c r="N1942" i="1"/>
  <c r="D339" i="1"/>
  <c r="E339" i="1"/>
  <c r="F339" i="1"/>
  <c r="K339" i="1"/>
  <c r="M339" i="1"/>
  <c r="N339" i="1"/>
  <c r="D396" i="1"/>
  <c r="E396" i="1"/>
  <c r="F396" i="1"/>
  <c r="K396" i="1"/>
  <c r="M396" i="1"/>
  <c r="N396" i="1"/>
  <c r="D1780" i="1"/>
  <c r="E1780" i="1"/>
  <c r="F1780" i="1"/>
  <c r="K1780" i="1"/>
  <c r="M1780" i="1"/>
  <c r="N1780" i="1"/>
  <c r="D1781" i="1"/>
  <c r="E1781" i="1"/>
  <c r="F1781" i="1"/>
  <c r="K1781" i="1"/>
  <c r="M1781" i="1"/>
  <c r="N1781" i="1"/>
  <c r="D1782" i="1"/>
  <c r="E1782" i="1"/>
  <c r="F1782" i="1"/>
  <c r="K1782" i="1"/>
  <c r="M1782" i="1"/>
  <c r="N1782" i="1"/>
  <c r="D1783" i="1"/>
  <c r="E1783" i="1"/>
  <c r="F1783" i="1"/>
  <c r="K1783" i="1"/>
  <c r="M1783" i="1"/>
  <c r="N1783" i="1"/>
  <c r="D1784" i="1"/>
  <c r="E1784" i="1"/>
  <c r="F1784" i="1"/>
  <c r="K1784" i="1"/>
  <c r="M1784" i="1"/>
  <c r="N1784" i="1"/>
  <c r="D1785" i="1"/>
  <c r="E1785" i="1"/>
  <c r="F1785" i="1"/>
  <c r="K1785" i="1"/>
  <c r="M1785" i="1"/>
  <c r="N1785" i="1"/>
  <c r="D768" i="1"/>
  <c r="E768" i="1"/>
  <c r="F768" i="1"/>
  <c r="K768" i="1"/>
  <c r="M768" i="1"/>
  <c r="N768" i="1"/>
  <c r="D1786" i="1"/>
  <c r="E1786" i="1"/>
  <c r="F1786" i="1"/>
  <c r="K1786" i="1"/>
  <c r="M1786" i="1"/>
  <c r="N1786" i="1"/>
  <c r="D1787" i="1"/>
  <c r="E1787" i="1"/>
  <c r="F1787" i="1"/>
  <c r="K1787" i="1"/>
  <c r="M1787" i="1"/>
  <c r="N1787" i="1"/>
  <c r="D934" i="1"/>
  <c r="E934" i="1"/>
  <c r="F934" i="1"/>
  <c r="K934" i="1"/>
  <c r="M934" i="1"/>
  <c r="N934" i="1"/>
  <c r="D1788" i="1"/>
  <c r="E1788" i="1"/>
  <c r="F1788" i="1"/>
  <c r="K1788" i="1"/>
  <c r="M1788" i="1"/>
  <c r="N1788" i="1"/>
  <c r="D1050" i="1"/>
  <c r="E1050" i="1"/>
  <c r="F1050" i="1"/>
  <c r="K1050" i="1"/>
  <c r="M1050" i="1"/>
  <c r="N1050" i="1"/>
  <c r="D1108" i="1"/>
  <c r="E1108" i="1"/>
  <c r="F1108" i="1"/>
  <c r="K1108" i="1"/>
  <c r="M1108" i="1"/>
  <c r="N1108" i="1"/>
  <c r="D1789" i="1"/>
  <c r="E1789" i="1"/>
  <c r="F1789" i="1"/>
  <c r="K1789" i="1"/>
  <c r="M1789" i="1"/>
  <c r="N1789" i="1"/>
  <c r="D1790" i="1"/>
  <c r="E1790" i="1"/>
  <c r="F1790" i="1"/>
  <c r="K1790" i="1"/>
  <c r="M1790" i="1"/>
  <c r="N1790" i="1"/>
  <c r="D1791" i="1"/>
  <c r="E1791" i="1"/>
  <c r="F1791" i="1"/>
  <c r="K1791" i="1"/>
  <c r="M1791" i="1"/>
  <c r="N1791" i="1"/>
  <c r="D1792" i="1"/>
  <c r="E1792" i="1"/>
  <c r="F1792" i="1"/>
  <c r="K1792" i="1"/>
  <c r="M1792" i="1"/>
  <c r="N1792" i="1"/>
  <c r="D1394" i="1"/>
  <c r="E1394" i="1"/>
  <c r="F1394" i="1"/>
  <c r="K1394" i="1"/>
  <c r="M1394" i="1"/>
  <c r="N1394" i="1"/>
  <c r="D1793" i="1"/>
  <c r="E1793" i="1"/>
  <c r="F1793" i="1"/>
  <c r="K1793" i="1"/>
  <c r="M1793" i="1"/>
  <c r="N1793" i="1"/>
  <c r="D1794" i="1"/>
  <c r="E1794" i="1"/>
  <c r="F1794" i="1"/>
  <c r="K1794" i="1"/>
  <c r="M1794" i="1"/>
  <c r="N1794" i="1"/>
  <c r="D1795" i="1"/>
  <c r="E1795" i="1"/>
  <c r="F1795" i="1"/>
  <c r="K1795" i="1"/>
  <c r="M1795" i="1"/>
  <c r="N1795" i="1"/>
  <c r="D1612" i="1"/>
  <c r="E1612" i="1"/>
  <c r="F1612" i="1"/>
  <c r="K1612" i="1"/>
  <c r="M1612" i="1"/>
  <c r="N1612" i="1"/>
  <c r="D1796" i="1"/>
  <c r="E1796" i="1"/>
  <c r="F1796" i="1"/>
  <c r="K1796" i="1"/>
  <c r="M1796" i="1"/>
  <c r="N1796" i="1"/>
  <c r="D270" i="1"/>
  <c r="E270" i="1"/>
  <c r="F270" i="1"/>
  <c r="K270" i="1"/>
  <c r="M270" i="1"/>
  <c r="N270" i="1"/>
  <c r="D271" i="1"/>
  <c r="E271" i="1"/>
  <c r="F271" i="1"/>
  <c r="K271" i="1"/>
  <c r="M271" i="1"/>
  <c r="N271" i="1"/>
  <c r="D268" i="1"/>
  <c r="E268" i="1"/>
  <c r="F268" i="1"/>
  <c r="K268" i="1"/>
  <c r="M268" i="1"/>
  <c r="N268" i="1"/>
  <c r="D269" i="1"/>
  <c r="E269" i="1"/>
  <c r="F269" i="1"/>
  <c r="K269" i="1"/>
  <c r="M269" i="1"/>
  <c r="N269" i="1"/>
  <c r="D338" i="1"/>
  <c r="E338" i="1"/>
  <c r="F338" i="1"/>
  <c r="K338" i="1"/>
  <c r="M338" i="1"/>
  <c r="N338" i="1"/>
  <c r="D395" i="1"/>
  <c r="E395" i="1"/>
  <c r="F395" i="1"/>
  <c r="K395" i="1"/>
  <c r="M395" i="1"/>
  <c r="N395" i="1"/>
  <c r="D1763" i="1"/>
  <c r="E1763" i="1"/>
  <c r="F1763" i="1"/>
  <c r="K1763" i="1"/>
  <c r="M1763" i="1"/>
  <c r="N1763" i="1"/>
  <c r="D1764" i="1"/>
  <c r="E1764" i="1"/>
  <c r="F1764" i="1"/>
  <c r="K1764" i="1"/>
  <c r="M1764" i="1"/>
  <c r="N1764" i="1"/>
  <c r="D1765" i="1"/>
  <c r="E1765" i="1"/>
  <c r="F1765" i="1"/>
  <c r="K1765" i="1"/>
  <c r="M1765" i="1"/>
  <c r="N1765" i="1"/>
  <c r="D1766" i="1"/>
  <c r="E1766" i="1"/>
  <c r="F1766" i="1"/>
  <c r="K1766" i="1"/>
  <c r="M1766" i="1"/>
  <c r="N1766" i="1"/>
  <c r="D1767" i="1"/>
  <c r="E1767" i="1"/>
  <c r="F1767" i="1"/>
  <c r="K1767" i="1"/>
  <c r="M1767" i="1"/>
  <c r="N1767" i="1"/>
  <c r="D1768" i="1"/>
  <c r="E1768" i="1"/>
  <c r="F1768" i="1"/>
  <c r="K1768" i="1"/>
  <c r="M1768" i="1"/>
  <c r="N1768" i="1"/>
  <c r="D767" i="1"/>
  <c r="E767" i="1"/>
  <c r="F767" i="1"/>
  <c r="K767" i="1"/>
  <c r="M767" i="1"/>
  <c r="N767" i="1"/>
  <c r="D1769" i="1"/>
  <c r="E1769" i="1"/>
  <c r="F1769" i="1"/>
  <c r="K1769" i="1"/>
  <c r="M1769" i="1"/>
  <c r="N1769" i="1"/>
  <c r="D1770" i="1"/>
  <c r="E1770" i="1"/>
  <c r="F1770" i="1"/>
  <c r="K1770" i="1"/>
  <c r="M1770" i="1"/>
  <c r="N1770" i="1"/>
  <c r="D933" i="1"/>
  <c r="E933" i="1"/>
  <c r="F933" i="1"/>
  <c r="K933" i="1"/>
  <c r="M933" i="1"/>
  <c r="N933" i="1"/>
  <c r="D1771" i="1"/>
  <c r="E1771" i="1"/>
  <c r="F1771" i="1"/>
  <c r="K1771" i="1"/>
  <c r="M1771" i="1"/>
  <c r="N1771" i="1"/>
  <c r="D1049" i="1"/>
  <c r="E1049" i="1"/>
  <c r="F1049" i="1"/>
  <c r="K1049" i="1"/>
  <c r="M1049" i="1"/>
  <c r="N1049" i="1"/>
  <c r="D1107" i="1"/>
  <c r="E1107" i="1"/>
  <c r="F1107" i="1"/>
  <c r="K1107" i="1"/>
  <c r="M1107" i="1"/>
  <c r="N1107" i="1"/>
  <c r="D1772" i="1"/>
  <c r="E1772" i="1"/>
  <c r="F1772" i="1"/>
  <c r="K1772" i="1"/>
  <c r="M1772" i="1"/>
  <c r="N1772" i="1"/>
  <c r="D1773" i="1"/>
  <c r="E1773" i="1"/>
  <c r="F1773" i="1"/>
  <c r="K1773" i="1"/>
  <c r="M1773" i="1"/>
  <c r="N1773" i="1"/>
  <c r="D1774" i="1"/>
  <c r="E1774" i="1"/>
  <c r="F1774" i="1"/>
  <c r="K1774" i="1"/>
  <c r="M1774" i="1"/>
  <c r="N1774" i="1"/>
  <c r="D1775" i="1"/>
  <c r="E1775" i="1"/>
  <c r="F1775" i="1"/>
  <c r="K1775" i="1"/>
  <c r="M1775" i="1"/>
  <c r="N1775" i="1"/>
  <c r="D1393" i="1"/>
  <c r="E1393" i="1"/>
  <c r="F1393" i="1"/>
  <c r="K1393" i="1"/>
  <c r="M1393" i="1"/>
  <c r="N1393" i="1"/>
  <c r="D1776" i="1"/>
  <c r="E1776" i="1"/>
  <c r="F1776" i="1"/>
  <c r="K1776" i="1"/>
  <c r="M1776" i="1"/>
  <c r="N1776" i="1"/>
  <c r="D1777" i="1"/>
  <c r="E1777" i="1"/>
  <c r="F1777" i="1"/>
  <c r="K1777" i="1"/>
  <c r="M1777" i="1"/>
  <c r="N1777" i="1"/>
  <c r="D1778" i="1"/>
  <c r="E1778" i="1"/>
  <c r="F1778" i="1"/>
  <c r="K1778" i="1"/>
  <c r="M1778" i="1"/>
  <c r="N1778" i="1"/>
  <c r="D1611" i="1"/>
  <c r="E1611" i="1"/>
  <c r="F1611" i="1"/>
  <c r="K1611" i="1"/>
  <c r="M1611" i="1"/>
  <c r="N1611" i="1"/>
  <c r="D1779" i="1"/>
  <c r="E1779" i="1"/>
  <c r="F1779" i="1"/>
  <c r="K1779" i="1"/>
  <c r="M1779" i="1"/>
  <c r="N1779" i="1"/>
  <c r="D1497" i="1"/>
  <c r="E1497" i="1"/>
  <c r="F1497" i="1"/>
  <c r="K1497" i="1"/>
  <c r="M1497" i="1"/>
  <c r="N1497" i="1"/>
  <c r="D1498" i="1"/>
  <c r="E1498" i="1"/>
  <c r="F1498" i="1"/>
  <c r="K1498" i="1"/>
  <c r="M1498" i="1"/>
  <c r="N1498" i="1"/>
  <c r="D1499" i="1"/>
  <c r="E1499" i="1"/>
  <c r="F1499" i="1"/>
  <c r="K1499" i="1"/>
  <c r="M1499" i="1"/>
  <c r="N1499" i="1"/>
  <c r="D1500" i="1"/>
  <c r="E1500" i="1"/>
  <c r="F1500" i="1"/>
  <c r="K1500" i="1"/>
  <c r="M1500" i="1"/>
  <c r="N1500" i="1"/>
  <c r="D193" i="1"/>
  <c r="E193" i="1"/>
  <c r="F193" i="1"/>
  <c r="K193" i="1"/>
  <c r="M193" i="1"/>
  <c r="N193" i="1"/>
  <c r="D194" i="1"/>
  <c r="E194" i="1"/>
  <c r="F194" i="1"/>
  <c r="K194" i="1"/>
  <c r="M194" i="1"/>
  <c r="N194" i="1"/>
  <c r="D195" i="1"/>
  <c r="E195" i="1"/>
  <c r="F195" i="1"/>
  <c r="K195" i="1"/>
  <c r="M195" i="1"/>
  <c r="N195" i="1"/>
  <c r="D224" i="1"/>
  <c r="E224" i="1"/>
  <c r="F224" i="1"/>
  <c r="K224" i="1"/>
  <c r="M224" i="1"/>
  <c r="N224" i="1"/>
  <c r="D225" i="1"/>
  <c r="E225" i="1"/>
  <c r="F225" i="1"/>
  <c r="K225" i="1"/>
  <c r="M225" i="1"/>
  <c r="N225" i="1"/>
  <c r="D226" i="1"/>
  <c r="E226" i="1"/>
  <c r="F226" i="1"/>
  <c r="K226" i="1"/>
  <c r="M226" i="1"/>
  <c r="N226" i="1"/>
  <c r="D227" i="1"/>
  <c r="E227" i="1"/>
  <c r="F227" i="1"/>
  <c r="K227" i="1"/>
  <c r="M227" i="1"/>
  <c r="N227" i="1"/>
  <c r="D228" i="1"/>
  <c r="E228" i="1"/>
  <c r="F228" i="1"/>
  <c r="K228" i="1"/>
  <c r="M228" i="1"/>
  <c r="N228" i="1"/>
  <c r="D229" i="1"/>
  <c r="E229" i="1"/>
  <c r="F229" i="1"/>
  <c r="K229" i="1"/>
  <c r="M229" i="1"/>
  <c r="N229" i="1"/>
  <c r="D230" i="1"/>
  <c r="E230" i="1"/>
  <c r="F230" i="1"/>
  <c r="K230" i="1"/>
  <c r="M230" i="1"/>
  <c r="N230" i="1"/>
  <c r="D223" i="1"/>
  <c r="E223" i="1"/>
  <c r="F223" i="1"/>
  <c r="K223" i="1"/>
  <c r="M223" i="1"/>
  <c r="N223" i="1"/>
  <c r="D222" i="1"/>
  <c r="E222" i="1"/>
  <c r="F222" i="1"/>
  <c r="K222" i="1"/>
  <c r="M222" i="1"/>
  <c r="N222" i="1"/>
  <c r="D1960" i="1"/>
  <c r="E1960" i="1"/>
  <c r="F1960" i="1"/>
  <c r="K1960" i="1"/>
  <c r="M1960" i="1"/>
  <c r="N1960" i="1"/>
  <c r="D1961" i="1"/>
  <c r="E1961" i="1"/>
  <c r="F1961" i="1"/>
  <c r="K1961" i="1"/>
  <c r="M1961" i="1"/>
  <c r="N1961" i="1"/>
  <c r="D1962" i="1"/>
  <c r="E1962" i="1"/>
  <c r="F1962" i="1"/>
  <c r="K1962" i="1"/>
  <c r="M1962" i="1"/>
  <c r="N1962" i="1"/>
  <c r="D1963" i="1"/>
  <c r="E1963" i="1"/>
  <c r="F1963" i="1"/>
  <c r="K1963" i="1"/>
  <c r="M1963" i="1"/>
  <c r="N1963" i="1"/>
  <c r="D1964" i="1"/>
  <c r="E1964" i="1"/>
  <c r="F1964" i="1"/>
  <c r="K1964" i="1"/>
  <c r="M1964" i="1"/>
  <c r="N1964" i="1"/>
  <c r="D1965" i="1"/>
  <c r="E1965" i="1"/>
  <c r="F1965" i="1"/>
  <c r="K1965" i="1"/>
  <c r="M1965" i="1"/>
  <c r="N1965" i="1"/>
  <c r="D1966" i="1"/>
  <c r="E1966" i="1"/>
  <c r="F1966" i="1"/>
  <c r="K1966" i="1"/>
  <c r="M1966" i="1"/>
  <c r="N1966" i="1"/>
  <c r="D1967" i="1"/>
  <c r="E1967" i="1"/>
  <c r="F1967" i="1"/>
  <c r="K1967" i="1"/>
  <c r="M1967" i="1"/>
  <c r="N1967" i="1"/>
  <c r="D1968" i="1"/>
  <c r="E1968" i="1"/>
  <c r="F1968" i="1"/>
  <c r="K1968" i="1"/>
  <c r="M1968" i="1"/>
  <c r="N1968" i="1"/>
  <c r="D1969" i="1"/>
  <c r="E1969" i="1"/>
  <c r="F1969" i="1"/>
  <c r="K1969" i="1"/>
  <c r="M1969" i="1"/>
  <c r="N1969" i="1"/>
  <c r="D1970" i="1"/>
  <c r="E1970" i="1"/>
  <c r="F1970" i="1"/>
  <c r="K1970" i="1"/>
  <c r="M1970" i="1"/>
  <c r="N1970" i="1"/>
  <c r="D1971" i="1"/>
  <c r="E1971" i="1"/>
  <c r="F1971" i="1"/>
  <c r="K1971" i="1"/>
  <c r="M1971" i="1"/>
  <c r="N1971" i="1"/>
  <c r="D1972" i="1"/>
  <c r="E1972" i="1"/>
  <c r="F1972" i="1"/>
  <c r="K1972" i="1"/>
  <c r="M1972" i="1"/>
  <c r="N1972" i="1"/>
  <c r="D1973" i="1"/>
  <c r="E1973" i="1"/>
  <c r="F1973" i="1"/>
  <c r="K1973" i="1"/>
  <c r="M1973" i="1"/>
  <c r="N1973" i="1"/>
  <c r="D1974" i="1"/>
  <c r="E1974" i="1"/>
  <c r="F1974" i="1"/>
  <c r="K1974" i="1"/>
  <c r="M1974" i="1"/>
  <c r="N1974" i="1"/>
  <c r="D1975" i="1"/>
  <c r="E1975" i="1"/>
  <c r="F1975" i="1"/>
  <c r="K1975" i="1"/>
  <c r="M1975" i="1"/>
  <c r="N1975" i="1"/>
  <c r="D1976" i="1"/>
  <c r="E1976" i="1"/>
  <c r="F1976" i="1"/>
  <c r="K1976" i="1"/>
  <c r="M1976" i="1"/>
  <c r="N1976" i="1"/>
  <c r="D1977" i="1"/>
  <c r="E1977" i="1"/>
  <c r="F1977" i="1"/>
  <c r="K1977" i="1"/>
  <c r="M1977" i="1"/>
  <c r="N1977" i="1"/>
  <c r="D1978" i="1"/>
  <c r="E1978" i="1"/>
  <c r="F1978" i="1"/>
  <c r="K1978" i="1"/>
  <c r="M1978" i="1"/>
  <c r="N1978" i="1"/>
  <c r="D1979" i="1"/>
  <c r="E1979" i="1"/>
  <c r="F1979" i="1"/>
  <c r="K1979" i="1"/>
  <c r="M1979" i="1"/>
  <c r="N1979" i="1"/>
  <c r="D1980" i="1"/>
  <c r="E1980" i="1"/>
  <c r="F1980" i="1"/>
  <c r="K1980" i="1"/>
  <c r="M1980" i="1"/>
  <c r="N1980" i="1"/>
  <c r="D1981" i="1"/>
  <c r="E1981" i="1"/>
  <c r="F1981" i="1"/>
  <c r="K1981" i="1"/>
  <c r="M1981" i="1"/>
  <c r="N1981" i="1"/>
  <c r="D1982" i="1"/>
  <c r="E1982" i="1"/>
  <c r="F1982" i="1"/>
  <c r="K1982" i="1"/>
  <c r="M1982" i="1"/>
  <c r="N1982" i="1"/>
  <c r="D1983" i="1"/>
  <c r="E1983" i="1"/>
  <c r="F1983" i="1"/>
  <c r="K1983" i="1"/>
  <c r="M1983" i="1"/>
  <c r="N1983" i="1"/>
  <c r="D1984" i="1"/>
  <c r="E1984" i="1"/>
  <c r="F1984" i="1"/>
  <c r="K1984" i="1"/>
  <c r="M1984" i="1"/>
  <c r="N1984" i="1"/>
  <c r="D1985" i="1"/>
  <c r="E1985" i="1"/>
  <c r="F1985" i="1"/>
  <c r="K1985" i="1"/>
  <c r="M1985" i="1"/>
  <c r="N1985" i="1"/>
  <c r="D1986" i="1"/>
  <c r="E1986" i="1"/>
  <c r="F1986" i="1"/>
  <c r="K1986" i="1"/>
  <c r="M1986" i="1"/>
  <c r="N1986" i="1"/>
  <c r="D1987" i="1"/>
  <c r="E1987" i="1"/>
  <c r="F1987" i="1"/>
  <c r="K1987" i="1"/>
  <c r="M1987" i="1"/>
  <c r="N1987" i="1"/>
  <c r="D1988" i="1"/>
  <c r="E1988" i="1"/>
  <c r="F1988" i="1"/>
  <c r="K1988" i="1"/>
  <c r="M1988" i="1"/>
  <c r="N1988" i="1"/>
  <c r="D1989" i="1"/>
  <c r="E1989" i="1"/>
  <c r="F1989" i="1"/>
  <c r="K1989" i="1"/>
  <c r="M1989" i="1"/>
  <c r="N1989" i="1"/>
  <c r="D1990" i="1"/>
  <c r="E1990" i="1"/>
  <c r="F1990" i="1"/>
  <c r="K1990" i="1"/>
  <c r="M1990" i="1"/>
  <c r="N1990" i="1"/>
  <c r="D1991" i="1"/>
  <c r="E1991" i="1"/>
  <c r="F1991" i="1"/>
  <c r="K1991" i="1"/>
  <c r="M1991" i="1"/>
  <c r="N1991" i="1"/>
  <c r="D1992" i="1"/>
  <c r="E1992" i="1"/>
  <c r="F1992" i="1"/>
  <c r="K1992" i="1"/>
  <c r="M1992" i="1"/>
  <c r="N1992" i="1"/>
  <c r="D1993" i="1"/>
  <c r="E1993" i="1"/>
  <c r="F1993" i="1"/>
  <c r="K1993" i="1"/>
  <c r="M1993" i="1"/>
  <c r="N1993" i="1"/>
  <c r="D1994" i="1"/>
  <c r="E1994" i="1"/>
  <c r="F1994" i="1"/>
  <c r="K1994" i="1"/>
  <c r="M1994" i="1"/>
  <c r="N1994" i="1"/>
  <c r="D1995" i="1"/>
  <c r="E1995" i="1"/>
  <c r="F1995" i="1"/>
  <c r="K1995" i="1"/>
  <c r="M1995" i="1"/>
  <c r="N1995" i="1"/>
  <c r="D1996" i="1"/>
  <c r="E1996" i="1"/>
  <c r="F1996" i="1"/>
  <c r="K1996" i="1"/>
  <c r="M1996" i="1"/>
  <c r="N1996" i="1"/>
  <c r="D1997" i="1"/>
  <c r="E1997" i="1"/>
  <c r="F1997" i="1"/>
  <c r="K1997" i="1"/>
  <c r="M1997" i="1"/>
  <c r="N1997" i="1"/>
  <c r="D1998" i="1"/>
  <c r="E1998" i="1"/>
  <c r="F1998" i="1"/>
  <c r="K1998" i="1"/>
  <c r="M1998" i="1"/>
  <c r="N1998" i="1"/>
  <c r="D1999" i="1"/>
  <c r="E1999" i="1"/>
  <c r="F1999" i="1"/>
  <c r="K1999" i="1"/>
  <c r="M1999" i="1"/>
  <c r="N1999" i="1"/>
  <c r="D2000" i="1"/>
  <c r="E2000" i="1"/>
  <c r="F2000" i="1"/>
  <c r="K2000" i="1"/>
  <c r="M2000" i="1"/>
  <c r="N2000" i="1"/>
  <c r="D2001" i="1"/>
  <c r="E2001" i="1"/>
  <c r="F2001" i="1"/>
  <c r="K2001" i="1"/>
  <c r="M2001" i="1"/>
  <c r="N2001" i="1"/>
  <c r="D2002" i="1"/>
  <c r="E2002" i="1"/>
  <c r="F2002" i="1"/>
  <c r="K2002" i="1"/>
  <c r="M2002" i="1"/>
  <c r="N2002" i="1"/>
  <c r="D2003" i="1"/>
  <c r="E2003" i="1"/>
  <c r="F2003" i="1"/>
  <c r="K2003" i="1"/>
  <c r="M2003" i="1"/>
  <c r="N2003" i="1"/>
  <c r="D2004" i="1"/>
  <c r="E2004" i="1"/>
  <c r="F2004" i="1"/>
  <c r="K2004" i="1"/>
  <c r="M2004" i="1"/>
  <c r="N2004" i="1"/>
  <c r="D2005" i="1"/>
  <c r="E2005" i="1"/>
  <c r="F2005" i="1"/>
  <c r="K2005" i="1"/>
  <c r="M2005" i="1"/>
  <c r="N2005" i="1"/>
  <c r="D2006" i="1"/>
  <c r="E2006" i="1"/>
  <c r="F2006" i="1"/>
  <c r="K2006" i="1"/>
  <c r="M2006" i="1"/>
  <c r="N2006" i="1"/>
  <c r="D2007" i="1"/>
  <c r="E2007" i="1"/>
  <c r="F2007" i="1"/>
  <c r="K2007" i="1"/>
  <c r="M2007" i="1"/>
  <c r="N2007" i="1"/>
  <c r="D2008" i="1"/>
  <c r="E2008" i="1"/>
  <c r="F2008" i="1"/>
  <c r="K2008" i="1"/>
  <c r="M2008" i="1"/>
  <c r="N2008" i="1"/>
  <c r="D2009" i="1"/>
  <c r="E2009" i="1"/>
  <c r="F2009" i="1"/>
  <c r="K2009" i="1"/>
  <c r="M2009" i="1"/>
  <c r="N2009" i="1"/>
  <c r="D2010" i="1"/>
  <c r="E2010" i="1"/>
  <c r="F2010" i="1"/>
  <c r="K2010" i="1"/>
  <c r="M2010" i="1"/>
  <c r="N2010" i="1"/>
  <c r="D2011" i="1"/>
  <c r="E2011" i="1"/>
  <c r="F2011" i="1"/>
  <c r="K2011" i="1"/>
  <c r="M2011" i="1"/>
  <c r="N2011" i="1"/>
  <c r="D2012" i="1"/>
  <c r="E2012" i="1"/>
  <c r="F2012" i="1"/>
  <c r="K2012" i="1"/>
  <c r="M2012" i="1"/>
  <c r="N2012" i="1"/>
  <c r="D2013" i="1"/>
  <c r="E2013" i="1"/>
  <c r="F2013" i="1"/>
  <c r="K2013" i="1"/>
  <c r="M2013" i="1"/>
  <c r="N2013" i="1"/>
  <c r="D2014" i="1"/>
  <c r="E2014" i="1"/>
  <c r="F2014" i="1"/>
  <c r="K2014" i="1"/>
  <c r="M2014" i="1"/>
  <c r="N2014" i="1"/>
  <c r="D2015" i="1"/>
  <c r="E2015" i="1"/>
  <c r="F2015" i="1"/>
  <c r="K2015" i="1"/>
  <c r="M2015" i="1"/>
  <c r="N2015" i="1"/>
  <c r="D2016" i="1"/>
  <c r="E2016" i="1"/>
  <c r="F2016" i="1"/>
  <c r="K2016" i="1"/>
  <c r="M2016" i="1"/>
  <c r="N2016" i="1"/>
  <c r="D2017" i="1"/>
  <c r="E2017" i="1"/>
  <c r="F2017" i="1"/>
  <c r="K2017" i="1"/>
  <c r="M2017" i="1"/>
  <c r="N2017" i="1"/>
  <c r="D2018" i="1"/>
  <c r="E2018" i="1"/>
  <c r="F2018" i="1"/>
  <c r="K2018" i="1"/>
  <c r="M2018" i="1"/>
  <c r="N2018" i="1"/>
  <c r="D2019" i="1"/>
  <c r="E2019" i="1"/>
  <c r="F2019" i="1"/>
  <c r="K2019" i="1"/>
  <c r="M2019" i="1"/>
  <c r="N2019" i="1"/>
  <c r="D2020" i="1"/>
  <c r="E2020" i="1"/>
  <c r="F2020" i="1"/>
  <c r="K2020" i="1"/>
  <c r="M2020" i="1"/>
  <c r="N2020" i="1"/>
  <c r="D2021" i="1"/>
  <c r="E2021" i="1"/>
  <c r="F2021" i="1"/>
  <c r="K2021" i="1"/>
  <c r="M2021" i="1"/>
  <c r="N2021" i="1"/>
  <c r="D2022" i="1"/>
  <c r="E2022" i="1"/>
  <c r="F2022" i="1"/>
  <c r="K2022" i="1"/>
  <c r="M2022" i="1"/>
  <c r="N2022" i="1"/>
  <c r="D2023" i="1"/>
  <c r="E2023" i="1"/>
  <c r="F2023" i="1"/>
  <c r="K2023" i="1"/>
  <c r="M2023" i="1"/>
  <c r="N2023" i="1"/>
  <c r="D2024" i="1"/>
  <c r="E2024" i="1"/>
  <c r="F2024" i="1"/>
  <c r="K2024" i="1"/>
  <c r="M2024" i="1"/>
  <c r="N2024" i="1"/>
  <c r="D2026" i="1"/>
  <c r="E2026" i="1"/>
  <c r="F2026" i="1"/>
  <c r="K2026" i="1"/>
  <c r="M2026" i="1"/>
  <c r="N2026" i="1"/>
  <c r="D2027" i="1"/>
  <c r="E2027" i="1"/>
  <c r="F2027" i="1"/>
  <c r="K2027" i="1"/>
  <c r="M2027" i="1"/>
  <c r="N2027" i="1"/>
  <c r="D2028" i="1"/>
  <c r="E2028" i="1"/>
  <c r="F2028" i="1"/>
  <c r="K2028" i="1"/>
  <c r="M2028" i="1"/>
  <c r="N2028" i="1"/>
  <c r="D2029" i="1"/>
  <c r="E2029" i="1"/>
  <c r="F2029" i="1"/>
  <c r="K2029" i="1"/>
  <c r="M2029" i="1"/>
  <c r="N2029" i="1"/>
  <c r="D2030" i="1"/>
  <c r="E2030" i="1"/>
  <c r="F2030" i="1"/>
  <c r="K2030" i="1"/>
  <c r="M2030" i="1"/>
  <c r="N2030" i="1"/>
  <c r="D2031" i="1"/>
  <c r="E2031" i="1"/>
  <c r="F2031" i="1"/>
  <c r="K2031" i="1"/>
  <c r="M2031" i="1"/>
  <c r="N2031" i="1"/>
  <c r="D2032" i="1"/>
  <c r="E2032" i="1"/>
  <c r="F2032" i="1"/>
  <c r="K2032" i="1"/>
  <c r="M2032" i="1"/>
  <c r="N2032" i="1"/>
  <c r="D2033" i="1"/>
  <c r="E2033" i="1"/>
  <c r="F2033" i="1"/>
  <c r="K2033" i="1"/>
  <c r="M2033" i="1"/>
  <c r="N2033" i="1"/>
  <c r="D2034" i="1"/>
  <c r="E2034" i="1"/>
  <c r="F2034" i="1"/>
  <c r="K2034" i="1"/>
  <c r="M2034" i="1"/>
  <c r="N2034" i="1"/>
  <c r="D2035" i="1"/>
  <c r="E2035" i="1"/>
  <c r="F2035" i="1"/>
  <c r="K2035" i="1"/>
  <c r="M2035" i="1"/>
  <c r="N2035" i="1"/>
  <c r="D2036" i="1"/>
  <c r="E2036" i="1"/>
  <c r="F2036" i="1"/>
  <c r="K2036" i="1"/>
  <c r="M2036" i="1"/>
  <c r="N2036" i="1"/>
  <c r="D2037" i="1"/>
  <c r="E2037" i="1"/>
  <c r="F2037" i="1"/>
  <c r="K2037" i="1"/>
  <c r="M2037" i="1"/>
  <c r="N2037" i="1"/>
  <c r="D2038" i="1"/>
  <c r="E2038" i="1"/>
  <c r="F2038" i="1"/>
  <c r="K2038" i="1"/>
  <c r="M2038" i="1"/>
  <c r="N2038" i="1"/>
  <c r="D2039" i="1"/>
  <c r="E2039" i="1"/>
  <c r="F2039" i="1"/>
  <c r="K2039" i="1"/>
  <c r="M2039" i="1"/>
  <c r="N2039" i="1"/>
  <c r="D2040" i="1"/>
  <c r="E2040" i="1"/>
  <c r="F2040" i="1"/>
  <c r="K2040" i="1"/>
  <c r="M2040" i="1"/>
  <c r="N2040" i="1"/>
  <c r="D2041" i="1"/>
  <c r="E2041" i="1"/>
  <c r="F2041" i="1"/>
  <c r="K2041" i="1"/>
  <c r="M2041" i="1"/>
  <c r="N2041" i="1"/>
  <c r="D2042" i="1"/>
  <c r="E2042" i="1"/>
  <c r="F2042" i="1"/>
  <c r="K2042" i="1"/>
  <c r="M2042" i="1"/>
  <c r="N2042" i="1"/>
  <c r="D2043" i="1"/>
  <c r="E2043" i="1"/>
  <c r="F2043" i="1"/>
  <c r="K2043" i="1"/>
  <c r="M2043" i="1"/>
  <c r="N2043" i="1"/>
  <c r="D2044" i="1"/>
  <c r="E2044" i="1"/>
  <c r="F2044" i="1"/>
  <c r="K2044" i="1"/>
  <c r="M2044" i="1"/>
  <c r="N2044" i="1"/>
  <c r="D2045" i="1"/>
  <c r="E2045" i="1"/>
  <c r="F2045" i="1"/>
  <c r="K2045" i="1"/>
  <c r="M2045" i="1"/>
  <c r="N2045" i="1"/>
  <c r="D2050" i="1"/>
  <c r="E2050" i="1"/>
  <c r="F2050" i="1"/>
  <c r="K2050" i="1"/>
  <c r="M2050" i="1"/>
  <c r="N2050" i="1"/>
  <c r="D2251" i="1"/>
  <c r="E2251" i="1"/>
  <c r="F2251" i="1"/>
  <c r="K2251" i="1"/>
  <c r="M2251" i="1"/>
  <c r="N2251" i="1"/>
  <c r="D2252" i="1"/>
  <c r="E2252" i="1"/>
  <c r="F2252" i="1"/>
  <c r="K2252" i="1"/>
  <c r="M2252" i="1"/>
  <c r="N2252" i="1"/>
  <c r="D2253" i="1"/>
  <c r="E2253" i="1"/>
  <c r="F2253" i="1"/>
  <c r="K2253" i="1"/>
  <c r="M2253" i="1"/>
  <c r="N2253" i="1"/>
  <c r="D2254" i="1"/>
  <c r="E2254" i="1"/>
  <c r="F2254" i="1"/>
  <c r="K2254" i="1"/>
  <c r="M2254" i="1"/>
  <c r="N2254" i="1"/>
  <c r="D2255" i="1"/>
  <c r="E2255" i="1"/>
  <c r="F2255" i="1"/>
  <c r="K2255" i="1"/>
  <c r="M2255" i="1"/>
  <c r="N2255" i="1"/>
  <c r="D2256" i="1"/>
  <c r="E2256" i="1"/>
  <c r="F2256" i="1"/>
  <c r="K2256" i="1"/>
  <c r="M2256" i="1"/>
  <c r="N2256" i="1"/>
  <c r="D2257" i="1"/>
  <c r="E2257" i="1"/>
  <c r="F2257" i="1"/>
  <c r="K2257" i="1"/>
  <c r="M2257" i="1"/>
  <c r="N2257" i="1"/>
  <c r="D2258" i="1"/>
  <c r="E2258" i="1"/>
  <c r="F2258" i="1"/>
  <c r="K2258" i="1"/>
  <c r="M2258" i="1"/>
  <c r="N2258" i="1"/>
  <c r="D2259" i="1"/>
  <c r="E2259" i="1"/>
  <c r="F2259" i="1"/>
  <c r="K2259" i="1"/>
  <c r="M2259" i="1"/>
  <c r="N2259" i="1"/>
  <c r="D2260" i="1"/>
  <c r="E2260" i="1"/>
  <c r="F2260" i="1"/>
  <c r="K2260" i="1"/>
  <c r="M2260" i="1"/>
  <c r="N2260" i="1"/>
  <c r="D2261" i="1"/>
  <c r="E2261" i="1"/>
  <c r="F2261" i="1"/>
  <c r="K2261" i="1"/>
  <c r="M2261" i="1"/>
  <c r="N2261" i="1"/>
  <c r="D2262" i="1"/>
  <c r="E2262" i="1"/>
  <c r="F2262" i="1"/>
  <c r="K2262" i="1"/>
  <c r="M2262" i="1"/>
  <c r="N2262" i="1"/>
  <c r="D2263" i="1"/>
  <c r="E2263" i="1"/>
  <c r="F2263" i="1"/>
  <c r="K2263" i="1"/>
  <c r="M2263" i="1"/>
  <c r="N2263" i="1"/>
  <c r="D2264" i="1"/>
  <c r="E2264" i="1"/>
  <c r="F2264" i="1"/>
  <c r="K2264" i="1"/>
  <c r="M2264" i="1"/>
  <c r="N2264" i="1"/>
  <c r="D2265" i="1"/>
  <c r="E2265" i="1"/>
  <c r="F2265" i="1"/>
  <c r="K2265" i="1"/>
  <c r="M2265" i="1"/>
  <c r="N2265" i="1"/>
  <c r="D2266" i="1"/>
  <c r="E2266" i="1"/>
  <c r="F2266" i="1"/>
  <c r="K2266" i="1"/>
  <c r="M2266" i="1"/>
  <c r="N2266" i="1"/>
  <c r="D2267" i="1"/>
  <c r="E2267" i="1"/>
  <c r="F2267" i="1"/>
  <c r="N2267" i="1"/>
  <c r="D2268" i="1"/>
  <c r="E2268" i="1"/>
  <c r="F2268" i="1"/>
  <c r="K2268" i="1"/>
  <c r="M2268" i="1"/>
  <c r="N2268" i="1"/>
  <c r="D2269" i="1"/>
  <c r="E2269" i="1"/>
  <c r="F2269" i="1"/>
  <c r="K2269" i="1"/>
  <c r="M2269" i="1"/>
  <c r="N2269" i="1"/>
  <c r="D2270" i="1"/>
  <c r="E2270" i="1"/>
  <c r="F2270" i="1"/>
  <c r="K2270" i="1"/>
  <c r="M2270" i="1"/>
  <c r="N2270" i="1"/>
  <c r="D2271" i="1"/>
  <c r="E2271" i="1"/>
  <c r="F2271" i="1"/>
  <c r="K2271" i="1"/>
  <c r="M2271" i="1"/>
  <c r="N2271" i="1"/>
  <c r="D2272" i="1"/>
  <c r="E2272" i="1"/>
  <c r="F2272" i="1"/>
  <c r="K2272" i="1"/>
  <c r="M2272" i="1"/>
  <c r="N2272" i="1"/>
  <c r="D2273" i="1"/>
  <c r="E2273" i="1"/>
  <c r="F2273" i="1"/>
  <c r="K2273" i="1"/>
  <c r="M2273" i="1"/>
  <c r="N2273" i="1"/>
  <c r="D2274" i="1"/>
  <c r="E2274" i="1"/>
  <c r="F2274" i="1"/>
  <c r="K2274" i="1"/>
  <c r="M2274" i="1"/>
  <c r="N2274" i="1"/>
  <c r="D2275" i="1"/>
  <c r="E2275" i="1"/>
  <c r="F2275" i="1"/>
  <c r="K2275" i="1"/>
  <c r="M2275" i="1"/>
  <c r="N2275" i="1"/>
  <c r="D2276" i="1"/>
  <c r="E2276" i="1"/>
  <c r="F2276" i="1"/>
  <c r="K2276" i="1"/>
  <c r="M2276" i="1"/>
  <c r="N2276" i="1"/>
  <c r="D2277" i="1"/>
  <c r="E2277" i="1"/>
  <c r="F2277" i="1"/>
  <c r="K2277" i="1"/>
  <c r="M2277" i="1"/>
  <c r="N2277" i="1"/>
  <c r="D2278" i="1"/>
  <c r="E2278" i="1"/>
  <c r="F2278" i="1"/>
  <c r="K2278" i="1"/>
  <c r="M2278" i="1"/>
  <c r="N2278" i="1"/>
  <c r="D2279" i="1"/>
  <c r="E2279" i="1"/>
  <c r="F2279" i="1"/>
  <c r="K2279" i="1"/>
  <c r="M2279" i="1"/>
  <c r="N2279" i="1"/>
  <c r="D2280" i="1"/>
  <c r="E2280" i="1"/>
  <c r="F2280" i="1"/>
  <c r="K2280" i="1"/>
  <c r="M2280" i="1"/>
  <c r="N2280" i="1"/>
  <c r="D2281" i="1"/>
  <c r="E2281" i="1"/>
  <c r="F2281" i="1"/>
  <c r="K2281" i="1"/>
  <c r="M2281" i="1"/>
  <c r="N2281" i="1"/>
  <c r="D2282" i="1"/>
  <c r="E2282" i="1"/>
  <c r="F2282" i="1"/>
  <c r="K2282" i="1"/>
  <c r="M2282" i="1"/>
  <c r="N2282" i="1"/>
  <c r="D2283" i="1"/>
  <c r="E2283" i="1"/>
  <c r="F2283" i="1"/>
  <c r="K2283" i="1"/>
  <c r="M2283" i="1"/>
  <c r="N2283" i="1"/>
  <c r="D2284" i="1"/>
  <c r="E2284" i="1"/>
  <c r="F2284" i="1"/>
  <c r="K2284" i="1"/>
  <c r="M2284" i="1"/>
  <c r="N2284" i="1"/>
  <c r="D2285" i="1"/>
  <c r="E2285" i="1"/>
  <c r="F2285" i="1"/>
  <c r="K2285" i="1"/>
  <c r="M2285" i="1"/>
  <c r="N2285" i="1"/>
  <c r="D2286" i="1"/>
  <c r="E2286" i="1"/>
  <c r="F2286" i="1"/>
  <c r="K2286" i="1"/>
  <c r="M2286" i="1"/>
  <c r="N2286" i="1"/>
  <c r="D2287" i="1"/>
  <c r="E2287" i="1"/>
  <c r="F2287" i="1"/>
  <c r="K2287" i="1"/>
  <c r="M2287" i="1"/>
  <c r="N2287" i="1"/>
  <c r="D2288" i="1"/>
  <c r="E2288" i="1"/>
  <c r="F2288" i="1"/>
  <c r="K2288" i="1"/>
  <c r="M2288" i="1"/>
  <c r="N2288" i="1"/>
  <c r="D2289" i="1"/>
  <c r="E2289" i="1"/>
  <c r="F2289" i="1"/>
  <c r="K2289" i="1"/>
  <c r="M2289" i="1"/>
  <c r="N2289" i="1"/>
  <c r="D2290" i="1"/>
  <c r="E2290" i="1"/>
  <c r="F2290" i="1"/>
  <c r="K2290" i="1"/>
  <c r="M2290" i="1"/>
  <c r="N2290" i="1"/>
  <c r="D2291" i="1"/>
  <c r="E2291" i="1"/>
  <c r="F2291" i="1"/>
  <c r="K2291" i="1"/>
  <c r="M2291" i="1"/>
  <c r="N2291" i="1"/>
  <c r="D2292" i="1"/>
  <c r="E2292" i="1"/>
  <c r="F2292" i="1"/>
  <c r="K2292" i="1"/>
  <c r="M2292" i="1"/>
  <c r="N2292" i="1"/>
  <c r="D2293" i="1"/>
  <c r="E2293" i="1"/>
  <c r="F2293" i="1"/>
  <c r="K2293" i="1"/>
  <c r="M2293" i="1"/>
  <c r="N2293" i="1"/>
  <c r="D2294" i="1"/>
  <c r="E2294" i="1"/>
  <c r="F2294" i="1"/>
  <c r="K2294" i="1"/>
  <c r="M2294" i="1"/>
  <c r="N2294" i="1"/>
  <c r="D2295" i="1"/>
  <c r="E2295" i="1"/>
  <c r="F2295" i="1"/>
  <c r="K2295" i="1"/>
  <c r="M2295" i="1"/>
  <c r="N2295" i="1"/>
  <c r="D2296" i="1"/>
  <c r="E2296" i="1"/>
  <c r="F2296" i="1"/>
  <c r="K2296" i="1"/>
  <c r="M2296" i="1"/>
  <c r="N2296" i="1"/>
  <c r="D2297" i="1"/>
  <c r="E2297" i="1"/>
  <c r="F2297" i="1"/>
  <c r="K2297" i="1"/>
  <c r="M2297" i="1"/>
  <c r="N2297" i="1"/>
  <c r="D2298" i="1"/>
  <c r="E2298" i="1"/>
  <c r="F2298" i="1"/>
  <c r="K2298" i="1"/>
  <c r="M2298" i="1"/>
  <c r="N2298" i="1"/>
  <c r="D2299" i="1"/>
  <c r="E2299" i="1"/>
  <c r="F2299" i="1"/>
  <c r="K2299" i="1"/>
  <c r="M2299" i="1"/>
  <c r="N2299" i="1"/>
  <c r="D2300" i="1"/>
  <c r="E2300" i="1"/>
  <c r="F2300" i="1"/>
  <c r="K2300" i="1"/>
  <c r="M2300" i="1"/>
  <c r="N2300" i="1"/>
  <c r="D2301" i="1"/>
  <c r="E2301" i="1"/>
  <c r="F2301" i="1"/>
  <c r="K2301" i="1"/>
  <c r="M2301" i="1"/>
  <c r="N2301" i="1"/>
  <c r="D2302" i="1"/>
  <c r="E2302" i="1"/>
  <c r="F2302" i="1"/>
  <c r="K2302" i="1"/>
  <c r="M2302" i="1"/>
  <c r="N2302" i="1"/>
  <c r="D2303" i="1"/>
  <c r="E2303" i="1"/>
  <c r="F2303" i="1"/>
  <c r="K2303" i="1"/>
  <c r="M2303" i="1"/>
  <c r="N2303" i="1"/>
  <c r="D2304" i="1"/>
  <c r="E2304" i="1"/>
  <c r="F2304" i="1"/>
  <c r="K2304" i="1"/>
  <c r="M2304" i="1"/>
  <c r="N2304" i="1"/>
  <c r="D2305" i="1"/>
  <c r="E2305" i="1"/>
  <c r="F2305" i="1"/>
  <c r="K2305" i="1"/>
  <c r="M2305" i="1"/>
  <c r="N2305" i="1"/>
  <c r="D2306" i="1"/>
  <c r="E2306" i="1"/>
  <c r="F2306" i="1"/>
  <c r="K2306" i="1"/>
  <c r="M2306" i="1"/>
  <c r="N2306" i="1"/>
  <c r="D2307" i="1"/>
  <c r="E2307" i="1"/>
  <c r="F2307" i="1"/>
  <c r="K2307" i="1"/>
  <c r="M2307" i="1"/>
  <c r="N2307" i="1"/>
  <c r="D2308" i="1"/>
  <c r="E2308" i="1"/>
  <c r="F2308" i="1"/>
  <c r="K2308" i="1"/>
  <c r="M2308" i="1"/>
  <c r="N2308" i="1"/>
  <c r="D2309" i="1"/>
  <c r="E2309" i="1"/>
  <c r="F2309" i="1"/>
  <c r="K2309" i="1"/>
  <c r="M2309" i="1"/>
  <c r="N2309" i="1"/>
  <c r="D2310" i="1"/>
  <c r="E2310" i="1"/>
  <c r="F2310" i="1"/>
  <c r="K2310" i="1"/>
  <c r="M2310" i="1"/>
  <c r="N2310" i="1"/>
  <c r="D2311" i="1"/>
  <c r="E2311" i="1"/>
  <c r="F2311" i="1"/>
  <c r="K2311" i="1"/>
  <c r="M2311" i="1"/>
  <c r="N2311" i="1"/>
  <c r="D2312" i="1"/>
  <c r="E2312" i="1"/>
  <c r="F2312" i="1"/>
  <c r="K2312" i="1"/>
  <c r="M2312" i="1"/>
  <c r="N2312" i="1"/>
  <c r="D2313" i="1"/>
  <c r="E2313" i="1"/>
  <c r="F2313" i="1"/>
  <c r="K2313" i="1"/>
  <c r="M2313" i="1"/>
  <c r="N2313" i="1"/>
  <c r="D2314" i="1"/>
  <c r="E2314" i="1"/>
  <c r="F2314" i="1"/>
  <c r="K2314" i="1"/>
  <c r="M2314" i="1"/>
  <c r="N2314" i="1"/>
  <c r="D2315" i="1"/>
  <c r="E2315" i="1"/>
  <c r="F2315" i="1"/>
  <c r="K2315" i="1"/>
  <c r="M2315" i="1"/>
  <c r="N2315" i="1"/>
  <c r="D2316" i="1"/>
  <c r="E2316" i="1"/>
  <c r="F2316" i="1"/>
  <c r="K2316" i="1"/>
  <c r="M2316" i="1"/>
  <c r="N2316" i="1"/>
  <c r="D2317" i="1"/>
  <c r="E2317" i="1"/>
  <c r="F2317" i="1"/>
  <c r="K2317" i="1"/>
  <c r="M2317" i="1"/>
  <c r="N2317" i="1"/>
  <c r="D2479" i="1"/>
  <c r="E2479" i="1"/>
  <c r="F2479" i="1"/>
  <c r="K2479" i="1"/>
  <c r="M2479" i="1"/>
  <c r="N2479" i="1"/>
  <c r="D2480" i="1"/>
  <c r="E2480" i="1"/>
  <c r="F2480" i="1"/>
  <c r="K2480" i="1"/>
  <c r="M2480" i="1"/>
  <c r="N2480" i="1"/>
  <c r="D2481" i="1"/>
  <c r="E2481" i="1"/>
  <c r="F2481" i="1"/>
  <c r="K2481" i="1"/>
  <c r="M2481" i="1"/>
  <c r="N2481" i="1"/>
  <c r="D2482" i="1"/>
  <c r="E2482" i="1"/>
  <c r="F2482" i="1"/>
  <c r="K2482" i="1"/>
  <c r="M2482" i="1"/>
  <c r="N2482" i="1"/>
  <c r="F594" i="1"/>
  <c r="K594" i="1"/>
  <c r="M594" i="1"/>
  <c r="N594" i="1"/>
  <c r="M2267" i="1"/>
  <c r="K2267" i="1"/>
  <c r="B2267" i="1"/>
  <c r="L3782" i="1" l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524" i="1"/>
  <c r="L3533" i="1"/>
  <c r="L3532" i="1"/>
  <c r="L3498" i="1"/>
  <c r="L3496" i="1"/>
  <c r="L3497" i="1"/>
  <c r="L3505" i="1"/>
  <c r="L3506" i="1"/>
  <c r="L3504" i="1"/>
  <c r="L3502" i="1"/>
  <c r="L3503" i="1"/>
  <c r="L3499" i="1"/>
  <c r="L3501" i="1"/>
  <c r="L3510" i="1"/>
  <c r="L3508" i="1"/>
  <c r="L3500" i="1"/>
  <c r="L3511" i="1"/>
  <c r="L3509" i="1"/>
  <c r="L3517" i="1"/>
  <c r="L3515" i="1"/>
  <c r="L3513" i="1"/>
  <c r="L3516" i="1"/>
  <c r="L3507" i="1"/>
  <c r="L3514" i="1"/>
  <c r="L3512" i="1"/>
  <c r="L3520" i="1"/>
  <c r="L3523" i="1"/>
  <c r="L3521" i="1"/>
  <c r="L3519" i="1"/>
  <c r="L3518" i="1"/>
  <c r="L3527" i="1"/>
  <c r="L3525" i="1"/>
  <c r="L3529" i="1"/>
  <c r="L3528" i="1"/>
  <c r="L3526" i="1"/>
  <c r="L3522" i="1"/>
  <c r="L3534" i="1"/>
  <c r="L3530" i="1"/>
  <c r="L3531" i="1"/>
  <c r="L3537" i="1"/>
  <c r="L3535" i="1"/>
  <c r="L3536" i="1"/>
  <c r="L3541" i="1"/>
  <c r="L3539" i="1"/>
  <c r="L3540" i="1"/>
  <c r="L3538" i="1"/>
  <c r="L3542" i="1"/>
  <c r="L3544" i="1"/>
  <c r="L3543" i="1"/>
  <c r="L3545" i="1"/>
  <c r="L3546" i="1"/>
  <c r="L3548" i="1"/>
  <c r="L3547" i="1"/>
  <c r="L3549" i="1"/>
  <c r="L3550" i="1"/>
  <c r="L3551" i="1"/>
  <c r="L3553" i="1"/>
  <c r="L3554" i="1"/>
  <c r="L3556" i="1"/>
  <c r="L3552" i="1"/>
  <c r="L3555" i="1"/>
  <c r="L3643" i="1"/>
  <c r="L3645" i="1"/>
  <c r="L3649" i="1"/>
  <c r="L3647" i="1"/>
  <c r="L3646" i="1"/>
  <c r="L3644" i="1"/>
  <c r="L3650" i="1"/>
  <c r="L3648" i="1"/>
  <c r="L3651" i="1"/>
  <c r="L3450" i="1"/>
  <c r="L3436" i="1"/>
  <c r="L3434" i="1"/>
  <c r="L3448" i="1"/>
  <c r="L3442" i="1"/>
  <c r="L3439" i="1"/>
  <c r="L3447" i="1"/>
  <c r="L3445" i="1"/>
  <c r="L3443" i="1"/>
  <c r="L3441" i="1"/>
  <c r="L3435" i="1"/>
  <c r="L3449" i="1"/>
  <c r="L3451" i="1"/>
  <c r="L3463" i="1"/>
  <c r="L3461" i="1"/>
  <c r="L3459" i="1"/>
  <c r="L3455" i="1"/>
  <c r="L3444" i="1"/>
  <c r="L3437" i="1"/>
  <c r="L3432" i="1"/>
  <c r="L3446" i="1"/>
  <c r="L3453" i="1"/>
  <c r="L3440" i="1"/>
  <c r="L3433" i="1"/>
  <c r="L3438" i="1"/>
  <c r="L3431" i="1"/>
  <c r="L3462" i="1"/>
  <c r="L3458" i="1"/>
  <c r="L3456" i="1"/>
  <c r="L3454" i="1"/>
  <c r="L3460" i="1"/>
  <c r="L3466" i="1"/>
  <c r="L3471" i="1"/>
  <c r="L3469" i="1"/>
  <c r="L3467" i="1"/>
  <c r="L3452" i="1"/>
  <c r="L3457" i="1"/>
  <c r="L3470" i="1"/>
  <c r="L3468" i="1"/>
  <c r="L3464" i="1"/>
  <c r="L3465" i="1"/>
  <c r="L3478" i="1"/>
  <c r="L3476" i="1"/>
  <c r="L3474" i="1"/>
  <c r="L3473" i="1"/>
  <c r="L3481" i="1"/>
  <c r="L3479" i="1"/>
  <c r="L3477" i="1"/>
  <c r="L3480" i="1"/>
  <c r="L3483" i="1"/>
  <c r="L3484" i="1"/>
  <c r="L3489" i="1"/>
  <c r="L3487" i="1"/>
  <c r="L3485" i="1"/>
  <c r="L3472" i="1"/>
  <c r="L3488" i="1"/>
  <c r="L3486" i="1"/>
  <c r="L3482" i="1"/>
  <c r="L3475" i="1"/>
  <c r="L3655" i="1"/>
  <c r="L3495" i="1"/>
  <c r="L3491" i="1"/>
  <c r="L3654" i="1"/>
  <c r="L3652" i="1"/>
  <c r="L3494" i="1"/>
  <c r="L3490" i="1"/>
  <c r="L3493" i="1"/>
  <c r="L3656" i="1"/>
  <c r="L3658" i="1"/>
  <c r="L3659" i="1"/>
  <c r="L3492" i="1"/>
  <c r="L3653" i="1"/>
  <c r="L3660" i="1"/>
  <c r="L3669" i="1"/>
  <c r="L3665" i="1"/>
  <c r="L3663" i="1"/>
  <c r="L3657" i="1"/>
  <c r="L3664" i="1"/>
  <c r="L3668" i="1"/>
  <c r="L3661" i="1"/>
  <c r="L3666" i="1"/>
  <c r="L3675" i="1"/>
  <c r="L3673" i="1"/>
  <c r="L3662" i="1"/>
  <c r="L3667" i="1"/>
  <c r="L3670" i="1"/>
  <c r="L3676" i="1"/>
  <c r="L3672" i="1"/>
  <c r="L3678" i="1"/>
  <c r="L3671" i="1"/>
  <c r="L3674" i="1"/>
  <c r="L3679" i="1"/>
  <c r="L3677" i="1"/>
  <c r="L3680" i="1"/>
  <c r="L3363" i="1"/>
  <c r="L3364" i="1"/>
  <c r="L3324" i="1"/>
  <c r="L3325" i="1"/>
  <c r="L3327" i="1"/>
  <c r="L3326" i="1"/>
  <c r="L3323" i="1"/>
  <c r="L3328" i="1"/>
  <c r="L3330" i="1"/>
  <c r="L3331" i="1"/>
  <c r="L3329" i="1"/>
  <c r="L3332" i="1"/>
  <c r="L3335" i="1"/>
  <c r="L3333" i="1"/>
  <c r="L3334" i="1"/>
  <c r="L3338" i="1"/>
  <c r="L3336" i="1"/>
  <c r="L3337" i="1"/>
  <c r="L3339" i="1"/>
  <c r="L3341" i="1"/>
  <c r="L3340" i="1"/>
  <c r="L3343" i="1"/>
  <c r="L3344" i="1"/>
  <c r="L3342" i="1"/>
  <c r="L3346" i="1"/>
  <c r="L3345" i="1"/>
  <c r="L3350" i="1"/>
  <c r="L3347" i="1"/>
  <c r="L3348" i="1"/>
  <c r="L3353" i="1"/>
  <c r="L3351" i="1"/>
  <c r="L3349" i="1"/>
  <c r="L3352" i="1"/>
  <c r="L3354" i="1"/>
  <c r="L3356" i="1"/>
  <c r="L3355" i="1"/>
  <c r="L3358" i="1"/>
  <c r="L3359" i="1"/>
  <c r="L3357" i="1"/>
  <c r="L3365" i="1"/>
  <c r="L3360" i="1"/>
  <c r="L3362" i="1"/>
  <c r="L3361" i="1"/>
  <c r="L3368" i="1"/>
  <c r="L3366" i="1"/>
  <c r="L3367" i="1"/>
  <c r="L3369" i="1"/>
  <c r="L3370" i="1"/>
  <c r="L3371" i="1"/>
  <c r="L3375" i="1"/>
  <c r="L3374" i="1"/>
  <c r="L3372" i="1"/>
  <c r="L3373" i="1"/>
  <c r="L3378" i="1"/>
  <c r="L3376" i="1"/>
  <c r="L3377" i="1"/>
  <c r="L3380" i="1"/>
  <c r="L3379" i="1"/>
  <c r="L3382" i="1"/>
  <c r="L3381" i="1"/>
  <c r="L3384" i="1"/>
  <c r="L3383" i="1"/>
  <c r="L3386" i="1"/>
  <c r="L3387" i="1"/>
  <c r="L3385" i="1"/>
  <c r="L3388" i="1"/>
  <c r="L3389" i="1"/>
  <c r="L3390" i="1"/>
  <c r="L3392" i="1"/>
  <c r="L3391" i="1"/>
  <c r="L3393" i="1"/>
  <c r="L3394" i="1"/>
  <c r="L3395" i="1"/>
  <c r="L3397" i="1"/>
  <c r="L3396" i="1"/>
  <c r="L3403" i="1"/>
  <c r="L3401" i="1"/>
  <c r="L3399" i="1"/>
  <c r="L3400" i="1"/>
  <c r="L3398" i="1"/>
  <c r="L3402" i="1"/>
  <c r="L3406" i="1"/>
  <c r="L3404" i="1"/>
  <c r="L3405" i="1"/>
  <c r="L3410" i="1"/>
  <c r="L3408" i="1"/>
  <c r="L3407" i="1"/>
  <c r="L3409" i="1"/>
  <c r="L3415" i="1"/>
  <c r="L3413" i="1"/>
  <c r="L3412" i="1"/>
  <c r="L3414" i="1"/>
  <c r="L3416" i="1"/>
  <c r="L3411" i="1"/>
  <c r="L3419" i="1"/>
  <c r="L3417" i="1"/>
  <c r="L3418" i="1"/>
  <c r="L3421" i="1"/>
  <c r="L3422" i="1"/>
  <c r="L3420" i="1"/>
  <c r="L3424" i="1"/>
  <c r="L3425" i="1"/>
  <c r="L3423" i="1"/>
  <c r="L3427" i="1"/>
  <c r="L3428" i="1"/>
  <c r="L3426" i="1"/>
  <c r="L3430" i="1"/>
  <c r="L3429" i="1"/>
  <c r="L3781" i="1"/>
  <c r="L3827" i="1"/>
  <c r="L3317" i="1"/>
  <c r="L3322" i="1"/>
  <c r="L3828" i="1"/>
  <c r="L3321" i="1"/>
  <c r="L3320" i="1"/>
  <c r="L3319" i="1"/>
  <c r="L3318" i="1"/>
  <c r="L3316" i="1"/>
  <c r="L3313" i="1"/>
  <c r="L3312" i="1"/>
  <c r="L3311" i="1"/>
  <c r="L3309" i="1"/>
  <c r="L3310" i="1"/>
  <c r="L3315" i="1"/>
  <c r="L3308" i="1"/>
  <c r="L3314" i="1"/>
  <c r="L3286" i="1"/>
  <c r="L3274" i="1"/>
  <c r="L3232" i="1"/>
  <c r="L3301" i="1"/>
  <c r="L3287" i="1"/>
  <c r="L3273" i="1"/>
  <c r="L3259" i="1"/>
  <c r="L3245" i="1"/>
  <c r="L3302" i="1"/>
  <c r="L3288" i="1"/>
  <c r="L3246" i="1"/>
  <c r="L3300" i="1"/>
  <c r="L3244" i="1"/>
  <c r="L3236" i="1"/>
  <c r="L3271" i="1"/>
  <c r="L3295" i="1"/>
  <c r="L3281" i="1"/>
  <c r="L3267" i="1"/>
  <c r="L3253" i="1"/>
  <c r="L3239" i="1"/>
  <c r="L3260" i="1"/>
  <c r="L3266" i="1"/>
  <c r="L3238" i="1"/>
  <c r="L3272" i="1"/>
  <c r="L3233" i="1"/>
  <c r="L3280" i="1"/>
  <c r="L3252" i="1"/>
  <c r="L3258" i="1"/>
  <c r="L3294" i="1"/>
  <c r="L3305" i="1"/>
  <c r="L3291" i="1"/>
  <c r="L3277" i="1"/>
  <c r="L3263" i="1"/>
  <c r="L3249" i="1"/>
  <c r="L3235" i="1"/>
  <c r="L3304" i="1"/>
  <c r="L3290" i="1"/>
  <c r="L3276" i="1"/>
  <c r="L3262" i="1"/>
  <c r="L3248" i="1"/>
  <c r="L3234" i="1"/>
  <c r="L3257" i="1"/>
  <c r="L3243" i="1"/>
  <c r="L3298" i="1"/>
  <c r="L3284" i="1"/>
  <c r="L3270" i="1"/>
  <c r="L3256" i="1"/>
  <c r="L3242" i="1"/>
  <c r="L3297" i="1"/>
  <c r="L3283" i="1"/>
  <c r="L3269" i="1"/>
  <c r="L3255" i="1"/>
  <c r="L3241" i="1"/>
  <c r="L3299" i="1"/>
  <c r="L3285" i="1"/>
  <c r="L3296" i="1"/>
  <c r="L3282" i="1"/>
  <c r="L3268" i="1"/>
  <c r="L3254" i="1"/>
  <c r="L3240" i="1"/>
  <c r="L3307" i="1"/>
  <c r="L3293" i="1"/>
  <c r="L3279" i="1"/>
  <c r="L3265" i="1"/>
  <c r="L3251" i="1"/>
  <c r="L3237" i="1"/>
  <c r="L3306" i="1"/>
  <c r="L3292" i="1"/>
  <c r="L3278" i="1"/>
  <c r="L3264" i="1"/>
  <c r="L3250" i="1"/>
  <c r="L3303" i="1"/>
  <c r="L3289" i="1"/>
  <c r="L3275" i="1"/>
  <c r="L3261" i="1"/>
  <c r="L3247" i="1"/>
  <c r="L3155" i="1"/>
  <c r="L3193" i="1"/>
  <c r="L3165" i="1"/>
  <c r="L3207" i="1"/>
  <c r="L3221" i="1"/>
  <c r="L3230" i="1"/>
  <c r="L3216" i="1"/>
  <c r="L3202" i="1"/>
  <c r="L3146" i="1"/>
  <c r="L3152" i="1"/>
  <c r="L3157" i="1"/>
  <c r="L3210" i="1"/>
  <c r="L3182" i="1"/>
  <c r="L3195" i="1"/>
  <c r="L3181" i="1"/>
  <c r="L3167" i="1"/>
  <c r="L3188" i="1"/>
  <c r="L3174" i="1"/>
  <c r="L3160" i="1"/>
  <c r="L3159" i="1"/>
  <c r="L3224" i="1"/>
  <c r="L3196" i="1"/>
  <c r="L3168" i="1"/>
  <c r="L3154" i="1"/>
  <c r="L3223" i="1"/>
  <c r="L3209" i="1"/>
  <c r="L3153" i="1"/>
  <c r="L3156" i="1"/>
  <c r="L3179" i="1"/>
  <c r="L3151" i="1"/>
  <c r="L3220" i="1"/>
  <c r="L3150" i="1"/>
  <c r="L3205" i="1"/>
  <c r="L3191" i="1"/>
  <c r="L3177" i="1"/>
  <c r="L3163" i="1"/>
  <c r="L3218" i="1"/>
  <c r="L3204" i="1"/>
  <c r="L3190" i="1"/>
  <c r="L3176" i="1"/>
  <c r="L3162" i="1"/>
  <c r="L3148" i="1"/>
  <c r="L3206" i="1"/>
  <c r="L3192" i="1"/>
  <c r="L3178" i="1"/>
  <c r="L3164" i="1"/>
  <c r="L3219" i="1"/>
  <c r="L3149" i="1"/>
  <c r="L3231" i="1"/>
  <c r="L3217" i="1"/>
  <c r="L3203" i="1"/>
  <c r="L3189" i="1"/>
  <c r="L3175" i="1"/>
  <c r="L3161" i="1"/>
  <c r="L3147" i="1"/>
  <c r="L3173" i="1"/>
  <c r="L3172" i="1"/>
  <c r="L3143" i="1"/>
  <c r="L3226" i="1"/>
  <c r="L3184" i="1"/>
  <c r="L3225" i="1"/>
  <c r="L3211" i="1"/>
  <c r="L3197" i="1"/>
  <c r="L3183" i="1"/>
  <c r="L3169" i="1"/>
  <c r="L3145" i="1"/>
  <c r="L3214" i="1"/>
  <c r="L3186" i="1"/>
  <c r="L3144" i="1"/>
  <c r="L3199" i="1"/>
  <c r="L3171" i="1"/>
  <c r="L3170" i="1"/>
  <c r="L3222" i="1"/>
  <c r="L3208" i="1"/>
  <c r="L3194" i="1"/>
  <c r="L3180" i="1"/>
  <c r="L3166" i="1"/>
  <c r="L3201" i="1"/>
  <c r="L3198" i="1"/>
  <c r="L3215" i="1"/>
  <c r="L3212" i="1"/>
  <c r="L3229" i="1"/>
  <c r="L3187" i="1"/>
  <c r="L3228" i="1"/>
  <c r="L3200" i="1"/>
  <c r="L3158" i="1"/>
  <c r="L3227" i="1"/>
  <c r="L3213" i="1"/>
  <c r="L3185" i="1"/>
  <c r="L2991" i="1"/>
  <c r="L2990" i="1"/>
  <c r="L2992" i="1"/>
  <c r="L2993" i="1"/>
  <c r="L2994" i="1"/>
  <c r="L2995" i="1"/>
  <c r="L2997" i="1"/>
  <c r="L2996" i="1"/>
  <c r="L2998" i="1"/>
  <c r="L2999" i="1"/>
  <c r="L3000" i="1"/>
  <c r="L3001" i="1"/>
  <c r="L3002" i="1"/>
  <c r="L3003" i="1"/>
  <c r="L3005" i="1"/>
  <c r="L3004" i="1"/>
  <c r="L3006" i="1"/>
  <c r="L3007" i="1"/>
  <c r="L3008" i="1"/>
  <c r="L3009" i="1"/>
  <c r="L3010" i="1"/>
  <c r="L3011" i="1"/>
  <c r="L3013" i="1"/>
  <c r="L3012" i="1"/>
  <c r="L3014" i="1"/>
  <c r="L3015" i="1"/>
  <c r="L3017" i="1"/>
  <c r="L3019" i="1"/>
  <c r="L3018" i="1"/>
  <c r="L3016" i="1"/>
  <c r="L3020" i="1"/>
  <c r="L3021" i="1"/>
  <c r="L3022" i="1"/>
  <c r="L3023" i="1"/>
  <c r="L3024" i="1"/>
  <c r="L3025" i="1"/>
  <c r="L3027" i="1"/>
  <c r="L3028" i="1"/>
  <c r="L3026" i="1"/>
  <c r="L3029" i="1"/>
  <c r="L3032" i="1"/>
  <c r="L3030" i="1"/>
  <c r="L3031" i="1"/>
  <c r="L3033" i="1"/>
  <c r="L3034" i="1"/>
  <c r="L3035" i="1"/>
  <c r="L3037" i="1"/>
  <c r="L3036" i="1"/>
  <c r="L3039" i="1"/>
  <c r="L3040" i="1"/>
  <c r="L3038" i="1"/>
  <c r="L3041" i="1"/>
  <c r="L3042" i="1"/>
  <c r="L3043" i="1"/>
  <c r="L3044" i="1"/>
  <c r="L3045" i="1"/>
  <c r="L3047" i="1"/>
  <c r="L3046" i="1"/>
  <c r="L3048" i="1"/>
  <c r="L3049" i="1"/>
  <c r="L3051" i="1"/>
  <c r="L3052" i="1"/>
  <c r="L3050" i="1"/>
  <c r="L3054" i="1"/>
  <c r="L3053" i="1"/>
  <c r="L3056" i="1"/>
  <c r="L3055" i="1"/>
  <c r="L3057" i="1"/>
  <c r="L3059" i="1"/>
  <c r="L3058" i="1"/>
  <c r="L3060" i="1"/>
  <c r="L3061" i="1"/>
  <c r="L3062" i="1"/>
  <c r="L3064" i="1"/>
  <c r="L3063" i="1"/>
  <c r="L3065" i="1"/>
  <c r="L3066" i="1"/>
  <c r="L3067" i="1"/>
  <c r="L3068" i="1"/>
  <c r="L3069" i="1"/>
  <c r="L3072" i="1"/>
  <c r="L3070" i="1"/>
  <c r="L3071" i="1"/>
  <c r="L3073" i="1"/>
  <c r="L3075" i="1"/>
  <c r="L3074" i="1"/>
  <c r="L3077" i="1"/>
  <c r="L3076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1" i="1"/>
  <c r="L3093" i="1"/>
  <c r="L3090" i="1"/>
  <c r="L3094" i="1"/>
  <c r="L3092" i="1"/>
  <c r="L3095" i="1"/>
  <c r="L3097" i="1"/>
  <c r="L3098" i="1"/>
  <c r="L3096" i="1"/>
  <c r="L3099" i="1"/>
  <c r="L3101" i="1"/>
  <c r="L3100" i="1"/>
  <c r="L3103" i="1"/>
  <c r="L3105" i="1"/>
  <c r="L3102" i="1"/>
  <c r="L3107" i="1"/>
  <c r="L3106" i="1"/>
  <c r="L3104" i="1"/>
  <c r="L3109" i="1"/>
  <c r="L3108" i="1"/>
  <c r="L3110" i="1"/>
  <c r="L3111" i="1"/>
  <c r="L3112" i="1"/>
  <c r="L3115" i="1"/>
  <c r="L3114" i="1"/>
  <c r="L3113" i="1"/>
  <c r="L3116" i="1"/>
  <c r="L3117" i="1"/>
  <c r="L3118" i="1"/>
  <c r="L3119" i="1"/>
  <c r="L3120" i="1"/>
  <c r="L3121" i="1"/>
  <c r="L3122" i="1"/>
  <c r="L3123" i="1"/>
  <c r="L3124" i="1"/>
  <c r="L2917" i="1"/>
  <c r="L2918" i="1"/>
  <c r="L2916" i="1"/>
  <c r="L2946" i="1"/>
  <c r="L2947" i="1"/>
  <c r="L2941" i="1"/>
  <c r="L2940" i="1"/>
  <c r="L1563" i="1"/>
  <c r="L1564" i="1"/>
  <c r="L407" i="1"/>
  <c r="L353" i="1"/>
  <c r="L354" i="1"/>
  <c r="L1114" i="1"/>
  <c r="L1065" i="1"/>
  <c r="L1066" i="1"/>
  <c r="L1402" i="1"/>
  <c r="L1401" i="1"/>
  <c r="L1385" i="1"/>
  <c r="L1345" i="1"/>
  <c r="L1346" i="1"/>
  <c r="L294" i="1"/>
  <c r="L295" i="1"/>
  <c r="L1001" i="1"/>
  <c r="L1002" i="1"/>
  <c r="L941" i="1"/>
  <c r="L937" i="1"/>
  <c r="L936" i="1"/>
  <c r="L935" i="1"/>
  <c r="L884" i="1"/>
  <c r="L729" i="1"/>
  <c r="L719" i="1"/>
  <c r="L720" i="1"/>
  <c r="L1742" i="1"/>
  <c r="L1721" i="1"/>
  <c r="L2908" i="1"/>
  <c r="L2912" i="1"/>
  <c r="L2913" i="1"/>
  <c r="L2897" i="1"/>
  <c r="L2898" i="1"/>
  <c r="L2899" i="1"/>
  <c r="L2900" i="1"/>
  <c r="L2842" i="1"/>
  <c r="L2843" i="1"/>
  <c r="L2844" i="1"/>
  <c r="L2845" i="1"/>
  <c r="L2595" i="1"/>
  <c r="L2596" i="1"/>
  <c r="L2597" i="1"/>
  <c r="L2598" i="1"/>
  <c r="L2885" i="1"/>
  <c r="L2886" i="1"/>
  <c r="L2887" i="1"/>
  <c r="L2872" i="1"/>
  <c r="L2873" i="1"/>
  <c r="L2874" i="1"/>
  <c r="L2875" i="1"/>
  <c r="L2876" i="1"/>
  <c r="L2877" i="1"/>
  <c r="L2806" i="1"/>
  <c r="L2807" i="1"/>
  <c r="L2808" i="1"/>
  <c r="L2809" i="1"/>
  <c r="L2811" i="1"/>
  <c r="L2810" i="1"/>
  <c r="L2796" i="1"/>
  <c r="L2795" i="1"/>
  <c r="L2797" i="1"/>
  <c r="L2798" i="1"/>
  <c r="L2800" i="1"/>
  <c r="L2799" i="1"/>
  <c r="L2836" i="1"/>
  <c r="L2837" i="1"/>
  <c r="L2835" i="1"/>
  <c r="L2838" i="1"/>
  <c r="L2839" i="1"/>
  <c r="L2840" i="1"/>
  <c r="L2841" i="1"/>
  <c r="L2846" i="1"/>
  <c r="L2848" i="1"/>
  <c r="L2849" i="1"/>
  <c r="L2847" i="1"/>
  <c r="L2850" i="1"/>
  <c r="L2852" i="1"/>
  <c r="L2851" i="1"/>
  <c r="L2853" i="1"/>
  <c r="L2854" i="1"/>
  <c r="L2856" i="1"/>
  <c r="L2857" i="1"/>
  <c r="L2855" i="1"/>
  <c r="L2858" i="1"/>
  <c r="L2861" i="1"/>
  <c r="L2859" i="1"/>
  <c r="L2860" i="1"/>
  <c r="L2862" i="1"/>
  <c r="L2863" i="1"/>
  <c r="L2864" i="1"/>
  <c r="L2865" i="1"/>
  <c r="L2866" i="1"/>
  <c r="L2868" i="1"/>
  <c r="L2867" i="1"/>
  <c r="L2870" i="1"/>
  <c r="L2869" i="1"/>
  <c r="L2871" i="1"/>
  <c r="L2878" i="1"/>
  <c r="L2879" i="1"/>
  <c r="L2881" i="1"/>
  <c r="L2882" i="1"/>
  <c r="L2880" i="1"/>
  <c r="L2884" i="1"/>
  <c r="L2888" i="1"/>
  <c r="L2883" i="1"/>
  <c r="L2889" i="1"/>
  <c r="L2890" i="1"/>
  <c r="L2891" i="1"/>
  <c r="L2892" i="1"/>
  <c r="L2893" i="1"/>
  <c r="L2894" i="1"/>
  <c r="L2895" i="1"/>
  <c r="L2901" i="1"/>
  <c r="L2902" i="1"/>
  <c r="L2896" i="1"/>
  <c r="L2903" i="1"/>
  <c r="L2904" i="1"/>
  <c r="L2905" i="1"/>
  <c r="L2906" i="1"/>
  <c r="L2907" i="1"/>
  <c r="L2910" i="1"/>
  <c r="L2909" i="1"/>
  <c r="L2914" i="1"/>
  <c r="L2911" i="1"/>
  <c r="L2915" i="1"/>
  <c r="L2919" i="1"/>
  <c r="L2920" i="1"/>
  <c r="L2921" i="1"/>
  <c r="L2922" i="1"/>
  <c r="L2923" i="1"/>
  <c r="L2924" i="1"/>
  <c r="L2925" i="1"/>
  <c r="L2926" i="1"/>
  <c r="L2928" i="1"/>
  <c r="L2927" i="1"/>
  <c r="L2930" i="1"/>
  <c r="L2929" i="1"/>
  <c r="L2931" i="1"/>
  <c r="L2932" i="1"/>
  <c r="L2933" i="1"/>
  <c r="L2934" i="1"/>
  <c r="L2936" i="1"/>
  <c r="L2935" i="1"/>
  <c r="L2937" i="1"/>
  <c r="L2939" i="1"/>
  <c r="L2942" i="1"/>
  <c r="L2938" i="1"/>
  <c r="L2943" i="1"/>
  <c r="L2944" i="1"/>
  <c r="L2945" i="1"/>
  <c r="L2949" i="1"/>
  <c r="L2950" i="1"/>
  <c r="L2948" i="1"/>
  <c r="L2951" i="1"/>
  <c r="L2952" i="1"/>
  <c r="L2953" i="1"/>
  <c r="L2955" i="1"/>
  <c r="L2954" i="1"/>
  <c r="L2957" i="1"/>
  <c r="L2956" i="1"/>
  <c r="L2959" i="1"/>
  <c r="L2961" i="1"/>
  <c r="L2960" i="1"/>
  <c r="L2958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1" i="1"/>
  <c r="L2983" i="1"/>
  <c r="L2982" i="1"/>
  <c r="L2984" i="1"/>
  <c r="L2980" i="1"/>
  <c r="L2985" i="1"/>
  <c r="L2986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803" i="1"/>
  <c r="L2801" i="1"/>
  <c r="L2802" i="1"/>
  <c r="L2804" i="1"/>
  <c r="L2812" i="1"/>
  <c r="L2805" i="1"/>
  <c r="L2814" i="1"/>
  <c r="L2813" i="1"/>
  <c r="L2815" i="1"/>
  <c r="L2816" i="1"/>
  <c r="L2817" i="1"/>
  <c r="L2818" i="1"/>
  <c r="L2820" i="1"/>
  <c r="L2819" i="1"/>
  <c r="L2821" i="1"/>
  <c r="L2822" i="1"/>
  <c r="L2823" i="1"/>
  <c r="L2824" i="1"/>
  <c r="L2826" i="1"/>
  <c r="L2825" i="1"/>
  <c r="L2827" i="1"/>
  <c r="L2828" i="1"/>
  <c r="L2829" i="1"/>
  <c r="L2830" i="1"/>
  <c r="L2831" i="1"/>
  <c r="L2832" i="1"/>
  <c r="L2833" i="1"/>
  <c r="L2834" i="1"/>
  <c r="L2987" i="1"/>
  <c r="L2988" i="1"/>
  <c r="L2989" i="1"/>
  <c r="L3125" i="1"/>
  <c r="L3127" i="1"/>
  <c r="L3126" i="1"/>
  <c r="L3128" i="1"/>
  <c r="L3129" i="1"/>
  <c r="L3130" i="1"/>
  <c r="L3131" i="1"/>
  <c r="L3133" i="1"/>
  <c r="L3132" i="1"/>
  <c r="L3134" i="1"/>
  <c r="L3135" i="1"/>
  <c r="L3136" i="1"/>
  <c r="L3137" i="1"/>
  <c r="L3138" i="1"/>
  <c r="L3140" i="1"/>
  <c r="L3139" i="1"/>
  <c r="L2782" i="1"/>
  <c r="L3141" i="1"/>
  <c r="L2748" i="1"/>
  <c r="L2749" i="1"/>
  <c r="L2750" i="1"/>
  <c r="L2651" i="1"/>
  <c r="L2652" i="1"/>
  <c r="L2650" i="1"/>
  <c r="L2654" i="1"/>
  <c r="L2655" i="1"/>
  <c r="L2653" i="1"/>
  <c r="L2657" i="1"/>
  <c r="L2659" i="1"/>
  <c r="L2658" i="1"/>
  <c r="L2656" i="1"/>
  <c r="L2661" i="1"/>
  <c r="L2662" i="1"/>
  <c r="L2663" i="1"/>
  <c r="L2660" i="1"/>
  <c r="L2664" i="1"/>
  <c r="L2665" i="1"/>
  <c r="L2667" i="1"/>
  <c r="L2666" i="1"/>
  <c r="L2668" i="1"/>
  <c r="L2669" i="1"/>
  <c r="L2670" i="1"/>
  <c r="L2672" i="1"/>
  <c r="L2673" i="1"/>
  <c r="L2671" i="1"/>
  <c r="L2677" i="1"/>
  <c r="L2675" i="1"/>
  <c r="L2674" i="1"/>
  <c r="L2676" i="1"/>
  <c r="L2678" i="1"/>
  <c r="L2679" i="1"/>
  <c r="L2680" i="1"/>
  <c r="L2681" i="1"/>
  <c r="L2683" i="1"/>
  <c r="L2682" i="1"/>
  <c r="L2685" i="1"/>
  <c r="L2684" i="1"/>
  <c r="L2686" i="1"/>
  <c r="L2687" i="1"/>
  <c r="L2688" i="1"/>
  <c r="L2689" i="1"/>
  <c r="L2690" i="1"/>
  <c r="L2692" i="1"/>
  <c r="L2691" i="1"/>
  <c r="L2693" i="1"/>
  <c r="L2694" i="1"/>
  <c r="L2695" i="1"/>
  <c r="L2696" i="1"/>
  <c r="L2698" i="1"/>
  <c r="L2697" i="1"/>
  <c r="L2701" i="1"/>
  <c r="L2699" i="1"/>
  <c r="L2700" i="1"/>
  <c r="L2702" i="1"/>
  <c r="L2703" i="1"/>
  <c r="L2706" i="1"/>
  <c r="L2704" i="1"/>
  <c r="L2705" i="1"/>
  <c r="L2707" i="1"/>
  <c r="L2708" i="1"/>
  <c r="L2709" i="1"/>
  <c r="L2710" i="1"/>
  <c r="L2711" i="1"/>
  <c r="L2712" i="1"/>
  <c r="L2713" i="1"/>
  <c r="L2714" i="1"/>
  <c r="L2715" i="1"/>
  <c r="L2716" i="1"/>
  <c r="L2720" i="1"/>
  <c r="L2721" i="1"/>
  <c r="L2717" i="1"/>
  <c r="L2719" i="1"/>
  <c r="L2718" i="1"/>
  <c r="L2722" i="1"/>
  <c r="L2723" i="1"/>
  <c r="L2724" i="1"/>
  <c r="L2725" i="1"/>
  <c r="L2726" i="1"/>
  <c r="L2727" i="1"/>
  <c r="L2728" i="1"/>
  <c r="L2731" i="1"/>
  <c r="L2729" i="1"/>
  <c r="L2732" i="1"/>
  <c r="L2730" i="1"/>
  <c r="L2733" i="1"/>
  <c r="L2734" i="1"/>
  <c r="L2736" i="1"/>
  <c r="L2737" i="1"/>
  <c r="L2735" i="1"/>
  <c r="L2738" i="1"/>
  <c r="L2739" i="1"/>
  <c r="L2740" i="1"/>
  <c r="L2742" i="1"/>
  <c r="L2743" i="1"/>
  <c r="L2744" i="1"/>
  <c r="L2741" i="1"/>
  <c r="L2745" i="1"/>
  <c r="L2746" i="1"/>
  <c r="L2751" i="1"/>
  <c r="L2747" i="1"/>
  <c r="L2752" i="1"/>
  <c r="L2755" i="1"/>
  <c r="L2753" i="1"/>
  <c r="L2756" i="1"/>
  <c r="L2754" i="1"/>
  <c r="L2759" i="1"/>
  <c r="L2757" i="1"/>
  <c r="L2758" i="1"/>
  <c r="L2760" i="1"/>
  <c r="L2761" i="1"/>
  <c r="L2763" i="1"/>
  <c r="L2762" i="1"/>
  <c r="L2764" i="1"/>
  <c r="L2765" i="1"/>
  <c r="L2766" i="1"/>
  <c r="L2767" i="1"/>
  <c r="L2768" i="1"/>
  <c r="L2769" i="1"/>
  <c r="L2772" i="1"/>
  <c r="L2771" i="1"/>
  <c r="L2773" i="1"/>
  <c r="L2774" i="1"/>
  <c r="L2770" i="1"/>
  <c r="L2777" i="1"/>
  <c r="L2775" i="1"/>
  <c r="L2778" i="1"/>
  <c r="L2776" i="1"/>
  <c r="L2779" i="1"/>
  <c r="L2780" i="1"/>
  <c r="L2502" i="1"/>
  <c r="L2504" i="1"/>
  <c r="L2503" i="1"/>
  <c r="L2506" i="1"/>
  <c r="L2507" i="1"/>
  <c r="L2505" i="1"/>
  <c r="L2509" i="1"/>
  <c r="L2508" i="1"/>
  <c r="L2510" i="1"/>
  <c r="L2512" i="1"/>
  <c r="L2511" i="1"/>
  <c r="L2514" i="1"/>
  <c r="L2513" i="1"/>
  <c r="L2515" i="1"/>
  <c r="L2516" i="1"/>
  <c r="L2517" i="1"/>
  <c r="L2518" i="1"/>
  <c r="L2519" i="1"/>
  <c r="L2520" i="1"/>
  <c r="L2523" i="1"/>
  <c r="L2521" i="1"/>
  <c r="L2522" i="1"/>
  <c r="L2524" i="1"/>
  <c r="L2525" i="1"/>
  <c r="L2526" i="1"/>
  <c r="L2528" i="1"/>
  <c r="L2527" i="1"/>
  <c r="L2529" i="1"/>
  <c r="L2530" i="1"/>
  <c r="L2531" i="1"/>
  <c r="L2532" i="1"/>
  <c r="L2534" i="1"/>
  <c r="L2535" i="1"/>
  <c r="L2533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9" i="1"/>
  <c r="L2557" i="1"/>
  <c r="L2558" i="1"/>
  <c r="L2561" i="1"/>
  <c r="L2560" i="1"/>
  <c r="L2562" i="1"/>
  <c r="L2564" i="1"/>
  <c r="L2565" i="1"/>
  <c r="L2563" i="1"/>
  <c r="L2566" i="1"/>
  <c r="L2569" i="1"/>
  <c r="L2570" i="1"/>
  <c r="L2568" i="1"/>
  <c r="L2571" i="1"/>
  <c r="L2567" i="1"/>
  <c r="L2572" i="1"/>
  <c r="L2574" i="1"/>
  <c r="L2573" i="1"/>
  <c r="L2575" i="1"/>
  <c r="L2576" i="1"/>
  <c r="L2577" i="1"/>
  <c r="L2579" i="1"/>
  <c r="L2578" i="1"/>
  <c r="L2580" i="1"/>
  <c r="L2583" i="1"/>
  <c r="L2581" i="1"/>
  <c r="L2582" i="1"/>
  <c r="L2584" i="1"/>
  <c r="L2585" i="1"/>
  <c r="L2586" i="1"/>
  <c r="L2587" i="1"/>
  <c r="L2589" i="1"/>
  <c r="L2588" i="1"/>
  <c r="L2590" i="1"/>
  <c r="L2591" i="1"/>
  <c r="L2592" i="1"/>
  <c r="L2594" i="1"/>
  <c r="L2593" i="1"/>
  <c r="L2600" i="1"/>
  <c r="L2599" i="1"/>
  <c r="L2602" i="1"/>
  <c r="L2604" i="1"/>
  <c r="L2605" i="1"/>
  <c r="L2603" i="1"/>
  <c r="L2601" i="1"/>
  <c r="L2606" i="1"/>
  <c r="L2607" i="1"/>
  <c r="L2608" i="1"/>
  <c r="L2610" i="1"/>
  <c r="L2609" i="1"/>
  <c r="L2611" i="1"/>
  <c r="L2612" i="1"/>
  <c r="L2615" i="1"/>
  <c r="L2613" i="1"/>
  <c r="L2614" i="1"/>
  <c r="L2616" i="1"/>
  <c r="L2617" i="1"/>
  <c r="L2618" i="1"/>
  <c r="L2621" i="1"/>
  <c r="L2619" i="1"/>
  <c r="L2620" i="1"/>
  <c r="L2623" i="1"/>
  <c r="L2622" i="1"/>
  <c r="L2624" i="1"/>
  <c r="L2626" i="1"/>
  <c r="L2628" i="1"/>
  <c r="L2625" i="1"/>
  <c r="L2629" i="1"/>
  <c r="L2630" i="1"/>
  <c r="L2627" i="1"/>
  <c r="L2632" i="1"/>
  <c r="L2631" i="1"/>
  <c r="L2634" i="1"/>
  <c r="L2633" i="1"/>
  <c r="L2635" i="1"/>
  <c r="L2636" i="1"/>
  <c r="L2638" i="1"/>
  <c r="L2637" i="1"/>
  <c r="L2640" i="1"/>
  <c r="L2639" i="1"/>
  <c r="L2641" i="1"/>
  <c r="L2642" i="1"/>
  <c r="L2644" i="1"/>
  <c r="L2645" i="1"/>
  <c r="L2643" i="1"/>
  <c r="L2646" i="1"/>
  <c r="L2647" i="1"/>
  <c r="L2648" i="1"/>
  <c r="L2649" i="1"/>
  <c r="L2781" i="1"/>
  <c r="L2501" i="1"/>
  <c r="L2483" i="1"/>
  <c r="L2495" i="1"/>
  <c r="L2494" i="1"/>
  <c r="L2493" i="1"/>
  <c r="L2497" i="1"/>
  <c r="L2490" i="1"/>
  <c r="L2489" i="1"/>
  <c r="L2492" i="1"/>
  <c r="L2491" i="1"/>
  <c r="L2488" i="1"/>
  <c r="L3142" i="1"/>
  <c r="L2496" i="1"/>
  <c r="L2500" i="1"/>
  <c r="L2486" i="1"/>
  <c r="L2499" i="1"/>
  <c r="L2485" i="1"/>
  <c r="L2498" i="1"/>
  <c r="L2484" i="1"/>
  <c r="L2487" i="1"/>
  <c r="L2331" i="1"/>
  <c r="L2332" i="1"/>
  <c r="L2318" i="1"/>
  <c r="L2319" i="1"/>
  <c r="L2321" i="1"/>
  <c r="L2320" i="1"/>
  <c r="L2325" i="1"/>
  <c r="L2323" i="1"/>
  <c r="L2324" i="1"/>
  <c r="L2322" i="1"/>
  <c r="L2327" i="1"/>
  <c r="L2326" i="1"/>
  <c r="L2328" i="1"/>
  <c r="L2329" i="1"/>
  <c r="L2330" i="1"/>
  <c r="L2333" i="1"/>
  <c r="L2334" i="1"/>
  <c r="L2335" i="1"/>
  <c r="L2337" i="1"/>
  <c r="L2336" i="1"/>
  <c r="L2338" i="1"/>
  <c r="L2339" i="1"/>
  <c r="L2340" i="1"/>
  <c r="L2341" i="1"/>
  <c r="L2342" i="1"/>
  <c r="L2343" i="1"/>
  <c r="L2345" i="1"/>
  <c r="L2344" i="1"/>
  <c r="L2346" i="1"/>
  <c r="L2347" i="1"/>
  <c r="L2348" i="1"/>
  <c r="L2349" i="1"/>
  <c r="L2350" i="1"/>
  <c r="L2352" i="1"/>
  <c r="L2351" i="1"/>
  <c r="L2355" i="1"/>
  <c r="L2353" i="1"/>
  <c r="L2354" i="1"/>
  <c r="L2357" i="1"/>
  <c r="L2356" i="1"/>
  <c r="L2358" i="1"/>
  <c r="L2361" i="1"/>
  <c r="L2360" i="1"/>
  <c r="L2359" i="1"/>
  <c r="L2363" i="1"/>
  <c r="L2362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7" i="1"/>
  <c r="L2378" i="1"/>
  <c r="L2376" i="1"/>
  <c r="L2379" i="1"/>
  <c r="L2381" i="1"/>
  <c r="L2380" i="1"/>
  <c r="L2383" i="1"/>
  <c r="L2382" i="1"/>
  <c r="L2384" i="1"/>
  <c r="L2385" i="1"/>
  <c r="L2387" i="1"/>
  <c r="L2389" i="1"/>
  <c r="L2388" i="1"/>
  <c r="L2386" i="1"/>
  <c r="L2391" i="1"/>
  <c r="L2390" i="1"/>
  <c r="L2393" i="1"/>
  <c r="L2392" i="1"/>
  <c r="L2394" i="1"/>
  <c r="L2395" i="1"/>
  <c r="L2396" i="1"/>
  <c r="L2397" i="1"/>
  <c r="L2399" i="1"/>
  <c r="L2398" i="1"/>
  <c r="L2401" i="1"/>
  <c r="L2400" i="1"/>
  <c r="L2402" i="1"/>
  <c r="L2405" i="1"/>
  <c r="L2403" i="1"/>
  <c r="L2406" i="1"/>
  <c r="L2407" i="1"/>
  <c r="L2404" i="1"/>
  <c r="L2409" i="1"/>
  <c r="L2410" i="1"/>
  <c r="L2408" i="1"/>
  <c r="L2411" i="1"/>
  <c r="L2412" i="1"/>
  <c r="L2414" i="1"/>
  <c r="L2413" i="1"/>
  <c r="L2415" i="1"/>
  <c r="L2416" i="1"/>
  <c r="L2417" i="1"/>
  <c r="L2418" i="1"/>
  <c r="L2419" i="1"/>
  <c r="L2421" i="1"/>
  <c r="L2420" i="1"/>
  <c r="L2423" i="1"/>
  <c r="L2425" i="1"/>
  <c r="L2424" i="1"/>
  <c r="L2422" i="1"/>
  <c r="L2427" i="1"/>
  <c r="L2426" i="1"/>
  <c r="L2429" i="1"/>
  <c r="L2428" i="1"/>
  <c r="L2432" i="1"/>
  <c r="L2431" i="1"/>
  <c r="L2430" i="1"/>
  <c r="L2434" i="1"/>
  <c r="L2433" i="1"/>
  <c r="L2436" i="1"/>
  <c r="L2435" i="1"/>
  <c r="L2439" i="1"/>
  <c r="L2437" i="1"/>
  <c r="L2438" i="1"/>
  <c r="L2441" i="1"/>
  <c r="L2443" i="1"/>
  <c r="L2442" i="1"/>
  <c r="L2440" i="1"/>
  <c r="L2445" i="1"/>
  <c r="L2444" i="1"/>
  <c r="L2447" i="1"/>
  <c r="L2446" i="1"/>
  <c r="L2448" i="1"/>
  <c r="L2449" i="1"/>
  <c r="L2451" i="1"/>
  <c r="L2452" i="1"/>
  <c r="L2450" i="1"/>
  <c r="L2458" i="1"/>
  <c r="L2454" i="1"/>
  <c r="L2453" i="1"/>
  <c r="L2455" i="1"/>
  <c r="L2457" i="1"/>
  <c r="L2456" i="1"/>
  <c r="L2459" i="1"/>
  <c r="L2460" i="1"/>
  <c r="L2466" i="1"/>
  <c r="L2461" i="1"/>
  <c r="L2462" i="1"/>
  <c r="L2464" i="1"/>
  <c r="L2463" i="1"/>
  <c r="L2465" i="1"/>
  <c r="L2467" i="1"/>
  <c r="L2468" i="1"/>
  <c r="L2470" i="1"/>
  <c r="L2469" i="1"/>
  <c r="L2472" i="1"/>
  <c r="L2471" i="1"/>
  <c r="L2473" i="1"/>
  <c r="L2474" i="1"/>
  <c r="L2475" i="1"/>
  <c r="L2476" i="1"/>
  <c r="L2477" i="1"/>
  <c r="L2478" i="1"/>
  <c r="L723" i="1"/>
  <c r="L1092" i="1"/>
  <c r="L1255" i="1"/>
  <c r="L1410" i="1"/>
  <c r="L2247" i="1"/>
  <c r="L104" i="1"/>
  <c r="L995" i="1"/>
  <c r="L664" i="1"/>
  <c r="L967" i="1"/>
  <c r="L687" i="1"/>
  <c r="L1458" i="1"/>
  <c r="L573" i="1"/>
  <c r="L1878" i="1"/>
  <c r="L1196" i="1"/>
  <c r="L1571" i="1"/>
  <c r="L2011" i="1"/>
  <c r="L2148" i="1"/>
  <c r="L425" i="1"/>
  <c r="L787" i="1"/>
  <c r="L1126" i="1"/>
  <c r="L760" i="1"/>
  <c r="L460" i="1"/>
  <c r="L1889" i="1"/>
  <c r="L2110" i="1"/>
  <c r="L1120" i="1"/>
  <c r="L1314" i="1"/>
  <c r="L951" i="1"/>
  <c r="L585" i="1"/>
  <c r="L1306" i="1"/>
  <c r="L260" i="1"/>
  <c r="L2138" i="1"/>
  <c r="L201" i="1"/>
  <c r="L710" i="1"/>
  <c r="L1057" i="1"/>
  <c r="L256" i="1"/>
  <c r="L1340" i="1"/>
  <c r="L1557" i="1"/>
  <c r="L1359" i="1"/>
  <c r="L1077" i="1"/>
  <c r="L1139" i="1"/>
  <c r="L1950" i="1"/>
  <c r="L2174" i="1"/>
  <c r="L71" i="1"/>
  <c r="L1088" i="1"/>
  <c r="L83" i="1"/>
  <c r="L1509" i="1"/>
  <c r="L1283" i="1"/>
  <c r="L2196" i="1"/>
  <c r="L108" i="1"/>
  <c r="L403" i="1"/>
  <c r="L7" i="1"/>
  <c r="L1728" i="1"/>
  <c r="L368" i="1"/>
  <c r="L1409" i="1"/>
  <c r="L234" i="1"/>
  <c r="L840" i="1"/>
  <c r="L286" i="1"/>
  <c r="L1758" i="1"/>
  <c r="L601" i="1"/>
  <c r="L249" i="1"/>
  <c r="L506" i="1"/>
  <c r="L871" i="1"/>
  <c r="L305" i="1"/>
  <c r="L365" i="1"/>
  <c r="L915" i="1"/>
  <c r="L1033" i="1"/>
  <c r="L1029" i="1"/>
  <c r="L446" i="1"/>
  <c r="L352" i="1"/>
  <c r="L1246" i="1"/>
  <c r="L1534" i="1"/>
  <c r="L1432" i="1"/>
  <c r="L523" i="1"/>
  <c r="L2218" i="1"/>
  <c r="L2152" i="1"/>
  <c r="L854" i="1"/>
  <c r="L244" i="1"/>
  <c r="L660" i="1"/>
  <c r="L1664" i="1"/>
  <c r="L619" i="1"/>
  <c r="L1169" i="1"/>
  <c r="L652" i="1"/>
  <c r="L946" i="1"/>
  <c r="L2154" i="1"/>
  <c r="L2058" i="1"/>
  <c r="L2074" i="1"/>
  <c r="L2072" i="1"/>
  <c r="L1756" i="1"/>
  <c r="L862" i="1"/>
  <c r="L18" i="1"/>
  <c r="L630" i="1"/>
  <c r="L1429" i="1"/>
  <c r="L413" i="1"/>
  <c r="L1140" i="1"/>
  <c r="L214" i="1"/>
  <c r="L806" i="1"/>
  <c r="L154" i="1"/>
  <c r="L191" i="1"/>
  <c r="L1257" i="1"/>
  <c r="L307" i="1"/>
  <c r="L1677" i="1"/>
  <c r="L848" i="1"/>
  <c r="L1558" i="1"/>
  <c r="L2158" i="1"/>
  <c r="L318" i="1"/>
  <c r="L716" i="1"/>
  <c r="L876" i="1"/>
  <c r="L2223" i="1"/>
  <c r="L1013" i="1"/>
  <c r="L1101" i="1"/>
  <c r="L2219" i="1"/>
  <c r="L97" i="1"/>
  <c r="L206" i="1"/>
  <c r="L758" i="1"/>
  <c r="L1801" i="1"/>
  <c r="L477" i="1"/>
  <c r="L1532" i="1"/>
  <c r="L2048" i="1"/>
  <c r="L375" i="1"/>
  <c r="L232" i="1"/>
  <c r="L654" i="1"/>
  <c r="L22" i="1"/>
  <c r="L2108" i="1"/>
  <c r="L2235" i="1"/>
  <c r="L530" i="1"/>
  <c r="L571" i="1"/>
  <c r="L474" i="1"/>
  <c r="L2099" i="1"/>
  <c r="L43" i="1"/>
  <c r="L928" i="1"/>
  <c r="L350" i="1"/>
  <c r="L1251" i="1"/>
  <c r="L2123" i="1"/>
  <c r="L1751" i="1"/>
  <c r="L189" i="1"/>
  <c r="L33" i="1"/>
  <c r="L1868" i="1"/>
  <c r="L747" i="1"/>
  <c r="L662" i="1"/>
  <c r="L647" i="1"/>
  <c r="L1437" i="1"/>
  <c r="L2184" i="1"/>
  <c r="L2203" i="1"/>
  <c r="L351" i="1"/>
  <c r="L2120" i="1"/>
  <c r="L1548" i="1"/>
  <c r="L763" i="1"/>
  <c r="L217" i="1"/>
  <c r="L1599" i="1"/>
  <c r="L2059" i="1"/>
  <c r="L166" i="1"/>
  <c r="L1377" i="1"/>
  <c r="L1281" i="1"/>
  <c r="L1688" i="1"/>
  <c r="L312" i="1"/>
  <c r="L1076" i="1"/>
  <c r="L1170" i="1"/>
  <c r="L2186" i="1"/>
  <c r="L2201" i="1"/>
  <c r="L1034" i="1"/>
  <c r="L949" i="1"/>
  <c r="L2141" i="1"/>
  <c r="L56" i="1"/>
  <c r="L778" i="1"/>
  <c r="L545" i="1"/>
  <c r="L588" i="1"/>
  <c r="L1649" i="1"/>
  <c r="L8" i="1"/>
  <c r="L203" i="1"/>
  <c r="L2220" i="1"/>
  <c r="L1378" i="1"/>
  <c r="L139" i="1"/>
  <c r="L2146" i="1"/>
  <c r="L1799" i="1"/>
  <c r="L306" i="1"/>
  <c r="L2187" i="1"/>
  <c r="L1750" i="1"/>
  <c r="L1164" i="1"/>
  <c r="L1060" i="1"/>
  <c r="L683" i="1"/>
  <c r="L981" i="1"/>
  <c r="L1300" i="1"/>
  <c r="L598" i="1"/>
  <c r="L712" i="1"/>
  <c r="L117" i="1"/>
  <c r="L1789" i="1"/>
  <c r="L2216" i="1"/>
  <c r="L994" i="1"/>
  <c r="L1254" i="1"/>
  <c r="L275" i="1"/>
  <c r="L2134" i="1"/>
  <c r="L136" i="1"/>
  <c r="L2217" i="1"/>
  <c r="L602" i="1"/>
  <c r="L424" i="1"/>
  <c r="L55" i="1"/>
  <c r="L1132" i="1"/>
  <c r="L1555" i="1"/>
  <c r="L14" i="1"/>
  <c r="L976" i="1"/>
  <c r="L2166" i="1"/>
  <c r="L525" i="1"/>
  <c r="L2202" i="1"/>
  <c r="L505" i="1"/>
  <c r="L96" i="1"/>
  <c r="L6" i="1"/>
  <c r="L2153" i="1"/>
  <c r="L1193" i="1"/>
  <c r="L1560" i="1"/>
  <c r="L345" i="1"/>
  <c r="L1943" i="1"/>
  <c r="L1818" i="1"/>
  <c r="L2214" i="1"/>
  <c r="L1561" i="1"/>
  <c r="L287" i="1"/>
  <c r="L1919" i="1"/>
  <c r="L1809" i="1"/>
  <c r="L1412" i="1"/>
  <c r="L531" i="1"/>
  <c r="L1436" i="1"/>
  <c r="L2073" i="1"/>
  <c r="L364" i="1"/>
  <c r="L1489" i="1"/>
  <c r="L950" i="1"/>
  <c r="L1090" i="1"/>
  <c r="L577" i="1"/>
  <c r="L2088" i="1"/>
  <c r="L1817" i="1"/>
  <c r="L776" i="1"/>
  <c r="L242" i="1"/>
  <c r="L636" i="1"/>
  <c r="L2236" i="1"/>
  <c r="L437" i="1"/>
  <c r="L1091" i="1"/>
  <c r="L2060" i="1"/>
  <c r="L874" i="1"/>
  <c r="L1703" i="1"/>
  <c r="L954" i="1"/>
  <c r="L595" i="1"/>
  <c r="L1310" i="1"/>
  <c r="L1188" i="1"/>
  <c r="L2233" i="1"/>
  <c r="L293" i="1"/>
  <c r="L932" i="1"/>
  <c r="L542" i="1"/>
  <c r="L1872" i="1"/>
  <c r="L334" i="1"/>
  <c r="L1154" i="1"/>
  <c r="L1614" i="1"/>
  <c r="L1233" i="1"/>
  <c r="L1322" i="1"/>
  <c r="L1498" i="1"/>
  <c r="L1895" i="1"/>
  <c r="L258" i="1"/>
  <c r="L698" i="1"/>
  <c r="L1570" i="1"/>
  <c r="L1465" i="1"/>
  <c r="L153" i="1"/>
  <c r="L875" i="1"/>
  <c r="L1295" i="1"/>
  <c r="L682" i="1"/>
  <c r="L458" i="1"/>
  <c r="L1225" i="1"/>
  <c r="L1040" i="1"/>
  <c r="L278" i="1"/>
  <c r="L960" i="1"/>
  <c r="L774" i="1"/>
  <c r="L240" i="1"/>
  <c r="L38" i="1"/>
  <c r="L2194" i="1"/>
  <c r="L327" i="1"/>
  <c r="L301" i="1"/>
  <c r="L1119" i="1"/>
  <c r="L860" i="1"/>
  <c r="L237" i="1"/>
  <c r="L2181" i="1"/>
  <c r="L1096" i="1"/>
  <c r="L779" i="1"/>
  <c r="L989" i="1"/>
  <c r="L1682" i="1"/>
  <c r="L69" i="1"/>
  <c r="L2245" i="1"/>
  <c r="L780" i="1"/>
  <c r="L940" i="1"/>
  <c r="L1673" i="1"/>
  <c r="L53" i="1"/>
  <c r="L603" i="1"/>
  <c r="L378" i="1"/>
  <c r="L159" i="1"/>
  <c r="L2101" i="1"/>
  <c r="L1622" i="1"/>
  <c r="L1326" i="1"/>
  <c r="L1556" i="1"/>
  <c r="L971" i="1"/>
  <c r="L1435" i="1"/>
  <c r="L2115" i="1"/>
  <c r="L786" i="1"/>
  <c r="L1408" i="1"/>
  <c r="L582" i="1"/>
  <c r="L1695" i="1"/>
  <c r="L1808" i="1"/>
  <c r="L674" i="1"/>
  <c r="L629" i="1"/>
  <c r="L2145" i="1"/>
  <c r="L852" i="1"/>
  <c r="L1529" i="1"/>
  <c r="L653" i="1"/>
  <c r="L868" i="1"/>
  <c r="L991" i="1"/>
  <c r="L473" i="1"/>
  <c r="L335" i="1"/>
  <c r="L329" i="1"/>
  <c r="L478" i="1"/>
  <c r="L1142" i="1"/>
  <c r="L2243" i="1"/>
  <c r="L432" i="1"/>
  <c r="L514" i="1"/>
  <c r="L1993" i="1"/>
  <c r="L1979" i="1"/>
  <c r="L2258" i="1"/>
  <c r="L2017" i="1"/>
  <c r="L1238" i="1"/>
  <c r="L923" i="1"/>
  <c r="L1754" i="1"/>
  <c r="L546" i="1"/>
  <c r="L1384" i="1"/>
  <c r="L1428" i="1"/>
  <c r="L469" i="1"/>
  <c r="L63" i="1"/>
  <c r="L1966" i="1"/>
  <c r="L67" i="1"/>
  <c r="L1224" i="1"/>
  <c r="L2177" i="1"/>
  <c r="L826" i="1"/>
  <c r="L266" i="1"/>
  <c r="L74" i="1"/>
  <c r="L1718" i="1"/>
  <c r="L400" i="1"/>
  <c r="L24" i="1"/>
  <c r="L1836" i="1"/>
  <c r="L2211" i="1"/>
  <c r="L90" i="1"/>
  <c r="L891" i="1"/>
  <c r="L711" i="1"/>
  <c r="L220" i="1"/>
  <c r="L21" i="1"/>
  <c r="L2195" i="1"/>
  <c r="L279" i="1"/>
  <c r="L405" i="1"/>
  <c r="L1434" i="1"/>
  <c r="L283" i="1"/>
  <c r="L2057" i="1"/>
  <c r="L1184" i="1"/>
  <c r="L406" i="1"/>
  <c r="L1376" i="1"/>
  <c r="L208" i="1"/>
  <c r="L2054" i="1"/>
  <c r="L1715" i="1"/>
  <c r="L1030" i="1"/>
  <c r="L1480" i="1"/>
  <c r="L2117" i="1"/>
  <c r="L905" i="1"/>
  <c r="L536" i="1"/>
  <c r="L1168" i="1"/>
  <c r="L1591" i="1"/>
  <c r="L633" i="1"/>
  <c r="L2127" i="1"/>
  <c r="L1421" i="1"/>
  <c r="L993" i="1"/>
  <c r="L145" i="1"/>
  <c r="L212" i="1"/>
  <c r="L1584" i="1"/>
  <c r="L518" i="1"/>
  <c r="L109" i="1"/>
  <c r="L2162" i="1"/>
  <c r="L1533" i="1"/>
  <c r="L1823" i="1"/>
  <c r="L93" i="1"/>
  <c r="L1333" i="1"/>
  <c r="L1610" i="1"/>
  <c r="L945" i="1"/>
  <c r="L737" i="1"/>
  <c r="L421" i="1"/>
  <c r="L2113" i="1"/>
  <c r="L176" i="1"/>
  <c r="L929" i="1"/>
  <c r="L1130" i="1"/>
  <c r="L1838" i="1"/>
  <c r="L736" i="1"/>
  <c r="L411" i="1"/>
  <c r="L2273" i="1"/>
  <c r="L2265" i="1"/>
  <c r="L360" i="1"/>
  <c r="L2180" i="1"/>
  <c r="L1172" i="1"/>
  <c r="L791" i="1"/>
  <c r="L2085" i="1"/>
  <c r="L2100" i="1"/>
  <c r="L962" i="1"/>
  <c r="L285" i="1"/>
  <c r="L2075" i="1"/>
  <c r="L1150" i="1"/>
  <c r="L1098" i="1"/>
  <c r="L1319" i="1"/>
  <c r="L825" i="1"/>
  <c r="L89" i="1"/>
  <c r="L482" i="1"/>
  <c r="L444" i="1"/>
  <c r="L61" i="1"/>
  <c r="L1854" i="1"/>
  <c r="L1231" i="1"/>
  <c r="L1015" i="1"/>
  <c r="L1913" i="1"/>
  <c r="L1623" i="1"/>
  <c r="L2230" i="1"/>
  <c r="L1210" i="1"/>
  <c r="L1719" i="1"/>
  <c r="L346" i="1"/>
  <c r="L11" i="1"/>
  <c r="L1827" i="1"/>
  <c r="L2210" i="1"/>
  <c r="L75" i="1"/>
  <c r="L1456" i="1"/>
  <c r="L632" i="1"/>
  <c r="L1537" i="1"/>
  <c r="L2069" i="1"/>
  <c r="L462" i="1"/>
  <c r="L1411" i="1"/>
  <c r="L575" i="1"/>
  <c r="L1481" i="1"/>
  <c r="L2070" i="1"/>
  <c r="L1227" i="1"/>
  <c r="L1744" i="1"/>
  <c r="L689" i="1"/>
  <c r="L2130" i="1"/>
  <c r="L245" i="1"/>
  <c r="L1159" i="1"/>
  <c r="L775" i="1"/>
  <c r="L797" i="1"/>
  <c r="L158" i="1"/>
  <c r="L2143" i="1"/>
  <c r="L614" i="1"/>
  <c r="L600" i="1"/>
  <c r="L66" i="1"/>
  <c r="L2061" i="1"/>
  <c r="L794" i="1"/>
  <c r="L1413" i="1"/>
  <c r="L1264" i="1"/>
  <c r="L2176" i="1"/>
  <c r="L572" i="1"/>
  <c r="L114" i="1"/>
  <c r="L1321" i="1"/>
  <c r="L1396" i="1"/>
  <c r="L814" i="1"/>
  <c r="L1550" i="1"/>
  <c r="L1047" i="1"/>
  <c r="L1308" i="1"/>
  <c r="L1605" i="1"/>
  <c r="L1545" i="1"/>
  <c r="L1427" i="1"/>
  <c r="L1856" i="1"/>
  <c r="L1870" i="1"/>
  <c r="L616" i="1"/>
  <c r="L1482" i="1"/>
  <c r="L1071" i="1"/>
  <c r="L1167" i="1"/>
  <c r="L1072" i="1"/>
  <c r="L471" i="1"/>
  <c r="L2232" i="1"/>
  <c r="L1146" i="1"/>
  <c r="L320" i="1"/>
  <c r="L161" i="1"/>
  <c r="L1263" i="1"/>
  <c r="L744" i="1"/>
  <c r="L517" i="1"/>
  <c r="L326" i="1"/>
  <c r="L1073" i="1"/>
  <c r="L1133" i="1"/>
  <c r="L281" i="1"/>
  <c r="L2189" i="1"/>
  <c r="L302" i="1"/>
  <c r="L361" i="1"/>
  <c r="L445" i="1"/>
  <c r="L77" i="1"/>
  <c r="L1863" i="1"/>
  <c r="L2209" i="1"/>
  <c r="L130" i="1"/>
  <c r="L1287" i="1"/>
  <c r="L1137" i="1"/>
  <c r="L1945" i="1"/>
  <c r="L1641" i="1"/>
  <c r="L831" i="1"/>
  <c r="L1113" i="1"/>
  <c r="L1700" i="1"/>
  <c r="L98" i="1"/>
  <c r="L2242" i="1"/>
  <c r="L438" i="1"/>
  <c r="L1230" i="1"/>
  <c r="L964" i="1"/>
  <c r="L1904" i="1"/>
  <c r="L1616" i="1"/>
  <c r="L2231" i="1"/>
  <c r="L1157" i="1"/>
  <c r="L1062" i="1"/>
  <c r="L1256" i="1"/>
  <c r="L752" i="1"/>
  <c r="L2086" i="1"/>
  <c r="L1844" i="1"/>
  <c r="L996" i="1"/>
  <c r="L1198" i="1"/>
  <c r="L690" i="1"/>
  <c r="L2084" i="1"/>
  <c r="L827" i="1"/>
  <c r="L850" i="1"/>
  <c r="L172" i="1"/>
  <c r="L2140" i="1"/>
  <c r="L32" i="1"/>
  <c r="L1727" i="1"/>
  <c r="L401" i="1"/>
  <c r="L243" i="1"/>
  <c r="L1483" i="1"/>
  <c r="L2157" i="1"/>
  <c r="L1457" i="1"/>
  <c r="L1522" i="1"/>
  <c r="L1859" i="1"/>
  <c r="L2087" i="1"/>
  <c r="L211" i="1"/>
  <c r="L605" i="1"/>
  <c r="L30" i="1"/>
  <c r="L2225" i="1"/>
  <c r="L1206" i="1"/>
  <c r="L2093" i="1"/>
  <c r="L1709" i="1"/>
  <c r="L1312" i="1"/>
  <c r="L1813" i="1"/>
  <c r="L766" i="1"/>
  <c r="L10" i="1"/>
  <c r="L1325" i="1"/>
  <c r="L436" i="1"/>
  <c r="L696" i="1"/>
  <c r="L765" i="1"/>
  <c r="L1106" i="1"/>
  <c r="L1524" i="1"/>
  <c r="L1865" i="1"/>
  <c r="L325" i="1"/>
  <c r="L702" i="1"/>
  <c r="L51" i="1"/>
  <c r="L1151" i="1"/>
  <c r="L2167" i="1"/>
  <c r="L1173" i="1"/>
  <c r="L634" i="1"/>
  <c r="L140" i="1"/>
  <c r="L914" i="1"/>
  <c r="L527" i="1"/>
  <c r="L5" i="1"/>
  <c r="L2164" i="1"/>
  <c r="L1957" i="1"/>
  <c r="L1650" i="1"/>
  <c r="L2226" i="1"/>
  <c r="L1388" i="1"/>
  <c r="L880" i="1"/>
  <c r="L1218" i="1"/>
  <c r="L1805" i="1"/>
  <c r="L124" i="1"/>
  <c r="L450" i="1"/>
  <c r="L1535" i="1"/>
  <c r="L938" i="1"/>
  <c r="L2056" i="1"/>
  <c r="L1299" i="1"/>
  <c r="L1100" i="1"/>
  <c r="L832" i="1"/>
  <c r="L1054" i="1"/>
  <c r="L1691" i="1"/>
  <c r="L84" i="1"/>
  <c r="L2246" i="1"/>
  <c r="L390" i="1"/>
  <c r="L665" i="1"/>
  <c r="L476" i="1"/>
  <c r="L184" i="1"/>
  <c r="L2097" i="1"/>
  <c r="L1640" i="1"/>
  <c r="L604" i="1"/>
  <c r="L426" i="1"/>
  <c r="L173" i="1"/>
  <c r="L2200" i="1"/>
  <c r="L447" i="1"/>
  <c r="L49" i="1"/>
  <c r="L1539" i="1"/>
  <c r="L2156" i="1"/>
  <c r="L1085" i="1"/>
  <c r="L839" i="1"/>
  <c r="L1407" i="1"/>
  <c r="L1440" i="1"/>
  <c r="L692" i="1"/>
  <c r="L2169" i="1"/>
  <c r="L1063" i="1"/>
  <c r="L562" i="1"/>
  <c r="L134" i="1"/>
  <c r="L2104" i="1"/>
  <c r="L3" i="1"/>
  <c r="L366" i="1"/>
  <c r="L1628" i="1"/>
  <c r="L613" i="1"/>
  <c r="L323" i="1"/>
  <c r="L9" i="1"/>
  <c r="L111" i="1"/>
  <c r="L1153" i="1"/>
  <c r="L851" i="1"/>
  <c r="L1804" i="1"/>
  <c r="L894" i="1"/>
  <c r="L657" i="1"/>
  <c r="L1581" i="1"/>
  <c r="L656" i="1"/>
  <c r="L677" i="1"/>
  <c r="L165" i="1"/>
  <c r="L297" i="1"/>
  <c r="L1992" i="1"/>
  <c r="L434" i="1"/>
  <c r="L1713" i="1"/>
  <c r="L251" i="1"/>
  <c r="L920" i="1"/>
  <c r="L273" i="1"/>
  <c r="L997" i="1"/>
  <c r="L1746" i="1"/>
  <c r="L1253" i="1"/>
  <c r="L1183" i="1"/>
  <c r="L2205" i="1"/>
  <c r="L1343" i="1"/>
  <c r="L953" i="1"/>
  <c r="L1276" i="1"/>
  <c r="L1814" i="1"/>
  <c r="L137" i="1"/>
  <c r="L2240" i="1"/>
  <c r="L586" i="1"/>
  <c r="L509" i="1"/>
  <c r="L1747" i="1"/>
  <c r="L1216" i="1"/>
  <c r="L2053" i="1"/>
  <c r="L1506" i="1"/>
  <c r="L750" i="1"/>
  <c r="L1749" i="1"/>
  <c r="L2068" i="1"/>
  <c r="L560" i="1"/>
  <c r="L331" i="1"/>
  <c r="L451" i="1"/>
  <c r="L1479" i="1"/>
  <c r="L817" i="1"/>
  <c r="L2055" i="1"/>
  <c r="L1242" i="1"/>
  <c r="L1042" i="1"/>
  <c r="L291" i="1"/>
  <c r="L1145" i="1"/>
  <c r="L1595" i="1"/>
  <c r="L2112" i="1"/>
  <c r="L1022" i="1"/>
  <c r="L1714" i="1"/>
  <c r="L1089" i="1"/>
  <c r="L1536" i="1"/>
  <c r="L890" i="1"/>
  <c r="L1452" i="1"/>
  <c r="L1486" i="1"/>
  <c r="L755" i="1"/>
  <c r="L2170" i="1"/>
  <c r="L373" i="1"/>
  <c r="L1466" i="1"/>
  <c r="L992" i="1"/>
  <c r="L639" i="1"/>
  <c r="L175" i="1"/>
  <c r="L2185" i="1"/>
  <c r="L666" i="1"/>
  <c r="L1199" i="1"/>
  <c r="L1316" i="1"/>
  <c r="L2116" i="1"/>
  <c r="L968" i="1"/>
  <c r="L879" i="1"/>
  <c r="L94" i="1"/>
  <c r="L1239" i="1"/>
  <c r="L87" i="1"/>
  <c r="L535" i="1"/>
  <c r="L431" i="1"/>
  <c r="L383" i="1"/>
  <c r="L979" i="1"/>
  <c r="L1084" i="1"/>
  <c r="L552" i="1"/>
  <c r="L963" i="1"/>
  <c r="L757" i="1"/>
  <c r="L694" i="1"/>
  <c r="L515" i="1"/>
  <c r="L893" i="1"/>
  <c r="L1585" i="1"/>
  <c r="L2308" i="1"/>
  <c r="L1462" i="1"/>
  <c r="L1928" i="1"/>
  <c r="L1772" i="1"/>
  <c r="L1187" i="1"/>
  <c r="L1422" i="1"/>
  <c r="L1693" i="1"/>
  <c r="L2032" i="1"/>
  <c r="L1647" i="1"/>
  <c r="L1909" i="1"/>
  <c r="L41" i="1"/>
  <c r="L2262" i="1"/>
  <c r="L192" i="1"/>
  <c r="L374" i="1"/>
  <c r="L180" i="1"/>
  <c r="L1770" i="1"/>
  <c r="L1927" i="1"/>
  <c r="L1996" i="1"/>
  <c r="L607" i="1"/>
  <c r="L1634" i="1"/>
  <c r="L1665" i="1"/>
  <c r="L942" i="1"/>
  <c r="L1777" i="1"/>
  <c r="L563" i="1"/>
  <c r="L1178" i="1"/>
  <c r="L2272" i="1"/>
  <c r="L2254" i="1"/>
  <c r="L284" i="1"/>
  <c r="L910" i="1"/>
  <c r="L1924" i="1"/>
  <c r="L1794" i="1"/>
  <c r="L382" i="1"/>
  <c r="L679" i="1"/>
  <c r="L221" i="1"/>
  <c r="L2035" i="1"/>
  <c r="L1397" i="1"/>
  <c r="L86" i="1"/>
  <c r="L2266" i="1"/>
  <c r="L122" i="1"/>
  <c r="L199" i="1"/>
  <c r="L626" i="1"/>
  <c r="L594" i="1"/>
  <c r="L1394" i="1"/>
  <c r="L691" i="1"/>
  <c r="L1521" i="1"/>
  <c r="L1053" i="1"/>
  <c r="L2038" i="1"/>
  <c r="L1629" i="1"/>
  <c r="L1891" i="1"/>
  <c r="L1093" i="1"/>
  <c r="L1840" i="1"/>
  <c r="L1165" i="1"/>
  <c r="L1426" i="1"/>
  <c r="L808" i="1"/>
  <c r="L1203" i="1"/>
  <c r="L202" i="1"/>
  <c r="L395" i="1"/>
  <c r="L160" i="1"/>
  <c r="L1735" i="1"/>
  <c r="L583" i="1"/>
  <c r="L2016" i="1"/>
  <c r="L1860" i="1"/>
  <c r="L1654" i="1"/>
  <c r="L2277" i="1"/>
  <c r="L2044" i="1"/>
  <c r="L897" i="1"/>
  <c r="L1588" i="1"/>
  <c r="L2163" i="1"/>
  <c r="L1683" i="1"/>
  <c r="L216" i="1"/>
  <c r="L1982" i="1"/>
  <c r="L1459" i="1"/>
  <c r="L1513" i="1"/>
  <c r="L742" i="1"/>
  <c r="L1549" i="1"/>
  <c r="L1769" i="1"/>
  <c r="L1578" i="1"/>
  <c r="L1205" i="1"/>
  <c r="L228" i="1"/>
  <c r="L2039" i="1"/>
  <c r="L1331" i="1"/>
  <c r="L1696" i="1"/>
  <c r="L1686" i="1"/>
  <c r="L2294" i="1"/>
  <c r="L1784" i="1"/>
  <c r="L1538" i="1"/>
  <c r="L1613" i="1"/>
  <c r="L846" i="1"/>
  <c r="L2023" i="1"/>
  <c r="L1806" i="1"/>
  <c r="L133" i="1"/>
  <c r="L1123" i="1"/>
  <c r="L2252" i="1"/>
  <c r="L1086" i="1"/>
  <c r="L2244" i="1"/>
  <c r="L2295" i="1"/>
  <c r="L1782" i="1"/>
  <c r="L372" i="1"/>
  <c r="L1189" i="1"/>
  <c r="L1094" i="1"/>
  <c r="L2019" i="1"/>
  <c r="L1842" i="1"/>
  <c r="L282" i="1"/>
  <c r="L495" i="1"/>
  <c r="L593" i="1"/>
  <c r="L81" i="1"/>
  <c r="L387" i="1"/>
  <c r="L643" i="1"/>
  <c r="L235" i="1"/>
  <c r="L152" i="1"/>
  <c r="L1472" i="1"/>
  <c r="L1643" i="1"/>
  <c r="L1590" i="1"/>
  <c r="L2275" i="1"/>
  <c r="L1790" i="1"/>
  <c r="L754" i="1"/>
  <c r="L538" i="1"/>
  <c r="L2480" i="1"/>
  <c r="L2004" i="1"/>
  <c r="L492" i="1"/>
  <c r="L268" i="1"/>
  <c r="L2029" i="1"/>
  <c r="L1656" i="1"/>
  <c r="L1666" i="1"/>
  <c r="L528" i="1"/>
  <c r="L1523" i="1"/>
  <c r="L296" i="1"/>
  <c r="L1969" i="1"/>
  <c r="L1248" i="1"/>
  <c r="L453" i="1"/>
  <c r="L783" i="1"/>
  <c r="L2315" i="1"/>
  <c r="L1795" i="1"/>
  <c r="L324" i="1"/>
  <c r="L1358" i="1"/>
  <c r="L1110" i="1"/>
  <c r="L2020" i="1"/>
  <c r="L1710" i="1"/>
  <c r="L1906" i="1"/>
  <c r="L663" i="1"/>
  <c r="L2282" i="1"/>
  <c r="L1936" i="1"/>
  <c r="L1250" i="1"/>
  <c r="L1607" i="1"/>
  <c r="L1349" i="1"/>
  <c r="L2007" i="1"/>
  <c r="L1959" i="1"/>
  <c r="L820" i="1"/>
  <c r="L1981" i="1"/>
  <c r="L2036" i="1"/>
  <c r="L1552" i="1"/>
  <c r="L1837" i="1"/>
  <c r="L126" i="1"/>
  <c r="L2280" i="1"/>
  <c r="L1933" i="1"/>
  <c r="L1528" i="1"/>
  <c r="L1324" i="1"/>
  <c r="L2291" i="1"/>
  <c r="L2003" i="1"/>
  <c r="L150" i="1"/>
  <c r="L394" i="1"/>
  <c r="L1202" i="1"/>
  <c r="L1788" i="1"/>
  <c r="L1781" i="1"/>
  <c r="L524" i="1"/>
  <c r="L1363" i="1"/>
  <c r="L2290" i="1"/>
  <c r="L1991" i="1"/>
  <c r="L1174" i="1"/>
  <c r="L671" i="1"/>
  <c r="L1729" i="1"/>
  <c r="L2015" i="1"/>
  <c r="L1869" i="1"/>
  <c r="L1663" i="1"/>
  <c r="L904" i="1"/>
  <c r="L1651" i="1"/>
  <c r="L934" i="1"/>
  <c r="L227" i="1"/>
  <c r="L841" i="1"/>
  <c r="L1220" i="1"/>
  <c r="L2043" i="1"/>
  <c r="L2299" i="1"/>
  <c r="L1786" i="1"/>
  <c r="L1380" i="1"/>
  <c r="L869" i="1"/>
  <c r="L367" i="1"/>
  <c r="L2009" i="1"/>
  <c r="L1922" i="1"/>
  <c r="L708" i="1"/>
  <c r="L2014" i="1"/>
  <c r="L2269" i="1"/>
  <c r="L95" i="1"/>
  <c r="L157" i="1"/>
  <c r="L858" i="1"/>
  <c r="L1760" i="1"/>
  <c r="L1990" i="1"/>
  <c r="L882" i="1"/>
  <c r="L1847" i="1"/>
  <c r="L452" i="1"/>
  <c r="L2021" i="1"/>
  <c r="L1815" i="1"/>
  <c r="L190" i="1"/>
  <c r="L1229" i="1"/>
  <c r="L2267" i="1"/>
  <c r="L135" i="1"/>
  <c r="L213" i="1"/>
  <c r="L847" i="1"/>
  <c r="L1779" i="1"/>
  <c r="L1989" i="1"/>
  <c r="L1883" i="1"/>
  <c r="L568" i="1"/>
  <c r="L987" i="1"/>
  <c r="L684" i="1"/>
  <c r="L522" i="1"/>
  <c r="L637" i="1"/>
  <c r="L29" i="1"/>
  <c r="L1078" i="1"/>
  <c r="L472" i="1"/>
  <c r="L610" i="1"/>
  <c r="L358" i="1"/>
  <c r="L1447" i="1"/>
  <c r="L1249" i="1"/>
  <c r="L878" i="1"/>
  <c r="L1292" i="1"/>
  <c r="L988" i="1"/>
  <c r="L416" i="1"/>
  <c r="L1285" i="1"/>
  <c r="L1329" i="1"/>
  <c r="L1028" i="1"/>
  <c r="L844" i="1"/>
  <c r="L1204" i="1"/>
  <c r="L1311" i="1"/>
  <c r="L1392" i="1"/>
  <c r="L1087" i="1"/>
  <c r="L896" i="1"/>
  <c r="L1262" i="1"/>
  <c r="L1476" i="1"/>
  <c r="L1734" i="1"/>
  <c r="L1931" i="1"/>
  <c r="L1739" i="1"/>
  <c r="L2251" i="1"/>
  <c r="L1974" i="1"/>
  <c r="L739" i="1"/>
  <c r="L889" i="1"/>
  <c r="L1684" i="1"/>
  <c r="L2001" i="1"/>
  <c r="L1048" i="1"/>
  <c r="L1633" i="1"/>
  <c r="L408" i="1"/>
  <c r="L1021" i="1"/>
  <c r="L1611" i="1"/>
  <c r="L465" i="1"/>
  <c r="L1070" i="1"/>
  <c r="L1941" i="1"/>
  <c r="L2285" i="1"/>
  <c r="L1938" i="1"/>
  <c r="L1023" i="1"/>
  <c r="L1389" i="1"/>
  <c r="L70" i="1"/>
  <c r="L1997" i="1"/>
  <c r="L718" i="1"/>
  <c r="L1661" i="1"/>
  <c r="L209" i="1"/>
  <c r="L2256" i="1"/>
  <c r="L341" i="1"/>
  <c r="L1026" i="1"/>
  <c r="L1731" i="1"/>
  <c r="L2041" i="1"/>
  <c r="L1977" i="1"/>
  <c r="L370" i="1"/>
  <c r="L1803" i="1"/>
  <c r="L2316" i="1"/>
  <c r="L2006" i="1"/>
  <c r="L151" i="1"/>
  <c r="L872" i="1"/>
  <c r="L2286" i="1"/>
  <c r="L2253" i="1"/>
  <c r="L651" i="1"/>
  <c r="L1309" i="1"/>
  <c r="L2213" i="1"/>
  <c r="L2306" i="1"/>
  <c r="L1638" i="1"/>
  <c r="L1900" i="1"/>
  <c r="L50" i="1"/>
  <c r="L1972" i="1"/>
  <c r="L1107" i="1"/>
  <c r="L1302" i="1"/>
  <c r="L105" i="1"/>
  <c r="L2314" i="1"/>
  <c r="L222" i="1"/>
  <c r="L519" i="1"/>
  <c r="L147" i="1"/>
  <c r="L2261" i="1"/>
  <c r="L2121" i="1"/>
  <c r="L2300" i="1"/>
  <c r="L1787" i="1"/>
  <c r="L1379" i="1"/>
  <c r="L769" i="1"/>
  <c r="L385" i="1"/>
  <c r="L2037" i="1"/>
  <c r="L1275" i="1"/>
  <c r="L1687" i="1"/>
  <c r="L2076" i="1"/>
  <c r="L391" i="1"/>
  <c r="L225" i="1"/>
  <c r="L1010" i="1"/>
  <c r="L746" i="1"/>
  <c r="L1391" i="1"/>
  <c r="L2008" i="1"/>
  <c r="L1946" i="1"/>
  <c r="L771" i="1"/>
  <c r="L2302" i="1"/>
  <c r="L1260" i="1"/>
  <c r="L1393" i="1"/>
  <c r="L735" i="1"/>
  <c r="L559" i="1"/>
  <c r="L2301" i="1"/>
  <c r="L1962" i="1"/>
  <c r="L1737" i="1"/>
  <c r="L541" i="1"/>
  <c r="L685" i="1"/>
  <c r="L2002" i="1"/>
  <c r="L149" i="1"/>
  <c r="L48" i="1"/>
  <c r="L2042" i="1"/>
  <c r="L2307" i="1"/>
  <c r="L1773" i="1"/>
  <c r="L1079" i="1"/>
  <c r="L1356" i="1"/>
  <c r="L1194" i="1"/>
  <c r="L1293" i="1"/>
  <c r="L1006" i="1"/>
  <c r="L704" i="1"/>
  <c r="L1871" i="1"/>
  <c r="L714" i="1"/>
  <c r="L1582" i="1"/>
  <c r="L1675" i="1"/>
  <c r="L958" i="1"/>
  <c r="L118" i="1"/>
  <c r="L764" i="1"/>
  <c r="L2168" i="1"/>
  <c r="L512" i="1"/>
  <c r="L638" i="1"/>
  <c r="L587" i="1"/>
  <c r="L2122" i="1"/>
  <c r="L1474" i="1"/>
  <c r="L1724" i="1"/>
  <c r="L1350" i="1"/>
  <c r="L1051" i="1"/>
  <c r="L617" i="1"/>
  <c r="L1507" i="1"/>
  <c r="L1618" i="1"/>
  <c r="L1418" i="1"/>
  <c r="L1109" i="1"/>
  <c r="L678" i="1"/>
  <c r="L1716" i="1"/>
  <c r="L956" i="1"/>
  <c r="L672" i="1"/>
  <c r="L397" i="1"/>
  <c r="L1667" i="1"/>
  <c r="L1338" i="1"/>
  <c r="L233" i="1"/>
  <c r="L1953" i="1"/>
  <c r="L1348" i="1"/>
  <c r="L2276" i="1"/>
  <c r="L1851" i="1"/>
  <c r="L1636" i="1"/>
  <c r="L2481" i="1"/>
  <c r="L2479" i="1"/>
  <c r="L338" i="1"/>
  <c r="L174" i="1"/>
  <c r="L498" i="1"/>
  <c r="L1985" i="1"/>
  <c r="L1499" i="1"/>
  <c r="L1572" i="1"/>
  <c r="L1068" i="1"/>
  <c r="L271" i="1"/>
  <c r="L2000" i="1"/>
  <c r="L2287" i="1"/>
  <c r="L1939" i="1"/>
  <c r="L907" i="1"/>
  <c r="L489" i="1"/>
  <c r="L1433" i="1"/>
  <c r="L2026" i="1"/>
  <c r="L1701" i="1"/>
  <c r="L1897" i="1"/>
  <c r="L399" i="1"/>
  <c r="L1593" i="1"/>
  <c r="L1778" i="1"/>
  <c r="L620" i="1"/>
  <c r="L1236" i="1"/>
  <c r="L1970" i="1"/>
  <c r="L1994" i="1"/>
  <c r="L1670" i="1"/>
  <c r="L223" i="1"/>
  <c r="L1867" i="1"/>
  <c r="L1766" i="1"/>
  <c r="L88" i="1"/>
  <c r="L564" i="1"/>
  <c r="L1971" i="1"/>
  <c r="L194" i="1"/>
  <c r="L1182" i="1"/>
  <c r="L1961" i="1"/>
  <c r="L362" i="1"/>
  <c r="L1335" i="1"/>
  <c r="L1771" i="1"/>
  <c r="L2263" i="1"/>
  <c r="L171" i="1"/>
  <c r="L315" i="1"/>
  <c r="L155" i="1"/>
  <c r="L2289" i="1"/>
  <c r="L396" i="1"/>
  <c r="L741" i="1"/>
  <c r="L812" i="1"/>
  <c r="L927" i="1"/>
  <c r="L810" i="1"/>
  <c r="L2024" i="1"/>
  <c r="L1692" i="1"/>
  <c r="L1879" i="1"/>
  <c r="L1425" i="1"/>
  <c r="L262" i="1"/>
  <c r="L1968" i="1"/>
  <c r="L1305" i="1"/>
  <c r="L1067" i="1"/>
  <c r="L2288" i="1"/>
  <c r="L2284" i="1"/>
  <c r="L1937" i="1"/>
  <c r="L1192" i="1"/>
  <c r="L1491" i="1"/>
  <c r="L2126" i="1"/>
  <c r="L1776" i="1"/>
  <c r="L734" i="1"/>
  <c r="L461" i="1"/>
  <c r="L1191" i="1"/>
  <c r="L2268" i="1"/>
  <c r="L107" i="1"/>
  <c r="L170" i="1"/>
  <c r="L921" i="1"/>
  <c r="L2297" i="1"/>
  <c r="L1783" i="1"/>
  <c r="L1598" i="1"/>
  <c r="L369" i="1"/>
  <c r="L906" i="1"/>
  <c r="L1774" i="1"/>
  <c r="L1017" i="1"/>
  <c r="L1241" i="1"/>
  <c r="L2161" i="1"/>
  <c r="L2264" i="1"/>
  <c r="L146" i="1"/>
  <c r="L259" i="1"/>
  <c r="L908" i="1"/>
  <c r="L120" i="1"/>
  <c r="L1003" i="1"/>
  <c r="L1152" i="1"/>
  <c r="L1269" i="1"/>
  <c r="L2095" i="1"/>
  <c r="L1381" i="1"/>
  <c r="L480" i="1"/>
  <c r="L707" i="1"/>
  <c r="L179" i="1"/>
  <c r="L485" i="1"/>
  <c r="L762" i="1"/>
  <c r="L2030" i="1"/>
  <c r="L1500" i="1"/>
  <c r="L1467" i="1"/>
  <c r="L886" i="1"/>
  <c r="L1020" i="1"/>
  <c r="L2045" i="1"/>
  <c r="L939" i="1"/>
  <c r="L1530" i="1"/>
  <c r="L2171" i="1"/>
  <c r="L2274" i="1"/>
  <c r="L1929" i="1"/>
  <c r="L1733" i="1"/>
  <c r="L699" i="1"/>
  <c r="L2259" i="1"/>
  <c r="L2028" i="1"/>
  <c r="L2013" i="1"/>
  <c r="L1905" i="1"/>
  <c r="L1876" i="1"/>
  <c r="L1987" i="1"/>
  <c r="L1702" i="1"/>
  <c r="L229" i="1"/>
  <c r="L892" i="1"/>
  <c r="L1278" i="1"/>
  <c r="L54" i="1"/>
  <c r="L2271" i="1"/>
  <c r="L80" i="1"/>
  <c r="L138" i="1"/>
  <c r="L693" i="1"/>
  <c r="L1998" i="1"/>
  <c r="L1767" i="1"/>
  <c r="L73" i="1"/>
  <c r="L1383" i="1"/>
  <c r="L1999" i="1"/>
  <c r="L2255" i="1"/>
  <c r="L342" i="1"/>
  <c r="L1027" i="1"/>
  <c r="L2248" i="1"/>
  <c r="L2278" i="1"/>
  <c r="L1934" i="1"/>
  <c r="L1368" i="1"/>
  <c r="L1267" i="1"/>
  <c r="L1272" i="1"/>
  <c r="L1764" i="1"/>
  <c r="L115" i="1"/>
  <c r="L792" i="1"/>
  <c r="L2010" i="1"/>
  <c r="L2050" i="1"/>
  <c r="L705" i="1"/>
  <c r="L1370" i="1"/>
  <c r="L2208" i="1"/>
  <c r="L1627" i="1"/>
  <c r="L344" i="1"/>
  <c r="L466" i="1"/>
  <c r="L1043" i="1"/>
  <c r="L198" i="1"/>
  <c r="L276" i="1"/>
  <c r="L1317" i="1"/>
  <c r="L337" i="1"/>
  <c r="L1115" i="1"/>
  <c r="L1988" i="1"/>
  <c r="L1289" i="1"/>
  <c r="L856" i="1"/>
  <c r="L1973" i="1"/>
  <c r="L299" i="1"/>
  <c r="L2040" i="1"/>
  <c r="L1880" i="1"/>
  <c r="L1914" i="1"/>
  <c r="L483" i="1"/>
  <c r="L1689" i="1"/>
  <c r="L226" i="1"/>
  <c r="L526" i="1"/>
  <c r="L578" i="1"/>
  <c r="L1978" i="1"/>
  <c r="L1424" i="1"/>
  <c r="L1833" i="1"/>
  <c r="L1361" i="1"/>
  <c r="L1791" i="1"/>
  <c r="L1576" i="1"/>
  <c r="L1680" i="1"/>
  <c r="L491" i="1"/>
  <c r="L1850" i="1"/>
  <c r="L308" i="1"/>
  <c r="L1417" i="1"/>
  <c r="L621" i="1"/>
  <c r="L756" i="1"/>
  <c r="L544" i="1"/>
  <c r="L1468" i="1"/>
  <c r="L1759" i="1"/>
  <c r="L248" i="1"/>
  <c r="L649" i="1"/>
  <c r="L1501" i="1"/>
  <c r="L1487" i="1"/>
  <c r="L231" i="1"/>
  <c r="L557" i="1"/>
  <c r="L1237" i="1"/>
  <c r="L1541" i="1"/>
  <c r="L1386" i="1"/>
  <c r="L254" i="1"/>
  <c r="L1448" i="1"/>
  <c r="L513" i="1"/>
  <c r="L986" i="1"/>
  <c r="L789" i="1"/>
  <c r="L1181" i="1"/>
  <c r="L1819" i="1"/>
  <c r="L555" i="1"/>
  <c r="L219" i="1"/>
  <c r="L1212" i="1"/>
  <c r="L2149" i="1"/>
  <c r="L1620" i="1"/>
  <c r="L34" i="1"/>
  <c r="L1802" i="1"/>
  <c r="L609" i="1"/>
  <c r="L336" i="1"/>
  <c r="L1473" i="1"/>
  <c r="L494" i="1"/>
  <c r="L1811" i="1"/>
  <c r="L670" i="1"/>
  <c r="L658" i="1"/>
  <c r="L1587" i="1"/>
  <c r="L706" i="1"/>
  <c r="L1762" i="1"/>
  <c r="L1372" i="1"/>
  <c r="L1185" i="1"/>
  <c r="L314" i="1"/>
  <c r="L1477" i="1"/>
  <c r="L931" i="1"/>
  <c r="L628" i="1"/>
  <c r="L463" i="1"/>
  <c r="L580" i="1"/>
  <c r="L31" i="1"/>
  <c r="L1907" i="1"/>
  <c r="L2078" i="1"/>
  <c r="L1149" i="1"/>
  <c r="L167" i="1"/>
  <c r="L2303" i="1"/>
  <c r="L625" i="1"/>
  <c r="L1049" i="1"/>
  <c r="L866" i="1"/>
  <c r="L767" i="1"/>
  <c r="L2080" i="1"/>
  <c r="L668" i="1"/>
  <c r="L2313" i="1"/>
  <c r="L1175" i="1"/>
  <c r="L1400" i="1"/>
  <c r="L196" i="1"/>
  <c r="L1597" i="1"/>
  <c r="L1775" i="1"/>
  <c r="L933" i="1"/>
  <c r="L1000" i="1"/>
  <c r="L1672" i="1"/>
  <c r="L1780" i="1"/>
  <c r="L1304" i="1"/>
  <c r="L1893" i="1"/>
  <c r="L1328" i="1"/>
  <c r="L631" i="1"/>
  <c r="L1245" i="1"/>
  <c r="L1698" i="1"/>
  <c r="L1580" i="1"/>
  <c r="L743" i="1"/>
  <c r="L1342" i="1"/>
  <c r="L163" i="1"/>
  <c r="L1443" i="1"/>
  <c r="L1259" i="1"/>
  <c r="L1681" i="1"/>
  <c r="L822" i="1"/>
  <c r="L500" i="1"/>
  <c r="L1615" i="1"/>
  <c r="L1926" i="1"/>
  <c r="L608" i="1"/>
  <c r="L1018" i="1"/>
  <c r="L1268" i="1"/>
  <c r="L973" i="1"/>
  <c r="L1697" i="1"/>
  <c r="L1291" i="1"/>
  <c r="L1162" i="1"/>
  <c r="L2239" i="1"/>
  <c r="L1562" i="1"/>
  <c r="L1951" i="1"/>
  <c r="L1351" i="1"/>
  <c r="L859" i="1"/>
  <c r="L865" i="1"/>
  <c r="L2109" i="1"/>
  <c r="L1824" i="1"/>
  <c r="L247" i="1"/>
  <c r="L298" i="1"/>
  <c r="L1416" i="1"/>
  <c r="L1105" i="1"/>
  <c r="L567" i="1"/>
  <c r="L1166" i="1"/>
  <c r="L357" i="1"/>
  <c r="L1461" i="1"/>
  <c r="L1160" i="1"/>
  <c r="L680" i="1"/>
  <c r="L1282" i="1"/>
  <c r="L1820" i="1"/>
  <c r="L722" i="1"/>
  <c r="L393" i="1"/>
  <c r="L1740" i="1"/>
  <c r="L1163" i="1"/>
  <c r="L1625" i="1"/>
  <c r="L1430" i="1"/>
  <c r="L1243" i="1"/>
  <c r="L422" i="1"/>
  <c r="L1745" i="1"/>
  <c r="L843" i="1"/>
  <c r="L2063" i="1"/>
  <c r="L79" i="1"/>
  <c r="L1032" i="1"/>
  <c r="L1717" i="1"/>
  <c r="L2129" i="1"/>
  <c r="L428" i="1"/>
  <c r="L1431" i="1"/>
  <c r="L1122" i="1"/>
  <c r="L1211" i="1"/>
  <c r="L870" i="1"/>
  <c r="L2031" i="1"/>
  <c r="L1586" i="1"/>
  <c r="L269" i="1"/>
  <c r="L728" i="1"/>
  <c r="L1796" i="1"/>
  <c r="L1573" i="1"/>
  <c r="L1510" i="1"/>
  <c r="L2312" i="1"/>
  <c r="L1320" i="1"/>
  <c r="L1798" i="1"/>
  <c r="L270" i="1"/>
  <c r="L1307" i="1"/>
  <c r="L1765" i="1"/>
  <c r="L144" i="1"/>
  <c r="L566" i="1"/>
  <c r="L532" i="1"/>
  <c r="L1932" i="1"/>
  <c r="L925" i="1"/>
  <c r="L838" i="1"/>
  <c r="L1551" i="1"/>
  <c r="L464" i="1"/>
  <c r="L128" i="1"/>
  <c r="L1911" i="1"/>
  <c r="L1265" i="1"/>
  <c r="L123" i="1"/>
  <c r="L359" i="1"/>
  <c r="L1439" i="1"/>
  <c r="L1266" i="1"/>
  <c r="L92" i="1"/>
  <c r="L1894" i="1"/>
  <c r="L650" i="1"/>
  <c r="L813" i="1"/>
  <c r="L2241" i="1"/>
  <c r="L1807" i="1"/>
  <c r="L1415" i="1"/>
  <c r="L823" i="1"/>
  <c r="L187" i="1"/>
  <c r="L773" i="1"/>
  <c r="L1910" i="1"/>
  <c r="L1463" i="1"/>
  <c r="L622" i="1"/>
  <c r="L2191" i="1"/>
  <c r="L1082" i="1"/>
  <c r="L1825" i="1"/>
  <c r="L721" i="1"/>
  <c r="L1753" i="1"/>
  <c r="L534" i="1"/>
  <c r="L2052" i="1"/>
  <c r="L1958" i="1"/>
  <c r="L909" i="1"/>
  <c r="L1069" i="1"/>
  <c r="L784" i="1"/>
  <c r="L493" i="1"/>
  <c r="L1694" i="1"/>
  <c r="L1504" i="1"/>
  <c r="L1129" i="1"/>
  <c r="L837" i="1"/>
  <c r="L540" i="1"/>
  <c r="L1738" i="1"/>
  <c r="L349" i="1"/>
  <c r="L410" i="1"/>
  <c r="L1512" i="1"/>
  <c r="L1213" i="1"/>
  <c r="L740" i="1"/>
  <c r="L1336" i="1"/>
  <c r="L1829" i="1"/>
  <c r="L782" i="1"/>
  <c r="L440" i="1"/>
  <c r="L15" i="1"/>
  <c r="L1332" i="1"/>
  <c r="L1575" i="1"/>
  <c r="L2047" i="1"/>
  <c r="L1619" i="1"/>
  <c r="L592" i="1"/>
  <c r="L606" i="1"/>
  <c r="L2114" i="1"/>
  <c r="L1258" i="1"/>
  <c r="L798" i="1"/>
  <c r="L148" i="1"/>
  <c r="L2005" i="1"/>
  <c r="L1406" i="1"/>
  <c r="L1108" i="1"/>
  <c r="L1642" i="1"/>
  <c r="L27" i="1"/>
  <c r="L1849" i="1"/>
  <c r="L112" i="1"/>
  <c r="L2298" i="1"/>
  <c r="L561" i="1"/>
  <c r="L311" i="1"/>
  <c r="L550" i="1"/>
  <c r="L443" i="1"/>
  <c r="L1792" i="1"/>
  <c r="L1984" i="1"/>
  <c r="L1583" i="1"/>
  <c r="L1896" i="1"/>
  <c r="L623" i="1"/>
  <c r="L1367" i="1"/>
  <c r="L1726" i="1"/>
  <c r="L1081" i="1"/>
  <c r="L289" i="1"/>
  <c r="L681" i="1"/>
  <c r="L355" i="1"/>
  <c r="L618" i="1"/>
  <c r="L1898" i="1"/>
  <c r="L1131" i="1"/>
  <c r="L901" i="1"/>
  <c r="L1044" i="1"/>
  <c r="L1144" i="1"/>
  <c r="L990" i="1"/>
  <c r="L454" i="1"/>
  <c r="L1761" i="1"/>
  <c r="L2190" i="1"/>
  <c r="L1948" i="1"/>
  <c r="L709" i="1"/>
  <c r="L807" i="1"/>
  <c r="L1141" i="1"/>
  <c r="L1121" i="1"/>
  <c r="L1626" i="1"/>
  <c r="L842" i="1"/>
  <c r="L1736" i="1"/>
  <c r="L2151" i="1"/>
  <c r="L558" i="1"/>
  <c r="L25" i="1"/>
  <c r="L1511" i="1"/>
  <c r="L1138" i="1"/>
  <c r="L435" i="1"/>
  <c r="L142" i="1"/>
  <c r="L833" i="1"/>
  <c r="L1624" i="1"/>
  <c r="L1644" i="1"/>
  <c r="L1568" i="1"/>
  <c r="L1330" i="1"/>
  <c r="L549" i="1"/>
  <c r="L1653" i="1"/>
  <c r="L1725" i="1"/>
  <c r="L1395" i="1"/>
  <c r="L1135" i="1"/>
  <c r="L667" i="1"/>
  <c r="L1177" i="1"/>
  <c r="L888" i="1"/>
  <c r="L591" i="1"/>
  <c r="L1800" i="1"/>
  <c r="L449" i="1"/>
  <c r="L455" i="1"/>
  <c r="L1566" i="1"/>
  <c r="L1271" i="1"/>
  <c r="L845" i="1"/>
  <c r="L1554" i="1"/>
  <c r="L2238" i="1"/>
  <c r="L169" i="1"/>
  <c r="L1832" i="1"/>
  <c r="L1496" i="1"/>
  <c r="L999" i="1"/>
  <c r="L2105" i="1"/>
  <c r="L101" i="1"/>
  <c r="L1592" i="1"/>
  <c r="L508" i="1"/>
  <c r="L1387" i="1"/>
  <c r="L1949" i="1"/>
  <c r="L2077" i="1"/>
  <c r="L2305" i="1"/>
  <c r="L1004" i="1"/>
  <c r="L1232" i="1"/>
  <c r="L210" i="1"/>
  <c r="L255" i="1"/>
  <c r="L2012" i="1"/>
  <c r="L745" i="1"/>
  <c r="L1980" i="1"/>
  <c r="L930" i="1"/>
  <c r="L1365" i="1"/>
  <c r="L2311" i="1"/>
  <c r="L911" i="1"/>
  <c r="L883" i="1"/>
  <c r="L1674" i="1"/>
  <c r="L1240" i="1"/>
  <c r="L627" i="1"/>
  <c r="L303" i="1"/>
  <c r="L99" i="1"/>
  <c r="L821" i="1"/>
  <c r="L645" i="1"/>
  <c r="L1064" i="1"/>
  <c r="L125" i="1"/>
  <c r="L1127" i="1"/>
  <c r="L1470" i="1"/>
  <c r="L2025" i="1"/>
  <c r="L1290" i="1"/>
  <c r="L596" i="1"/>
  <c r="L162" i="1"/>
  <c r="L379" i="1"/>
  <c r="L539" i="1"/>
  <c r="L1176" i="1"/>
  <c r="L467" i="1"/>
  <c r="L2155" i="1"/>
  <c r="L816" i="1"/>
  <c r="L1553" i="1"/>
  <c r="L1543" i="1"/>
  <c r="L257" i="1"/>
  <c r="L1009" i="1"/>
  <c r="L1839" i="1"/>
  <c r="L1730" i="1"/>
  <c r="L1104" i="1"/>
  <c r="L2107" i="1"/>
  <c r="L1354" i="1"/>
  <c r="L873" i="1"/>
  <c r="L1117" i="1"/>
  <c r="L1544" i="1"/>
  <c r="L1148" i="1"/>
  <c r="L1720" i="1"/>
  <c r="L1828" i="1"/>
  <c r="L1857" i="1"/>
  <c r="L961" i="1"/>
  <c r="L793" i="1"/>
  <c r="L2227" i="1"/>
  <c r="L556" i="1"/>
  <c r="L1866" i="1"/>
  <c r="L1012" i="1"/>
  <c r="L902" i="1"/>
  <c r="L2224" i="1"/>
  <c r="L726" i="1"/>
  <c r="L1662" i="1"/>
  <c r="L304" i="1"/>
  <c r="L1449" i="1"/>
  <c r="L1357" i="1"/>
  <c r="L881" i="1"/>
  <c r="L1235" i="1"/>
  <c r="L957" i="1"/>
  <c r="L648" i="1"/>
  <c r="L1835" i="1"/>
  <c r="L507" i="1"/>
  <c r="L2229" i="1"/>
  <c r="L1668" i="1"/>
  <c r="L12" i="1"/>
  <c r="L1301" i="1"/>
  <c r="L738" i="1"/>
  <c r="L2292" i="1"/>
  <c r="L646" i="1"/>
  <c r="L903" i="1"/>
  <c r="L1207" i="1"/>
  <c r="L1217" i="1"/>
  <c r="L1940" i="1"/>
  <c r="L1885" i="1"/>
  <c r="L1967" i="1"/>
  <c r="L1036" i="1"/>
  <c r="L1011" i="1"/>
  <c r="L2296" i="1"/>
  <c r="L732" i="1"/>
  <c r="L468" i="1"/>
  <c r="L1366" i="1"/>
  <c r="L1873" i="1"/>
  <c r="L1297" i="1"/>
  <c r="L316" i="1"/>
  <c r="L1475" i="1"/>
  <c r="L1608" i="1"/>
  <c r="L2131" i="1"/>
  <c r="L1252" i="1"/>
  <c r="L502" i="1"/>
  <c r="L589" i="1"/>
  <c r="L2215" i="1"/>
  <c r="L659" i="1"/>
  <c r="L640" i="1"/>
  <c r="L1038" i="1"/>
  <c r="L504" i="1"/>
  <c r="L1679" i="1"/>
  <c r="L611" i="1"/>
  <c r="L1525" i="1"/>
  <c r="L2118" i="1"/>
  <c r="L1690" i="1"/>
  <c r="L943" i="1"/>
  <c r="L597" i="1"/>
  <c r="L1631" i="1"/>
  <c r="L1810" i="1"/>
  <c r="L516" i="1"/>
  <c r="L205" i="1"/>
  <c r="L811" i="1"/>
  <c r="L2064" i="1"/>
  <c r="L899" i="1"/>
  <c r="L1708" i="1"/>
  <c r="L13" i="1"/>
  <c r="L861" i="1"/>
  <c r="L1444" i="1"/>
  <c r="L1112" i="1"/>
  <c r="L1190" i="1"/>
  <c r="L1621" i="1"/>
  <c r="L612" i="1"/>
  <c r="L23" i="1"/>
  <c r="L392" i="1"/>
  <c r="L2182" i="1"/>
  <c r="L1630" i="1"/>
  <c r="L673" i="1"/>
  <c r="L40" i="1"/>
  <c r="L439" i="1"/>
  <c r="L2179" i="1"/>
  <c r="L1846" i="1"/>
  <c r="L1875" i="1"/>
  <c r="L1075" i="1"/>
  <c r="L966" i="1"/>
  <c r="L2228" i="1"/>
  <c r="L1352" i="1"/>
  <c r="L1671" i="1"/>
  <c r="L363" i="1"/>
  <c r="L1495" i="1"/>
  <c r="L1423" i="1"/>
  <c r="L952" i="1"/>
  <c r="L2207" i="1"/>
  <c r="L1881" i="1"/>
  <c r="L106" i="1"/>
  <c r="L503" i="1"/>
  <c r="L459" i="1"/>
  <c r="L2079" i="1"/>
  <c r="L1201" i="1"/>
  <c r="L321" i="1"/>
  <c r="L1286" i="1"/>
  <c r="L1488" i="1"/>
  <c r="L2249" i="1"/>
  <c r="L4" i="1"/>
  <c r="L1646" i="1"/>
  <c r="L770" i="1"/>
  <c r="L274" i="1"/>
  <c r="L2279" i="1"/>
  <c r="L701" i="1"/>
  <c r="L1360" i="1"/>
  <c r="L59" i="1"/>
  <c r="L1579" i="1"/>
  <c r="L1652" i="1"/>
  <c r="L1768" i="1"/>
  <c r="L1161" i="1"/>
  <c r="L1705" i="1"/>
  <c r="L2283" i="1"/>
  <c r="L310" i="1"/>
  <c r="L1016" i="1"/>
  <c r="L2027" i="1"/>
  <c r="L207" i="1"/>
  <c r="L2482" i="1"/>
  <c r="L141" i="1"/>
  <c r="L1660" i="1"/>
  <c r="L835" i="1"/>
  <c r="L39" i="1"/>
  <c r="L2090" i="1"/>
  <c r="L1678" i="1"/>
  <c r="L1280" i="1"/>
  <c r="L815" i="1"/>
  <c r="L2125" i="1"/>
  <c r="L1450" i="1"/>
  <c r="L1441" i="1"/>
  <c r="L1025" i="1"/>
  <c r="L948" i="1"/>
  <c r="L1892" i="1"/>
  <c r="L730" i="1"/>
  <c r="L985" i="1"/>
  <c r="L2067" i="1"/>
  <c r="L1903" i="1"/>
  <c r="L317" i="1"/>
  <c r="L867" i="1"/>
  <c r="L2237" i="1"/>
  <c r="L1952" i="1"/>
  <c r="L1294" i="1"/>
  <c r="L805" i="1"/>
  <c r="L487" i="1"/>
  <c r="L103" i="1"/>
  <c r="L20" i="1"/>
  <c r="L1920" i="1"/>
  <c r="L1221" i="1"/>
  <c r="L1755" i="1"/>
  <c r="L252" i="1"/>
  <c r="L484" i="1"/>
  <c r="L615" i="1"/>
  <c r="L1834" i="1"/>
  <c r="L1419" i="1"/>
  <c r="L239" i="1"/>
  <c r="L1270" i="1"/>
  <c r="L2147" i="1"/>
  <c r="L1843" i="1"/>
  <c r="L1464" i="1"/>
  <c r="L253" i="1"/>
  <c r="L1327" i="1"/>
  <c r="L2139" i="1"/>
  <c r="L1639" i="1"/>
  <c r="L725" i="1"/>
  <c r="L60" i="1"/>
  <c r="L490" i="1"/>
  <c r="L2178" i="1"/>
  <c r="L1855" i="1"/>
  <c r="L1884" i="1"/>
  <c r="L1134" i="1"/>
  <c r="L1019" i="1"/>
  <c r="L2222" i="1"/>
  <c r="L1516" i="1"/>
  <c r="L2193" i="1"/>
  <c r="L116" i="1"/>
  <c r="L386" i="1"/>
  <c r="L2" i="1"/>
  <c r="L1371" i="1"/>
  <c r="L1960" i="1"/>
  <c r="L1155" i="1"/>
  <c r="L185" i="1"/>
  <c r="L1052" i="1"/>
  <c r="L277" i="1"/>
  <c r="L2270" i="1"/>
  <c r="L1567" i="1"/>
  <c r="L1612" i="1"/>
  <c r="L511" i="1"/>
  <c r="L1915" i="1"/>
  <c r="L1965" i="1"/>
  <c r="L1156" i="1"/>
  <c r="L102" i="1"/>
  <c r="L2033" i="1"/>
  <c r="L1874" i="1"/>
  <c r="L2309" i="1"/>
  <c r="L753" i="1"/>
  <c r="L1864" i="1"/>
  <c r="L1723" i="1"/>
  <c r="L569" i="1"/>
  <c r="L1632" i="1"/>
  <c r="L1882" i="1"/>
  <c r="L796" i="1"/>
  <c r="L1797" i="1"/>
  <c r="L2091" i="1"/>
  <c r="L655" i="1"/>
  <c r="L790" i="1"/>
  <c r="L197" i="1"/>
  <c r="L414" i="1"/>
  <c r="L836" i="1"/>
  <c r="L1519" i="1"/>
  <c r="L644" i="1"/>
  <c r="L1899" i="1"/>
  <c r="L1055" i="1"/>
  <c r="L409" i="1"/>
  <c r="L340" i="1"/>
  <c r="L2192" i="1"/>
  <c r="L1816" i="1"/>
  <c r="L669" i="1"/>
  <c r="L1601" i="1"/>
  <c r="L388" i="1"/>
  <c r="L974" i="1"/>
  <c r="L236" i="1"/>
  <c r="L1219" i="1"/>
  <c r="L423" i="1"/>
  <c r="L1014" i="1"/>
  <c r="L1484" i="1"/>
  <c r="L686" i="1"/>
  <c r="L1355" i="1"/>
  <c r="L42" i="1"/>
  <c r="L781" i="1"/>
  <c r="L922" i="1"/>
  <c r="L984" i="1"/>
  <c r="L2106" i="1"/>
  <c r="L62" i="1"/>
  <c r="L834" i="1"/>
  <c r="L978" i="1"/>
  <c r="L1045" i="1"/>
  <c r="L2102" i="1"/>
  <c r="L1852" i="1"/>
  <c r="L1515" i="1"/>
  <c r="L265" i="1"/>
  <c r="L1446" i="1"/>
  <c r="L2137" i="1"/>
  <c r="L1648" i="1"/>
  <c r="L785" i="1"/>
  <c r="L76" i="1"/>
  <c r="L537" i="1"/>
  <c r="L2175" i="1"/>
  <c r="L1438" i="1"/>
  <c r="L441" i="1"/>
  <c r="L230" i="1"/>
  <c r="L1035" i="1"/>
  <c r="L499" i="1"/>
  <c r="L85" i="1"/>
  <c r="L2257" i="1"/>
  <c r="L143" i="1"/>
  <c r="L768" i="1"/>
  <c r="L570" i="1"/>
  <c r="L1707" i="1"/>
  <c r="L224" i="1"/>
  <c r="L1497" i="1"/>
  <c r="L635" i="1"/>
  <c r="L2018" i="1"/>
  <c r="L1902" i="1"/>
  <c r="L2293" i="1"/>
  <c r="L470" i="1"/>
  <c r="L1657" i="1"/>
  <c r="L415" i="1"/>
  <c r="L52" i="1"/>
  <c r="L1921" i="1"/>
  <c r="L1888" i="1"/>
  <c r="L955" i="1"/>
  <c r="L1247" i="1"/>
  <c r="L1659" i="1"/>
  <c r="L1403" i="1"/>
  <c r="L1732" i="1"/>
  <c r="L1527" i="1"/>
  <c r="L182" i="1"/>
  <c r="L1830" i="1"/>
  <c r="L188" i="1"/>
  <c r="L389" i="1"/>
  <c r="L322" i="1"/>
  <c r="L590" i="1"/>
  <c r="L1234" i="1"/>
  <c r="L565" i="1"/>
  <c r="L2150" i="1"/>
  <c r="L1947" i="1"/>
  <c r="L1460" i="1"/>
  <c r="L1080" i="1"/>
  <c r="L1442" i="1"/>
  <c r="L121" i="1"/>
  <c r="L918" i="1"/>
  <c r="L703" i="1"/>
  <c r="L1195" i="1"/>
  <c r="L501" i="1"/>
  <c r="L1369" i="1"/>
  <c r="L1594" i="1"/>
  <c r="L900" i="1"/>
  <c r="L1111" i="1"/>
  <c r="L1565" i="1"/>
  <c r="L497" i="1"/>
  <c r="L642" i="1"/>
  <c r="L2051" i="1"/>
  <c r="L1273" i="1"/>
  <c r="L1722" i="1"/>
  <c r="L309" i="1"/>
  <c r="L761" i="1"/>
  <c r="L2046" i="1"/>
  <c r="L78" i="1"/>
  <c r="L885" i="1"/>
  <c r="L1039" i="1"/>
  <c r="L1103" i="1"/>
  <c r="L2098" i="1"/>
  <c r="L1861" i="1"/>
  <c r="L1569" i="1"/>
  <c r="L280" i="1"/>
  <c r="L1492" i="1"/>
  <c r="L2135" i="1"/>
  <c r="L795" i="1"/>
  <c r="L2160" i="1"/>
  <c r="L1261" i="1"/>
  <c r="L46" i="1"/>
  <c r="L288" i="1"/>
  <c r="L1420" i="1"/>
  <c r="L181" i="1"/>
  <c r="L1841" i="1"/>
  <c r="L418" i="1"/>
  <c r="L998" i="1"/>
  <c r="L204" i="1"/>
  <c r="L2204" i="1"/>
  <c r="L1908" i="1"/>
  <c r="L553" i="1"/>
  <c r="L1214" i="1"/>
  <c r="L300" i="1"/>
  <c r="L339" i="1"/>
  <c r="L44" i="1"/>
  <c r="L1007" i="1"/>
  <c r="L456" i="1"/>
  <c r="L1669" i="1"/>
  <c r="L1995" i="1"/>
  <c r="L2260" i="1"/>
  <c r="L1364" i="1"/>
  <c r="L2034" i="1"/>
  <c r="L849" i="1"/>
  <c r="L1785" i="1"/>
  <c r="L241" i="1"/>
  <c r="L1812" i="1"/>
  <c r="L1976" i="1"/>
  <c r="L1743" i="1"/>
  <c r="L1975" i="1"/>
  <c r="L1954" i="1"/>
  <c r="L47" i="1"/>
  <c r="L91" i="1"/>
  <c r="L1520" i="1"/>
  <c r="L347" i="1"/>
  <c r="L1645" i="1"/>
  <c r="L520" i="1"/>
  <c r="L1445" i="1"/>
  <c r="L429" i="1"/>
  <c r="L356" i="1"/>
  <c r="L1609" i="1"/>
  <c r="L2199" i="1"/>
  <c r="L1741" i="1"/>
  <c r="L1179" i="1"/>
  <c r="L1485" i="1"/>
  <c r="L1323" i="1"/>
  <c r="L132" i="1"/>
  <c r="L1901" i="1"/>
  <c r="L788" i="1"/>
  <c r="L1046" i="1"/>
  <c r="L2062" i="1"/>
  <c r="L1699" i="1"/>
  <c r="L1711" i="1"/>
  <c r="L759" i="1"/>
  <c r="L218" i="1"/>
  <c r="L529" i="1"/>
  <c r="L1024" i="1"/>
  <c r="L1706" i="1"/>
  <c r="L724" i="1"/>
  <c r="L442" i="1"/>
  <c r="L1676" i="1"/>
  <c r="L1453" i="1"/>
  <c r="L250" i="1"/>
  <c r="L1944" i="1"/>
  <c r="L28" i="1"/>
  <c r="L1222" i="1"/>
  <c r="L1604" i="1"/>
  <c r="L1315" i="1"/>
  <c r="L1955" i="1"/>
  <c r="L45" i="1"/>
  <c r="L1279" i="1"/>
  <c r="L333" i="1"/>
  <c r="L19" i="1"/>
  <c r="L1822" i="1"/>
  <c r="L1056" i="1"/>
  <c r="L1303" i="1"/>
  <c r="L641" i="1"/>
  <c r="L579" i="1"/>
  <c r="L1398" i="1"/>
  <c r="L398" i="1"/>
  <c r="L419" i="1"/>
  <c r="L982" i="1"/>
  <c r="L156" i="1"/>
  <c r="L168" i="1"/>
  <c r="L2133" i="1"/>
  <c r="L380" i="1"/>
  <c r="L1373" i="1"/>
  <c r="L1059" i="1"/>
  <c r="L2206" i="1"/>
  <c r="L1890" i="1"/>
  <c r="L119" i="1"/>
  <c r="L543" i="1"/>
  <c r="L1493" i="1"/>
  <c r="L110" i="1"/>
  <c r="L1930" i="1"/>
  <c r="L2317" i="1"/>
  <c r="L131" i="1"/>
  <c r="L1471" i="1"/>
  <c r="L581" i="1"/>
  <c r="L1983" i="1"/>
  <c r="L1050" i="1"/>
  <c r="L57" i="1"/>
  <c r="L2022" i="1"/>
  <c r="L1845" i="1"/>
  <c r="L1935" i="1"/>
  <c r="L2310" i="1"/>
  <c r="L1531" i="1"/>
  <c r="L1964" i="1"/>
  <c r="L917" i="1"/>
  <c r="L1963" i="1"/>
  <c r="L1223" i="1"/>
  <c r="L1617" i="1"/>
  <c r="L328" i="1"/>
  <c r="L2212" i="1"/>
  <c r="L830" i="1"/>
  <c r="L1858" i="1"/>
  <c r="L1298" i="1"/>
  <c r="L1209" i="1"/>
  <c r="L376" i="1"/>
  <c r="L1128" i="1"/>
  <c r="L420" i="1"/>
  <c r="L2159" i="1"/>
  <c r="L1918" i="1"/>
  <c r="L551" i="1"/>
  <c r="L965" i="1"/>
  <c r="L1102" i="1"/>
  <c r="L800" i="1"/>
  <c r="L887" i="1"/>
  <c r="L1574" i="1"/>
  <c r="L700" i="1"/>
  <c r="L58" i="1"/>
  <c r="L1912" i="1"/>
  <c r="L1116" i="1"/>
  <c r="L1603" i="1"/>
  <c r="L1382" i="1"/>
  <c r="L1147" i="1"/>
  <c r="L17" i="1"/>
  <c r="L1005" i="1"/>
  <c r="L1514" i="1"/>
  <c r="L1215" i="1"/>
  <c r="L895" i="1"/>
  <c r="L510" i="1"/>
  <c r="L919" i="1"/>
  <c r="L1277" i="1"/>
  <c r="L1404" i="1"/>
  <c r="L924" i="1"/>
  <c r="L1490" i="1"/>
  <c r="L1399" i="1"/>
  <c r="L1334" i="1"/>
  <c r="L496" i="1"/>
  <c r="L980" i="1"/>
  <c r="L1546" i="1"/>
  <c r="L1637" i="1"/>
  <c r="L1956" i="1"/>
  <c r="L65" i="1"/>
  <c r="L1405" i="1"/>
  <c r="L488" i="1"/>
  <c r="L72" i="1"/>
  <c r="L1831" i="1"/>
  <c r="L1118" i="1"/>
  <c r="L1362" i="1"/>
  <c r="L697" i="1"/>
  <c r="L1037" i="1"/>
  <c r="L624" i="1"/>
  <c r="L2119" i="1"/>
  <c r="L1200" i="1"/>
  <c r="L748" i="1"/>
  <c r="L1454" i="1"/>
  <c r="L2188" i="1"/>
  <c r="L129" i="1"/>
  <c r="L433" i="1"/>
  <c r="L947" i="1"/>
  <c r="L1296" i="1"/>
  <c r="L1095" i="1"/>
  <c r="L1502" i="1"/>
  <c r="L898" i="1"/>
  <c r="L1886" i="1"/>
  <c r="L1826" i="1"/>
  <c r="L402" i="1"/>
  <c r="L2089" i="1"/>
  <c r="L195" i="1"/>
  <c r="L1712" i="1"/>
  <c r="L1186" i="1"/>
  <c r="L548" i="1"/>
  <c r="L343" i="1"/>
  <c r="L1274" i="1"/>
  <c r="L2049" i="1"/>
  <c r="L1469" i="1"/>
  <c r="L1208" i="1"/>
  <c r="L1559" i="1"/>
  <c r="L853" i="1"/>
  <c r="L26" i="1"/>
  <c r="L2066" i="1"/>
  <c r="L1124" i="1"/>
  <c r="L1375" i="1"/>
  <c r="L855" i="1"/>
  <c r="L2081" i="1"/>
  <c r="L1862" i="1"/>
  <c r="L926" i="1"/>
  <c r="L1455" i="1"/>
  <c r="L688" i="1"/>
  <c r="L1596" i="1"/>
  <c r="L2071" i="1"/>
  <c r="L521" i="1"/>
  <c r="L1757" i="1"/>
  <c r="L1284" i="1"/>
  <c r="L377" i="1"/>
  <c r="L801" i="1"/>
  <c r="L2128" i="1"/>
  <c r="L272" i="1"/>
  <c r="L1226" i="1"/>
  <c r="L319" i="1"/>
  <c r="L751" i="1"/>
  <c r="L1517" i="1"/>
  <c r="L1058" i="1"/>
  <c r="L695" i="1"/>
  <c r="L186" i="1"/>
  <c r="L2183" i="1"/>
  <c r="L977" i="1"/>
  <c r="L675" i="1"/>
  <c r="L599" i="1"/>
  <c r="L164" i="1"/>
  <c r="L1917" i="1"/>
  <c r="L2197" i="1"/>
  <c r="L292" i="1"/>
  <c r="L427" i="1"/>
  <c r="L479" i="1"/>
  <c r="L2132" i="1"/>
  <c r="L1600" i="1"/>
  <c r="L1505" i="1"/>
  <c r="L381" i="1"/>
  <c r="L1414" i="1"/>
  <c r="L100" i="1"/>
  <c r="L1158" i="1"/>
  <c r="L1606" i="1"/>
  <c r="L1752" i="1"/>
  <c r="L263" i="1"/>
  <c r="L313" i="1"/>
  <c r="L1848" i="1"/>
  <c r="L944" i="1"/>
  <c r="L177" i="1"/>
  <c r="L772" i="1"/>
  <c r="L969" i="1"/>
  <c r="L1288" i="1"/>
  <c r="L1763" i="1"/>
  <c r="L1344" i="1"/>
  <c r="L676" i="1"/>
  <c r="L1986" i="1"/>
  <c r="L2065" i="1"/>
  <c r="L731" i="1"/>
  <c r="L486" i="1"/>
  <c r="L1171" i="1"/>
  <c r="L1478" i="1"/>
  <c r="L975" i="1"/>
  <c r="L2082" i="1"/>
  <c r="L715" i="1"/>
  <c r="L574" i="1"/>
  <c r="L215" i="1"/>
  <c r="L2096" i="1"/>
  <c r="L1658" i="1"/>
  <c r="L1547" i="1"/>
  <c r="L1061" i="1"/>
  <c r="L1313" i="1"/>
  <c r="L802" i="1"/>
  <c r="L2083" i="1"/>
  <c r="L1853" i="1"/>
  <c r="L863" i="1"/>
  <c r="L877" i="1"/>
  <c r="L970" i="1"/>
  <c r="L200" i="1"/>
  <c r="L2142" i="1"/>
  <c r="L68" i="1"/>
  <c r="L828" i="1"/>
  <c r="L912" i="1"/>
  <c r="L183" i="1"/>
  <c r="L727" i="1"/>
  <c r="L661" i="1"/>
  <c r="L178" i="1"/>
  <c r="L1925" i="1"/>
  <c r="L2198" i="1"/>
  <c r="L238" i="1"/>
  <c r="L1508" i="1"/>
  <c r="L1577" i="1"/>
  <c r="L82" i="1"/>
  <c r="L1704" i="1"/>
  <c r="L2221" i="1"/>
  <c r="L1341" i="1"/>
  <c r="L1031" i="1"/>
  <c r="L127" i="1"/>
  <c r="L2144" i="1"/>
  <c r="L804" i="1"/>
  <c r="L713" i="1"/>
  <c r="L113" i="1"/>
  <c r="L1228" i="1"/>
  <c r="L430" i="1"/>
  <c r="L1099" i="1"/>
  <c r="L809" i="1"/>
  <c r="L384" i="1"/>
  <c r="L1540" i="1"/>
  <c r="L37" i="1"/>
  <c r="L1635" i="1"/>
  <c r="L1143" i="1"/>
  <c r="L554" i="1"/>
  <c r="L1347" i="1"/>
  <c r="L1244" i="1"/>
  <c r="L799" i="1"/>
  <c r="L193" i="1"/>
  <c r="L1074" i="1"/>
  <c r="L1916" i="1"/>
  <c r="L2304" i="1"/>
  <c r="L457" i="1"/>
  <c r="L412" i="1"/>
  <c r="L972" i="1"/>
  <c r="L2136" i="1"/>
  <c r="L2281" i="1"/>
  <c r="L1526" i="1"/>
  <c r="L267" i="1"/>
  <c r="L1887" i="1"/>
  <c r="L348" i="1"/>
  <c r="L1318" i="1"/>
  <c r="L829" i="1"/>
  <c r="L2092" i="1"/>
  <c r="L330" i="1"/>
  <c r="L417" i="1"/>
  <c r="L584" i="1"/>
  <c r="L264" i="1"/>
  <c r="L818" i="1"/>
  <c r="L1494" i="1"/>
  <c r="L777" i="1"/>
  <c r="L749" i="1"/>
  <c r="L261" i="1"/>
  <c r="L2094" i="1"/>
  <c r="L1685" i="1"/>
  <c r="L332" i="1"/>
  <c r="L404" i="1"/>
  <c r="L1374" i="1"/>
  <c r="L36" i="1"/>
  <c r="L1180" i="1"/>
  <c r="L1339" i="1"/>
  <c r="L475" i="1"/>
  <c r="L916" i="1"/>
  <c r="L2124" i="1"/>
  <c r="L371" i="1"/>
  <c r="L1390" i="1"/>
  <c r="L290" i="1"/>
  <c r="L1197" i="1"/>
  <c r="L1748" i="1"/>
  <c r="L2111" i="1"/>
  <c r="L1083" i="1"/>
  <c r="L1008" i="1"/>
  <c r="L1503" i="1"/>
  <c r="L1602" i="1"/>
  <c r="L857" i="1"/>
  <c r="L2165" i="1"/>
  <c r="L959" i="1"/>
  <c r="L1451" i="1"/>
  <c r="L1542" i="1"/>
  <c r="L803" i="1"/>
  <c r="L1125" i="1"/>
  <c r="L733" i="1"/>
  <c r="L1877" i="1"/>
  <c r="L246" i="1"/>
  <c r="L2234" i="1"/>
  <c r="L983" i="1"/>
  <c r="L717" i="1"/>
  <c r="L819" i="1"/>
  <c r="L1655" i="1"/>
  <c r="L16" i="1"/>
  <c r="L2250" i="1"/>
  <c r="L547" i="1"/>
  <c r="L913" i="1"/>
  <c r="L576" i="1"/>
  <c r="L2172" i="1"/>
  <c r="L864" i="1"/>
  <c r="L1337" i="1"/>
  <c r="L481" i="1"/>
  <c r="L448" i="1"/>
  <c r="L2103" i="1"/>
  <c r="L1097" i="1"/>
  <c r="L1041" i="1"/>
  <c r="L1136" i="1"/>
  <c r="L533" i="1"/>
  <c r="L1353" i="1"/>
  <c r="L1589" i="1"/>
  <c r="L824" i="1"/>
  <c r="L1821" i="1"/>
  <c r="L1923" i="1"/>
  <c r="L35" i="1"/>
  <c r="L2173" i="1"/>
  <c r="L1942" i="1"/>
  <c r="L1793" i="1"/>
  <c r="L64" i="1"/>
  <c r="L1518" i="1"/>
  <c r="A11" i="7" l="1" a="1"/>
  <c r="A2" i="7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<sst xmlns="http://schemas.openxmlformats.org/spreadsheetml/2006/main" count="6626" uniqueCount="1074">
  <si>
    <t>role_id</t>
  </si>
  <si>
    <t>Directorate</t>
  </si>
  <si>
    <t>Department</t>
  </si>
  <si>
    <t>Role</t>
  </si>
  <si>
    <t>R0001</t>
  </si>
  <si>
    <t>Corporate Affairs and Engagement</t>
  </si>
  <si>
    <t>Communications and Engagement Manager</t>
  </si>
  <si>
    <t>R0002</t>
  </si>
  <si>
    <t>Communications Business Partner</t>
  </si>
  <si>
    <t>R0003</t>
  </si>
  <si>
    <t>Head of Corporate Affairs and Communication</t>
  </si>
  <si>
    <t>R0004</t>
  </si>
  <si>
    <t>Patient Experience Co-ordinator</t>
  </si>
  <si>
    <t>R0005</t>
  </si>
  <si>
    <t>Patient Experience Manager</t>
  </si>
  <si>
    <t>R0006</t>
  </si>
  <si>
    <t>Web and Intranet Analyst Developer</t>
  </si>
  <si>
    <t>R0007</t>
  </si>
  <si>
    <t>Executive</t>
  </si>
  <si>
    <t>Directors</t>
  </si>
  <si>
    <t>Director</t>
  </si>
  <si>
    <t>R0008</t>
  </si>
  <si>
    <t>Personal Assistants</t>
  </si>
  <si>
    <t>Executive Personal Assistant</t>
  </si>
  <si>
    <t>R0009</t>
  </si>
  <si>
    <t>Finance and Logistics</t>
  </si>
  <si>
    <t xml:space="preserve">Estates </t>
  </si>
  <si>
    <t>Deputy Head of Estates</t>
  </si>
  <si>
    <t>R0010</t>
  </si>
  <si>
    <t>Estates Administrator</t>
  </si>
  <si>
    <t>R0011</t>
  </si>
  <si>
    <t>Estates Helpdesk Manager</t>
  </si>
  <si>
    <t>R0012</t>
  </si>
  <si>
    <t>Estates Manager</t>
  </si>
  <si>
    <t>R0013</t>
  </si>
  <si>
    <t>Estates Officer</t>
  </si>
  <si>
    <t>R0014</t>
  </si>
  <si>
    <t xml:space="preserve">Head of Estates </t>
  </si>
  <si>
    <t>R0015</t>
  </si>
  <si>
    <t>Finance</t>
  </si>
  <si>
    <t>Capital Accountant</t>
  </si>
  <si>
    <t>R0016</t>
  </si>
  <si>
    <t>Claims Administrator</t>
  </si>
  <si>
    <t>R0017</t>
  </si>
  <si>
    <t>Deputy Head of Procurement</t>
  </si>
  <si>
    <t>R0018</t>
  </si>
  <si>
    <t>Head of Costing and Capital</t>
  </si>
  <si>
    <t>R0019</t>
  </si>
  <si>
    <t>Head of Finance</t>
  </si>
  <si>
    <t>R0020</t>
  </si>
  <si>
    <t>Procurement Admin Officer</t>
  </si>
  <si>
    <t>R0021</t>
  </si>
  <si>
    <t>Procurement Assistant</t>
  </si>
  <si>
    <t>R0022</t>
  </si>
  <si>
    <t>Procurement Officer</t>
  </si>
  <si>
    <t>R0023</t>
  </si>
  <si>
    <t>Senior Finance Analyst</t>
  </si>
  <si>
    <t>R0024</t>
  </si>
  <si>
    <t>Treasury Officer</t>
  </si>
  <si>
    <t>R0025</t>
  </si>
  <si>
    <t>Fleet</t>
  </si>
  <si>
    <t>Chargehand</t>
  </si>
  <si>
    <t>R0026</t>
  </si>
  <si>
    <t>Fleet Administrator</t>
  </si>
  <si>
    <t>R0027</t>
  </si>
  <si>
    <t>Fleet Administrator Higher Level</t>
  </si>
  <si>
    <t>R0028</t>
  </si>
  <si>
    <t>Fleet Manager</t>
  </si>
  <si>
    <t>R0029</t>
  </si>
  <si>
    <t>Fleet Senior Management</t>
  </si>
  <si>
    <t>R0030</t>
  </si>
  <si>
    <t>Fleet Supervisor</t>
  </si>
  <si>
    <t>R0031</t>
  </si>
  <si>
    <t>Fleet Systems Administrator/Manager</t>
  </si>
  <si>
    <t>R0032</t>
  </si>
  <si>
    <t>Fleet Systems and Administration Manager</t>
  </si>
  <si>
    <t>R0033</t>
  </si>
  <si>
    <t>Fleet Workshop Administrator</t>
  </si>
  <si>
    <t>R0034</t>
  </si>
  <si>
    <t>Handy Person</t>
  </si>
  <si>
    <t>R0035</t>
  </si>
  <si>
    <t>Planner</t>
  </si>
  <si>
    <t>R0036</t>
  </si>
  <si>
    <t>Senior Fleet Administrator</t>
  </si>
  <si>
    <t>R0037</t>
  </si>
  <si>
    <t>Stores Administrator</t>
  </si>
  <si>
    <t>R0038</t>
  </si>
  <si>
    <t>Technician</t>
  </si>
  <si>
    <t>R0039</t>
  </si>
  <si>
    <t>Workshop Planning Supervisor</t>
  </si>
  <si>
    <t>R0040</t>
  </si>
  <si>
    <t>Information and Communication Technology</t>
  </si>
  <si>
    <t>ICT Administrator</t>
  </si>
  <si>
    <t>R0041</t>
  </si>
  <si>
    <t>ICT Manager</t>
  </si>
  <si>
    <t>R0042</t>
  </si>
  <si>
    <t>ICT Senior Manager</t>
  </si>
  <si>
    <t>R0043</t>
  </si>
  <si>
    <t>ICT Systems Development Officer</t>
  </si>
  <si>
    <t>R0044</t>
  </si>
  <si>
    <t>ICT Systems Trainer</t>
  </si>
  <si>
    <t>R0045</t>
  </si>
  <si>
    <t>ICT Technical staff</t>
  </si>
  <si>
    <t>R0046</t>
  </si>
  <si>
    <t>Learning and Development Administrator</t>
  </si>
  <si>
    <t>R0047</t>
  </si>
  <si>
    <t>Learning and Development Technologist</t>
  </si>
  <si>
    <t>R0048</t>
  </si>
  <si>
    <t>Procurement</t>
  </si>
  <si>
    <t>R0049</t>
  </si>
  <si>
    <t>Head of Procurement</t>
  </si>
  <si>
    <t>R0050</t>
  </si>
  <si>
    <t>Materials Management Operative</t>
  </si>
  <si>
    <t>R0051</t>
  </si>
  <si>
    <t>Procurement Administrator</t>
  </si>
  <si>
    <t>R0052</t>
  </si>
  <si>
    <t>R0053</t>
  </si>
  <si>
    <t>Procurement Specialist</t>
  </si>
  <si>
    <t>R0054</t>
  </si>
  <si>
    <t>National Operations</t>
  </si>
  <si>
    <t>Ambulance Control Centre</t>
  </si>
  <si>
    <t>Administrator</t>
  </si>
  <si>
    <t>R0055</t>
  </si>
  <si>
    <t>Business Support Manager</t>
  </si>
  <si>
    <t>R0056</t>
  </si>
  <si>
    <t>Call Handler</t>
  </si>
  <si>
    <t>R0057</t>
  </si>
  <si>
    <t>Call Handler Supervisor</t>
  </si>
  <si>
    <t>R0058</t>
  </si>
  <si>
    <t>Call Performance Manager</t>
  </si>
  <si>
    <t>R0059</t>
  </si>
  <si>
    <t>Complaint Resolution Manager</t>
  </si>
  <si>
    <t>R0060</t>
  </si>
  <si>
    <t>Complaint Resolution team</t>
  </si>
  <si>
    <t>R0061</t>
  </si>
  <si>
    <t>Critical Care Clinicians</t>
  </si>
  <si>
    <t>R0062</t>
  </si>
  <si>
    <t>Data Administrator</t>
  </si>
  <si>
    <t>R0063</t>
  </si>
  <si>
    <t>Dispatch Supervisor</t>
  </si>
  <si>
    <t>R0064</t>
  </si>
  <si>
    <t>Dispatcher</t>
  </si>
  <si>
    <t>R0065</t>
  </si>
  <si>
    <t>Dual Supervisor</t>
  </si>
  <si>
    <t>R0066</t>
  </si>
  <si>
    <t>Duty Manager</t>
  </si>
  <si>
    <t>R0067</t>
  </si>
  <si>
    <t>Head of Ambulance Control Services</t>
  </si>
  <si>
    <t>R0068</t>
  </si>
  <si>
    <t>Head of Operational Delivery</t>
  </si>
  <si>
    <t>R0069</t>
  </si>
  <si>
    <t>Head of Performance Planning and Information</t>
  </si>
  <si>
    <t>R0070</t>
  </si>
  <si>
    <t>Head of Scheduled Care</t>
  </si>
  <si>
    <t>R0071</t>
  </si>
  <si>
    <t>Learning and Development Manager</t>
  </si>
  <si>
    <t>R0072</t>
  </si>
  <si>
    <t>MPDS Auditor</t>
  </si>
  <si>
    <t>R0073</t>
  </si>
  <si>
    <t>National Dispatch Manager</t>
  </si>
  <si>
    <t>R0074</t>
  </si>
  <si>
    <t>Performance Supervisor</t>
  </si>
  <si>
    <t>R0075</t>
  </si>
  <si>
    <t>Practice Developer</t>
  </si>
  <si>
    <t>R0076</t>
  </si>
  <si>
    <t>Real Time Analyst</t>
  </si>
  <si>
    <t>R0077</t>
  </si>
  <si>
    <t>Scheduled Care Auditor</t>
  </si>
  <si>
    <t>R0078</t>
  </si>
  <si>
    <t>Scheduled Care Coordinator</t>
  </si>
  <si>
    <t>R0079</t>
  </si>
  <si>
    <t>Scheduled Care Manager</t>
  </si>
  <si>
    <t>R0080</t>
  </si>
  <si>
    <t>Scheduled Care Supervisor</t>
  </si>
  <si>
    <t>R0081</t>
  </si>
  <si>
    <t>Specialist Services Desk Call Handler</t>
  </si>
  <si>
    <t>R0082</t>
  </si>
  <si>
    <t>Specialist Services Desk Dispatcher</t>
  </si>
  <si>
    <t>R0083</t>
  </si>
  <si>
    <t>Specialist Services Desk Supervisor</t>
  </si>
  <si>
    <t>R0084</t>
  </si>
  <si>
    <t>System Support Manager</t>
  </si>
  <si>
    <t>R0085</t>
  </si>
  <si>
    <t>Workforce Planner</t>
  </si>
  <si>
    <t>R0086</t>
  </si>
  <si>
    <t>Workforce Planning Supervisor</t>
  </si>
  <si>
    <t>R0087</t>
  </si>
  <si>
    <t>Ambulance Services</t>
  </si>
  <si>
    <t>Advanced Practitioner</t>
  </si>
  <si>
    <t>R0088</t>
  </si>
  <si>
    <t>Ambulance Care Assistant</t>
  </si>
  <si>
    <t>R0089</t>
  </si>
  <si>
    <t>Ambulance Technician</t>
  </si>
  <si>
    <t>R0090</t>
  </si>
  <si>
    <t>Area Service Manager</t>
  </si>
  <si>
    <t>R0091</t>
  </si>
  <si>
    <t>Clinical Effectiveness Lead</t>
  </si>
  <si>
    <t>R0092</t>
  </si>
  <si>
    <t>Head of Service</t>
  </si>
  <si>
    <t>R0093</t>
  </si>
  <si>
    <t>Paramedic</t>
  </si>
  <si>
    <t>R0094</t>
  </si>
  <si>
    <t>Integrated Clinical Hub</t>
  </si>
  <si>
    <t>Clinical Development Manager</t>
  </si>
  <si>
    <t>R0095</t>
  </si>
  <si>
    <t>Clinical Quality Lead</t>
  </si>
  <si>
    <t>R0096</t>
  </si>
  <si>
    <t>GP</t>
  </si>
  <si>
    <t>R0097</t>
  </si>
  <si>
    <t>ICH Clinician</t>
  </si>
  <si>
    <t>R0098</t>
  </si>
  <si>
    <t>ICH Manager</t>
  </si>
  <si>
    <t>R0099</t>
  </si>
  <si>
    <t>National Risk and Resilience</t>
  </si>
  <si>
    <t>Assistant Strategic Operations Manager</t>
  </si>
  <si>
    <t>R0100</t>
  </si>
  <si>
    <t>R0101</t>
  </si>
  <si>
    <t>CBRNe Instructor</t>
  </si>
  <si>
    <t>R0102</t>
  </si>
  <si>
    <t>Clinical Training Officer</t>
  </si>
  <si>
    <t>R0103</t>
  </si>
  <si>
    <t>Command Training Officer</t>
  </si>
  <si>
    <t>R0104</t>
  </si>
  <si>
    <t>Community Resilience Facilitator</t>
  </si>
  <si>
    <t>R0105</t>
  </si>
  <si>
    <t>Community Resilience Team Leader</t>
  </si>
  <si>
    <t>R0106</t>
  </si>
  <si>
    <t>Education and Training Business Administrator</t>
  </si>
  <si>
    <t>R0107</t>
  </si>
  <si>
    <t>Events Service Delivery Manager</t>
  </si>
  <si>
    <t>R0108</t>
  </si>
  <si>
    <t>Head of Risk and Resilience</t>
  </si>
  <si>
    <t>R0109</t>
  </si>
  <si>
    <t>Logistics Operative</t>
  </si>
  <si>
    <t>R0110</t>
  </si>
  <si>
    <t>Logistics Team Leader</t>
  </si>
  <si>
    <t>R0111</t>
  </si>
  <si>
    <t>Operational Support Manager</t>
  </si>
  <si>
    <t>R0112</t>
  </si>
  <si>
    <t>Resilience Advisor</t>
  </si>
  <si>
    <t>R0113</t>
  </si>
  <si>
    <t>Resilience Manager</t>
  </si>
  <si>
    <t>R0114</t>
  </si>
  <si>
    <t>Risk and Resilience Administrator</t>
  </si>
  <si>
    <t>R0115</t>
  </si>
  <si>
    <t>R0116</t>
  </si>
  <si>
    <t>Risk Management Administrator</t>
  </si>
  <si>
    <t>R0117</t>
  </si>
  <si>
    <t>R0118</t>
  </si>
  <si>
    <t>Risk Manager</t>
  </si>
  <si>
    <t>R0119</t>
  </si>
  <si>
    <t>SORT Paramedic</t>
  </si>
  <si>
    <t>R0120</t>
  </si>
  <si>
    <t>SORT Team Leader</t>
  </si>
  <si>
    <t>R0121</t>
  </si>
  <si>
    <t>Special Operations Manager</t>
  </si>
  <si>
    <t>R0122</t>
  </si>
  <si>
    <t>Strategic Operations Manager</t>
  </si>
  <si>
    <t>R0123</t>
  </si>
  <si>
    <t>Training Administrator</t>
  </si>
  <si>
    <t>R0124</t>
  </si>
  <si>
    <t>Training and Development Compliance Manager</t>
  </si>
  <si>
    <t>R0125</t>
  </si>
  <si>
    <t>Training and Development Manager</t>
  </si>
  <si>
    <t>R0126</t>
  </si>
  <si>
    <t>ScotSTAR</t>
  </si>
  <si>
    <t>Advanced Neonatal Nurse Practitioner</t>
  </si>
  <si>
    <t>R0127</t>
  </si>
  <si>
    <t>R0128</t>
  </si>
  <si>
    <t>Advanced Nurse Practitioner</t>
  </si>
  <si>
    <t>R0129</t>
  </si>
  <si>
    <t>Advanced Retrieval Practitioner</t>
  </si>
  <si>
    <t>R0130</t>
  </si>
  <si>
    <t>Air Ambulance Paramedics</t>
  </si>
  <si>
    <t>R0131</t>
  </si>
  <si>
    <t>EMRS Administrator</t>
  </si>
  <si>
    <t>R0132</t>
  </si>
  <si>
    <t>EMRS Advanced Retrieval Practitioner</t>
  </si>
  <si>
    <t>R0133</t>
  </si>
  <si>
    <t>EMRS Consultant</t>
  </si>
  <si>
    <t>R0134</t>
  </si>
  <si>
    <t>EMRS Fellow</t>
  </si>
  <si>
    <t>R0135</t>
  </si>
  <si>
    <t>Head of Air Ambulance Service</t>
  </si>
  <si>
    <t>R0136</t>
  </si>
  <si>
    <t>Head of ScotSTAR EMRS</t>
  </si>
  <si>
    <t>R0137</t>
  </si>
  <si>
    <t>Head of ScotSTAR Paediatrics</t>
  </si>
  <si>
    <t>R0138</t>
  </si>
  <si>
    <t>HIU Paediatric Liaison Nurse</t>
  </si>
  <si>
    <t>R0139</t>
  </si>
  <si>
    <t>Neonatal Charge Nurse</t>
  </si>
  <si>
    <t>R0140</t>
  </si>
  <si>
    <t>Neonatal Consultant</t>
  </si>
  <si>
    <t>R0141</t>
  </si>
  <si>
    <t>Neonatal Fellow</t>
  </si>
  <si>
    <t>R0142</t>
  </si>
  <si>
    <t>Neonatal Nurse Consultant</t>
  </si>
  <si>
    <t>R0143</t>
  </si>
  <si>
    <t>Neonatal Nurses</t>
  </si>
  <si>
    <t>R0144</t>
  </si>
  <si>
    <t>Neonatal Transport Nurse</t>
  </si>
  <si>
    <t>R0145</t>
  </si>
  <si>
    <t>Nurse Consultant</t>
  </si>
  <si>
    <t>R0146</t>
  </si>
  <si>
    <t>Paediatric Advanced Nurse Practitioner</t>
  </si>
  <si>
    <t>R0147</t>
  </si>
  <si>
    <t>Paediatric Consultant</t>
  </si>
  <si>
    <t>R0148</t>
  </si>
  <si>
    <t>Paediatric Fellow</t>
  </si>
  <si>
    <t>R0149</t>
  </si>
  <si>
    <t>Paediatric Nurse</t>
  </si>
  <si>
    <t>R0150</t>
  </si>
  <si>
    <t>Paediatric Nurse Consultant</t>
  </si>
  <si>
    <t>R0151</t>
  </si>
  <si>
    <t>ScotSTAR Administrator</t>
  </si>
  <si>
    <t>R0152</t>
  </si>
  <si>
    <t>ScotSTAR Driver</t>
  </si>
  <si>
    <t>R0153</t>
  </si>
  <si>
    <t>Senior Transport Charge Nurse</t>
  </si>
  <si>
    <t>R0154</t>
  </si>
  <si>
    <t>Transport Nurse</t>
  </si>
  <si>
    <t>R0155</t>
  </si>
  <si>
    <t>People and Culture</t>
  </si>
  <si>
    <t>Education and Professional Development</t>
  </si>
  <si>
    <t>R0156</t>
  </si>
  <si>
    <t>Assistant Head of Education and Professional Development</t>
  </si>
  <si>
    <t>R0157</t>
  </si>
  <si>
    <t>R0158</t>
  </si>
  <si>
    <t>Head of Education and Professional Development</t>
  </si>
  <si>
    <t>R0159</t>
  </si>
  <si>
    <t>Health and Safety</t>
  </si>
  <si>
    <t>Head of Health and Safety</t>
  </si>
  <si>
    <t>R0160</t>
  </si>
  <si>
    <t>Health and Safety team</t>
  </si>
  <si>
    <t>R0161</t>
  </si>
  <si>
    <t>Human Resources</t>
  </si>
  <si>
    <t>Head of Workforce Systems and Analytics</t>
  </si>
  <si>
    <t>R0162</t>
  </si>
  <si>
    <t>Health and Safety Auditor</t>
  </si>
  <si>
    <t>R0163</t>
  </si>
  <si>
    <t>Health and Safety Officer</t>
  </si>
  <si>
    <t>R0164</t>
  </si>
  <si>
    <t>Human Resources Advisor</t>
  </si>
  <si>
    <t>R0165</t>
  </si>
  <si>
    <t>Human Resources Assistant</t>
  </si>
  <si>
    <t>R0166</t>
  </si>
  <si>
    <t>Human Resources Manager</t>
  </si>
  <si>
    <t>R0167</t>
  </si>
  <si>
    <t>Human Resources Officer</t>
  </si>
  <si>
    <t>R0168</t>
  </si>
  <si>
    <t>Human Resources Services Officer</t>
  </si>
  <si>
    <t>R0169</t>
  </si>
  <si>
    <t>Human Resources Systems Administrator</t>
  </si>
  <si>
    <t>R0170</t>
  </si>
  <si>
    <t>Specialist Staffing Adviser</t>
  </si>
  <si>
    <t>R0171</t>
  </si>
  <si>
    <t>Infection Prevention and Control</t>
  </si>
  <si>
    <t>Head of Infection Prevention and Control</t>
  </si>
  <si>
    <t>R0172</t>
  </si>
  <si>
    <t>Infection Prevention and Control Auditor</t>
  </si>
  <si>
    <t>R0173</t>
  </si>
  <si>
    <t>Infection Prevention and Control Practitioner</t>
  </si>
  <si>
    <t>R0174</t>
  </si>
  <si>
    <t>Lead Infection Prevention and Control Practitioner</t>
  </si>
  <si>
    <t>R0175</t>
  </si>
  <si>
    <t>Senior Infection Prevention and Control Practitioner</t>
  </si>
  <si>
    <t>R0176</t>
  </si>
  <si>
    <t>Organisational Development</t>
  </si>
  <si>
    <t>Head of Organisational Development</t>
  </si>
  <si>
    <t>R0177</t>
  </si>
  <si>
    <t>Organisational Development Lead</t>
  </si>
  <si>
    <t>R0178</t>
  </si>
  <si>
    <t>Wellbeing Lead</t>
  </si>
  <si>
    <t>R0179</t>
  </si>
  <si>
    <t>Research and Innovation</t>
  </si>
  <si>
    <t>Associate Director</t>
  </si>
  <si>
    <t>R0180</t>
  </si>
  <si>
    <t>Head of Research and Innovation</t>
  </si>
  <si>
    <t>R0181</t>
  </si>
  <si>
    <t>Research and Innovation Co-ordinator</t>
  </si>
  <si>
    <t>R0182</t>
  </si>
  <si>
    <t>Strategy and Planning</t>
  </si>
  <si>
    <t>Business Intelligence</t>
  </si>
  <si>
    <t>Head of Business Intelligence</t>
  </si>
  <si>
    <t>R0183</t>
  </si>
  <si>
    <t>Information Analyst</t>
  </si>
  <si>
    <t>R0184</t>
  </si>
  <si>
    <t>Senior Information Analyst Clinical Outcomes</t>
  </si>
  <si>
    <t>R0185</t>
  </si>
  <si>
    <t>Information Governance</t>
  </si>
  <si>
    <t>Head of Information Governance</t>
  </si>
  <si>
    <t>R0186</t>
  </si>
  <si>
    <t>Information Compliance Officer</t>
  </si>
  <si>
    <t>R0187</t>
  </si>
  <si>
    <t>Information Governance Officer</t>
  </si>
  <si>
    <t>R0188</t>
  </si>
  <si>
    <t>Records Management Officer</t>
  </si>
  <si>
    <t>R0189</t>
  </si>
  <si>
    <t>Project Management Office</t>
  </si>
  <si>
    <t>Head of Programmes</t>
  </si>
  <si>
    <t>R0190</t>
  </si>
  <si>
    <t>Portfolio Manager</t>
  </si>
  <si>
    <t>R0191</t>
  </si>
  <si>
    <t>Programme Administrator</t>
  </si>
  <si>
    <t>R0192</t>
  </si>
  <si>
    <t>Programme Manager</t>
  </si>
  <si>
    <t>R0193</t>
  </si>
  <si>
    <t>Programme Support Officer</t>
  </si>
  <si>
    <t>R0194</t>
  </si>
  <si>
    <t>Project Manager</t>
  </si>
  <si>
    <t>R0195</t>
  </si>
  <si>
    <t>Senior Project Officer</t>
  </si>
  <si>
    <t>R0196</t>
  </si>
  <si>
    <t>Strategy Programme Officer</t>
  </si>
  <si>
    <t>R0197</t>
  </si>
  <si>
    <t>Public Protection</t>
  </si>
  <si>
    <t>Head of Public Protection</t>
  </si>
  <si>
    <t>R0198</t>
  </si>
  <si>
    <t>Public Protection Practitioner</t>
  </si>
  <si>
    <t>R0199</t>
  </si>
  <si>
    <t>Strategy</t>
  </si>
  <si>
    <t>Head of Strategy Implementation and Quality Improvement</t>
  </si>
  <si>
    <t>R0200</t>
  </si>
  <si>
    <t>Strategy Implementation Manager</t>
  </si>
  <si>
    <t>R0201</t>
  </si>
  <si>
    <t>Workforce Planning</t>
  </si>
  <si>
    <t>GRS System Administrator</t>
  </si>
  <si>
    <t>R0202</t>
  </si>
  <si>
    <t>National Erostering System Administrator</t>
  </si>
  <si>
    <t>R0203</t>
  </si>
  <si>
    <t>Regional Planner</t>
  </si>
  <si>
    <t>R0204</t>
  </si>
  <si>
    <t>Resource Planner</t>
  </si>
  <si>
    <t>R0205</t>
  </si>
  <si>
    <t>Workforce Administrator</t>
  </si>
  <si>
    <t>R0206</t>
  </si>
  <si>
    <t>R0207</t>
  </si>
  <si>
    <t>R0208</t>
  </si>
  <si>
    <t>R0209</t>
  </si>
  <si>
    <t>Support Services</t>
  </si>
  <si>
    <t>Office Services</t>
  </si>
  <si>
    <t>Administration Assistant</t>
  </si>
  <si>
    <t>R0210</t>
  </si>
  <si>
    <t>Administration Officer</t>
  </si>
  <si>
    <t>R0211</t>
  </si>
  <si>
    <t>Administration Support</t>
  </si>
  <si>
    <t>R0212</t>
  </si>
  <si>
    <t>R0213</t>
  </si>
  <si>
    <t>Higher Clerical Officer</t>
  </si>
  <si>
    <t>R0214</t>
  </si>
  <si>
    <t>Personal Assistant</t>
  </si>
  <si>
    <t>course_id</t>
  </si>
  <si>
    <t>title</t>
  </si>
  <si>
    <t>type</t>
  </si>
  <si>
    <t>url</t>
  </si>
  <si>
    <t>topic</t>
  </si>
  <si>
    <t>SAS : Ambulance Control Centre (ACC)</t>
  </si>
  <si>
    <t>Page</t>
  </si>
  <si>
    <t>https://learn.nes.nhs.scot/77908/sas-ambulance-control-centre-acc</t>
  </si>
  <si>
    <t>Course_IDs beginning 999 are placeholders</t>
  </si>
  <si>
    <t>IAED - EMD</t>
  </si>
  <si>
    <t>Course</t>
  </si>
  <si>
    <t>IAED Instructors</t>
  </si>
  <si>
    <t>IAED Instructors Workshop</t>
  </si>
  <si>
    <t>IAED - QA</t>
  </si>
  <si>
    <t>IAED - Mentor</t>
  </si>
  <si>
    <t>HAI acute hospital admission screening</t>
  </si>
  <si>
    <t>https://learn.nes.nhs.scot/1971/infection-prevention-and-control-ipc-zone/scottish-infection-prevention-and-control-education-pathway-sipcep/multi-drug-resistant-organisms/hai-acute-hospital-admission-screening</t>
  </si>
  <si>
    <t>SAS : Clinical Practice</t>
  </si>
  <si>
    <t>Antibiotic management</t>
  </si>
  <si>
    <t>https://learn.nes.nhs.scot/3588</t>
  </si>
  <si>
    <t>Aseptic technique</t>
  </si>
  <si>
    <t>https://learn.nes.nhs.scot/3600/infection-prevention-and-control-ipc-zone/scottish-infection-prevention-and-control-education-pathway-sipcep/aseptic-technique</t>
  </si>
  <si>
    <t>Prevention and management of pressure ulcers</t>
  </si>
  <si>
    <t>https://learn.nes.nhs.scot/3886</t>
  </si>
  <si>
    <t>Safe transfusion practice</t>
  </si>
  <si>
    <t>eLearning</t>
  </si>
  <si>
    <t>https://learn.nes.nhs.scot/14549</t>
  </si>
  <si>
    <t>Blood components and indications for use</t>
  </si>
  <si>
    <t>https://learn.nes.nhs.scot/19527</t>
  </si>
  <si>
    <t>Suicide intervention skilled</t>
  </si>
  <si>
    <t>https://learn.nes.nhs.scot/33738</t>
  </si>
  <si>
    <t>Trauma informed</t>
  </si>
  <si>
    <t>https://learn.nes.nhs.scot/37898</t>
  </si>
  <si>
    <t>Trauma skilled</t>
  </si>
  <si>
    <t>https://learn.nes.nhs.scot/37899</t>
  </si>
  <si>
    <t>Safe transfusion practice for paediatrics</t>
  </si>
  <si>
    <t>https://learn.nes.nhs.scot/44240</t>
  </si>
  <si>
    <t>Essentials of Learning Disability</t>
  </si>
  <si>
    <t>https://learn.nes.nhs.scot/75162</t>
  </si>
  <si>
    <t>https://learn.nes.nhs.scot/75202</t>
  </si>
  <si>
    <t>Palliative and end of life care</t>
  </si>
  <si>
    <t>https://learn.nes.nhs.scot/75214</t>
  </si>
  <si>
    <t>Adrenal crisis</t>
  </si>
  <si>
    <t>https://learn.nes.nhs.scot/75397</t>
  </si>
  <si>
    <t>Advanced practice: Critical care</t>
  </si>
  <si>
    <t>https://learn.nes.nhs.scot/75398</t>
  </si>
  <si>
    <t>Advanced practice: ScotSTAR</t>
  </si>
  <si>
    <t>https://learn.nes.nhs.scot/75399</t>
  </si>
  <si>
    <t>Advanced practice: Urgent and primary care</t>
  </si>
  <si>
    <t>https://learn.nes.nhs.scot/75400</t>
  </si>
  <si>
    <t>Drug harm reduction</t>
  </si>
  <si>
    <t>https://learn.nes.nhs.scot/75401</t>
  </si>
  <si>
    <t>Mental Health</t>
  </si>
  <si>
    <t>https://learn.nes.nhs.scot/75402</t>
  </si>
  <si>
    <t>Pressure ulcers</t>
  </si>
  <si>
    <t>https://learn.nes.nhs.scot/75403</t>
  </si>
  <si>
    <t>Introduction to palliative and end of life care</t>
  </si>
  <si>
    <t>https://learn.nes.nhs.scot/75931</t>
  </si>
  <si>
    <t>Recognising the dying patient</t>
  </si>
  <si>
    <t>https://learn.nes.nhs.scot/75932</t>
  </si>
  <si>
    <t>Future care planning</t>
  </si>
  <si>
    <t>https://learn.nes.nhs.scot/75933</t>
  </si>
  <si>
    <t>Symptom management at end of life</t>
  </si>
  <si>
    <t>https://learn.nes.nhs.scot/75934</t>
  </si>
  <si>
    <t>When death occurs</t>
  </si>
  <si>
    <t>https://learn.nes.nhs.scot/75935</t>
  </si>
  <si>
    <t>Effective communication skills</t>
  </si>
  <si>
    <t>https://learn.nes.nhs.scot/75936</t>
  </si>
  <si>
    <t>Further resources and recommended reading : Palliative and end of life care</t>
  </si>
  <si>
    <t>Document</t>
  </si>
  <si>
    <t>https://learn.nes.nhs.scot/75974</t>
  </si>
  <si>
    <t>Trauma</t>
  </si>
  <si>
    <t>https://learn.nes.nhs.scot/76096</t>
  </si>
  <si>
    <t>Confirmation of death and managing death in the community</t>
  </si>
  <si>
    <t>https://learn.nes.nhs.scot/79064</t>
  </si>
  <si>
    <t>NEWS 2</t>
  </si>
  <si>
    <t>https://learn.nes.nhs.scot/79102</t>
  </si>
  <si>
    <t>Life support</t>
  </si>
  <si>
    <t>https://learn.nes.nhs.scot/79218</t>
  </si>
  <si>
    <t>SAS: National Early Warning Score (NEWS 2)</t>
  </si>
  <si>
    <t>https://learn.nes.nhs.scot/81785</t>
  </si>
  <si>
    <t>Suturing skills pack</t>
  </si>
  <si>
    <t>https://learn.nes.nhs.scot/85573/clinical-skills-managed-educational-network/online-resources/suturing-skills-pack</t>
  </si>
  <si>
    <t>Distress Brief Intervention</t>
  </si>
  <si>
    <t>External</t>
  </si>
  <si>
    <t>https://dbi.learnprouk.com/</t>
  </si>
  <si>
    <t>Obstetrics</t>
  </si>
  <si>
    <t>Life Support</t>
  </si>
  <si>
    <t>Paediatrics</t>
  </si>
  <si>
    <t>Patient Assessment</t>
  </si>
  <si>
    <t>Clinical Skills</t>
  </si>
  <si>
    <t>Learning from Events</t>
  </si>
  <si>
    <t>Medicines Management</t>
  </si>
  <si>
    <t>JRCALC Update</t>
  </si>
  <si>
    <t>Learning Disabilities</t>
  </si>
  <si>
    <t>Dementia</t>
  </si>
  <si>
    <t>Conditions requiring specific hospital management. I.e. Parkinsons</t>
  </si>
  <si>
    <t>Professional Standards</t>
  </si>
  <si>
    <t>Communication Standards</t>
  </si>
  <si>
    <t>Manual and Patient Handling Foundation Training - Level 2</t>
  </si>
  <si>
    <t>Manual and Patient Handling Competency Assessment - Level 3</t>
  </si>
  <si>
    <t>Manual and Patient Handling Competency Assessment Theory - Level 3</t>
  </si>
  <si>
    <t>SAS : Corporate Governance</t>
  </si>
  <si>
    <t>https://learn.nes.nhs.scot/77887</t>
  </si>
  <si>
    <t>SAS: Records management awareness</t>
  </si>
  <si>
    <t>https://learn.nes.nhs.scot/88881</t>
  </si>
  <si>
    <t>SAS : Education and Professional Development (EPDD)</t>
  </si>
  <si>
    <t>https://learn.nes.nhs.scot/73827</t>
  </si>
  <si>
    <t>Learning in Practice (LiP) 2025/2026</t>
  </si>
  <si>
    <t>https://learn.nes.nhs.scot/76336</t>
  </si>
  <si>
    <t>FAQ Level 4 Diploma for Associate Ambulance Practitioners (RQF)</t>
  </si>
  <si>
    <t>Learning programme</t>
  </si>
  <si>
    <t>https://learn.nes.nhs.scot/78725</t>
  </si>
  <si>
    <t>SAS: Understanding own role and scope of practice</t>
  </si>
  <si>
    <t>https://learn.nes.nhs.scot/78779</t>
  </si>
  <si>
    <t>SAS: Implications of legislative frameworks</t>
  </si>
  <si>
    <t>https://learn.nes.nhs.scot/78781</t>
  </si>
  <si>
    <t>SAS: Personal and professional conduct</t>
  </si>
  <si>
    <t>https://learn.nes.nhs.scot/78782</t>
  </si>
  <si>
    <t>SAS: Understanding the value of health promotion initiatives</t>
  </si>
  <si>
    <t>https://learn.nes.nhs.scot/78783</t>
  </si>
  <si>
    <t>SAS: Understand the importance of Clinical Governance</t>
  </si>
  <si>
    <t>https://learn.nes.nhs.scot/78784</t>
  </si>
  <si>
    <t>SAS: Understanding the importance of Duty of Care and Duty of Candour</t>
  </si>
  <si>
    <t>https://learn.nes.nhs.scot/78785</t>
  </si>
  <si>
    <t>SAS: Understand own organisational complaints and whistleblowing systems</t>
  </si>
  <si>
    <t>https://learn.nes.nhs.scot/78786</t>
  </si>
  <si>
    <t>SAS: Understand the benefits of maintaining competency in own work role</t>
  </si>
  <si>
    <t>https://learn.nes.nhs.scot/78787</t>
  </si>
  <si>
    <t>SAS: Professional communication, reporting, and record-keeping</t>
  </si>
  <si>
    <t>https://learn.nes.nhs.scot/78788</t>
  </si>
  <si>
    <t>SAS: Communication barriers and adaptation techniques</t>
  </si>
  <si>
    <t>https://learn.nes.nhs.scot/78789</t>
  </si>
  <si>
    <t>SAS: Professional record-keeping and reporting</t>
  </si>
  <si>
    <t>https://learn.nes.nhs.scot/78790</t>
  </si>
  <si>
    <t>SAS: Conflict resolution (learning outcome 1)</t>
  </si>
  <si>
    <t>https://learn.nes.nhs.scot/78791</t>
  </si>
  <si>
    <t>SAS: Conflict resolution (learning outcome 2)</t>
  </si>
  <si>
    <t>https://learn.nes.nhs.scot/78792</t>
  </si>
  <si>
    <t>SAS: Conflict resolution (learning outcome 3)</t>
  </si>
  <si>
    <t>https://learn.nes.nhs.scot/78793</t>
  </si>
  <si>
    <t>SAS: Conflict resolution (learning outcome 4)</t>
  </si>
  <si>
    <t>https://learn.nes.nhs.scot/78794</t>
  </si>
  <si>
    <t>SAS: Information governance and confidentiality</t>
  </si>
  <si>
    <t>https://learn.nes.nhs.scot/78796</t>
  </si>
  <si>
    <t>SAS: Understand the principles of information governance</t>
  </si>
  <si>
    <t>https://learn.nes.nhs.scot/78797</t>
  </si>
  <si>
    <t>SAS: Understand the importance of maintaining confidentially in your own role</t>
  </si>
  <si>
    <t>https://learn.nes.nhs.scot/78798</t>
  </si>
  <si>
    <t>Joint Emergency Services Interoperability Principles and METHANE Situation Report</t>
  </si>
  <si>
    <t>Video</t>
  </si>
  <si>
    <t>https://learn.nes.nhs.scot/82516</t>
  </si>
  <si>
    <t>Emergency Response Driving Presentation 2025</t>
  </si>
  <si>
    <t>https://learn.nes.nhs.scot/82523</t>
  </si>
  <si>
    <t>SAS - Domain 4 Quality Assurance and Governance</t>
  </si>
  <si>
    <t>https://learn.nes.nhs.scot/82576</t>
  </si>
  <si>
    <t>SAS - Domain 1 Fundamentals of Health and Care Staffing</t>
  </si>
  <si>
    <t>https://learn.nes.nhs.scot/82577</t>
  </si>
  <si>
    <t>https://learn.nes.nhs.scot/82605</t>
  </si>
  <si>
    <t>FAQ Level 3 Award and Certificate in Ambulance Patient Care: Non-Urgent Care Services</t>
  </si>
  <si>
    <t>https://learn.nes.nhs.scot/83415</t>
  </si>
  <si>
    <t>Component 1 - Principles of Ambulance Patient Care</t>
  </si>
  <si>
    <t>https://learn.nes.nhs.scot/83416</t>
  </si>
  <si>
    <t>Component 7 - Using Communication and Information Systems in Ambulance Patient Care</t>
  </si>
  <si>
    <t>https://learn.nes.nhs.scot/83417</t>
  </si>
  <si>
    <t>Component 8 - Conflict Resolution Training</t>
  </si>
  <si>
    <t>https://learn.nes.nhs.scot/83418</t>
  </si>
  <si>
    <t>Component 9 - Conflict Resolution Training for Ambulance Services</t>
  </si>
  <si>
    <t>https://learn.nes.nhs.scot/83419</t>
  </si>
  <si>
    <t>Component 11 - Major Incident Preparedness for Ambulance Care Services</t>
  </si>
  <si>
    <t>https://learn.nes.nhs.scot/83421</t>
  </si>
  <si>
    <t>Learning in Practice (LiP) 2025/2026 Moving and Handling and Clinical Update</t>
  </si>
  <si>
    <t>https://learn.nes.nhs.scot/83733</t>
  </si>
  <si>
    <t>Learning in Practice (LiP) 2025/2026 Prevention and Management of Violence and Aggression</t>
  </si>
  <si>
    <t>https://learn.nes.nhs.scot/83736</t>
  </si>
  <si>
    <t>SAS : Estates</t>
  </si>
  <si>
    <t>Build required?</t>
  </si>
  <si>
    <t>Water Safety Awareness</t>
  </si>
  <si>
    <t>Water Safety Competent Person</t>
  </si>
  <si>
    <t xml:space="preserve">Water Safety Responsible Person </t>
  </si>
  <si>
    <t>Water Safety Nominated Person</t>
  </si>
  <si>
    <t>Asbestos Awareness</t>
  </si>
  <si>
    <t>SAS : Fleet</t>
  </si>
  <si>
    <t>Grindstone Wheel Training</t>
  </si>
  <si>
    <t>Monthly Workshop Inspection (Evotix)</t>
  </si>
  <si>
    <t>AAT CMax (Stair climber)</t>
  </si>
  <si>
    <t>Eberspaecher heater and aircon</t>
  </si>
  <si>
    <t>EV (IMI L1) Charging</t>
  </si>
  <si>
    <t>EV (IMI L2)</t>
  </si>
  <si>
    <t>Ferno Equipment</t>
  </si>
  <si>
    <t>Ibex (Mk 5 chair)</t>
  </si>
  <si>
    <t>Mangar (Airflo)</t>
  </si>
  <si>
    <t>Mercedes Diagnostics (XENTRY)</t>
  </si>
  <si>
    <t>Peugeot Diagnostics (DIAGBOX)</t>
  </si>
  <si>
    <t>Stryker Equipment</t>
  </si>
  <si>
    <t>VB Suspension</t>
  </si>
  <si>
    <t>W.A.S. &amp; Palfinger</t>
  </si>
  <si>
    <t>XL (Access XL APD500 Tail lift)</t>
  </si>
  <si>
    <t>McCauly's Tail lift</t>
  </si>
  <si>
    <t>Webasto heater and aircon</t>
  </si>
  <si>
    <t>IMI Level 3 award in automotive refrigerant handling</t>
  </si>
  <si>
    <t>SAS : Health and Safety</t>
  </si>
  <si>
    <t>https://learn.nes.nhs.scot/77888</t>
  </si>
  <si>
    <t>Driving risks at work</t>
  </si>
  <si>
    <t>https://learn.nes.nhs.scot/79147</t>
  </si>
  <si>
    <t>Prevention and Management of Violence and Aggression</t>
  </si>
  <si>
    <t>https://learn.nes.nhs.scot/85249</t>
  </si>
  <si>
    <t>2025-6 edition</t>
  </si>
  <si>
    <t>Prevention and Management of Violence and Aggression - Breakaway training Level 2 /Restrictive movement Level 3</t>
  </si>
  <si>
    <t>https://learn.nes.nhs.scot/83736/sas-education-and-professional-development-epdd/learning-in-practice-lip-2025-2026/learning-in-practice-lip-2025-2026-prevention-and-management-of-violence-and-aggression</t>
  </si>
  <si>
    <t>Prevention and Management of Violence and Aggression - Refresher</t>
  </si>
  <si>
    <t>Driver Assessment &amp; Training</t>
  </si>
  <si>
    <t>Fatigue Awareness</t>
  </si>
  <si>
    <t>Stress Identification &amp; Stress Management</t>
  </si>
  <si>
    <t>Driving update (practical)</t>
  </si>
  <si>
    <t>COSHH</t>
  </si>
  <si>
    <t>Skin Awareness</t>
  </si>
  <si>
    <t>H&amp;S Management Responsibilities Course (either REHIS Intermediate course) or IOSH Managing Safely or equivalent</t>
  </si>
  <si>
    <t>IOSH Leading Safely</t>
  </si>
  <si>
    <t>Antibiotic Management CHECK THIS IS THE RIGHT ONE</t>
  </si>
  <si>
    <t>https://learn.nes.nhs.scot/3256</t>
  </si>
  <si>
    <t>SAS : Infection Prevention and Control (IPC)</t>
  </si>
  <si>
    <t>https://learn.nes.nhs.scot/75277</t>
  </si>
  <si>
    <t>SAS: Foundation layer</t>
  </si>
  <si>
    <t>https://learn.nes.nhs.scot/75286</t>
  </si>
  <si>
    <t>Other learning resources</t>
  </si>
  <si>
    <t>https://learn.nes.nhs.scot/75328</t>
  </si>
  <si>
    <t>SAS: Intermediate layer</t>
  </si>
  <si>
    <t>https://learn.nes.nhs.scot/75329</t>
  </si>
  <si>
    <t>https://learn.nes.nhs.scot/82383</t>
  </si>
  <si>
    <t>SAS - IPC Education Framework 2025 - 2028</t>
  </si>
  <si>
    <t>https://learn.nes.nhs.scot/86683</t>
  </si>
  <si>
    <t>Safe disposal of waste</t>
  </si>
  <si>
    <t>https://learn.nes.nhs.scot/89154</t>
  </si>
  <si>
    <t>Prevention &amp; management of occupational exposure</t>
  </si>
  <si>
    <t>https://learn.nes.nhs.scot/89155</t>
  </si>
  <si>
    <t>Safe Management of Care Equipment</t>
  </si>
  <si>
    <t>https://learn.nes.nhs.scot/89157</t>
  </si>
  <si>
    <t>Safe Management of Care Environment</t>
  </si>
  <si>
    <t>https://learn.nes.nhs.scot/89158</t>
  </si>
  <si>
    <t>Safe Management of Linen</t>
  </si>
  <si>
    <t>https://learn.nes.nhs.scot/89159</t>
  </si>
  <si>
    <t>Safe Management of blood and body fluids</t>
  </si>
  <si>
    <t>https://learn.nes.nhs.scot/89160</t>
  </si>
  <si>
    <t>Personal Protective Equipment</t>
  </si>
  <si>
    <t>https://learn.nes.nhs.scot/89161</t>
  </si>
  <si>
    <t>Infection prevention and control: Clostridioides difficile infection</t>
  </si>
  <si>
    <t>Patient placement / assessment for infection risk</t>
  </si>
  <si>
    <t>SAS : National Risk and Resilience Department (NRRD)</t>
  </si>
  <si>
    <t>https://learn.nes.nhs.scot/73826</t>
  </si>
  <si>
    <t>Accessibility information</t>
  </si>
  <si>
    <t>https://learn.nes.nhs.scot/76889</t>
  </si>
  <si>
    <t>CBRNe</t>
  </si>
  <si>
    <t>https://learn.nes.nhs.scot/78963</t>
  </si>
  <si>
    <t>COMMAND</t>
  </si>
  <si>
    <t>https://learn.nes.nhs.scot/78964</t>
  </si>
  <si>
    <t>SORT</t>
  </si>
  <si>
    <t>https://learn.nes.nhs.scot/78965</t>
  </si>
  <si>
    <t>NRRD L&amp;D</t>
  </si>
  <si>
    <t>https://learn.nes.nhs.scot/78977</t>
  </si>
  <si>
    <t>JESIP Awareness</t>
  </si>
  <si>
    <t>https://learn.nes.nhs.scot/78978</t>
  </si>
  <si>
    <t>Specialist Operations</t>
  </si>
  <si>
    <t>https://learn.nes.nhs.scot/79068</t>
  </si>
  <si>
    <t>Specialist Education &amp; Training</t>
  </si>
  <si>
    <t>https://learn.nes.nhs.scot/79069</t>
  </si>
  <si>
    <t>Resilience</t>
  </si>
  <si>
    <t>https://learn.nes.nhs.scot/79070</t>
  </si>
  <si>
    <t>Threat, Risk and Strategic Operations</t>
  </si>
  <si>
    <t>https://learn.nes.nhs.scot/79071</t>
  </si>
  <si>
    <t>NRRD eLearning</t>
  </si>
  <si>
    <t>https://learn.nes.nhs.scot/79075</t>
  </si>
  <si>
    <t>MTA Command &amp; Control</t>
  </si>
  <si>
    <t>https://learn.nes.nhs.scot/82211</t>
  </si>
  <si>
    <t>MTA Responder</t>
  </si>
  <si>
    <t>https://learn.nes.nhs.scot/82212</t>
  </si>
  <si>
    <t>ACT Awareness</t>
  </si>
  <si>
    <t>https://learn.nes.nhs.scot/82324</t>
  </si>
  <si>
    <t>Module 1</t>
  </si>
  <si>
    <t>https://learn.nes.nhs.scot/82325</t>
  </si>
  <si>
    <t>Module 2</t>
  </si>
  <si>
    <t>https://learn.nes.nhs.scot/82326</t>
  </si>
  <si>
    <t>Module 3</t>
  </si>
  <si>
    <t>https://learn.nes.nhs.scot/82327</t>
  </si>
  <si>
    <t>Module 4</t>
  </si>
  <si>
    <t>https://learn.nes.nhs.scot/82328</t>
  </si>
  <si>
    <t>Module 5</t>
  </si>
  <si>
    <t>https://learn.nes.nhs.scot/82329</t>
  </si>
  <si>
    <t>Module 6</t>
  </si>
  <si>
    <t>https://learn.nes.nhs.scot/82330</t>
  </si>
  <si>
    <t>Module 7</t>
  </si>
  <si>
    <t>https://learn.nes.nhs.scot/82331</t>
  </si>
  <si>
    <t>CCRT</t>
  </si>
  <si>
    <t>https://learn.nes.nhs.scot/82581</t>
  </si>
  <si>
    <t>CCRT 18-Month Refresher Training</t>
  </si>
  <si>
    <t>https://learn.nes.nhs.scot/82623</t>
  </si>
  <si>
    <t>Community Resilience</t>
  </si>
  <si>
    <t>https://learn.nes.nhs.scot/84352</t>
  </si>
  <si>
    <t>SAS Community Responder - Pre Course Learning</t>
  </si>
  <si>
    <t>https://learn.nes.nhs.scot/84353</t>
  </si>
  <si>
    <t>Ten Second Triage (TST)</t>
  </si>
  <si>
    <t>https://learn.nes.nhs.scot/85215</t>
  </si>
  <si>
    <t>SOAR</t>
  </si>
  <si>
    <t>https://learn.nes.nhs.scot/85379</t>
  </si>
  <si>
    <t>DuoDote Auto-Injector Awareness</t>
  </si>
  <si>
    <t>https://learn.nes.nhs.scot/85403</t>
  </si>
  <si>
    <t>Awareness of the dangers of working near water</t>
  </si>
  <si>
    <t>https://learn.nes.nhs.scot/85617</t>
  </si>
  <si>
    <t>IED Awareness</t>
  </si>
  <si>
    <t>https://learn.nes.nhs.scot/85618</t>
  </si>
  <si>
    <t>Toxidromes</t>
  </si>
  <si>
    <t>https://learn.nes.nhs.scot/85626</t>
  </si>
  <si>
    <t>Awareness of Fire Behaviour</t>
  </si>
  <si>
    <t>https://learn.nes.nhs.scot/85627</t>
  </si>
  <si>
    <t>Individual Chemical Exposure (I.C.E.)</t>
  </si>
  <si>
    <t>https://learn.nes.nhs.scot/85628</t>
  </si>
  <si>
    <t>Event Lead</t>
  </si>
  <si>
    <t>https://learn.nes.nhs.scot/87849</t>
  </si>
  <si>
    <t>RADSAFE Awareness Training Course</t>
  </si>
  <si>
    <t>https://learn.nes.nhs.scot/87854</t>
  </si>
  <si>
    <t>Event Lead Required Pre-Learning</t>
  </si>
  <si>
    <t>https://learn.nes.nhs.scot/87908</t>
  </si>
  <si>
    <t>Health &amp; Safety Refresher</t>
  </si>
  <si>
    <t>https://learn.nes.nhs.scot/87910</t>
  </si>
  <si>
    <t>The importance of Zone Ex</t>
  </si>
  <si>
    <t>https://learn.nes.nhs.scot/87911</t>
  </si>
  <si>
    <t>Case Study: Brimingham SAG vs UK Government</t>
  </si>
  <si>
    <t>https://learn.nes.nhs.scot/87912</t>
  </si>
  <si>
    <t>Associate Event Lead Course</t>
  </si>
  <si>
    <t>https://learn.nes.nhs.scot/87913</t>
  </si>
  <si>
    <t>Module 1: Historical Context</t>
  </si>
  <si>
    <t>https://learn.nes.nhs.scot/87914</t>
  </si>
  <si>
    <t>Module 2: Course Green and Purple Guides</t>
  </si>
  <si>
    <t>https://learn.nes.nhs.scot/87916</t>
  </si>
  <si>
    <t>Module 3: Understanding the Event Delivery Plan and Model</t>
  </si>
  <si>
    <t>https://learn.nes.nhs.scot/87918</t>
  </si>
  <si>
    <t>Module 5: Event Policing Lead</t>
  </si>
  <si>
    <t>https://learn.nes.nhs.scot/87919</t>
  </si>
  <si>
    <t>Module 7: Logging and debriefing</t>
  </si>
  <si>
    <t>https://learn.nes.nhs.scot/87921</t>
  </si>
  <si>
    <t>Hypothermia for Out of Hospital Clinicians</t>
  </si>
  <si>
    <t>https://learn.nes.nhs.scot/88008</t>
  </si>
  <si>
    <t>https://learn.nes.nhs.scot/88021</t>
  </si>
  <si>
    <t>Associate Event Lead TTX</t>
  </si>
  <si>
    <t>https://learn.nes.nhs.scot/88262</t>
  </si>
  <si>
    <t>Under Development</t>
  </si>
  <si>
    <t>https://learn.nes.nhs.scot/88311</t>
  </si>
  <si>
    <t>TTX: Enterprise Digital Service Disruption</t>
  </si>
  <si>
    <t>https://learn.nes.nhs.scot/88312</t>
  </si>
  <si>
    <t>RESPONDING TO CBRN EVENTS: JOINT OPERATING PRINCIPLES FOR THE EMERGENCY SERVICES v2</t>
  </si>
  <si>
    <t>https://learn.nes.nhs.scot/88505</t>
  </si>
  <si>
    <t>CCRT 6-Month Refresher Training</t>
  </si>
  <si>
    <t>https://learn.nes.nhs.scot/88675</t>
  </si>
  <si>
    <t>Digital Scenario-Based Learning</t>
  </si>
  <si>
    <t>https://learn.nes.nhs.scot/89173</t>
  </si>
  <si>
    <t>Decision Making on Diversion and Abstraction of Resources from Incidents</t>
  </si>
  <si>
    <t>https://learn.nes.nhs.scot/89174</t>
  </si>
  <si>
    <t>Resilience Direct (Incident Management)</t>
  </si>
  <si>
    <t>https://learn.nes.nhs.scot/89437</t>
  </si>
  <si>
    <t>Tactical</t>
  </si>
  <si>
    <t>https://learn.nes.nhs.scot/89458</t>
  </si>
  <si>
    <t>TACTICAL MODULE 5: COMPILING A TACTICAL PLAN</t>
  </si>
  <si>
    <t>https://learn.nes.nhs.scot/89459</t>
  </si>
  <si>
    <t>Module 4: Event Safety Officer</t>
  </si>
  <si>
    <t>https://learn.nes.nhs.scot/90069</t>
  </si>
  <si>
    <t>Module 6: Private medical providers and the SAG process</t>
  </si>
  <si>
    <t>https://learn.nes.nhs.scot/90070</t>
  </si>
  <si>
    <t>TACTICAL MODULE 4: AIC-Tactical Options</t>
  </si>
  <si>
    <t>https://learn.nes.nhs.scot/90076</t>
  </si>
  <si>
    <t>CPD</t>
  </si>
  <si>
    <t>https://learn.nes.nhs.scot/90077</t>
  </si>
  <si>
    <t>Incident Command and support functions</t>
  </si>
  <si>
    <t>https://learn.nes.nhs.scot/90078</t>
  </si>
  <si>
    <t>Module 8: Table Top Exercise (TTX)</t>
  </si>
  <si>
    <t>https://learn.nes.nhs.scot/90082</t>
  </si>
  <si>
    <t>Associate Event Lead Assessment</t>
  </si>
  <si>
    <t>https://learn.nes.nhs.scot/90248</t>
  </si>
  <si>
    <t>TST Adaptive Assessment</t>
  </si>
  <si>
    <t>https://learn.nes.nhs.scot/90527</t>
  </si>
  <si>
    <t>NRRD Update i.e. Major Incidents/Methane/ Multiple Casualities</t>
  </si>
  <si>
    <t>Major incident awareness - Course overview</t>
  </si>
  <si>
    <t xml:space="preserve">Major incident awareness for responders </t>
  </si>
  <si>
    <t>Non-specialist MTFA response (JOPS3)</t>
  </si>
  <si>
    <t xml:space="preserve">SAS: JESIP (NEW) </t>
  </si>
  <si>
    <t>SAS : Project Management Office</t>
  </si>
  <si>
    <t>PMO Induction</t>
  </si>
  <si>
    <t>Introduction to Change Management</t>
  </si>
  <si>
    <t>Human trafficking</t>
  </si>
  <si>
    <t>https://learn.nes.nhs.scot/15249</t>
  </si>
  <si>
    <t>SAS : Public Protection</t>
  </si>
  <si>
    <t>Adult support and protection: practice level 2 [skilled]</t>
  </si>
  <si>
    <t>https://learn.nes.nhs.scot/64322</t>
  </si>
  <si>
    <t>Child protection: practice level 2 [skilled]</t>
  </si>
  <si>
    <t>https://learn.nes.nhs.scot/64324</t>
  </si>
  <si>
    <t>https://learn.nes.nhs.scot/75907/sas-public-protection</t>
  </si>
  <si>
    <t>Domestic abuse awareness training tool (DAART)</t>
  </si>
  <si>
    <t>https://learn.nes.nhs.scot/76716</t>
  </si>
  <si>
    <t>United Nations Convention of Rights of a Child (UNCRC)</t>
  </si>
  <si>
    <t>https://learn.nes.nhs.scot/79197</t>
  </si>
  <si>
    <t>Getting it right for every child (GIRFEC): informed level</t>
  </si>
  <si>
    <t>https://learn.nes.nhs.scot/79666</t>
  </si>
  <si>
    <t>Getting it right for every child (GIRFEC): skilled level</t>
  </si>
  <si>
    <t>https://learn.nes.nhs.scot/79667</t>
  </si>
  <si>
    <t>Gender-based violence: Informed level</t>
  </si>
  <si>
    <t>https://learn.nes.nhs.scot/84480</t>
  </si>
  <si>
    <t>SAS-specific Children’s rights</t>
  </si>
  <si>
    <t>Multiagency local or bespoke Level 3 delivery training</t>
  </si>
  <si>
    <t>SAS : ScotSTAR</t>
  </si>
  <si>
    <t>ScotSTAR: Role specific Orientation &amp; Induction</t>
  </si>
  <si>
    <t>Dangerous Goods (CCA)</t>
  </si>
  <si>
    <t>HUET</t>
  </si>
  <si>
    <t>HUET (on line)</t>
  </si>
  <si>
    <t>Major Incident Training- Operational Commander</t>
  </si>
  <si>
    <t>Major Incident Training - MIO</t>
  </si>
  <si>
    <t>Neonatal Life Support (NLS)</t>
  </si>
  <si>
    <t>Paediatric Life Support (PLS)</t>
  </si>
  <si>
    <t>Advance Paediatric Life Support (APLS)</t>
  </si>
  <si>
    <t>Advanced Life Support (ALS)</t>
  </si>
  <si>
    <t>Extrication Training (IPSP)</t>
  </si>
  <si>
    <t>PHECC (Adult)</t>
  </si>
  <si>
    <t>SAS: Staff development and experience</t>
  </si>
  <si>
    <t>https://learn.nes.nhs.scot/73825/sas-staff-development-and-experience</t>
  </si>
  <si>
    <t>Preventing and responding to sexual harassment</t>
  </si>
  <si>
    <t>https://learn.nes.nhs.scot/75201</t>
  </si>
  <si>
    <t>Leadership and Management Development</t>
  </si>
  <si>
    <t>https://learn.nes.nhs.scot/75412</t>
  </si>
  <si>
    <t>Foundation Leadership and Management Programme (FLMP)</t>
  </si>
  <si>
    <t>https://learn.nes.nhs.scot/75407</t>
  </si>
  <si>
    <t>Aspirant Leader Development Programme (ALDP)</t>
  </si>
  <si>
    <t>https://learn.nes.nhs.scot/76087</t>
  </si>
  <si>
    <t>SAS: Corporate induction</t>
  </si>
  <si>
    <t>https://learn.nes.nhs.scot/75405</t>
  </si>
  <si>
    <t>Equality, Diversity and Inclusion</t>
  </si>
  <si>
    <t>https://learn.nes.nhs.scot/85936</t>
  </si>
  <si>
    <t>iMatter training</t>
  </si>
  <si>
    <t>https://learn.nes.nhs.scot/76091</t>
  </si>
  <si>
    <t>Conditions and benefits</t>
  </si>
  <si>
    <t>https://learn.nes.nhs.scot/73825</t>
  </si>
  <si>
    <t>Creating a safe working environment</t>
  </si>
  <si>
    <t>https://learn.nes.nhs.scot/76230</t>
  </si>
  <si>
    <t>Supporting our people, talent and culture</t>
  </si>
  <si>
    <t>https://learn.nes.nhs.scot/75863</t>
  </si>
  <si>
    <t>Promoting continuous improvement</t>
  </si>
  <si>
    <t>https://learn.nes.nhs.scot/75861</t>
  </si>
  <si>
    <t>Welcome to the Scottish Ambulance Service</t>
  </si>
  <si>
    <t>https://learn.nes.nhs.scot/75862</t>
  </si>
  <si>
    <t>SAS : Corporate induction guide</t>
  </si>
  <si>
    <t>https://learn.nes.nhs.scot/75939</t>
  </si>
  <si>
    <t>ALDP 1 : Self leadership</t>
  </si>
  <si>
    <t>https://learn.nes.nhs.scot/75864</t>
  </si>
  <si>
    <t>ALDP 2 : Self awareness</t>
  </si>
  <si>
    <t>https://learn.nes.nhs.scot/76071</t>
  </si>
  <si>
    <t>FLMP 1 : Leadership theories</t>
  </si>
  <si>
    <t>https://learn.nes.nhs.scot/76073</t>
  </si>
  <si>
    <t>FLMP 2 : Self management</t>
  </si>
  <si>
    <t>https://learn.nes.nhs.scot/76086</t>
  </si>
  <si>
    <t>FLMP 3 : Leading and managing teams</t>
  </si>
  <si>
    <t>https://learn.nes.nhs.scot/76089</t>
  </si>
  <si>
    <t>FLMP 4 : Coaching and mentoring</t>
  </si>
  <si>
    <t>https://learn.nes.nhs.scot/75406</t>
  </si>
  <si>
    <t>FLMP 5 : Working in healthcare</t>
  </si>
  <si>
    <t>https://learn.nes.nhs.scot/76090</t>
  </si>
  <si>
    <t>iMatter for managers</t>
  </si>
  <si>
    <t>https://learn.nes.nhs.scot/75411</t>
  </si>
  <si>
    <t>Creating a great place to work</t>
  </si>
  <si>
    <t>https://learn.nes.nhs.scot/75860</t>
  </si>
  <si>
    <t>SAS: Promoting Sexual Safety &amp; Misconduct Prevention</t>
  </si>
  <si>
    <t>https://learn.nes.nhs.scot/75410</t>
  </si>
  <si>
    <t>Attendance Policy Training</t>
  </si>
  <si>
    <t>https://learn.nes.nhs.scot/76429</t>
  </si>
  <si>
    <t>Leading for the Future</t>
  </si>
  <si>
    <t>Intermediate Leadership Development Programme</t>
  </si>
  <si>
    <t>Health &amp; Wellbeing Awareness for Managers</t>
  </si>
  <si>
    <t>Managing Wellbeing Refresher for Managers</t>
  </si>
  <si>
    <t>Being well, Mind, Body &amp; Workplace</t>
  </si>
  <si>
    <t>Mentoring</t>
  </si>
  <si>
    <t>Supporting others in practice (Supervision)</t>
  </si>
  <si>
    <t>Personal Wellbeing</t>
  </si>
  <si>
    <t>SAS: Statutory and Mandatory Training</t>
  </si>
  <si>
    <t>https://learn.nes.nhs.scot/69073/scottish-ambulance-service-statutory-and-mandatory-training</t>
  </si>
  <si>
    <t>Basic Life Support</t>
  </si>
  <si>
    <t>https://learn.nes.nhs.scot/71966</t>
  </si>
  <si>
    <t>Health and Safety Awareness</t>
  </si>
  <si>
    <t>https://learn.nes.nhs.scot/71978</t>
  </si>
  <si>
    <t>Public Protection - child protection and adult support and protection for SAS staff</t>
  </si>
  <si>
    <t>https://learn.nes.nhs.scot/71980</t>
  </si>
  <si>
    <t>PREVENT Duty Awareness</t>
  </si>
  <si>
    <t>https://learn.nes.nhs.scot/71981</t>
  </si>
  <si>
    <t>Office Ergonomics</t>
  </si>
  <si>
    <t>https://learn.nes.nhs.scot/72007</t>
  </si>
  <si>
    <t>Initial Operational Response to a CBRNe Incident (IOR)</t>
  </si>
  <si>
    <t>https://learn.nes.nhs.scot/76618</t>
  </si>
  <si>
    <t>Once for Scotland: Child protection and adult support and protection</t>
  </si>
  <si>
    <t>https://learn.nes.nhs.scot/88226</t>
  </si>
  <si>
    <t>Once for Scotland: Cyber security</t>
  </si>
  <si>
    <t>https://learn.nes.nhs.scot/88231</t>
  </si>
  <si>
    <t>Once for Scotland: Fire safety</t>
  </si>
  <si>
    <t>https://learn.nes.nhs.scot/88234</t>
  </si>
  <si>
    <t>Once for Scotland: Fraud awareness</t>
  </si>
  <si>
    <t>https://learn.nes.nhs.scot/88294</t>
  </si>
  <si>
    <t>Once for Scotland: Manual handling</t>
  </si>
  <si>
    <t>https://learn.nes.nhs.scot/88295</t>
  </si>
  <si>
    <t>Once for Scotland: Prevention and management of violence and aggression</t>
  </si>
  <si>
    <t>https://learn.nes.nhs.scot/88298</t>
  </si>
  <si>
    <t>Once for Scotland: Safe information handling</t>
  </si>
  <si>
    <t>https://learn.nes.nhs.scot/88341</t>
  </si>
  <si>
    <t>Once for Scotland: Understanding equality diversity and human rights</t>
  </si>
  <si>
    <t>https://learn.nes.nhs.scot/88345</t>
  </si>
  <si>
    <t>Once for Scotland: Why infection prevention and control matters</t>
  </si>
  <si>
    <t>https://learn.nes.nhs.scot/88346</t>
  </si>
  <si>
    <t>SAS: Systems Training</t>
  </si>
  <si>
    <t>https://learn.nes.nhs.scot/73824/sas-systems-training</t>
  </si>
  <si>
    <t>Introduction to LifeX</t>
  </si>
  <si>
    <t>https://learn.nes.nhs.scot/74429</t>
  </si>
  <si>
    <t>C3 escalation policy manager</t>
  </si>
  <si>
    <t>https://learn.nes.nhs.scot/74430</t>
  </si>
  <si>
    <t>MPDS overview</t>
  </si>
  <si>
    <t>https://learn.nes.nhs.scot/74431</t>
  </si>
  <si>
    <t>APTS capacity management</t>
  </si>
  <si>
    <t>https://learn.nes.nhs.scot/74432</t>
  </si>
  <si>
    <t>In cab front</t>
  </si>
  <si>
    <t>https://learn.nes.nhs.scot/74435</t>
  </si>
  <si>
    <t>Airwave radio refresher</t>
  </si>
  <si>
    <t>https://learn.nes.nhs.scot/74436</t>
  </si>
  <si>
    <t>Radio procedure</t>
  </si>
  <si>
    <t>https://learn.nes.nhs.scot/74437</t>
  </si>
  <si>
    <t>PTS mobile data</t>
  </si>
  <si>
    <t>https://learn.nes.nhs.scot/74440</t>
  </si>
  <si>
    <t>C3 for Clinicians</t>
  </si>
  <si>
    <t>https://learn.nes.nhs.scot/75937</t>
  </si>
  <si>
    <t>C3 radius module 1: All users</t>
  </si>
  <si>
    <t>https://learn.nes.nhs.scot/76845</t>
  </si>
  <si>
    <t>C3 radius module 2: Incident management</t>
  </si>
  <si>
    <t>https://learn.nes.nhs.scot/76846</t>
  </si>
  <si>
    <t>C3 radius module 2: Assessment</t>
  </si>
  <si>
    <t>https://learn.nes.nhs.scot/76847</t>
  </si>
  <si>
    <t>C3 radius module 3: Performance</t>
  </si>
  <si>
    <t>https://learn.nes.nhs.scot/76848</t>
  </si>
  <si>
    <t>APTS Call Handling</t>
  </si>
  <si>
    <t>https://learn.nes.nhs.scot/77409</t>
  </si>
  <si>
    <t>APTS Planning</t>
  </si>
  <si>
    <t>https://learn.nes.nhs.scot/78180</t>
  </si>
  <si>
    <t>C3 Dispatch Overview</t>
  </si>
  <si>
    <t>https://learn.nes.nhs.scot/78277</t>
  </si>
  <si>
    <t>Airwave Terminal</t>
  </si>
  <si>
    <t>https://learn.nes.nhs.scot/78279</t>
  </si>
  <si>
    <t>LifeX</t>
  </si>
  <si>
    <t>https://learn.nes.nhs.scot/78310</t>
  </si>
  <si>
    <t>C3 Dispatch</t>
  </si>
  <si>
    <t>https://learn.nes.nhs.scot/78368</t>
  </si>
  <si>
    <t>APTS Day Control</t>
  </si>
  <si>
    <t>https://learn.nes.nhs.scot/78369</t>
  </si>
  <si>
    <t>TerraPACE3 training for new clinicians</t>
  </si>
  <si>
    <t>https://learn.nes.nhs.scot/80311</t>
  </si>
  <si>
    <t>TerraPACE3 training for new clinicians : Part 1</t>
  </si>
  <si>
    <t>https://learn.nes.nhs.scot/82391</t>
  </si>
  <si>
    <t>TerraPACE3 training for new clinicians : Part 2</t>
  </si>
  <si>
    <t>https://learn.nes.nhs.scot/82400</t>
  </si>
  <si>
    <t>https://learn.nes.nhs.scot/82404</t>
  </si>
  <si>
    <t>https://learn.nes.nhs.scot/82406</t>
  </si>
  <si>
    <t>TerraPACE3 training for new clinicians : Part 5</t>
  </si>
  <si>
    <t>https://learn.nes.nhs.scot/82407</t>
  </si>
  <si>
    <t>TerraPACE3 training for new clinicians : Part 6</t>
  </si>
  <si>
    <t>https://learn.nes.nhs.scot/82408</t>
  </si>
  <si>
    <t>TerraPACE3 training for new clinicians: Introduction</t>
  </si>
  <si>
    <t>https://learn.nes.nhs.scot/83236</t>
  </si>
  <si>
    <t>TerraPACE3 training for new clinicians: Wrap-up</t>
  </si>
  <si>
    <t>https://learn.nes.nhs.scot/83239</t>
  </si>
  <si>
    <t>C3 for SOMs</t>
  </si>
  <si>
    <t>https://learn.nes.nhs.scot/89568</t>
  </si>
  <si>
    <t>LifeX for Supervisors</t>
  </si>
  <si>
    <t>https://learn.nes.nhs.scot/89569</t>
  </si>
  <si>
    <t>TerraPACE3 training for new clinicians : Part 3</t>
  </si>
  <si>
    <t>TerraPACE3 training for new clinicians : Part 4</t>
  </si>
  <si>
    <t>requirement_type</t>
  </si>
  <si>
    <t>frequency</t>
  </si>
  <si>
    <t>effective_from</t>
  </si>
  <si>
    <t>effective_to</t>
  </si>
  <si>
    <t>include</t>
  </si>
  <si>
    <t>mapping_key</t>
  </si>
  <si>
    <t>role_check</t>
  </si>
  <si>
    <t>course_check</t>
  </si>
  <si>
    <t>Later, when care about CPD, could create a course not mapped to any role check.</t>
  </si>
  <si>
    <t>Yes</t>
  </si>
  <si>
    <t>No</t>
  </si>
  <si>
    <t>include_options</t>
  </si>
  <si>
    <t>Statutory</t>
  </si>
  <si>
    <t>Mandatory</t>
  </si>
  <si>
    <t>Continuous Development</t>
  </si>
  <si>
    <t>One-time only</t>
  </si>
  <si>
    <t>Annual</t>
  </si>
  <si>
    <t>2 years</t>
  </si>
  <si>
    <t>3 years</t>
  </si>
  <si>
    <t>4 years</t>
  </si>
  <si>
    <t>5 years</t>
  </si>
  <si>
    <t>Duplicate mappings</t>
  </si>
  <si>
    <t>Invalid IDs</t>
  </si>
  <si>
    <t>Roles with no mandatory learning</t>
  </si>
  <si>
    <t>duplicate_check</t>
  </si>
  <si>
    <t>Included course count</t>
  </si>
  <si>
    <t>coverage_check</t>
  </si>
  <si>
    <t>MISSING</t>
  </si>
  <si>
    <t>OK</t>
  </si>
  <si>
    <t>THIS IS NOT POPULATING CORRECTLY</t>
  </si>
  <si>
    <t>Once ready, lock Role and course title collumns so can only be lookups</t>
  </si>
  <si>
    <t>Core Training - Scot STAR</t>
  </si>
  <si>
    <t>C3 &amp; LifeX</t>
  </si>
  <si>
    <t>Column1</t>
  </si>
  <si>
    <t xml:space="preserve"> </t>
  </si>
  <si>
    <t>Are these the same role?</t>
  </si>
  <si>
    <t>SAS: ACT</t>
  </si>
  <si>
    <t>no</t>
  </si>
  <si>
    <t>yes</t>
  </si>
  <si>
    <t>Not on list</t>
  </si>
  <si>
    <t>on list &amp; added</t>
  </si>
  <si>
    <t>ScotSTAR/Nursing &amp; Midwifery</t>
  </si>
  <si>
    <t>added to list, not found on spreadsheet</t>
  </si>
  <si>
    <t>duplicate</t>
  </si>
  <si>
    <t>SAS:ACT</t>
  </si>
  <si>
    <t>Research and Innovation/Nursing &amp; Midwifery</t>
  </si>
  <si>
    <t>Call Handler Supervisor/EMD Supervisor</t>
  </si>
  <si>
    <t>MPDS Auditor/A&amp;E Auditor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</si>
</sst>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424242"/>
      <name val="Courier New"/>
      <family val="3"/>
    </font>
    <font>
      <b/>
      <sz val="11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b/>
      <sz val="11"/>
      <color rgb="FFFF0000"/>
      <name val="Aptos Narrow"/>
      <family val="2"/>
      <scheme val="minor"/>
    </font>
    <font>
      <b/>
      <sz val="11"/>
      <name val="Calibri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theme="3" tint="0.499984740745262"/>
        <bgColor theme="4" tint="0.79998168889431442"/>
      </patternFill>
    </fill>
    <fill>
      <patternFill patternType="solid">
        <fgColor theme="3" tint="0.89999084444715716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D1D1D1"/>
      </left>
      <right style="medium">
        <color rgb="FFD1D1D1"/>
      </right>
      <top style="medium">
        <color rgb="FFD1D1D1"/>
      </top>
      <bottom style="medium">
        <color rgb="FFD1D1D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1">
    <xf numFmtId="0" fontId="0" fillId="0" borderId="0" xfId="0"/>
    <xf numFmtId="0" fontId="3" fillId="0" borderId="0" xfId="0" applyFont="1"/>
    <xf numFmtId="0" fontId="4" fillId="0" borderId="0" xfId="0" applyFont="1"/>
    <xf numFmtId="0" fontId="1" fillId="2" borderId="4" xfId="0" applyFont="1" applyFill="1" applyBorder="1"/>
    <xf numFmtId="0" fontId="0" fillId="3" borderId="0" xfId="0" applyFill="1"/>
    <xf numFmtId="0" fontId="0" fillId="4" borderId="0" xfId="0" applyFill="1"/>
    <xf numFmtId="0" fontId="6" fillId="4" borderId="0" xfId="1" applyFill="1"/>
    <xf numFmtId="0" fontId="0" fillId="5" borderId="0" xfId="0" applyFill="1"/>
    <xf numFmtId="1" fontId="0" fillId="6" borderId="0" xfId="0" applyNumberFormat="1" applyFill="1"/>
    <xf numFmtId="0" fontId="0" fillId="6" borderId="0" xfId="0" applyFill="1"/>
    <xf numFmtId="1" fontId="0" fillId="5" borderId="0" xfId="0" applyNumberFormat="1" applyFill="1"/>
    <xf numFmtId="0" fontId="6" fillId="5" borderId="0" xfId="1" applyFill="1"/>
    <xf numFmtId="1" fontId="0" fillId="7" borderId="0" xfId="0" applyNumberFormat="1" applyFill="1"/>
    <xf numFmtId="0" fontId="0" fillId="7" borderId="0" xfId="0" applyFill="1"/>
    <xf numFmtId="1" fontId="0" fillId="8" borderId="0" xfId="0" applyNumberFormat="1" applyFill="1"/>
    <xf numFmtId="0" fontId="0" fillId="8" borderId="0" xfId="0" applyFill="1"/>
    <xf numFmtId="1" fontId="0" fillId="9" borderId="0" xfId="0" applyNumberFormat="1" applyFill="1"/>
    <xf numFmtId="0" fontId="0" fillId="9" borderId="0" xfId="0" applyFill="1"/>
    <xf numFmtId="1" fontId="0" fillId="10" borderId="0" xfId="0" applyNumberFormat="1" applyFill="1"/>
    <xf numFmtId="0" fontId="0" fillId="10" borderId="0" xfId="0" applyFill="1"/>
    <xf numFmtId="0" fontId="6" fillId="3" borderId="0" xfId="1" applyFill="1"/>
    <xf numFmtId="0" fontId="0" fillId="11" borderId="0" xfId="0" applyFill="1"/>
    <xf numFmtId="0" fontId="6" fillId="11" borderId="0" xfId="1" applyFill="1"/>
    <xf numFmtId="0" fontId="0" fillId="12" borderId="0" xfId="0" applyFill="1"/>
    <xf numFmtId="1" fontId="0" fillId="13" borderId="0" xfId="0" applyNumberFormat="1" applyFill="1"/>
    <xf numFmtId="0" fontId="0" fillId="13" borderId="0" xfId="0" applyFill="1"/>
    <xf numFmtId="1" fontId="0" fillId="14" borderId="0" xfId="0" applyNumberFormat="1" applyFill="1"/>
    <xf numFmtId="0" fontId="0" fillId="14" borderId="0" xfId="0" applyFill="1"/>
    <xf numFmtId="0" fontId="6" fillId="14" borderId="0" xfId="1" applyFill="1"/>
    <xf numFmtId="1" fontId="0" fillId="4" borderId="0" xfId="0" applyNumberFormat="1" applyFill="1"/>
    <xf numFmtId="0" fontId="0" fillId="15" borderId="0" xfId="0" applyFill="1"/>
    <xf numFmtId="1" fontId="0" fillId="3" borderId="0" xfId="0" applyNumberFormat="1" applyFill="1"/>
    <xf numFmtId="1" fontId="0" fillId="16" borderId="0" xfId="0" applyNumberFormat="1" applyFill="1"/>
    <xf numFmtId="0" fontId="0" fillId="16" borderId="0" xfId="0" applyFill="1"/>
    <xf numFmtId="1" fontId="0" fillId="17" borderId="0" xfId="0" applyNumberFormat="1" applyFill="1"/>
    <xf numFmtId="0" fontId="0" fillId="17" borderId="0" xfId="0" applyFill="1"/>
    <xf numFmtId="1" fontId="0" fillId="17" borderId="5" xfId="0" applyNumberFormat="1" applyFill="1" applyBorder="1"/>
    <xf numFmtId="0" fontId="0" fillId="17" borderId="6" xfId="0" applyFill="1" applyBorder="1"/>
    <xf numFmtId="0" fontId="0" fillId="17" borderId="7" xfId="0" applyFill="1" applyBorder="1"/>
    <xf numFmtId="0" fontId="0" fillId="18" borderId="0" xfId="0" applyFill="1"/>
    <xf numFmtId="0" fontId="6" fillId="18" borderId="0" xfId="1" applyFill="1"/>
    <xf numFmtId="0" fontId="6" fillId="12" borderId="0" xfId="1" applyFill="1"/>
    <xf numFmtId="0" fontId="6" fillId="9" borderId="0" xfId="1" applyFill="1"/>
    <xf numFmtId="0" fontId="6" fillId="10" borderId="0" xfId="1" applyFill="1"/>
    <xf numFmtId="0" fontId="6" fillId="13" borderId="0" xfId="1" applyFill="1"/>
    <xf numFmtId="0" fontId="0" fillId="19" borderId="0" xfId="0" applyFill="1"/>
    <xf numFmtId="0" fontId="6" fillId="19" borderId="0" xfId="1" applyFill="1"/>
    <xf numFmtId="0" fontId="0" fillId="20" borderId="0" xfId="0" applyFill="1"/>
    <xf numFmtId="0" fontId="1" fillId="2" borderId="2" xfId="0" applyFont="1" applyFill="1" applyBorder="1"/>
    <xf numFmtId="0" fontId="1" fillId="2" borderId="3" xfId="0" applyFont="1" applyFill="1" applyBorder="1"/>
    <xf numFmtId="164" fontId="0" fillId="0" borderId="0" xfId="0" applyNumberFormat="1"/>
    <xf numFmtId="0" fontId="8" fillId="0" borderId="8" xfId="0" applyFont="1" applyBorder="1" applyAlignment="1">
      <alignment horizontal="left" vertical="center" indent="2"/>
    </xf>
    <xf numFmtId="164" fontId="1" fillId="2" borderId="3" xfId="0" applyNumberFormat="1" applyFont="1" applyFill="1" applyBorder="1"/>
    <xf numFmtId="0" fontId="2" fillId="0" borderId="0" xfId="0" applyFont="1"/>
    <xf numFmtId="0" fontId="0" fillId="0" borderId="1" xfId="0" applyBorder="1"/>
    <xf numFmtId="0" fontId="0" fillId="0" borderId="9" xfId="0" applyBorder="1"/>
    <xf numFmtId="0" fontId="0" fillId="0" borderId="1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9" fillId="21" borderId="11" xfId="0" applyFont="1" applyFill="1" applyBorder="1"/>
    <xf numFmtId="0" fontId="9" fillId="21" borderId="12" xfId="0" applyFont="1" applyFill="1" applyBorder="1"/>
    <xf numFmtId="0" fontId="9" fillId="21" borderId="13" xfId="0" applyFont="1" applyFill="1" applyBorder="1"/>
    <xf numFmtId="0" fontId="10" fillId="22" borderId="0" xfId="0" applyFont="1" applyFill="1"/>
    <xf numFmtId="0" fontId="11" fillId="4" borderId="1" xfId="0" applyFont="1" applyFill="1" applyBorder="1"/>
    <xf numFmtId="0" fontId="12" fillId="4" borderId="1" xfId="0" applyFont="1" applyFill="1" applyBorder="1"/>
    <xf numFmtId="0" fontId="13" fillId="4" borderId="1" xfId="0" applyFont="1" applyFill="1" applyBorder="1" applyAlignment="1">
      <alignment wrapText="1"/>
    </xf>
    <xf numFmtId="0" fontId="14" fillId="4" borderId="1" xfId="0" applyFont="1" applyFill="1" applyBorder="1" applyAlignment="1">
      <alignment vertical="top" wrapText="1"/>
    </xf>
    <xf numFmtId="0" fontId="13" fillId="4" borderId="1" xfId="0" applyFont="1" applyFill="1" applyBorder="1"/>
    <xf numFmtId="0" fontId="16" fillId="4" borderId="1" xfId="0" applyFont="1" applyFill="1" applyBorder="1"/>
    <xf numFmtId="0" fontId="14" fillId="4" borderId="1" xfId="0" applyFont="1" applyFill="1" applyBorder="1" applyAlignment="1">
      <alignment wrapText="1"/>
    </xf>
    <xf numFmtId="0" fontId="17" fillId="4" borderId="0" xfId="0" applyFont="1" applyFill="1"/>
    <xf numFmtId="0" fontId="14" fillId="4" borderId="1" xfId="0" applyFont="1" applyFill="1" applyBorder="1" applyAlignment="1">
      <alignment horizontal="left" wrapText="1"/>
    </xf>
    <xf numFmtId="0" fontId="2" fillId="4" borderId="0" xfId="0" applyFont="1" applyFill="1"/>
    <xf numFmtId="0" fontId="16" fillId="23" borderId="1" xfId="0" applyFont="1" applyFill="1" applyBorder="1"/>
    <xf numFmtId="0" fontId="14" fillId="23" borderId="1" xfId="0" applyFont="1" applyFill="1" applyBorder="1" applyAlignment="1">
      <alignment wrapText="1"/>
    </xf>
    <xf numFmtId="0" fontId="14" fillId="23" borderId="1" xfId="0" applyFont="1" applyFill="1" applyBorder="1"/>
    <xf numFmtId="0" fontId="0" fillId="23" borderId="0" xfId="0" applyFill="1"/>
    <xf numFmtId="0" fontId="11" fillId="23" borderId="1" xfId="0" applyFont="1" applyFill="1" applyBorder="1"/>
    <xf numFmtId="0" fontId="12" fillId="23" borderId="1" xfId="0" applyFont="1" applyFill="1" applyBorder="1"/>
    <xf numFmtId="0" fontId="13" fillId="23" borderId="1" xfId="0" applyFont="1" applyFill="1" applyBorder="1" applyAlignment="1">
      <alignment wrapText="1"/>
    </xf>
    <xf numFmtId="0" fontId="13" fillId="23" borderId="1" xfId="0" applyFont="1" applyFill="1" applyBorder="1"/>
    <xf numFmtId="0" fontId="18" fillId="4" borderId="0" xfId="0" applyFont="1" applyFill="1"/>
    <xf numFmtId="0" fontId="15" fillId="4" borderId="0" xfId="0" applyFont="1" applyFill="1"/>
    <xf numFmtId="0" fontId="3" fillId="0" borderId="1" xfId="0" applyFont="1" applyBorder="1"/>
    <xf numFmtId="0" fontId="5" fillId="0" borderId="1" xfId="0" applyFont="1" applyBorder="1" applyAlignment="1">
      <alignment wrapText="1"/>
    </xf>
    <xf numFmtId="0" fontId="15" fillId="0" borderId="0" xfId="0" applyFont="1"/>
    <xf numFmtId="0" fontId="4" fillId="0" borderId="1" xfId="0" applyFont="1" applyBorder="1"/>
    <xf numFmtId="0" fontId="5" fillId="0" borderId="1" xfId="0" applyFont="1" applyBorder="1"/>
    <xf numFmtId="0" fontId="14" fillId="4" borderId="1" xfId="0" applyFont="1" applyFill="1" applyBorder="1"/>
    <xf numFmtId="0" fontId="15" fillId="0" borderId="0" xfId="0" applyFont="1" applyAlignment="1">
      <alignment horizontal="center" wrapText="1"/>
    </xf>
  </cellXfs>
  <cellStyles count="2">
    <cellStyle name="Hyperlink" xfId="1" builtinId="8"/>
    <cellStyle name="Normal" xfId="0" builtinId="0"/>
  </cellStyles>
  <dxfs count="29"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color rgb="FFFFFFFF"/>
      </font>
      <fill>
        <patternFill patternType="solid">
          <fgColor indexed="64"/>
          <bgColor rgb="FF1F4E78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2"/>
        <name val="Calibri"/>
        <family val="2"/>
        <scheme val="none"/>
      </font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2"/>
        <name val="Calibri"/>
        <family val="2"/>
        <scheme val="none"/>
      </font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2CEEF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8</v>
    <v>125</v>
    <v>1</v>
  </rv>
  <rv s="0">
    <v>13</v>
    <v>8</v>
    <v>142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47793E-B8F2-4B02-A4C7-CD75372A1800}" name="role_data" displayName="role_data" ref="A4:E218" totalsRowShown="0">
  <autoFilter ref="A4:E218" xr:uid="{AE07F024-0B54-426B-90C3-3903C333220B}"/>
  <sortState xmlns:xlrd2="http://schemas.microsoft.com/office/spreadsheetml/2017/richdata2" ref="A5:E218">
    <sortCondition sortBy="cellColor" ref="A4:A218" dxfId="28"/>
  </sortState>
  <tableColumns count="5">
    <tableColumn id="1" xr3:uid="{9B24AD00-2986-448C-8741-9A36A0082668}" name="role_id" dataDxfId="27"/>
    <tableColumn id="6" xr3:uid="{3B7B9009-CEAC-41E9-9E65-76257D7559D6}" name="Directorate" dataDxfId="26"/>
    <tableColumn id="7" xr3:uid="{9EDB71B1-4511-49A1-AB84-704B5B0F9DCB}" name="Department" dataDxfId="25"/>
    <tableColumn id="9" xr3:uid="{2093E095-E53F-44E7-8A55-202F53450D96}" name="Role" dataDxfId="24"/>
    <tableColumn id="2" xr3:uid="{FE0EEF27-7F37-46FF-8B04-232D7C219D91}" name="Column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C15BE8-1218-4CAA-AE1A-F48D4294739E}" name="course_data" displayName="course_data" ref="A1:F335" totalsRowShown="0" dataDxfId="23">
  <autoFilter ref="A1:F335" xr:uid="{6F8F89C5-15A9-4337-9D26-DBB2F47A08BE}">
    <filterColumn colId="0">
      <filters>
        <filter val="999056"/>
      </filters>
    </filterColumn>
  </autoFilter>
  <sortState xmlns:xlrd2="http://schemas.microsoft.com/office/spreadsheetml/2017/richdata2" ref="A72:F287">
    <sortCondition descending="1" ref="B1:B335"/>
  </sortState>
  <tableColumns count="6">
    <tableColumn id="1" xr3:uid="{50B8D00A-D36C-4384-B735-224CCA4FCDFE}" name="course_id" dataDxfId="22"/>
    <tableColumn id="2" xr3:uid="{CEF3AD81-2066-471E-8721-BEB3F9D804E7}" name="title" dataDxfId="21"/>
    <tableColumn id="3" xr3:uid="{09D65162-74B4-41DB-80C1-49970F17D573}" name="type" dataDxfId="20"/>
    <tableColumn id="6" xr3:uid="{14674F5B-F546-472E-9F54-311A37A579B4}" name="frequency" dataDxfId="19"/>
    <tableColumn id="4" xr3:uid="{74F21AF6-1CA7-4628-A4FB-9719BC969AB4}" name="url" dataDxfId="18" dataCellStyle="Hyperlink"/>
    <tableColumn id="5" xr3:uid="{7AF64BE9-ACFB-4AEC-9CEE-E94A2368CB48}" name="topic" dataDxfId="17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81533E-DCCB-47D8-915A-67CB8581D10F}" name="role_course_map" displayName="role_course_map" ref="A1:N3828" totalsRowShown="0">
  <autoFilter ref="A1:N3828" xr:uid="{3B81533E-DCCB-47D8-915A-67CB8581D10F}"/>
  <tableColumns count="14">
    <tableColumn id="1" xr3:uid="{1267663D-8128-4B16-BDD1-F85F8E94D338}" name="role_id"/>
    <tableColumn id="15" xr3:uid="{F93BD136-EDAE-454A-BC73-388B2E14C341}" name="Role" dataDxfId="16">
      <calculatedColumnFormula>_xlfn.XLOOKUP(role_course_map[[#This Row],[role_id]], role_data[role_id], role_data[Role],"")</calculatedColumnFormula>
    </tableColumn>
    <tableColumn id="2" xr3:uid="{20E69E44-9A39-43EC-97DD-F32F9D0F63B9}" name="course_id"/>
    <tableColumn id="3" xr3:uid="{F369B2F5-76D8-4D44-A879-20B4D8DF04E7}" name="Course" dataDxfId="15">
      <calculatedColumnFormula>_xlfn.XLOOKUP(role_course_map[[#This Row],[course_id]],course_data[course_id],course_data[title],"")</calculatedColumnFormula>
    </tableColumn>
    <tableColumn id="4" xr3:uid="{4091501E-CC2F-4FDE-83DB-A70731E1C632}" name="topic" dataDxfId="14">
      <calculatedColumnFormula>_xlfn.XLOOKUP(role_course_map[[#This Row],[course_id]],course_data[course_id],course_data[topic],"")</calculatedColumnFormula>
    </tableColumn>
    <tableColumn id="5" xr3:uid="{6DD9D807-10D5-4650-B7A7-E59B961D7BEA}" name="type" dataDxfId="13">
      <calculatedColumnFormula>_xlfn.XLOOKUP(role_course_map[[#This Row],[course_id]],course_data[course_id],course_data[type],"")</calculatedColumnFormula>
    </tableColumn>
    <tableColumn id="6" xr3:uid="{5AAEF814-26D3-496B-BCC9-CD04E9866A16}" name="include"/>
    <tableColumn id="7" xr3:uid="{CD14DC5E-BFBF-4199-A9AD-DE849F8C85E8}" name="requirement_type"/>
    <tableColumn id="10" xr3:uid="{72AC560C-36B7-4ED3-AC2D-67AF72B08064}" name="effective_from"/>
    <tableColumn id="11" xr3:uid="{B8D0EC88-1735-4777-8AAA-F4ED6DC870D8}" name="effective_to"/>
    <tableColumn id="12" xr3:uid="{4B4FA76F-9C25-4583-A592-69A4C54E1093}" name="mapping_key" dataDxfId="12">
      <calculatedColumnFormula>role_course_map[[#This Row],[role_id]] &amp; "|" &amp; role_course_map[[#This Row],[course_id]]</calculatedColumnFormula>
    </tableColumn>
    <tableColumn id="18" xr3:uid="{BA3C6BFD-8A75-420B-AE0A-E96CD6FCB69F}" name="duplicate_check" dataDxfId="11">
      <calculatedColumnFormula>IF(COUNTIF(role_course_map[mapping_key],role_course_map[[#This Row],[mapping_key]])&gt;1,"DUPLICATE","OK")</calculatedColumnFormula>
    </tableColumn>
    <tableColumn id="13" xr3:uid="{7FA9C366-C011-44EF-9491-121E7F90523D}" name="role_check" dataDxfId="10">
      <calculatedColumnFormula>IF(COUNTIF(role_data[role_id],role_course_map[[#This Row],[role_id]])=0, "INVALID","VALID")</calculatedColumnFormula>
    </tableColumn>
    <tableColumn id="14" xr3:uid="{488A351B-E89D-49FE-95A5-1D7DA9BB6AF6}" name="course_check" dataDxfId="9">
      <calculatedColumnFormula>IF(COUNTIF(course_data[course_id],role_course_map[[#This Row],[course_id]])=0, "INVALID","VALID")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1EF083D-953E-4109-B5A9-A1108AA02B17}" name="qa_role_coverage" displayName="qa_role_coverage" ref="A28:D242" totalsRowShown="0" headerRowDxfId="8" headerRowBorderDxfId="7" tableBorderDxfId="6" totalsRowBorderDxfId="5">
  <autoFilter ref="A28:D242" xr:uid="{71EF083D-953E-4109-B5A9-A1108AA02B17}"/>
  <tableColumns count="4">
    <tableColumn id="1" xr3:uid="{D0BD5A26-E30F-408D-8086-13B905A571EC}" name="role_id" dataDxfId="4"/>
    <tableColumn id="2" xr3:uid="{8754965A-FF3B-4B50-9AED-600FB3F00266}" name="Role" dataDxfId="3"/>
    <tableColumn id="3" xr3:uid="{45539B90-EC53-4E40-8A3A-5B2CA9AB8350}" name="Included course count" dataDxfId="2"/>
    <tableColumn id="4" xr3:uid="{03FEA08B-D387-4945-BB0D-420FED236F5B}" name="coverage_check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learn.nes.nhs.scot/88234" TargetMode="External"/><Relationship Id="rId18" Type="http://schemas.openxmlformats.org/officeDocument/2006/relationships/hyperlink" Target="https://learn.nes.nhs.scot/15249" TargetMode="External"/><Relationship Id="rId26" Type="http://schemas.openxmlformats.org/officeDocument/2006/relationships/hyperlink" Target="https://learn.nes.nhs.scot/14549" TargetMode="External"/><Relationship Id="rId39" Type="http://schemas.openxmlformats.org/officeDocument/2006/relationships/hyperlink" Target="https://learn.nes.nhs.scot/76096" TargetMode="External"/><Relationship Id="rId21" Type="http://schemas.openxmlformats.org/officeDocument/2006/relationships/hyperlink" Target="https://learn.nes.nhs.scot/79666" TargetMode="External"/><Relationship Id="rId34" Type="http://schemas.openxmlformats.org/officeDocument/2006/relationships/hyperlink" Target="https://learn.nes.nhs.scot/33738" TargetMode="External"/><Relationship Id="rId42" Type="http://schemas.openxmlformats.org/officeDocument/2006/relationships/hyperlink" Target="https://learn.nes.nhs.scot/89161" TargetMode="External"/><Relationship Id="rId47" Type="http://schemas.openxmlformats.org/officeDocument/2006/relationships/printerSettings" Target="../printerSettings/printerSettings1.bin"/><Relationship Id="rId7" Type="http://schemas.openxmlformats.org/officeDocument/2006/relationships/hyperlink" Target="https://learn.nes.nhs.scot/88341" TargetMode="External"/><Relationship Id="rId2" Type="http://schemas.openxmlformats.org/officeDocument/2006/relationships/hyperlink" Target="https://learn.nes.nhs.scot/88295" TargetMode="External"/><Relationship Id="rId16" Type="http://schemas.openxmlformats.org/officeDocument/2006/relationships/hyperlink" Target="https://learn.nes.nhs.scot/75201" TargetMode="External"/><Relationship Id="rId29" Type="http://schemas.openxmlformats.org/officeDocument/2006/relationships/hyperlink" Target="https://learn.nes.nhs.scot/85573/clinical-skills-managed-educational-network/online-resources/suturing-skills-pack" TargetMode="External"/><Relationship Id="rId1" Type="http://schemas.openxmlformats.org/officeDocument/2006/relationships/hyperlink" Target="https://learn.nes.nhs.scot/69073/scottish-ambulance-service-statutory-and-mandatory-training" TargetMode="External"/><Relationship Id="rId6" Type="http://schemas.openxmlformats.org/officeDocument/2006/relationships/hyperlink" Target="https://learn.nes.nhs.scot/88346" TargetMode="External"/><Relationship Id="rId11" Type="http://schemas.openxmlformats.org/officeDocument/2006/relationships/hyperlink" Target="https://learn.nes.nhs.scot/73825/sas-staff-development-and-experience" TargetMode="External"/><Relationship Id="rId24" Type="http://schemas.openxmlformats.org/officeDocument/2006/relationships/hyperlink" Target="https://learn.nes.nhs.scot/84480" TargetMode="External"/><Relationship Id="rId32" Type="http://schemas.openxmlformats.org/officeDocument/2006/relationships/hyperlink" Target="https://learn.nes.nhs.scot/37898" TargetMode="External"/><Relationship Id="rId37" Type="http://schemas.openxmlformats.org/officeDocument/2006/relationships/hyperlink" Target="https://learn.nes.nhs.scot/3886" TargetMode="External"/><Relationship Id="rId40" Type="http://schemas.openxmlformats.org/officeDocument/2006/relationships/hyperlink" Target="https://learn.nes.nhs.scot/75402" TargetMode="External"/><Relationship Id="rId45" Type="http://schemas.openxmlformats.org/officeDocument/2006/relationships/hyperlink" Target="https://learn.nes.nhs.scot/89154" TargetMode="External"/><Relationship Id="rId5" Type="http://schemas.openxmlformats.org/officeDocument/2006/relationships/hyperlink" Target="https://learn.nes.nhs.scot/88345" TargetMode="External"/><Relationship Id="rId15" Type="http://schemas.openxmlformats.org/officeDocument/2006/relationships/hyperlink" Target="https://learn.nes.nhs.scot/71980" TargetMode="External"/><Relationship Id="rId23" Type="http://schemas.openxmlformats.org/officeDocument/2006/relationships/hyperlink" Target="https://learn.nes.nhs.scot/79197" TargetMode="External"/><Relationship Id="rId28" Type="http://schemas.openxmlformats.org/officeDocument/2006/relationships/hyperlink" Target="https://learn.nes.nhs.scot/3588" TargetMode="External"/><Relationship Id="rId36" Type="http://schemas.openxmlformats.org/officeDocument/2006/relationships/hyperlink" Target="https://learn.nes.nhs.scot/75162" TargetMode="External"/><Relationship Id="rId10" Type="http://schemas.openxmlformats.org/officeDocument/2006/relationships/hyperlink" Target="https://learn.nes.nhs.scot/73824/sas-systems-training" TargetMode="External"/><Relationship Id="rId19" Type="http://schemas.openxmlformats.org/officeDocument/2006/relationships/hyperlink" Target="https://learn.nes.nhs.scot/64324" TargetMode="External"/><Relationship Id="rId31" Type="http://schemas.openxmlformats.org/officeDocument/2006/relationships/hyperlink" Target="https://learn.nes.nhs.scot/3600/infection-prevention-and-control-ipc-zone/scottish-infection-prevention-and-control-education-pathway-sipcep/aseptic-technique" TargetMode="External"/><Relationship Id="rId44" Type="http://schemas.openxmlformats.org/officeDocument/2006/relationships/hyperlink" Target="https://learn.nes.nhs.scot/89160" TargetMode="External"/><Relationship Id="rId4" Type="http://schemas.openxmlformats.org/officeDocument/2006/relationships/hyperlink" Target="https://learn.nes.nhs.scot/88231" TargetMode="External"/><Relationship Id="rId9" Type="http://schemas.openxmlformats.org/officeDocument/2006/relationships/hyperlink" Target="https://learn.nes.nhs.scot/76618" TargetMode="External"/><Relationship Id="rId14" Type="http://schemas.openxmlformats.org/officeDocument/2006/relationships/hyperlink" Target="https://learn.nes.nhs.scot/88298" TargetMode="External"/><Relationship Id="rId22" Type="http://schemas.openxmlformats.org/officeDocument/2006/relationships/hyperlink" Target="https://learn.nes.nhs.scot/79667" TargetMode="External"/><Relationship Id="rId27" Type="http://schemas.openxmlformats.org/officeDocument/2006/relationships/hyperlink" Target="https://learn.nes.nhs.scot/44240" TargetMode="External"/><Relationship Id="rId30" Type="http://schemas.openxmlformats.org/officeDocument/2006/relationships/hyperlink" Target="https://learn.nes.nhs.scot/1971/infection-prevention-and-control-ipc-zone/scottish-infection-prevention-and-control-education-pathway-sipcep/multi-drug-resistant-organisms/hai-acute-hospital-admission-screening" TargetMode="External"/><Relationship Id="rId35" Type="http://schemas.openxmlformats.org/officeDocument/2006/relationships/hyperlink" Target="https://dbi.learnprouk.com/" TargetMode="External"/><Relationship Id="rId43" Type="http://schemas.openxmlformats.org/officeDocument/2006/relationships/hyperlink" Target="https://learn.nes.nhs.scot/89157" TargetMode="External"/><Relationship Id="rId48" Type="http://schemas.openxmlformats.org/officeDocument/2006/relationships/table" Target="../tables/table2.xml"/><Relationship Id="rId8" Type="http://schemas.openxmlformats.org/officeDocument/2006/relationships/hyperlink" Target="https://learn.nes.nhs.scot/88294" TargetMode="External"/><Relationship Id="rId3" Type="http://schemas.openxmlformats.org/officeDocument/2006/relationships/hyperlink" Target="https://learn.nes.nhs.scot/88226" TargetMode="External"/><Relationship Id="rId12" Type="http://schemas.openxmlformats.org/officeDocument/2006/relationships/hyperlink" Target="https://learn.nes.nhs.scot/75907/sas-public-protection" TargetMode="External"/><Relationship Id="rId17" Type="http://schemas.openxmlformats.org/officeDocument/2006/relationships/hyperlink" Target="https://learn.nes.nhs.scot/76716" TargetMode="External"/><Relationship Id="rId25" Type="http://schemas.openxmlformats.org/officeDocument/2006/relationships/hyperlink" Target="https://learn.nes.nhs.scot/19527" TargetMode="External"/><Relationship Id="rId33" Type="http://schemas.openxmlformats.org/officeDocument/2006/relationships/hyperlink" Target="https://learn.nes.nhs.scot/37899" TargetMode="External"/><Relationship Id="rId38" Type="http://schemas.openxmlformats.org/officeDocument/2006/relationships/hyperlink" Target="https://learn.nes.nhs.scot/79218" TargetMode="External"/><Relationship Id="rId46" Type="http://schemas.openxmlformats.org/officeDocument/2006/relationships/hyperlink" Target="https://learn.nes.nhs.scot/89155" TargetMode="External"/><Relationship Id="rId20" Type="http://schemas.openxmlformats.org/officeDocument/2006/relationships/hyperlink" Target="https://learn.nes.nhs.scot/64322" TargetMode="External"/><Relationship Id="rId41" Type="http://schemas.openxmlformats.org/officeDocument/2006/relationships/hyperlink" Target="https://learn.nes.nhs.scot/83736/sas-education-and-professional-development-epdd/learning-in-practice-lip-2025-2026/learning-in-practice-lip-2025-2026-prevention-and-management-of-violence-and-aggression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AC5BF-4C14-4774-A3B6-21872DFF5019}">
  <dimension ref="A2:H218"/>
  <sheetViews>
    <sheetView topLeftCell="A207" workbookViewId="0">
      <selection activeCell="A33" sqref="A33"/>
    </sheetView>
  </sheetViews>
  <sheetFormatPr defaultRowHeight="15.5" x14ac:dyDescent="0.35"/>
  <cols>
    <col min="1" max="1" width="10.7265625" style="1" customWidth="1"/>
    <col min="2" max="2" width="36.54296875" style="2" customWidth="1"/>
    <col min="3" max="3" width="46.81640625" style="2" customWidth="1"/>
    <col min="4" max="4" width="61.7265625" customWidth="1"/>
    <col min="5" max="5" width="13.81640625" bestFit="1" customWidth="1"/>
    <col min="6" max="6" width="18.453125" customWidth="1"/>
  </cols>
  <sheetData>
    <row r="2" spans="1:8" x14ac:dyDescent="0.35">
      <c r="G2" s="47"/>
      <c r="H2" t="s">
        <v>1065</v>
      </c>
    </row>
    <row r="3" spans="1:8" x14ac:dyDescent="0.35">
      <c r="G3" s="5"/>
      <c r="H3" t="s">
        <v>1066</v>
      </c>
    </row>
    <row r="4" spans="1:8" x14ac:dyDescent="0.35">
      <c r="A4" s="1" t="s">
        <v>0</v>
      </c>
      <c r="B4" s="2" t="s">
        <v>1</v>
      </c>
      <c r="C4" s="2" t="s">
        <v>2</v>
      </c>
      <c r="D4" t="s">
        <v>3</v>
      </c>
      <c r="E4" t="s">
        <v>1059</v>
      </c>
      <c r="G4" s="77"/>
      <c r="H4" t="s">
        <v>1068</v>
      </c>
    </row>
    <row r="5" spans="1:8" x14ac:dyDescent="0.35">
      <c r="A5" s="64" t="s">
        <v>4</v>
      </c>
      <c r="B5" s="65" t="s">
        <v>5</v>
      </c>
      <c r="C5" s="65" t="s">
        <v>5</v>
      </c>
      <c r="D5" s="65" t="s">
        <v>6</v>
      </c>
      <c r="E5" s="73" t="s">
        <v>1036</v>
      </c>
      <c r="G5" s="19"/>
      <c r="H5" t="s">
        <v>1069</v>
      </c>
    </row>
    <row r="6" spans="1:8" x14ac:dyDescent="0.35">
      <c r="A6" s="64" t="s">
        <v>7</v>
      </c>
      <c r="B6" s="66" t="s">
        <v>5</v>
      </c>
      <c r="C6" s="66" t="s">
        <v>5</v>
      </c>
      <c r="D6" s="66" t="s">
        <v>8</v>
      </c>
      <c r="E6" s="73" t="s">
        <v>1036</v>
      </c>
    </row>
    <row r="7" spans="1:8" x14ac:dyDescent="0.35">
      <c r="A7" s="64" t="s">
        <v>9</v>
      </c>
      <c r="B7" s="66" t="s">
        <v>5</v>
      </c>
      <c r="C7" s="66" t="s">
        <v>5</v>
      </c>
      <c r="D7" s="66" t="s">
        <v>10</v>
      </c>
      <c r="E7" s="5"/>
    </row>
    <row r="8" spans="1:8" x14ac:dyDescent="0.35">
      <c r="A8" s="64" t="s">
        <v>11</v>
      </c>
      <c r="B8" s="66" t="s">
        <v>5</v>
      </c>
      <c r="C8" s="66" t="s">
        <v>5</v>
      </c>
      <c r="D8" s="66" t="s">
        <v>12</v>
      </c>
      <c r="E8" s="73" t="s">
        <v>1036</v>
      </c>
    </row>
    <row r="9" spans="1:8" x14ac:dyDescent="0.35">
      <c r="A9" s="64" t="s">
        <v>13</v>
      </c>
      <c r="B9" s="65" t="s">
        <v>5</v>
      </c>
      <c r="C9" s="65" t="s">
        <v>5</v>
      </c>
      <c r="D9" s="66" t="s">
        <v>14</v>
      </c>
      <c r="E9" s="73" t="s">
        <v>1036</v>
      </c>
    </row>
    <row r="10" spans="1:8" x14ac:dyDescent="0.35">
      <c r="A10" s="64" t="s">
        <v>15</v>
      </c>
      <c r="B10" s="65" t="s">
        <v>5</v>
      </c>
      <c r="C10" s="65" t="s">
        <v>5</v>
      </c>
      <c r="D10" s="65" t="s">
        <v>16</v>
      </c>
      <c r="E10" s="73" t="s">
        <v>1036</v>
      </c>
    </row>
    <row r="11" spans="1:8" x14ac:dyDescent="0.35">
      <c r="A11" s="64" t="s">
        <v>17</v>
      </c>
      <c r="B11" s="65" t="s">
        <v>18</v>
      </c>
      <c r="C11" s="65" t="s">
        <v>19</v>
      </c>
      <c r="D11" s="66" t="s">
        <v>20</v>
      </c>
      <c r="E11" s="5"/>
    </row>
    <row r="12" spans="1:8" ht="14.5" customHeight="1" x14ac:dyDescent="0.35">
      <c r="A12" s="64" t="s">
        <v>21</v>
      </c>
      <c r="B12" s="66" t="s">
        <v>18</v>
      </c>
      <c r="C12" s="66" t="s">
        <v>22</v>
      </c>
      <c r="D12" s="66" t="s">
        <v>23</v>
      </c>
      <c r="E12" s="5"/>
    </row>
    <row r="13" spans="1:8" x14ac:dyDescent="0.35">
      <c r="A13" s="64" t="s">
        <v>24</v>
      </c>
      <c r="B13" s="66" t="s">
        <v>25</v>
      </c>
      <c r="C13" s="65" t="s">
        <v>26</v>
      </c>
      <c r="D13" s="66" t="s">
        <v>27</v>
      </c>
      <c r="E13" s="5"/>
    </row>
    <row r="14" spans="1:8" x14ac:dyDescent="0.35">
      <c r="A14" s="64" t="s">
        <v>30</v>
      </c>
      <c r="B14" s="66" t="s">
        <v>25</v>
      </c>
      <c r="C14" s="65" t="s">
        <v>26</v>
      </c>
      <c r="D14" s="66" t="s">
        <v>31</v>
      </c>
      <c r="E14" s="5"/>
    </row>
    <row r="15" spans="1:8" x14ac:dyDescent="0.35">
      <c r="A15" s="64" t="s">
        <v>34</v>
      </c>
      <c r="B15" s="66" t="s">
        <v>25</v>
      </c>
      <c r="C15" s="65" t="s">
        <v>26</v>
      </c>
      <c r="D15" s="66" t="s">
        <v>35</v>
      </c>
      <c r="E15" s="5"/>
    </row>
    <row r="16" spans="1:8" x14ac:dyDescent="0.35">
      <c r="A16" s="64" t="s">
        <v>36</v>
      </c>
      <c r="B16" s="66" t="s">
        <v>25</v>
      </c>
      <c r="C16" s="65" t="s">
        <v>26</v>
      </c>
      <c r="D16" s="66" t="s">
        <v>37</v>
      </c>
      <c r="E16" s="5"/>
    </row>
    <row r="17" spans="1:5" x14ac:dyDescent="0.35">
      <c r="A17" s="64" t="s">
        <v>45</v>
      </c>
      <c r="B17" s="66" t="s">
        <v>25</v>
      </c>
      <c r="C17" s="66" t="s">
        <v>39</v>
      </c>
      <c r="D17" s="66" t="s">
        <v>46</v>
      </c>
      <c r="E17" s="5"/>
    </row>
    <row r="18" spans="1:5" x14ac:dyDescent="0.35">
      <c r="A18" s="64" t="s">
        <v>47</v>
      </c>
      <c r="B18" s="66" t="s">
        <v>25</v>
      </c>
      <c r="C18" s="66" t="s">
        <v>39</v>
      </c>
      <c r="D18" s="66" t="s">
        <v>48</v>
      </c>
      <c r="E18" s="5"/>
    </row>
    <row r="19" spans="1:5" x14ac:dyDescent="0.35">
      <c r="A19" s="64" t="s">
        <v>53</v>
      </c>
      <c r="B19" s="66" t="s">
        <v>25</v>
      </c>
      <c r="C19" s="66" t="s">
        <v>39</v>
      </c>
      <c r="D19" s="66" t="s">
        <v>54</v>
      </c>
      <c r="E19" s="5"/>
    </row>
    <row r="20" spans="1:5" x14ac:dyDescent="0.35">
      <c r="A20" s="64" t="s">
        <v>55</v>
      </c>
      <c r="B20" s="66" t="s">
        <v>25</v>
      </c>
      <c r="C20" s="66" t="s">
        <v>39</v>
      </c>
      <c r="D20" s="66" t="s">
        <v>56</v>
      </c>
      <c r="E20" s="5"/>
    </row>
    <row r="21" spans="1:5" x14ac:dyDescent="0.35">
      <c r="A21" s="64" t="s">
        <v>59</v>
      </c>
      <c r="B21" s="66" t="s">
        <v>25</v>
      </c>
      <c r="C21" s="66" t="s">
        <v>60</v>
      </c>
      <c r="D21" s="66" t="s">
        <v>61</v>
      </c>
      <c r="E21" s="73"/>
    </row>
    <row r="22" spans="1:5" x14ac:dyDescent="0.35">
      <c r="A22" s="64" t="s">
        <v>62</v>
      </c>
      <c r="B22" s="66" t="s">
        <v>25</v>
      </c>
      <c r="C22" s="66" t="s">
        <v>60</v>
      </c>
      <c r="D22" s="66" t="s">
        <v>63</v>
      </c>
      <c r="E22" s="5"/>
    </row>
    <row r="23" spans="1:5" x14ac:dyDescent="0.35">
      <c r="A23" s="64" t="s">
        <v>70</v>
      </c>
      <c r="B23" s="66" t="s">
        <v>25</v>
      </c>
      <c r="C23" s="66" t="s">
        <v>60</v>
      </c>
      <c r="D23" s="66" t="s">
        <v>71</v>
      </c>
      <c r="E23" s="5"/>
    </row>
    <row r="24" spans="1:5" x14ac:dyDescent="0.35">
      <c r="A24" s="64" t="s">
        <v>72</v>
      </c>
      <c r="B24" s="66" t="s">
        <v>25</v>
      </c>
      <c r="C24" s="66" t="s">
        <v>60</v>
      </c>
      <c r="D24" s="66" t="s">
        <v>73</v>
      </c>
      <c r="E24" s="73"/>
    </row>
    <row r="25" spans="1:5" x14ac:dyDescent="0.35">
      <c r="A25" s="64" t="s">
        <v>74</v>
      </c>
      <c r="B25" s="66" t="s">
        <v>25</v>
      </c>
      <c r="C25" s="66" t="s">
        <v>60</v>
      </c>
      <c r="D25" s="66" t="s">
        <v>75</v>
      </c>
      <c r="E25" s="5"/>
    </row>
    <row r="26" spans="1:5" x14ac:dyDescent="0.35">
      <c r="A26" s="64" t="s">
        <v>76</v>
      </c>
      <c r="B26" s="66" t="s">
        <v>25</v>
      </c>
      <c r="C26" s="66" t="s">
        <v>60</v>
      </c>
      <c r="D26" s="66" t="s">
        <v>77</v>
      </c>
      <c r="E26" s="5"/>
    </row>
    <row r="27" spans="1:5" x14ac:dyDescent="0.35">
      <c r="A27" s="64" t="s">
        <v>78</v>
      </c>
      <c r="B27" s="66" t="s">
        <v>25</v>
      </c>
      <c r="C27" s="66" t="s">
        <v>60</v>
      </c>
      <c r="D27" s="66" t="s">
        <v>79</v>
      </c>
      <c r="E27" s="5"/>
    </row>
    <row r="28" spans="1:5" x14ac:dyDescent="0.35">
      <c r="A28" s="64" t="s">
        <v>80</v>
      </c>
      <c r="B28" s="66" t="s">
        <v>25</v>
      </c>
      <c r="C28" s="66" t="s">
        <v>60</v>
      </c>
      <c r="D28" s="66" t="s">
        <v>81</v>
      </c>
      <c r="E28" s="5"/>
    </row>
    <row r="29" spans="1:5" x14ac:dyDescent="0.35">
      <c r="A29" s="64" t="s">
        <v>84</v>
      </c>
      <c r="B29" s="66" t="s">
        <v>25</v>
      </c>
      <c r="C29" s="66" t="s">
        <v>60</v>
      </c>
      <c r="D29" s="66" t="s">
        <v>85</v>
      </c>
      <c r="E29" s="5"/>
    </row>
    <row r="30" spans="1:5" x14ac:dyDescent="0.35">
      <c r="A30" s="64" t="s">
        <v>86</v>
      </c>
      <c r="B30" s="66" t="s">
        <v>25</v>
      </c>
      <c r="C30" s="66" t="s">
        <v>60</v>
      </c>
      <c r="D30" s="66" t="s">
        <v>87</v>
      </c>
      <c r="E30" s="73"/>
    </row>
    <row r="31" spans="1:5" x14ac:dyDescent="0.35">
      <c r="A31" s="64" t="s">
        <v>90</v>
      </c>
      <c r="B31" s="66" t="s">
        <v>25</v>
      </c>
      <c r="C31" s="66" t="s">
        <v>91</v>
      </c>
      <c r="D31" s="66" t="s">
        <v>92</v>
      </c>
      <c r="E31" s="5"/>
    </row>
    <row r="32" spans="1:5" x14ac:dyDescent="0.35">
      <c r="A32" s="64" t="s">
        <v>97</v>
      </c>
      <c r="B32" s="66" t="s">
        <v>25</v>
      </c>
      <c r="C32" s="66" t="s">
        <v>91</v>
      </c>
      <c r="D32" s="66" t="s">
        <v>98</v>
      </c>
      <c r="E32" s="5"/>
    </row>
    <row r="33" spans="1:5" x14ac:dyDescent="0.35">
      <c r="A33" s="64" t="s">
        <v>103</v>
      </c>
      <c r="B33" s="66" t="s">
        <v>25</v>
      </c>
      <c r="C33" s="66" t="s">
        <v>91</v>
      </c>
      <c r="D33" s="66" t="s">
        <v>104</v>
      </c>
      <c r="E33" s="5"/>
    </row>
    <row r="34" spans="1:5" x14ac:dyDescent="0.35">
      <c r="A34" s="64" t="s">
        <v>107</v>
      </c>
      <c r="B34" s="66" t="s">
        <v>25</v>
      </c>
      <c r="C34" s="66" t="s">
        <v>108</v>
      </c>
      <c r="D34" s="65" t="s">
        <v>44</v>
      </c>
      <c r="E34" s="83"/>
    </row>
    <row r="35" spans="1:5" x14ac:dyDescent="0.35">
      <c r="A35" s="64" t="s">
        <v>115</v>
      </c>
      <c r="B35" s="66" t="s">
        <v>25</v>
      </c>
      <c r="C35" s="66" t="s">
        <v>108</v>
      </c>
      <c r="D35" s="65" t="s">
        <v>54</v>
      </c>
      <c r="E35" s="5"/>
    </row>
    <row r="36" spans="1:5" x14ac:dyDescent="0.35">
      <c r="A36" s="64" t="s">
        <v>118</v>
      </c>
      <c r="B36" s="65" t="s">
        <v>119</v>
      </c>
      <c r="C36" s="65" t="s">
        <v>120</v>
      </c>
      <c r="D36" s="65" t="s">
        <v>121</v>
      </c>
      <c r="E36" s="5"/>
    </row>
    <row r="37" spans="1:5" x14ac:dyDescent="0.35">
      <c r="A37" s="64" t="s">
        <v>122</v>
      </c>
      <c r="B37" s="65" t="s">
        <v>119</v>
      </c>
      <c r="C37" s="65" t="s">
        <v>120</v>
      </c>
      <c r="D37" s="65" t="s">
        <v>123</v>
      </c>
      <c r="E37" s="5"/>
    </row>
    <row r="38" spans="1:5" x14ac:dyDescent="0.35">
      <c r="A38" s="64" t="s">
        <v>124</v>
      </c>
      <c r="B38" s="65" t="s">
        <v>119</v>
      </c>
      <c r="C38" s="65" t="s">
        <v>120</v>
      </c>
      <c r="D38" s="67" t="s">
        <v>125</v>
      </c>
      <c r="E38" s="5"/>
    </row>
    <row r="39" spans="1:5" x14ac:dyDescent="0.35">
      <c r="A39" s="64" t="s">
        <v>126</v>
      </c>
      <c r="B39" s="65" t="s">
        <v>119</v>
      </c>
      <c r="C39" s="65" t="s">
        <v>120</v>
      </c>
      <c r="D39" s="65" t="s">
        <v>1072</v>
      </c>
      <c r="E39" s="73" t="s">
        <v>1036</v>
      </c>
    </row>
    <row r="40" spans="1:5" x14ac:dyDescent="0.35">
      <c r="A40" s="64" t="s">
        <v>128</v>
      </c>
      <c r="B40" s="65" t="s">
        <v>119</v>
      </c>
      <c r="C40" s="65" t="s">
        <v>120</v>
      </c>
      <c r="D40" s="65" t="s">
        <v>129</v>
      </c>
      <c r="E40" s="5"/>
    </row>
    <row r="41" spans="1:5" x14ac:dyDescent="0.35">
      <c r="A41" s="64" t="s">
        <v>130</v>
      </c>
      <c r="B41" s="65" t="s">
        <v>119</v>
      </c>
      <c r="C41" s="65" t="s">
        <v>120</v>
      </c>
      <c r="D41" s="65" t="s">
        <v>131</v>
      </c>
      <c r="E41" s="5"/>
    </row>
    <row r="42" spans="1:5" x14ac:dyDescent="0.35">
      <c r="A42" s="64" t="s">
        <v>132</v>
      </c>
      <c r="B42" s="65" t="s">
        <v>119</v>
      </c>
      <c r="C42" s="65" t="s">
        <v>120</v>
      </c>
      <c r="D42" s="65" t="s">
        <v>133</v>
      </c>
      <c r="E42" s="73" t="s">
        <v>1036</v>
      </c>
    </row>
    <row r="43" spans="1:5" x14ac:dyDescent="0.35">
      <c r="A43" s="64" t="s">
        <v>134</v>
      </c>
      <c r="B43" s="65" t="s">
        <v>119</v>
      </c>
      <c r="C43" s="65" t="s">
        <v>120</v>
      </c>
      <c r="D43" s="67" t="s">
        <v>135</v>
      </c>
      <c r="E43" s="5"/>
    </row>
    <row r="44" spans="1:5" x14ac:dyDescent="0.35">
      <c r="A44" s="64" t="s">
        <v>138</v>
      </c>
      <c r="B44" s="65" t="s">
        <v>119</v>
      </c>
      <c r="C44" s="65" t="s">
        <v>120</v>
      </c>
      <c r="D44" s="65" t="s">
        <v>139</v>
      </c>
      <c r="E44" s="5"/>
    </row>
    <row r="45" spans="1:5" x14ac:dyDescent="0.35">
      <c r="A45" s="64" t="s">
        <v>140</v>
      </c>
      <c r="B45" s="65" t="s">
        <v>119</v>
      </c>
      <c r="C45" s="65" t="s">
        <v>120</v>
      </c>
      <c r="D45" s="65" t="s">
        <v>141</v>
      </c>
      <c r="E45" s="5"/>
    </row>
    <row r="46" spans="1:5" x14ac:dyDescent="0.35">
      <c r="A46" s="64" t="s">
        <v>142</v>
      </c>
      <c r="B46" s="65" t="s">
        <v>119</v>
      </c>
      <c r="C46" s="65" t="s">
        <v>120</v>
      </c>
      <c r="D46" s="65" t="s">
        <v>143</v>
      </c>
      <c r="E46" s="5"/>
    </row>
    <row r="47" spans="1:5" x14ac:dyDescent="0.35">
      <c r="A47" s="64" t="s">
        <v>144</v>
      </c>
      <c r="B47" s="65" t="s">
        <v>119</v>
      </c>
      <c r="C47" s="65" t="s">
        <v>120</v>
      </c>
      <c r="D47" s="65" t="s">
        <v>145</v>
      </c>
      <c r="E47" s="5"/>
    </row>
    <row r="48" spans="1:5" x14ac:dyDescent="0.35">
      <c r="A48" s="64" t="s">
        <v>146</v>
      </c>
      <c r="B48" s="65" t="s">
        <v>119</v>
      </c>
      <c r="C48" s="65" t="s">
        <v>120</v>
      </c>
      <c r="D48" s="66" t="s">
        <v>147</v>
      </c>
      <c r="E48" s="5"/>
    </row>
    <row r="49" spans="1:5" x14ac:dyDescent="0.35">
      <c r="A49" s="64" t="s">
        <v>148</v>
      </c>
      <c r="B49" s="65" t="s">
        <v>119</v>
      </c>
      <c r="C49" s="65" t="s">
        <v>120</v>
      </c>
      <c r="D49" s="66" t="s">
        <v>149</v>
      </c>
      <c r="E49" s="5"/>
    </row>
    <row r="50" spans="1:5" x14ac:dyDescent="0.35">
      <c r="A50" s="64" t="s">
        <v>150</v>
      </c>
      <c r="B50" s="65" t="s">
        <v>119</v>
      </c>
      <c r="C50" s="65" t="s">
        <v>120</v>
      </c>
      <c r="D50" s="66" t="s">
        <v>151</v>
      </c>
      <c r="E50" s="5"/>
    </row>
    <row r="51" spans="1:5" x14ac:dyDescent="0.35">
      <c r="A51" s="64" t="s">
        <v>152</v>
      </c>
      <c r="B51" s="65" t="s">
        <v>119</v>
      </c>
      <c r="C51" s="65" t="s">
        <v>120</v>
      </c>
      <c r="D51" s="66" t="s">
        <v>153</v>
      </c>
      <c r="E51" s="5"/>
    </row>
    <row r="52" spans="1:5" x14ac:dyDescent="0.35">
      <c r="A52" s="64" t="s">
        <v>154</v>
      </c>
      <c r="B52" s="65" t="s">
        <v>119</v>
      </c>
      <c r="C52" s="65" t="s">
        <v>120</v>
      </c>
      <c r="D52" s="65" t="s">
        <v>155</v>
      </c>
      <c r="E52" s="5"/>
    </row>
    <row r="53" spans="1:5" ht="15.75" customHeight="1" x14ac:dyDescent="0.35">
      <c r="A53" s="64" t="s">
        <v>156</v>
      </c>
      <c r="B53" s="65" t="s">
        <v>119</v>
      </c>
      <c r="C53" s="65" t="s">
        <v>120</v>
      </c>
      <c r="D53" s="65" t="s">
        <v>1073</v>
      </c>
      <c r="E53" s="73" t="s">
        <v>1036</v>
      </c>
    </row>
    <row r="54" spans="1:5" x14ac:dyDescent="0.35">
      <c r="A54" s="64" t="s">
        <v>158</v>
      </c>
      <c r="B54" s="65" t="s">
        <v>119</v>
      </c>
      <c r="C54" s="65" t="s">
        <v>120</v>
      </c>
      <c r="D54" s="65" t="s">
        <v>159</v>
      </c>
      <c r="E54" s="5"/>
    </row>
    <row r="55" spans="1:5" x14ac:dyDescent="0.35">
      <c r="A55" s="64" t="s">
        <v>160</v>
      </c>
      <c r="B55" s="65" t="s">
        <v>119</v>
      </c>
      <c r="C55" s="65" t="s">
        <v>120</v>
      </c>
      <c r="D55" s="65" t="s">
        <v>161</v>
      </c>
      <c r="E55" s="5"/>
    </row>
    <row r="56" spans="1:5" x14ac:dyDescent="0.35">
      <c r="A56" s="64" t="s">
        <v>162</v>
      </c>
      <c r="B56" s="65" t="s">
        <v>119</v>
      </c>
      <c r="C56" s="65" t="s">
        <v>120</v>
      </c>
      <c r="D56" s="65" t="s">
        <v>163</v>
      </c>
      <c r="E56" s="5"/>
    </row>
    <row r="57" spans="1:5" x14ac:dyDescent="0.35">
      <c r="A57" s="64" t="s">
        <v>164</v>
      </c>
      <c r="B57" s="65" t="s">
        <v>119</v>
      </c>
      <c r="C57" s="65" t="s">
        <v>120</v>
      </c>
      <c r="D57" s="65" t="s">
        <v>165</v>
      </c>
      <c r="E57" s="5"/>
    </row>
    <row r="58" spans="1:5" x14ac:dyDescent="0.35">
      <c r="A58" s="64" t="s">
        <v>166</v>
      </c>
      <c r="B58" s="65" t="s">
        <v>119</v>
      </c>
      <c r="C58" s="65" t="s">
        <v>120</v>
      </c>
      <c r="D58" s="65" t="s">
        <v>167</v>
      </c>
      <c r="E58" s="5"/>
    </row>
    <row r="59" spans="1:5" x14ac:dyDescent="0.35">
      <c r="A59" s="64" t="s">
        <v>168</v>
      </c>
      <c r="B59" s="65" t="s">
        <v>119</v>
      </c>
      <c r="C59" s="65" t="s">
        <v>120</v>
      </c>
      <c r="D59" s="65" t="s">
        <v>169</v>
      </c>
      <c r="E59" s="5"/>
    </row>
    <row r="60" spans="1:5" x14ac:dyDescent="0.35">
      <c r="A60" s="64" t="s">
        <v>170</v>
      </c>
      <c r="B60" s="65" t="s">
        <v>119</v>
      </c>
      <c r="C60" s="65" t="s">
        <v>120</v>
      </c>
      <c r="D60" s="65" t="s">
        <v>171</v>
      </c>
      <c r="E60" s="73" t="s">
        <v>1036</v>
      </c>
    </row>
    <row r="61" spans="1:5" x14ac:dyDescent="0.35">
      <c r="A61" s="64" t="s">
        <v>172</v>
      </c>
      <c r="B61" s="65" t="s">
        <v>119</v>
      </c>
      <c r="C61" s="65" t="s">
        <v>120</v>
      </c>
      <c r="D61" s="67" t="s">
        <v>173</v>
      </c>
      <c r="E61" s="5"/>
    </row>
    <row r="62" spans="1:5" x14ac:dyDescent="0.35">
      <c r="A62" s="64" t="s">
        <v>174</v>
      </c>
      <c r="B62" s="65" t="s">
        <v>119</v>
      </c>
      <c r="C62" s="65" t="s">
        <v>120</v>
      </c>
      <c r="D62" s="65" t="s">
        <v>175</v>
      </c>
      <c r="E62" s="73" t="s">
        <v>1036</v>
      </c>
    </row>
    <row r="63" spans="1:5" x14ac:dyDescent="0.35">
      <c r="A63" s="64" t="s">
        <v>176</v>
      </c>
      <c r="B63" s="65" t="s">
        <v>119</v>
      </c>
      <c r="C63" s="65" t="s">
        <v>120</v>
      </c>
      <c r="D63" s="65" t="s">
        <v>177</v>
      </c>
      <c r="E63" s="73" t="s">
        <v>1036</v>
      </c>
    </row>
    <row r="64" spans="1:5" x14ac:dyDescent="0.35">
      <c r="A64" s="64" t="s">
        <v>178</v>
      </c>
      <c r="B64" s="65" t="s">
        <v>119</v>
      </c>
      <c r="C64" s="65" t="s">
        <v>120</v>
      </c>
      <c r="D64" s="65" t="s">
        <v>179</v>
      </c>
      <c r="E64" s="5"/>
    </row>
    <row r="65" spans="1:6" x14ac:dyDescent="0.35">
      <c r="A65" s="64" t="s">
        <v>180</v>
      </c>
      <c r="B65" s="65" t="s">
        <v>119</v>
      </c>
      <c r="C65" s="65" t="s">
        <v>120</v>
      </c>
      <c r="D65" s="65" t="s">
        <v>181</v>
      </c>
      <c r="E65" s="5"/>
    </row>
    <row r="66" spans="1:6" x14ac:dyDescent="0.35">
      <c r="A66" s="64" t="s">
        <v>182</v>
      </c>
      <c r="B66" s="65" t="s">
        <v>119</v>
      </c>
      <c r="C66" s="65" t="s">
        <v>120</v>
      </c>
      <c r="D66" s="66" t="s">
        <v>183</v>
      </c>
      <c r="E66" s="5"/>
    </row>
    <row r="67" spans="1:6" x14ac:dyDescent="0.35">
      <c r="A67" s="64" t="s">
        <v>184</v>
      </c>
      <c r="B67" s="65" t="s">
        <v>119</v>
      </c>
      <c r="C67" s="65" t="s">
        <v>120</v>
      </c>
      <c r="D67" s="65" t="s">
        <v>185</v>
      </c>
      <c r="E67" s="5"/>
    </row>
    <row r="68" spans="1:6" x14ac:dyDescent="0.35">
      <c r="A68" s="64" t="s">
        <v>186</v>
      </c>
      <c r="B68" s="66" t="s">
        <v>119</v>
      </c>
      <c r="C68" s="66" t="s">
        <v>187</v>
      </c>
      <c r="D68" s="66" t="s">
        <v>188</v>
      </c>
      <c r="E68" s="5"/>
    </row>
    <row r="69" spans="1:6" x14ac:dyDescent="0.35">
      <c r="A69" s="64" t="s">
        <v>189</v>
      </c>
      <c r="B69" s="66" t="s">
        <v>119</v>
      </c>
      <c r="C69" s="66" t="s">
        <v>187</v>
      </c>
      <c r="D69" s="66" t="s">
        <v>190</v>
      </c>
      <c r="E69" s="5"/>
    </row>
    <row r="70" spans="1:6" x14ac:dyDescent="0.35">
      <c r="A70" s="64" t="s">
        <v>191</v>
      </c>
      <c r="B70" s="66" t="s">
        <v>119</v>
      </c>
      <c r="C70" s="66" t="s">
        <v>187</v>
      </c>
      <c r="D70" s="66" t="s">
        <v>192</v>
      </c>
      <c r="E70" s="5"/>
    </row>
    <row r="71" spans="1:6" x14ac:dyDescent="0.35">
      <c r="A71" s="64" t="s">
        <v>193</v>
      </c>
      <c r="B71" s="65" t="s">
        <v>119</v>
      </c>
      <c r="C71" s="66" t="s">
        <v>187</v>
      </c>
      <c r="D71" s="68" t="s">
        <v>194</v>
      </c>
      <c r="E71" s="5"/>
    </row>
    <row r="72" spans="1:6" x14ac:dyDescent="0.35">
      <c r="A72" s="64" t="s">
        <v>195</v>
      </c>
      <c r="B72" s="66" t="s">
        <v>119</v>
      </c>
      <c r="C72" s="66" t="s">
        <v>187</v>
      </c>
      <c r="D72" s="65" t="s">
        <v>196</v>
      </c>
      <c r="E72" s="73" t="s">
        <v>1064</v>
      </c>
    </row>
    <row r="73" spans="1:6" x14ac:dyDescent="0.35">
      <c r="A73" s="64" t="s">
        <v>197</v>
      </c>
      <c r="B73" s="65" t="s">
        <v>119</v>
      </c>
      <c r="C73" s="66" t="s">
        <v>187</v>
      </c>
      <c r="D73" s="65" t="s">
        <v>198</v>
      </c>
      <c r="E73" s="5"/>
    </row>
    <row r="74" spans="1:6" x14ac:dyDescent="0.35">
      <c r="A74" s="64" t="s">
        <v>199</v>
      </c>
      <c r="B74" s="66" t="s">
        <v>119</v>
      </c>
      <c r="C74" s="66" t="s">
        <v>187</v>
      </c>
      <c r="D74" s="66" t="s">
        <v>200</v>
      </c>
      <c r="E74" s="5"/>
    </row>
    <row r="75" spans="1:6" x14ac:dyDescent="0.35">
      <c r="A75" s="64" t="s">
        <v>201</v>
      </c>
      <c r="B75" s="65" t="s">
        <v>119</v>
      </c>
      <c r="C75" s="67" t="s">
        <v>202</v>
      </c>
      <c r="D75" s="65" t="s">
        <v>203</v>
      </c>
      <c r="E75" s="73" t="s">
        <v>1064</v>
      </c>
    </row>
    <row r="76" spans="1:6" x14ac:dyDescent="0.35">
      <c r="A76" s="64" t="s">
        <v>204</v>
      </c>
      <c r="B76" s="65" t="s">
        <v>119</v>
      </c>
      <c r="C76" s="67" t="s">
        <v>202</v>
      </c>
      <c r="D76" s="65" t="s">
        <v>205</v>
      </c>
      <c r="E76" s="73" t="s">
        <v>1064</v>
      </c>
    </row>
    <row r="77" spans="1:6" x14ac:dyDescent="0.35">
      <c r="A77" s="64" t="s">
        <v>206</v>
      </c>
      <c r="B77" s="65" t="s">
        <v>119</v>
      </c>
      <c r="C77" s="67" t="s">
        <v>202</v>
      </c>
      <c r="D77" s="67" t="s">
        <v>207</v>
      </c>
      <c r="E77" s="73" t="s">
        <v>1064</v>
      </c>
    </row>
    <row r="78" spans="1:6" x14ac:dyDescent="0.35">
      <c r="A78" s="64" t="s">
        <v>208</v>
      </c>
      <c r="B78" s="65" t="s">
        <v>119</v>
      </c>
      <c r="C78" s="67" t="s">
        <v>202</v>
      </c>
      <c r="D78" s="67" t="s">
        <v>209</v>
      </c>
      <c r="E78" s="73" t="s">
        <v>1064</v>
      </c>
      <c r="F78" s="90" t="s">
        <v>1061</v>
      </c>
    </row>
    <row r="79" spans="1:6" x14ac:dyDescent="0.35">
      <c r="A79" s="64" t="s">
        <v>210</v>
      </c>
      <c r="B79" s="65" t="s">
        <v>119</v>
      </c>
      <c r="C79" s="67" t="s">
        <v>202</v>
      </c>
      <c r="D79" s="65" t="s">
        <v>211</v>
      </c>
      <c r="E79" s="73" t="s">
        <v>1064</v>
      </c>
      <c r="F79" s="90"/>
    </row>
    <row r="80" spans="1:6" x14ac:dyDescent="0.35">
      <c r="A80" s="64" t="s">
        <v>212</v>
      </c>
      <c r="B80" s="65" t="s">
        <v>119</v>
      </c>
      <c r="C80" s="66" t="s">
        <v>213</v>
      </c>
      <c r="D80" s="66" t="s">
        <v>214</v>
      </c>
      <c r="E80" s="5" t="s">
        <v>1063</v>
      </c>
    </row>
    <row r="81" spans="1:5" x14ac:dyDescent="0.35">
      <c r="A81" s="64" t="s">
        <v>215</v>
      </c>
      <c r="B81" s="65" t="s">
        <v>119</v>
      </c>
      <c r="C81" s="66" t="s">
        <v>213</v>
      </c>
      <c r="D81" s="66" t="s">
        <v>123</v>
      </c>
      <c r="E81" s="5" t="s">
        <v>1063</v>
      </c>
    </row>
    <row r="82" spans="1:5" x14ac:dyDescent="0.35">
      <c r="A82" s="64" t="s">
        <v>216</v>
      </c>
      <c r="B82" s="65" t="s">
        <v>119</v>
      </c>
      <c r="C82" s="66" t="s">
        <v>213</v>
      </c>
      <c r="D82" s="66" t="s">
        <v>217</v>
      </c>
      <c r="E82" s="5" t="s">
        <v>1064</v>
      </c>
    </row>
    <row r="83" spans="1:5" x14ac:dyDescent="0.35">
      <c r="A83" s="64" t="s">
        <v>218</v>
      </c>
      <c r="B83" s="65" t="s">
        <v>119</v>
      </c>
      <c r="C83" s="66" t="s">
        <v>213</v>
      </c>
      <c r="D83" s="66" t="s">
        <v>219</v>
      </c>
      <c r="E83" s="82" t="s">
        <v>1064</v>
      </c>
    </row>
    <row r="84" spans="1:5" x14ac:dyDescent="0.35">
      <c r="A84" s="64" t="s">
        <v>220</v>
      </c>
      <c r="B84" s="65" t="s">
        <v>119</v>
      </c>
      <c r="C84" s="66" t="s">
        <v>213</v>
      </c>
      <c r="D84" s="66" t="s">
        <v>221</v>
      </c>
      <c r="E84" s="5" t="s">
        <v>1063</v>
      </c>
    </row>
    <row r="85" spans="1:5" x14ac:dyDescent="0.35">
      <c r="A85" s="64" t="s">
        <v>222</v>
      </c>
      <c r="B85" s="66" t="s">
        <v>119</v>
      </c>
      <c r="C85" s="66" t="s">
        <v>213</v>
      </c>
      <c r="D85" s="66" t="s">
        <v>223</v>
      </c>
      <c r="E85" s="73" t="s">
        <v>1036</v>
      </c>
    </row>
    <row r="86" spans="1:5" x14ac:dyDescent="0.35">
      <c r="A86" s="64" t="s">
        <v>224</v>
      </c>
      <c r="B86" s="65" t="s">
        <v>119</v>
      </c>
      <c r="C86" s="66" t="s">
        <v>213</v>
      </c>
      <c r="D86" s="66" t="s">
        <v>225</v>
      </c>
      <c r="E86" s="73" t="s">
        <v>1063</v>
      </c>
    </row>
    <row r="87" spans="1:5" x14ac:dyDescent="0.35">
      <c r="A87" s="64" t="s">
        <v>226</v>
      </c>
      <c r="B87" s="65" t="s">
        <v>119</v>
      </c>
      <c r="C87" s="66" t="s">
        <v>213</v>
      </c>
      <c r="D87" s="66" t="s">
        <v>227</v>
      </c>
      <c r="E87" s="5" t="s">
        <v>1063</v>
      </c>
    </row>
    <row r="88" spans="1:5" x14ac:dyDescent="0.35">
      <c r="A88" s="64" t="s">
        <v>228</v>
      </c>
      <c r="B88" s="65" t="s">
        <v>119</v>
      </c>
      <c r="C88" s="66" t="s">
        <v>213</v>
      </c>
      <c r="D88" s="66" t="s">
        <v>229</v>
      </c>
      <c r="E88" s="73" t="s">
        <v>1036</v>
      </c>
    </row>
    <row r="89" spans="1:5" x14ac:dyDescent="0.35">
      <c r="A89" s="64" t="s">
        <v>230</v>
      </c>
      <c r="B89" s="65" t="s">
        <v>119</v>
      </c>
      <c r="C89" s="66" t="s">
        <v>213</v>
      </c>
      <c r="D89" s="66" t="s">
        <v>231</v>
      </c>
      <c r="E89" s="5" t="s">
        <v>1063</v>
      </c>
    </row>
    <row r="90" spans="1:5" x14ac:dyDescent="0.35">
      <c r="A90" s="64" t="s">
        <v>232</v>
      </c>
      <c r="B90" s="65" t="s">
        <v>119</v>
      </c>
      <c r="C90" s="66" t="s">
        <v>213</v>
      </c>
      <c r="D90" s="66" t="s">
        <v>233</v>
      </c>
      <c r="E90" s="73" t="s">
        <v>1036</v>
      </c>
    </row>
    <row r="91" spans="1:5" x14ac:dyDescent="0.35">
      <c r="A91" s="64" t="s">
        <v>234</v>
      </c>
      <c r="B91" s="65" t="s">
        <v>119</v>
      </c>
      <c r="C91" s="66" t="s">
        <v>213</v>
      </c>
      <c r="D91" s="66" t="s">
        <v>235</v>
      </c>
      <c r="E91" s="73" t="s">
        <v>1036</v>
      </c>
    </row>
    <row r="92" spans="1:5" x14ac:dyDescent="0.35">
      <c r="A92" s="64" t="s">
        <v>236</v>
      </c>
      <c r="B92" s="65" t="s">
        <v>119</v>
      </c>
      <c r="C92" s="66" t="s">
        <v>213</v>
      </c>
      <c r="D92" s="66" t="s">
        <v>237</v>
      </c>
      <c r="E92" s="73" t="s">
        <v>1064</v>
      </c>
    </row>
    <row r="93" spans="1:5" x14ac:dyDescent="0.35">
      <c r="A93" s="64" t="s">
        <v>238</v>
      </c>
      <c r="B93" s="65" t="s">
        <v>119</v>
      </c>
      <c r="C93" s="66" t="s">
        <v>213</v>
      </c>
      <c r="D93" s="66" t="s">
        <v>239</v>
      </c>
      <c r="E93" s="73" t="s">
        <v>1036</v>
      </c>
    </row>
    <row r="94" spans="1:5" x14ac:dyDescent="0.35">
      <c r="A94" s="64" t="s">
        <v>240</v>
      </c>
      <c r="B94" s="65" t="s">
        <v>119</v>
      </c>
      <c r="C94" s="66" t="s">
        <v>213</v>
      </c>
      <c r="D94" s="66" t="s">
        <v>241</v>
      </c>
      <c r="E94" s="73" t="s">
        <v>1036</v>
      </c>
    </row>
    <row r="95" spans="1:5" x14ac:dyDescent="0.35">
      <c r="A95" s="64" t="s">
        <v>242</v>
      </c>
      <c r="B95" s="65" t="s">
        <v>119</v>
      </c>
      <c r="C95" s="66" t="s">
        <v>213</v>
      </c>
      <c r="D95" s="66" t="s">
        <v>243</v>
      </c>
      <c r="E95" s="5" t="s">
        <v>1063</v>
      </c>
    </row>
    <row r="96" spans="1:5" x14ac:dyDescent="0.35">
      <c r="A96" s="64" t="s">
        <v>245</v>
      </c>
      <c r="B96" s="65" t="s">
        <v>119</v>
      </c>
      <c r="C96" s="66" t="s">
        <v>213</v>
      </c>
      <c r="D96" s="66" t="s">
        <v>246</v>
      </c>
      <c r="E96" s="73" t="s">
        <v>1036</v>
      </c>
    </row>
    <row r="97" spans="1:5" x14ac:dyDescent="0.35">
      <c r="A97" s="64" t="s">
        <v>248</v>
      </c>
      <c r="B97" s="65" t="s">
        <v>119</v>
      </c>
      <c r="C97" s="66" t="s">
        <v>213</v>
      </c>
      <c r="D97" s="66" t="s">
        <v>249</v>
      </c>
      <c r="E97" s="5" t="s">
        <v>1063</v>
      </c>
    </row>
    <row r="98" spans="1:5" x14ac:dyDescent="0.35">
      <c r="A98" s="64" t="s">
        <v>250</v>
      </c>
      <c r="B98" s="65" t="s">
        <v>119</v>
      </c>
      <c r="C98" s="66" t="s">
        <v>213</v>
      </c>
      <c r="D98" s="66" t="s">
        <v>251</v>
      </c>
      <c r="E98" s="5" t="s">
        <v>1064</v>
      </c>
    </row>
    <row r="99" spans="1:5" x14ac:dyDescent="0.35">
      <c r="A99" s="64" t="s">
        <v>252</v>
      </c>
      <c r="B99" s="65" t="s">
        <v>119</v>
      </c>
      <c r="C99" s="66" t="s">
        <v>213</v>
      </c>
      <c r="D99" s="66" t="s">
        <v>253</v>
      </c>
      <c r="E99" s="5" t="s">
        <v>1064</v>
      </c>
    </row>
    <row r="100" spans="1:5" x14ac:dyDescent="0.35">
      <c r="A100" s="64" t="s">
        <v>254</v>
      </c>
      <c r="B100" s="65" t="s">
        <v>119</v>
      </c>
      <c r="C100" s="66" t="s">
        <v>213</v>
      </c>
      <c r="D100" s="66" t="s">
        <v>255</v>
      </c>
      <c r="E100" s="73" t="s">
        <v>1064</v>
      </c>
    </row>
    <row r="101" spans="1:5" x14ac:dyDescent="0.35">
      <c r="A101" s="64" t="s">
        <v>256</v>
      </c>
      <c r="B101" s="65" t="s">
        <v>119</v>
      </c>
      <c r="C101" s="66" t="s">
        <v>213</v>
      </c>
      <c r="D101" s="66" t="s">
        <v>257</v>
      </c>
      <c r="E101" s="73" t="s">
        <v>1064</v>
      </c>
    </row>
    <row r="102" spans="1:5" x14ac:dyDescent="0.35">
      <c r="A102" s="64" t="s">
        <v>258</v>
      </c>
      <c r="B102" s="65" t="s">
        <v>119</v>
      </c>
      <c r="C102" s="66" t="s">
        <v>213</v>
      </c>
      <c r="D102" s="65" t="s">
        <v>259</v>
      </c>
      <c r="E102" s="5" t="s">
        <v>1063</v>
      </c>
    </row>
    <row r="103" spans="1:5" x14ac:dyDescent="0.35">
      <c r="A103" s="64" t="s">
        <v>260</v>
      </c>
      <c r="B103" s="65" t="s">
        <v>119</v>
      </c>
      <c r="C103" s="66" t="s">
        <v>213</v>
      </c>
      <c r="D103" s="66" t="s">
        <v>261</v>
      </c>
      <c r="E103" s="73" t="s">
        <v>1064</v>
      </c>
    </row>
    <row r="104" spans="1:5" x14ac:dyDescent="0.35">
      <c r="A104" s="64" t="s">
        <v>262</v>
      </c>
      <c r="B104" s="65" t="s">
        <v>119</v>
      </c>
      <c r="C104" s="66" t="s">
        <v>213</v>
      </c>
      <c r="D104" s="66" t="s">
        <v>263</v>
      </c>
      <c r="E104" s="73" t="s">
        <v>1064</v>
      </c>
    </row>
    <row r="105" spans="1:5" x14ac:dyDescent="0.35">
      <c r="A105" s="64" t="s">
        <v>264</v>
      </c>
      <c r="B105" s="65" t="s">
        <v>119</v>
      </c>
      <c r="C105" s="66" t="s">
        <v>1067</v>
      </c>
      <c r="D105" s="66" t="s">
        <v>266</v>
      </c>
      <c r="E105" s="5"/>
    </row>
    <row r="106" spans="1:5" x14ac:dyDescent="0.35">
      <c r="A106" s="64" t="s">
        <v>268</v>
      </c>
      <c r="B106" s="65" t="s">
        <v>119</v>
      </c>
      <c r="C106" s="66" t="s">
        <v>1067</v>
      </c>
      <c r="D106" s="66" t="s">
        <v>269</v>
      </c>
      <c r="E106" s="5"/>
    </row>
    <row r="107" spans="1:5" x14ac:dyDescent="0.35">
      <c r="A107" s="64" t="s">
        <v>272</v>
      </c>
      <c r="B107" s="65" t="s">
        <v>119</v>
      </c>
      <c r="C107" s="66" t="s">
        <v>265</v>
      </c>
      <c r="D107" s="67" t="s">
        <v>273</v>
      </c>
      <c r="E107" s="5"/>
    </row>
    <row r="108" spans="1:5" x14ac:dyDescent="0.35">
      <c r="A108" s="64" t="s">
        <v>274</v>
      </c>
      <c r="B108" s="66" t="s">
        <v>119</v>
      </c>
      <c r="C108" s="66" t="s">
        <v>265</v>
      </c>
      <c r="D108" s="66" t="s">
        <v>275</v>
      </c>
      <c r="E108" s="5"/>
    </row>
    <row r="109" spans="1:5" x14ac:dyDescent="0.35">
      <c r="A109" s="64" t="s">
        <v>276</v>
      </c>
      <c r="B109" s="65" t="s">
        <v>119</v>
      </c>
      <c r="C109" s="66" t="s">
        <v>265</v>
      </c>
      <c r="D109" s="66" t="s">
        <v>277</v>
      </c>
      <c r="E109" s="5"/>
    </row>
    <row r="110" spans="1:5" x14ac:dyDescent="0.35">
      <c r="A110" s="64" t="s">
        <v>278</v>
      </c>
      <c r="B110" s="65" t="s">
        <v>119</v>
      </c>
      <c r="C110" s="66" t="s">
        <v>265</v>
      </c>
      <c r="D110" s="66" t="s">
        <v>279</v>
      </c>
      <c r="E110" s="5"/>
    </row>
    <row r="111" spans="1:5" x14ac:dyDescent="0.35">
      <c r="A111" s="64" t="s">
        <v>280</v>
      </c>
      <c r="B111" s="65" t="s">
        <v>119</v>
      </c>
      <c r="C111" s="66" t="s">
        <v>265</v>
      </c>
      <c r="D111" s="66" t="s">
        <v>281</v>
      </c>
      <c r="E111" s="5"/>
    </row>
    <row r="112" spans="1:5" x14ac:dyDescent="0.35">
      <c r="A112" s="64" t="s">
        <v>282</v>
      </c>
      <c r="B112" s="65" t="s">
        <v>119</v>
      </c>
      <c r="C112" s="66" t="s">
        <v>265</v>
      </c>
      <c r="D112" s="66" t="s">
        <v>283</v>
      </c>
      <c r="E112" s="5"/>
    </row>
    <row r="113" spans="1:5" x14ac:dyDescent="0.35">
      <c r="A113" s="64" t="s">
        <v>288</v>
      </c>
      <c r="B113" s="65" t="s">
        <v>119</v>
      </c>
      <c r="C113" s="66" t="s">
        <v>1067</v>
      </c>
      <c r="D113" s="66" t="s">
        <v>289</v>
      </c>
      <c r="E113" s="5"/>
    </row>
    <row r="114" spans="1:5" x14ac:dyDescent="0.35">
      <c r="A114" s="64" t="s">
        <v>290</v>
      </c>
      <c r="B114" s="65" t="s">
        <v>119</v>
      </c>
      <c r="C114" s="66" t="s">
        <v>1067</v>
      </c>
      <c r="D114" s="66" t="s">
        <v>291</v>
      </c>
      <c r="E114" s="5"/>
    </row>
    <row r="115" spans="1:5" x14ac:dyDescent="0.35">
      <c r="A115" s="64" t="s">
        <v>292</v>
      </c>
      <c r="B115" s="65" t="s">
        <v>119</v>
      </c>
      <c r="C115" s="66" t="s">
        <v>265</v>
      </c>
      <c r="D115" s="66" t="s">
        <v>293</v>
      </c>
      <c r="E115" s="5"/>
    </row>
    <row r="116" spans="1:5" x14ac:dyDescent="0.35">
      <c r="A116" s="64" t="s">
        <v>294</v>
      </c>
      <c r="B116" s="65" t="s">
        <v>119</v>
      </c>
      <c r="C116" s="66" t="s">
        <v>265</v>
      </c>
      <c r="D116" s="66" t="s">
        <v>295</v>
      </c>
      <c r="E116" s="5"/>
    </row>
    <row r="117" spans="1:5" x14ac:dyDescent="0.35">
      <c r="A117" s="64" t="s">
        <v>296</v>
      </c>
      <c r="B117" s="65" t="s">
        <v>119</v>
      </c>
      <c r="C117" s="66" t="s">
        <v>1067</v>
      </c>
      <c r="D117" s="66" t="s">
        <v>297</v>
      </c>
      <c r="E117" s="5"/>
    </row>
    <row r="118" spans="1:5" x14ac:dyDescent="0.35">
      <c r="A118" s="64" t="s">
        <v>298</v>
      </c>
      <c r="B118" s="65" t="s">
        <v>119</v>
      </c>
      <c r="C118" s="66" t="s">
        <v>265</v>
      </c>
      <c r="D118" s="66" t="s">
        <v>299</v>
      </c>
      <c r="E118" s="5"/>
    </row>
    <row r="119" spans="1:5" x14ac:dyDescent="0.35">
      <c r="A119" s="64" t="s">
        <v>300</v>
      </c>
      <c r="B119" s="65" t="s">
        <v>119</v>
      </c>
      <c r="C119" s="66" t="s">
        <v>1067</v>
      </c>
      <c r="D119" s="66" t="s">
        <v>301</v>
      </c>
      <c r="E119" s="5"/>
    </row>
    <row r="120" spans="1:5" x14ac:dyDescent="0.35">
      <c r="A120" s="64" t="s">
        <v>302</v>
      </c>
      <c r="B120" s="65" t="s">
        <v>119</v>
      </c>
      <c r="C120" s="66" t="s">
        <v>1067</v>
      </c>
      <c r="D120" s="66" t="s">
        <v>303</v>
      </c>
      <c r="E120" s="5"/>
    </row>
    <row r="121" spans="1:5" x14ac:dyDescent="0.35">
      <c r="A121" s="64" t="s">
        <v>304</v>
      </c>
      <c r="B121" s="65" t="s">
        <v>119</v>
      </c>
      <c r="C121" s="66" t="s">
        <v>265</v>
      </c>
      <c r="D121" s="66" t="s">
        <v>305</v>
      </c>
      <c r="E121" s="5"/>
    </row>
    <row r="122" spans="1:5" x14ac:dyDescent="0.35">
      <c r="A122" s="64" t="s">
        <v>306</v>
      </c>
      <c r="B122" s="65" t="s">
        <v>119</v>
      </c>
      <c r="C122" s="66" t="s">
        <v>265</v>
      </c>
      <c r="D122" s="66" t="s">
        <v>307</v>
      </c>
      <c r="E122" s="5"/>
    </row>
    <row r="123" spans="1:5" x14ac:dyDescent="0.35">
      <c r="A123" s="64" t="s">
        <v>308</v>
      </c>
      <c r="B123" s="65" t="s">
        <v>119</v>
      </c>
      <c r="C123" s="66" t="s">
        <v>265</v>
      </c>
      <c r="D123" s="66" t="s">
        <v>309</v>
      </c>
      <c r="E123" s="5"/>
    </row>
    <row r="124" spans="1:5" x14ac:dyDescent="0.35">
      <c r="A124" s="64" t="s">
        <v>310</v>
      </c>
      <c r="B124" s="65" t="s">
        <v>119</v>
      </c>
      <c r="C124" s="66" t="s">
        <v>265</v>
      </c>
      <c r="D124" s="66" t="s">
        <v>311</v>
      </c>
      <c r="E124" s="5"/>
    </row>
    <row r="125" spans="1:5" x14ac:dyDescent="0.35">
      <c r="A125" s="64" t="s">
        <v>312</v>
      </c>
      <c r="B125" s="68" t="s">
        <v>119</v>
      </c>
      <c r="C125" s="66" t="s">
        <v>1067</v>
      </c>
      <c r="D125" s="66" t="s">
        <v>313</v>
      </c>
      <c r="E125" s="5"/>
    </row>
    <row r="126" spans="1:5" x14ac:dyDescent="0.35">
      <c r="A126" s="64" t="s">
        <v>314</v>
      </c>
      <c r="B126" s="66" t="s">
        <v>119</v>
      </c>
      <c r="C126" s="66" t="s">
        <v>265</v>
      </c>
      <c r="D126" s="66" t="s">
        <v>315</v>
      </c>
      <c r="E126" s="5"/>
    </row>
    <row r="127" spans="1:5" x14ac:dyDescent="0.35">
      <c r="A127" s="64" t="s">
        <v>316</v>
      </c>
      <c r="B127" s="65" t="s">
        <v>119</v>
      </c>
      <c r="C127" s="66" t="s">
        <v>265</v>
      </c>
      <c r="D127" s="66" t="s">
        <v>317</v>
      </c>
      <c r="E127" s="5"/>
    </row>
    <row r="128" spans="1:5" x14ac:dyDescent="0.35">
      <c r="A128" s="64" t="s">
        <v>320</v>
      </c>
      <c r="B128" s="68" t="s">
        <v>119</v>
      </c>
      <c r="C128" s="66" t="s">
        <v>1067</v>
      </c>
      <c r="D128" s="66" t="s">
        <v>321</v>
      </c>
      <c r="E128" s="5"/>
    </row>
    <row r="129" spans="1:5" x14ac:dyDescent="0.35">
      <c r="A129" s="64" t="s">
        <v>322</v>
      </c>
      <c r="B129" s="66" t="s">
        <v>323</v>
      </c>
      <c r="C129" s="66" t="s">
        <v>324</v>
      </c>
      <c r="D129" s="65" t="s">
        <v>121</v>
      </c>
      <c r="E129" s="5"/>
    </row>
    <row r="130" spans="1:5" x14ac:dyDescent="0.35">
      <c r="A130" s="64" t="s">
        <v>325</v>
      </c>
      <c r="B130" s="66" t="s">
        <v>323</v>
      </c>
      <c r="C130" s="66" t="s">
        <v>324</v>
      </c>
      <c r="D130" s="66" t="s">
        <v>326</v>
      </c>
      <c r="E130" s="5"/>
    </row>
    <row r="131" spans="1:5" x14ac:dyDescent="0.35">
      <c r="A131" s="64" t="s">
        <v>327</v>
      </c>
      <c r="B131" s="66" t="s">
        <v>323</v>
      </c>
      <c r="C131" s="66" t="s">
        <v>324</v>
      </c>
      <c r="D131" s="65" t="s">
        <v>219</v>
      </c>
      <c r="E131" s="83"/>
    </row>
    <row r="132" spans="1:5" x14ac:dyDescent="0.35">
      <c r="A132" s="64" t="s">
        <v>328</v>
      </c>
      <c r="B132" s="66" t="s">
        <v>323</v>
      </c>
      <c r="C132" s="66" t="s">
        <v>324</v>
      </c>
      <c r="D132" s="66" t="s">
        <v>329</v>
      </c>
      <c r="E132" s="5"/>
    </row>
    <row r="133" spans="1:5" x14ac:dyDescent="0.35">
      <c r="A133" s="64" t="s">
        <v>330</v>
      </c>
      <c r="B133" s="66" t="s">
        <v>323</v>
      </c>
      <c r="C133" s="66" t="s">
        <v>331</v>
      </c>
      <c r="D133" s="66" t="s">
        <v>332</v>
      </c>
      <c r="E133" s="5"/>
    </row>
    <row r="134" spans="1:5" x14ac:dyDescent="0.35">
      <c r="A134" s="64" t="s">
        <v>335</v>
      </c>
      <c r="B134" s="66" t="s">
        <v>323</v>
      </c>
      <c r="C134" s="66" t="s">
        <v>336</v>
      </c>
      <c r="D134" s="72" t="s">
        <v>337</v>
      </c>
      <c r="E134" s="5"/>
    </row>
    <row r="135" spans="1:5" x14ac:dyDescent="0.35">
      <c r="A135" s="64" t="s">
        <v>338</v>
      </c>
      <c r="B135" s="66" t="s">
        <v>323</v>
      </c>
      <c r="C135" s="66" t="s">
        <v>336</v>
      </c>
      <c r="D135" s="66" t="s">
        <v>339</v>
      </c>
      <c r="E135" s="5"/>
    </row>
    <row r="136" spans="1:5" x14ac:dyDescent="0.35">
      <c r="A136" s="64" t="s">
        <v>340</v>
      </c>
      <c r="B136" s="66" t="s">
        <v>323</v>
      </c>
      <c r="C136" s="66" t="s">
        <v>336</v>
      </c>
      <c r="D136" s="66" t="s">
        <v>341</v>
      </c>
      <c r="E136" s="5"/>
    </row>
    <row r="137" spans="1:5" x14ac:dyDescent="0.35">
      <c r="A137" s="64" t="s">
        <v>342</v>
      </c>
      <c r="B137" s="66" t="s">
        <v>323</v>
      </c>
      <c r="C137" s="66" t="s">
        <v>336</v>
      </c>
      <c r="D137" s="66" t="s">
        <v>343</v>
      </c>
      <c r="E137" s="5"/>
    </row>
    <row r="138" spans="1:5" x14ac:dyDescent="0.35">
      <c r="A138" s="64" t="s">
        <v>344</v>
      </c>
      <c r="B138" s="66" t="s">
        <v>323</v>
      </c>
      <c r="C138" s="66" t="s">
        <v>336</v>
      </c>
      <c r="D138" s="66" t="s">
        <v>345</v>
      </c>
      <c r="E138" s="5"/>
    </row>
    <row r="139" spans="1:5" x14ac:dyDescent="0.35">
      <c r="A139" s="64" t="s">
        <v>346</v>
      </c>
      <c r="B139" s="66" t="s">
        <v>323</v>
      </c>
      <c r="C139" s="66" t="s">
        <v>336</v>
      </c>
      <c r="D139" s="66" t="s">
        <v>347</v>
      </c>
      <c r="E139" s="5"/>
    </row>
    <row r="140" spans="1:5" x14ac:dyDescent="0.35">
      <c r="A140" s="64" t="s">
        <v>350</v>
      </c>
      <c r="B140" s="66" t="s">
        <v>323</v>
      </c>
      <c r="C140" s="66" t="s">
        <v>336</v>
      </c>
      <c r="D140" s="66" t="s">
        <v>351</v>
      </c>
      <c r="E140" s="5"/>
    </row>
    <row r="141" spans="1:5" x14ac:dyDescent="0.35">
      <c r="A141" s="69" t="s">
        <v>356</v>
      </c>
      <c r="B141" s="70" t="s">
        <v>323</v>
      </c>
      <c r="C141" s="70" t="s">
        <v>357</v>
      </c>
      <c r="D141" s="70" t="s">
        <v>358</v>
      </c>
      <c r="E141" s="71"/>
    </row>
    <row r="142" spans="1:5" x14ac:dyDescent="0.35">
      <c r="A142" s="64" t="s">
        <v>359</v>
      </c>
      <c r="B142" s="66" t="s">
        <v>323</v>
      </c>
      <c r="C142" s="66" t="s">
        <v>357</v>
      </c>
      <c r="D142" s="66" t="s">
        <v>360</v>
      </c>
      <c r="E142" s="5"/>
    </row>
    <row r="143" spans="1:5" x14ac:dyDescent="0.35">
      <c r="A143" s="64" t="s">
        <v>361</v>
      </c>
      <c r="B143" s="66" t="s">
        <v>323</v>
      </c>
      <c r="C143" s="66" t="s">
        <v>357</v>
      </c>
      <c r="D143" s="66" t="s">
        <v>362</v>
      </c>
      <c r="E143" s="5"/>
    </row>
    <row r="144" spans="1:5" x14ac:dyDescent="0.35">
      <c r="A144" s="64" t="s">
        <v>363</v>
      </c>
      <c r="B144" s="66" t="s">
        <v>323</v>
      </c>
      <c r="C144" s="66" t="s">
        <v>357</v>
      </c>
      <c r="D144" s="66" t="s">
        <v>364</v>
      </c>
      <c r="E144" s="5"/>
    </row>
    <row r="145" spans="1:5" x14ac:dyDescent="0.35">
      <c r="A145" s="64" t="s">
        <v>365</v>
      </c>
      <c r="B145" s="66" t="s">
        <v>323</v>
      </c>
      <c r="C145" s="66" t="s">
        <v>357</v>
      </c>
      <c r="D145" s="66" t="s">
        <v>366</v>
      </c>
      <c r="E145" s="5"/>
    </row>
    <row r="146" spans="1:5" x14ac:dyDescent="0.35">
      <c r="A146" s="64" t="s">
        <v>367</v>
      </c>
      <c r="B146" s="66" t="s">
        <v>323</v>
      </c>
      <c r="C146" s="66" t="s">
        <v>368</v>
      </c>
      <c r="D146" s="66" t="s">
        <v>369</v>
      </c>
      <c r="E146" s="5"/>
    </row>
    <row r="147" spans="1:5" x14ac:dyDescent="0.35">
      <c r="A147" s="69" t="s">
        <v>370</v>
      </c>
      <c r="B147" s="70" t="s">
        <v>323</v>
      </c>
      <c r="C147" s="70" t="s">
        <v>368</v>
      </c>
      <c r="D147" s="89" t="s">
        <v>371</v>
      </c>
      <c r="E147" s="82" t="s">
        <v>1036</v>
      </c>
    </row>
    <row r="148" spans="1:5" x14ac:dyDescent="0.35">
      <c r="A148" s="64" t="s">
        <v>372</v>
      </c>
      <c r="B148" s="66" t="s">
        <v>323</v>
      </c>
      <c r="C148" s="66" t="s">
        <v>368</v>
      </c>
      <c r="D148" s="65" t="s">
        <v>373</v>
      </c>
      <c r="E148" s="73" t="s">
        <v>1036</v>
      </c>
    </row>
    <row r="149" spans="1:5" x14ac:dyDescent="0.35">
      <c r="A149" s="64" t="s">
        <v>374</v>
      </c>
      <c r="B149" s="65" t="s">
        <v>375</v>
      </c>
      <c r="C149" s="65" t="s">
        <v>1071</v>
      </c>
      <c r="D149" s="65" t="s">
        <v>376</v>
      </c>
      <c r="E149" s="73" t="s">
        <v>1036</v>
      </c>
    </row>
    <row r="150" spans="1:5" x14ac:dyDescent="0.35">
      <c r="A150" s="64" t="s">
        <v>381</v>
      </c>
      <c r="B150" s="68" t="s">
        <v>382</v>
      </c>
      <c r="C150" s="65" t="s">
        <v>383</v>
      </c>
      <c r="D150" s="66" t="s">
        <v>384</v>
      </c>
      <c r="E150" s="5"/>
    </row>
    <row r="151" spans="1:5" x14ac:dyDescent="0.35">
      <c r="A151" s="64" t="s">
        <v>385</v>
      </c>
      <c r="B151" s="68" t="s">
        <v>382</v>
      </c>
      <c r="C151" s="66" t="s">
        <v>383</v>
      </c>
      <c r="D151" s="66" t="s">
        <v>386</v>
      </c>
      <c r="E151" s="73" t="s">
        <v>1036</v>
      </c>
    </row>
    <row r="152" spans="1:5" x14ac:dyDescent="0.35">
      <c r="A152" s="64" t="s">
        <v>387</v>
      </c>
      <c r="B152" s="68" t="s">
        <v>382</v>
      </c>
      <c r="C152" s="66" t="s">
        <v>383</v>
      </c>
      <c r="D152" s="66" t="s">
        <v>388</v>
      </c>
      <c r="E152" s="73" t="s">
        <v>1036</v>
      </c>
    </row>
    <row r="153" spans="1:5" x14ac:dyDescent="0.35">
      <c r="A153" s="64" t="s">
        <v>392</v>
      </c>
      <c r="B153" s="68" t="s">
        <v>382</v>
      </c>
      <c r="C153" s="66" t="s">
        <v>390</v>
      </c>
      <c r="D153" s="66" t="s">
        <v>393</v>
      </c>
      <c r="E153" s="73" t="s">
        <v>1036</v>
      </c>
    </row>
    <row r="154" spans="1:5" x14ac:dyDescent="0.35">
      <c r="A154" s="64" t="s">
        <v>394</v>
      </c>
      <c r="B154" s="68" t="s">
        <v>382</v>
      </c>
      <c r="C154" s="66" t="s">
        <v>390</v>
      </c>
      <c r="D154" s="66" t="s">
        <v>395</v>
      </c>
      <c r="E154" s="73" t="s">
        <v>1036</v>
      </c>
    </row>
    <row r="155" spans="1:5" x14ac:dyDescent="0.35">
      <c r="A155" s="64" t="s">
        <v>396</v>
      </c>
      <c r="B155" s="68" t="s">
        <v>382</v>
      </c>
      <c r="C155" s="66" t="s">
        <v>390</v>
      </c>
      <c r="D155" s="66" t="s">
        <v>397</v>
      </c>
      <c r="E155" s="73" t="s">
        <v>1036</v>
      </c>
    </row>
    <row r="156" spans="1:5" x14ac:dyDescent="0.35">
      <c r="A156" s="64" t="s">
        <v>398</v>
      </c>
      <c r="B156" s="68" t="s">
        <v>382</v>
      </c>
      <c r="C156" s="68" t="s">
        <v>399</v>
      </c>
      <c r="D156" s="66" t="s">
        <v>400</v>
      </c>
      <c r="E156" s="5"/>
    </row>
    <row r="157" spans="1:5" ht="18" customHeight="1" x14ac:dyDescent="0.35">
      <c r="A157" s="64" t="s">
        <v>401</v>
      </c>
      <c r="B157" s="68" t="s">
        <v>382</v>
      </c>
      <c r="C157" s="68" t="s">
        <v>399</v>
      </c>
      <c r="D157" s="68" t="s">
        <v>402</v>
      </c>
      <c r="E157" s="5"/>
    </row>
    <row r="158" spans="1:5" x14ac:dyDescent="0.35">
      <c r="A158" s="64" t="s">
        <v>405</v>
      </c>
      <c r="B158" s="68" t="s">
        <v>382</v>
      </c>
      <c r="C158" s="68" t="s">
        <v>399</v>
      </c>
      <c r="D158" s="68" t="s">
        <v>406</v>
      </c>
      <c r="E158" s="5"/>
    </row>
    <row r="159" spans="1:5" x14ac:dyDescent="0.35">
      <c r="A159" s="64" t="s">
        <v>407</v>
      </c>
      <c r="B159" s="68" t="s">
        <v>382</v>
      </c>
      <c r="C159" s="68" t="s">
        <v>399</v>
      </c>
      <c r="D159" s="68" t="s">
        <v>408</v>
      </c>
      <c r="E159" s="5"/>
    </row>
    <row r="160" spans="1:5" x14ac:dyDescent="0.35">
      <c r="A160" s="64" t="s">
        <v>411</v>
      </c>
      <c r="B160" s="68" t="s">
        <v>382</v>
      </c>
      <c r="C160" s="68" t="s">
        <v>399</v>
      </c>
      <c r="D160" s="68" t="s">
        <v>412</v>
      </c>
      <c r="E160" s="5"/>
    </row>
    <row r="161" spans="1:5" x14ac:dyDescent="0.35">
      <c r="A161" s="64" t="s">
        <v>413</v>
      </c>
      <c r="B161" s="68" t="s">
        <v>382</v>
      </c>
      <c r="C161" s="68" t="s">
        <v>399</v>
      </c>
      <c r="D161" s="68" t="s">
        <v>414</v>
      </c>
      <c r="E161" s="5"/>
    </row>
    <row r="162" spans="1:5" x14ac:dyDescent="0.35">
      <c r="A162" s="64" t="s">
        <v>415</v>
      </c>
      <c r="B162" s="68" t="s">
        <v>382</v>
      </c>
      <c r="C162" s="66" t="s">
        <v>416</v>
      </c>
      <c r="D162" s="66" t="s">
        <v>417</v>
      </c>
      <c r="E162" s="5"/>
    </row>
    <row r="163" spans="1:5" x14ac:dyDescent="0.35">
      <c r="A163" s="64" t="s">
        <v>418</v>
      </c>
      <c r="B163" s="68" t="s">
        <v>382</v>
      </c>
      <c r="C163" s="66" t="s">
        <v>416</v>
      </c>
      <c r="D163" s="66" t="s">
        <v>419</v>
      </c>
      <c r="E163" s="5"/>
    </row>
    <row r="164" spans="1:5" x14ac:dyDescent="0.35">
      <c r="A164" s="64" t="s">
        <v>423</v>
      </c>
      <c r="B164" s="68" t="s">
        <v>382</v>
      </c>
      <c r="C164" s="65" t="s">
        <v>421</v>
      </c>
      <c r="D164" s="65" t="s">
        <v>424</v>
      </c>
      <c r="E164" s="73" t="s">
        <v>1036</v>
      </c>
    </row>
    <row r="165" spans="1:5" x14ac:dyDescent="0.35">
      <c r="A165" s="64" t="s">
        <v>432</v>
      </c>
      <c r="B165" s="68" t="s">
        <v>382</v>
      </c>
      <c r="C165" s="66" t="s">
        <v>426</v>
      </c>
      <c r="D165" s="66" t="s">
        <v>433</v>
      </c>
      <c r="E165" s="5"/>
    </row>
    <row r="166" spans="1:5" x14ac:dyDescent="0.35">
      <c r="A166" s="64" t="s">
        <v>434</v>
      </c>
      <c r="B166" s="68" t="s">
        <v>382</v>
      </c>
      <c r="C166" s="66" t="s">
        <v>426</v>
      </c>
      <c r="D166" s="66" t="s">
        <v>435</v>
      </c>
      <c r="E166" s="5"/>
    </row>
    <row r="167" spans="1:5" x14ac:dyDescent="0.35">
      <c r="A167" s="64" t="s">
        <v>436</v>
      </c>
      <c r="B167" s="68" t="s">
        <v>382</v>
      </c>
      <c r="C167" s="66" t="s">
        <v>426</v>
      </c>
      <c r="D167" s="66" t="s">
        <v>183</v>
      </c>
      <c r="E167" s="5"/>
    </row>
    <row r="168" spans="1:5" x14ac:dyDescent="0.35">
      <c r="A168" s="64" t="s">
        <v>437</v>
      </c>
      <c r="B168" s="68" t="s">
        <v>382</v>
      </c>
      <c r="C168" s="66" t="s">
        <v>426</v>
      </c>
      <c r="D168" s="66" t="s">
        <v>185</v>
      </c>
      <c r="E168" s="5"/>
    </row>
    <row r="169" spans="1:5" x14ac:dyDescent="0.35">
      <c r="A169" s="64" t="s">
        <v>439</v>
      </c>
      <c r="B169" s="66" t="s">
        <v>440</v>
      </c>
      <c r="C169" s="66" t="s">
        <v>441</v>
      </c>
      <c r="D169" s="66" t="s">
        <v>442</v>
      </c>
      <c r="E169" s="5"/>
    </row>
    <row r="170" spans="1:5" x14ac:dyDescent="0.35">
      <c r="A170" s="64" t="s">
        <v>445</v>
      </c>
      <c r="B170" s="66" t="s">
        <v>440</v>
      </c>
      <c r="C170" s="66" t="s">
        <v>441</v>
      </c>
      <c r="D170" s="66" t="s">
        <v>446</v>
      </c>
      <c r="E170" s="5"/>
    </row>
    <row r="171" spans="1:5" x14ac:dyDescent="0.35">
      <c r="A171" s="64" t="s">
        <v>447</v>
      </c>
      <c r="B171" s="66" t="s">
        <v>440</v>
      </c>
      <c r="C171" s="66" t="s">
        <v>441</v>
      </c>
      <c r="D171" s="66" t="s">
        <v>121</v>
      </c>
      <c r="E171" s="5"/>
    </row>
    <row r="172" spans="1:5" x14ac:dyDescent="0.35">
      <c r="A172" s="64" t="s">
        <v>450</v>
      </c>
      <c r="B172" s="66" t="s">
        <v>440</v>
      </c>
      <c r="C172" s="66" t="s">
        <v>441</v>
      </c>
      <c r="D172" s="66" t="s">
        <v>451</v>
      </c>
      <c r="E172" s="5"/>
    </row>
    <row r="173" spans="1:5" x14ac:dyDescent="0.35">
      <c r="A173" s="74" t="s">
        <v>28</v>
      </c>
      <c r="B173" s="75" t="s">
        <v>25</v>
      </c>
      <c r="C173" s="76" t="s">
        <v>26</v>
      </c>
      <c r="D173" s="75" t="s">
        <v>29</v>
      </c>
      <c r="E173" s="77"/>
    </row>
    <row r="174" spans="1:5" x14ac:dyDescent="0.35">
      <c r="A174" s="78" t="s">
        <v>32</v>
      </c>
      <c r="B174" s="80" t="s">
        <v>25</v>
      </c>
      <c r="C174" s="79" t="s">
        <v>26</v>
      </c>
      <c r="D174" s="80" t="s">
        <v>33</v>
      </c>
      <c r="E174" s="77"/>
    </row>
    <row r="175" spans="1:5" x14ac:dyDescent="0.35">
      <c r="A175" s="78" t="s">
        <v>38</v>
      </c>
      <c r="B175" s="80" t="s">
        <v>25</v>
      </c>
      <c r="C175" s="80" t="s">
        <v>39</v>
      </c>
      <c r="D175" s="80" t="s">
        <v>40</v>
      </c>
      <c r="E175" s="77"/>
    </row>
    <row r="176" spans="1:5" x14ac:dyDescent="0.35">
      <c r="A176" s="78" t="s">
        <v>41</v>
      </c>
      <c r="B176" s="80" t="s">
        <v>25</v>
      </c>
      <c r="C176" s="80" t="s">
        <v>39</v>
      </c>
      <c r="D176" s="80" t="s">
        <v>42</v>
      </c>
      <c r="E176" s="77"/>
    </row>
    <row r="177" spans="1:5" x14ac:dyDescent="0.35">
      <c r="A177" s="84" t="s">
        <v>43</v>
      </c>
      <c r="B177" s="85"/>
      <c r="C177" s="85"/>
      <c r="D177" s="85"/>
    </row>
    <row r="178" spans="1:5" x14ac:dyDescent="0.35">
      <c r="A178" s="78" t="s">
        <v>49</v>
      </c>
      <c r="B178" s="80" t="s">
        <v>25</v>
      </c>
      <c r="C178" s="80" t="s">
        <v>39</v>
      </c>
      <c r="D178" s="80" t="s">
        <v>50</v>
      </c>
      <c r="E178" s="77"/>
    </row>
    <row r="179" spans="1:5" x14ac:dyDescent="0.35">
      <c r="A179" s="78" t="s">
        <v>51</v>
      </c>
      <c r="B179" s="80" t="s">
        <v>25</v>
      </c>
      <c r="C179" s="80" t="s">
        <v>39</v>
      </c>
      <c r="D179" s="80" t="s">
        <v>52</v>
      </c>
      <c r="E179" s="77"/>
    </row>
    <row r="180" spans="1:5" x14ac:dyDescent="0.35">
      <c r="A180" s="78" t="s">
        <v>57</v>
      </c>
      <c r="B180" s="80" t="s">
        <v>25</v>
      </c>
      <c r="C180" s="80" t="s">
        <v>39</v>
      </c>
      <c r="D180" s="80" t="s">
        <v>58</v>
      </c>
      <c r="E180" s="77"/>
    </row>
    <row r="181" spans="1:5" x14ac:dyDescent="0.35">
      <c r="A181" s="78" t="s">
        <v>64</v>
      </c>
      <c r="B181" s="80" t="s">
        <v>25</v>
      </c>
      <c r="C181" s="80" t="s">
        <v>60</v>
      </c>
      <c r="D181" s="80" t="s">
        <v>65</v>
      </c>
      <c r="E181" s="77"/>
    </row>
    <row r="182" spans="1:5" x14ac:dyDescent="0.35">
      <c r="A182" s="78" t="s">
        <v>66</v>
      </c>
      <c r="B182" s="80" t="s">
        <v>25</v>
      </c>
      <c r="C182" s="80" t="s">
        <v>60</v>
      </c>
      <c r="D182" s="80" t="s">
        <v>67</v>
      </c>
      <c r="E182" s="77"/>
    </row>
    <row r="183" spans="1:5" x14ac:dyDescent="0.35">
      <c r="A183" s="78" t="s">
        <v>68</v>
      </c>
      <c r="B183" s="80" t="s">
        <v>25</v>
      </c>
      <c r="C183" s="80" t="s">
        <v>60</v>
      </c>
      <c r="D183" s="80" t="s">
        <v>69</v>
      </c>
      <c r="E183" s="77"/>
    </row>
    <row r="184" spans="1:5" x14ac:dyDescent="0.35">
      <c r="A184" s="78" t="s">
        <v>82</v>
      </c>
      <c r="B184" s="80" t="s">
        <v>25</v>
      </c>
      <c r="C184" s="80" t="s">
        <v>60</v>
      </c>
      <c r="D184" s="80" t="s">
        <v>83</v>
      </c>
      <c r="E184" s="77"/>
    </row>
    <row r="185" spans="1:5" x14ac:dyDescent="0.35">
      <c r="A185" s="78" t="s">
        <v>88</v>
      </c>
      <c r="B185" s="80" t="s">
        <v>25</v>
      </c>
      <c r="C185" s="80" t="s">
        <v>60</v>
      </c>
      <c r="D185" s="80" t="s">
        <v>89</v>
      </c>
      <c r="E185" s="77"/>
    </row>
    <row r="186" spans="1:5" x14ac:dyDescent="0.35">
      <c r="A186" s="78" t="s">
        <v>93</v>
      </c>
      <c r="B186" s="80" t="s">
        <v>25</v>
      </c>
      <c r="C186" s="80" t="s">
        <v>91</v>
      </c>
      <c r="D186" s="79" t="s">
        <v>94</v>
      </c>
      <c r="E186" s="77"/>
    </row>
    <row r="187" spans="1:5" x14ac:dyDescent="0.35">
      <c r="A187" s="78" t="s">
        <v>95</v>
      </c>
      <c r="B187" s="80" t="s">
        <v>25</v>
      </c>
      <c r="C187" s="80" t="s">
        <v>91</v>
      </c>
      <c r="D187" s="79" t="s">
        <v>96</v>
      </c>
      <c r="E187" s="77"/>
    </row>
    <row r="188" spans="1:5" x14ac:dyDescent="0.35">
      <c r="A188" s="78" t="s">
        <v>99</v>
      </c>
      <c r="B188" s="80" t="s">
        <v>25</v>
      </c>
      <c r="C188" s="80" t="s">
        <v>91</v>
      </c>
      <c r="D188" s="80" t="s">
        <v>100</v>
      </c>
      <c r="E188" s="77"/>
    </row>
    <row r="189" spans="1:5" x14ac:dyDescent="0.35">
      <c r="A189" s="78" t="s">
        <v>101</v>
      </c>
      <c r="B189" s="80" t="s">
        <v>25</v>
      </c>
      <c r="C189" s="80" t="s">
        <v>91</v>
      </c>
      <c r="D189" s="80" t="s">
        <v>102</v>
      </c>
      <c r="E189" s="77"/>
    </row>
    <row r="190" spans="1:5" x14ac:dyDescent="0.35">
      <c r="A190" s="78" t="s">
        <v>105</v>
      </c>
      <c r="B190" s="80" t="s">
        <v>25</v>
      </c>
      <c r="C190" s="80" t="s">
        <v>91</v>
      </c>
      <c r="D190" s="80" t="s">
        <v>106</v>
      </c>
      <c r="E190" s="77"/>
    </row>
    <row r="191" spans="1:5" x14ac:dyDescent="0.35">
      <c r="A191" s="78" t="s">
        <v>109</v>
      </c>
      <c r="B191" s="80" t="s">
        <v>25</v>
      </c>
      <c r="C191" s="80" t="s">
        <v>108</v>
      </c>
      <c r="D191" s="80" t="s">
        <v>110</v>
      </c>
      <c r="E191" s="77"/>
    </row>
    <row r="192" spans="1:5" x14ac:dyDescent="0.35">
      <c r="A192" s="78" t="s">
        <v>111</v>
      </c>
      <c r="B192" s="80" t="s">
        <v>25</v>
      </c>
      <c r="C192" s="80" t="s">
        <v>108</v>
      </c>
      <c r="D192" s="80" t="s">
        <v>112</v>
      </c>
      <c r="E192" s="77"/>
    </row>
    <row r="193" spans="1:5" x14ac:dyDescent="0.35">
      <c r="A193" s="78" t="s">
        <v>113</v>
      </c>
      <c r="B193" s="80" t="s">
        <v>25</v>
      </c>
      <c r="C193" s="80" t="s">
        <v>108</v>
      </c>
      <c r="D193" s="79" t="s">
        <v>114</v>
      </c>
      <c r="E193" s="77"/>
    </row>
    <row r="194" spans="1:5" x14ac:dyDescent="0.35">
      <c r="A194" s="78" t="s">
        <v>116</v>
      </c>
      <c r="B194" s="80" t="s">
        <v>25</v>
      </c>
      <c r="C194" s="80" t="s">
        <v>108</v>
      </c>
      <c r="D194" s="79" t="s">
        <v>117</v>
      </c>
      <c r="E194" s="77"/>
    </row>
    <row r="195" spans="1:5" x14ac:dyDescent="0.35">
      <c r="A195" s="78" t="s">
        <v>136</v>
      </c>
      <c r="B195" s="79" t="s">
        <v>119</v>
      </c>
      <c r="C195" s="79" t="s">
        <v>120</v>
      </c>
      <c r="D195" s="79" t="s">
        <v>137</v>
      </c>
      <c r="E195" s="77"/>
    </row>
    <row r="196" spans="1:5" x14ac:dyDescent="0.35">
      <c r="A196" s="84" t="s">
        <v>244</v>
      </c>
      <c r="B196" s="85"/>
      <c r="C196" s="85"/>
      <c r="D196" s="85"/>
      <c r="E196" s="86"/>
    </row>
    <row r="197" spans="1:5" x14ac:dyDescent="0.35">
      <c r="A197" s="84" t="s">
        <v>247</v>
      </c>
      <c r="B197" s="85"/>
      <c r="C197" s="85"/>
      <c r="D197" s="85"/>
      <c r="E197" s="86"/>
    </row>
    <row r="198" spans="1:5" x14ac:dyDescent="0.35">
      <c r="A198" s="84" t="s">
        <v>267</v>
      </c>
      <c r="B198" s="87"/>
      <c r="C198" s="85"/>
      <c r="D198" s="85"/>
      <c r="E198" s="86"/>
    </row>
    <row r="199" spans="1:5" x14ac:dyDescent="0.35">
      <c r="A199" s="78" t="s">
        <v>270</v>
      </c>
      <c r="B199" s="79" t="s">
        <v>119</v>
      </c>
      <c r="C199" s="80" t="s">
        <v>265</v>
      </c>
      <c r="D199" s="80" t="s">
        <v>271</v>
      </c>
      <c r="E199" s="77"/>
    </row>
    <row r="200" spans="1:5" x14ac:dyDescent="0.35">
      <c r="A200" s="78" t="s">
        <v>284</v>
      </c>
      <c r="B200" s="79" t="s">
        <v>119</v>
      </c>
      <c r="C200" s="80" t="s">
        <v>265</v>
      </c>
      <c r="D200" s="80" t="s">
        <v>285</v>
      </c>
      <c r="E200" s="77"/>
    </row>
    <row r="201" spans="1:5" x14ac:dyDescent="0.35">
      <c r="A201" s="78" t="s">
        <v>286</v>
      </c>
      <c r="B201" s="79" t="s">
        <v>119</v>
      </c>
      <c r="C201" s="80" t="s">
        <v>265</v>
      </c>
      <c r="D201" s="80" t="s">
        <v>287</v>
      </c>
      <c r="E201" s="77"/>
    </row>
    <row r="202" spans="1:5" x14ac:dyDescent="0.35">
      <c r="A202" s="78" t="s">
        <v>318</v>
      </c>
      <c r="B202" s="81" t="s">
        <v>119</v>
      </c>
      <c r="C202" s="80" t="s">
        <v>265</v>
      </c>
      <c r="D202" s="80" t="s">
        <v>319</v>
      </c>
      <c r="E202" s="77"/>
    </row>
    <row r="203" spans="1:5" x14ac:dyDescent="0.35">
      <c r="A203" s="78" t="s">
        <v>333</v>
      </c>
      <c r="B203" s="80" t="s">
        <v>323</v>
      </c>
      <c r="C203" s="80" t="s">
        <v>331</v>
      </c>
      <c r="D203" s="79" t="s">
        <v>334</v>
      </c>
      <c r="E203" s="77"/>
    </row>
    <row r="204" spans="1:5" x14ac:dyDescent="0.35">
      <c r="A204" s="78" t="s">
        <v>348</v>
      </c>
      <c r="B204" s="80" t="s">
        <v>323</v>
      </c>
      <c r="C204" s="80" t="s">
        <v>336</v>
      </c>
      <c r="D204" s="80" t="s">
        <v>349</v>
      </c>
      <c r="E204" s="77"/>
    </row>
    <row r="205" spans="1:5" x14ac:dyDescent="0.35">
      <c r="A205" s="78" t="s">
        <v>352</v>
      </c>
      <c r="B205" s="80" t="s">
        <v>323</v>
      </c>
      <c r="C205" s="80" t="s">
        <v>336</v>
      </c>
      <c r="D205" s="80" t="s">
        <v>353</v>
      </c>
      <c r="E205" s="77"/>
    </row>
    <row r="206" spans="1:5" x14ac:dyDescent="0.35">
      <c r="A206" s="78" t="s">
        <v>354</v>
      </c>
      <c r="B206" s="80" t="s">
        <v>323</v>
      </c>
      <c r="C206" s="80" t="s">
        <v>336</v>
      </c>
      <c r="D206" s="80" t="s">
        <v>355</v>
      </c>
      <c r="E206" s="77"/>
    </row>
    <row r="207" spans="1:5" x14ac:dyDescent="0.35">
      <c r="A207" s="78" t="s">
        <v>377</v>
      </c>
      <c r="B207" s="79" t="s">
        <v>375</v>
      </c>
      <c r="C207" s="79" t="s">
        <v>375</v>
      </c>
      <c r="D207" s="79" t="s">
        <v>378</v>
      </c>
      <c r="E207" s="77"/>
    </row>
    <row r="208" spans="1:5" x14ac:dyDescent="0.35">
      <c r="A208" s="78" t="s">
        <v>379</v>
      </c>
      <c r="B208" s="79" t="s">
        <v>375</v>
      </c>
      <c r="C208" s="79" t="s">
        <v>375</v>
      </c>
      <c r="D208" s="79" t="s">
        <v>380</v>
      </c>
      <c r="E208" s="77"/>
    </row>
    <row r="209" spans="1:5" x14ac:dyDescent="0.35">
      <c r="A209" s="78" t="s">
        <v>389</v>
      </c>
      <c r="B209" s="81" t="s">
        <v>382</v>
      </c>
      <c r="C209" s="80" t="s">
        <v>390</v>
      </c>
      <c r="D209" s="79" t="s">
        <v>391</v>
      </c>
      <c r="E209" s="77"/>
    </row>
    <row r="210" spans="1:5" x14ac:dyDescent="0.35">
      <c r="A210" s="78" t="s">
        <v>403</v>
      </c>
      <c r="B210" s="81" t="s">
        <v>382</v>
      </c>
      <c r="C210" s="81" t="s">
        <v>399</v>
      </c>
      <c r="D210" s="80" t="s">
        <v>404</v>
      </c>
      <c r="E210" s="77"/>
    </row>
    <row r="211" spans="1:5" x14ac:dyDescent="0.35">
      <c r="A211" s="78" t="s">
        <v>409</v>
      </c>
      <c r="B211" s="81" t="s">
        <v>382</v>
      </c>
      <c r="C211" s="81" t="s">
        <v>399</v>
      </c>
      <c r="D211" s="81" t="s">
        <v>410</v>
      </c>
      <c r="E211" s="77"/>
    </row>
    <row r="212" spans="1:5" x14ac:dyDescent="0.35">
      <c r="A212" s="78" t="s">
        <v>420</v>
      </c>
      <c r="B212" s="81" t="s">
        <v>382</v>
      </c>
      <c r="C212" s="79" t="s">
        <v>421</v>
      </c>
      <c r="D212" s="79" t="s">
        <v>422</v>
      </c>
      <c r="E212" s="77"/>
    </row>
    <row r="213" spans="1:5" x14ac:dyDescent="0.35">
      <c r="A213" s="78" t="s">
        <v>425</v>
      </c>
      <c r="B213" s="81" t="s">
        <v>382</v>
      </c>
      <c r="C213" s="80" t="s">
        <v>426</v>
      </c>
      <c r="D213" s="80" t="s">
        <v>427</v>
      </c>
      <c r="E213" s="77"/>
    </row>
    <row r="214" spans="1:5" x14ac:dyDescent="0.35">
      <c r="A214" s="78" t="s">
        <v>428</v>
      </c>
      <c r="B214" s="81" t="s">
        <v>382</v>
      </c>
      <c r="C214" s="80" t="s">
        <v>426</v>
      </c>
      <c r="D214" s="80" t="s">
        <v>429</v>
      </c>
      <c r="E214" s="77"/>
    </row>
    <row r="215" spans="1:5" x14ac:dyDescent="0.35">
      <c r="A215" s="78" t="s">
        <v>430</v>
      </c>
      <c r="B215" s="81" t="s">
        <v>382</v>
      </c>
      <c r="C215" s="80" t="s">
        <v>426</v>
      </c>
      <c r="D215" s="80" t="s">
        <v>431</v>
      </c>
      <c r="E215" s="77"/>
    </row>
    <row r="216" spans="1:5" x14ac:dyDescent="0.35">
      <c r="A216" s="84" t="s">
        <v>438</v>
      </c>
      <c r="B216" s="88"/>
      <c r="C216" s="85"/>
      <c r="D216" s="85"/>
      <c r="E216" s="86"/>
    </row>
    <row r="217" spans="1:5" x14ac:dyDescent="0.35">
      <c r="A217" s="78" t="s">
        <v>443</v>
      </c>
      <c r="B217" s="80" t="s">
        <v>440</v>
      </c>
      <c r="C217" s="80" t="s">
        <v>441</v>
      </c>
      <c r="D217" s="80" t="s">
        <v>444</v>
      </c>
      <c r="E217" s="77"/>
    </row>
    <row r="218" spans="1:5" x14ac:dyDescent="0.35">
      <c r="A218" s="78" t="s">
        <v>448</v>
      </c>
      <c r="B218" s="80" t="s">
        <v>440</v>
      </c>
      <c r="C218" s="80" t="s">
        <v>441</v>
      </c>
      <c r="D218" s="80" t="s">
        <v>449</v>
      </c>
      <c r="E218" s="77"/>
    </row>
  </sheetData>
  <mergeCells count="1">
    <mergeCell ref="F78:F79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5E01C-D892-4ADB-8E88-A3635A7591F8}">
  <dimension ref="A1:H335"/>
  <sheetViews>
    <sheetView workbookViewId="0">
      <selection activeCell="B337" sqref="B337"/>
    </sheetView>
  </sheetViews>
  <sheetFormatPr defaultRowHeight="14.5" x14ac:dyDescent="0.35"/>
  <cols>
    <col min="1" max="1" width="19" customWidth="1"/>
    <col min="2" max="2" width="75" customWidth="1"/>
    <col min="3" max="3" width="11.81640625" customWidth="1"/>
    <col min="4" max="4" width="13.453125" customWidth="1"/>
    <col min="5" max="5" width="29.26953125" customWidth="1"/>
    <col min="6" max="6" width="49.54296875" bestFit="1" customWidth="1"/>
  </cols>
  <sheetData>
    <row r="1" spans="1:8" x14ac:dyDescent="0.35">
      <c r="A1" t="s">
        <v>452</v>
      </c>
      <c r="B1" t="s">
        <v>453</v>
      </c>
      <c r="C1" t="s">
        <v>454</v>
      </c>
      <c r="D1" t="s">
        <v>1027</v>
      </c>
      <c r="E1" t="s">
        <v>455</v>
      </c>
      <c r="F1" t="s">
        <v>456</v>
      </c>
    </row>
    <row r="2" spans="1:8" hidden="1" x14ac:dyDescent="0.35">
      <c r="A2" s="4">
        <v>77908</v>
      </c>
      <c r="B2" s="4" t="s">
        <v>457</v>
      </c>
      <c r="C2" s="4" t="s">
        <v>458</v>
      </c>
      <c r="D2" s="4"/>
      <c r="E2" s="4" t="s">
        <v>459</v>
      </c>
      <c r="F2" s="4" t="s">
        <v>457</v>
      </c>
      <c r="H2" t="s">
        <v>460</v>
      </c>
    </row>
    <row r="3" spans="1:8" hidden="1" x14ac:dyDescent="0.35">
      <c r="A3" s="5">
        <v>999001</v>
      </c>
      <c r="B3" s="5" t="s">
        <v>461</v>
      </c>
      <c r="C3" s="5" t="s">
        <v>462</v>
      </c>
      <c r="D3" s="5"/>
      <c r="E3" s="6"/>
      <c r="F3" s="5" t="s">
        <v>457</v>
      </c>
    </row>
    <row r="4" spans="1:8" hidden="1" x14ac:dyDescent="0.35">
      <c r="A4" s="5">
        <v>999002</v>
      </c>
      <c r="B4" s="5" t="s">
        <v>463</v>
      </c>
      <c r="C4" s="5" t="s">
        <v>462</v>
      </c>
      <c r="D4" s="5"/>
      <c r="E4" s="6"/>
      <c r="F4" s="5" t="s">
        <v>457</v>
      </c>
    </row>
    <row r="5" spans="1:8" hidden="1" x14ac:dyDescent="0.35">
      <c r="A5" s="5">
        <v>999003</v>
      </c>
      <c r="B5" s="5" t="s">
        <v>464</v>
      </c>
      <c r="C5" s="5" t="s">
        <v>462</v>
      </c>
      <c r="D5" s="5"/>
      <c r="E5" s="6"/>
      <c r="F5" s="5" t="s">
        <v>457</v>
      </c>
    </row>
    <row r="6" spans="1:8" hidden="1" x14ac:dyDescent="0.35">
      <c r="A6" s="5">
        <v>999004</v>
      </c>
      <c r="B6" s="5" t="s">
        <v>465</v>
      </c>
      <c r="C6" s="5" t="s">
        <v>462</v>
      </c>
      <c r="D6" s="5"/>
      <c r="E6" s="6"/>
      <c r="F6" s="5" t="s">
        <v>457</v>
      </c>
    </row>
    <row r="7" spans="1:8" hidden="1" x14ac:dyDescent="0.35">
      <c r="A7" s="5">
        <v>999005</v>
      </c>
      <c r="B7" s="5" t="s">
        <v>466</v>
      </c>
      <c r="C7" s="5" t="s">
        <v>462</v>
      </c>
      <c r="D7" s="5"/>
      <c r="E7" s="6"/>
      <c r="F7" s="5" t="s">
        <v>457</v>
      </c>
    </row>
    <row r="8" spans="1:8" hidden="1" x14ac:dyDescent="0.35">
      <c r="A8" s="7">
        <v>1971</v>
      </c>
      <c r="B8" s="7" t="s">
        <v>467</v>
      </c>
      <c r="C8" s="7" t="s">
        <v>458</v>
      </c>
      <c r="D8" s="7"/>
      <c r="E8" s="7" t="s">
        <v>468</v>
      </c>
      <c r="F8" s="7" t="s">
        <v>469</v>
      </c>
    </row>
    <row r="9" spans="1:8" hidden="1" x14ac:dyDescent="0.35">
      <c r="A9" s="7">
        <v>3588</v>
      </c>
      <c r="B9" s="7" t="s">
        <v>470</v>
      </c>
      <c r="C9" s="7" t="s">
        <v>458</v>
      </c>
      <c r="D9" s="7"/>
      <c r="E9" s="7" t="s">
        <v>471</v>
      </c>
      <c r="F9" s="7" t="s">
        <v>469</v>
      </c>
    </row>
    <row r="10" spans="1:8" hidden="1" x14ac:dyDescent="0.35">
      <c r="A10" s="7">
        <v>3600</v>
      </c>
      <c r="B10" s="7" t="s">
        <v>472</v>
      </c>
      <c r="C10" s="7" t="s">
        <v>458</v>
      </c>
      <c r="D10" s="7"/>
      <c r="E10" s="7" t="s">
        <v>473</v>
      </c>
      <c r="F10" s="7" t="s">
        <v>469</v>
      </c>
    </row>
    <row r="11" spans="1:8" hidden="1" x14ac:dyDescent="0.35">
      <c r="A11" s="7">
        <v>3886</v>
      </c>
      <c r="B11" s="7" t="s">
        <v>474</v>
      </c>
      <c r="C11" s="7" t="s">
        <v>458</v>
      </c>
      <c r="D11" s="7"/>
      <c r="E11" s="7" t="s">
        <v>475</v>
      </c>
      <c r="F11" s="7" t="s">
        <v>469</v>
      </c>
    </row>
    <row r="12" spans="1:8" hidden="1" x14ac:dyDescent="0.35">
      <c r="A12" s="7">
        <v>14549</v>
      </c>
      <c r="B12" s="7" t="s">
        <v>476</v>
      </c>
      <c r="C12" s="7" t="s">
        <v>477</v>
      </c>
      <c r="D12" s="7"/>
      <c r="E12" s="7" t="s">
        <v>478</v>
      </c>
      <c r="F12" s="7" t="s">
        <v>469</v>
      </c>
    </row>
    <row r="13" spans="1:8" hidden="1" x14ac:dyDescent="0.35">
      <c r="A13" s="7">
        <v>19527</v>
      </c>
      <c r="B13" s="7" t="s">
        <v>479</v>
      </c>
      <c r="C13" s="7" t="s">
        <v>477</v>
      </c>
      <c r="D13" s="7"/>
      <c r="E13" s="7" t="s">
        <v>480</v>
      </c>
      <c r="F13" s="7" t="s">
        <v>469</v>
      </c>
    </row>
    <row r="14" spans="1:8" hidden="1" x14ac:dyDescent="0.35">
      <c r="A14" s="7">
        <v>33738</v>
      </c>
      <c r="B14" s="7" t="s">
        <v>481</v>
      </c>
      <c r="C14" s="7" t="s">
        <v>458</v>
      </c>
      <c r="D14" s="7"/>
      <c r="E14" s="7" t="s">
        <v>482</v>
      </c>
      <c r="F14" s="7" t="s">
        <v>469</v>
      </c>
    </row>
    <row r="15" spans="1:8" hidden="1" x14ac:dyDescent="0.35">
      <c r="A15" s="7">
        <v>37898</v>
      </c>
      <c r="B15" s="7" t="s">
        <v>483</v>
      </c>
      <c r="C15" s="7" t="s">
        <v>458</v>
      </c>
      <c r="D15" s="7"/>
      <c r="E15" s="7" t="s">
        <v>484</v>
      </c>
      <c r="F15" s="7" t="s">
        <v>469</v>
      </c>
    </row>
    <row r="16" spans="1:8" hidden="1" x14ac:dyDescent="0.35">
      <c r="A16" s="7">
        <v>37899</v>
      </c>
      <c r="B16" s="7" t="s">
        <v>485</v>
      </c>
      <c r="C16" s="7" t="s">
        <v>458</v>
      </c>
      <c r="D16" s="7"/>
      <c r="E16" s="7" t="s">
        <v>486</v>
      </c>
      <c r="F16" s="7" t="s">
        <v>469</v>
      </c>
    </row>
    <row r="17" spans="1:6" hidden="1" x14ac:dyDescent="0.35">
      <c r="A17" s="7">
        <v>44240</v>
      </c>
      <c r="B17" s="7" t="s">
        <v>487</v>
      </c>
      <c r="C17" s="7" t="s">
        <v>477</v>
      </c>
      <c r="D17" s="7"/>
      <c r="E17" s="7" t="s">
        <v>488</v>
      </c>
      <c r="F17" s="7" t="s">
        <v>469</v>
      </c>
    </row>
    <row r="18" spans="1:6" hidden="1" x14ac:dyDescent="0.35">
      <c r="A18" s="7">
        <v>75162</v>
      </c>
      <c r="B18" s="7" t="s">
        <v>489</v>
      </c>
      <c r="C18" s="7" t="s">
        <v>458</v>
      </c>
      <c r="D18" s="7"/>
      <c r="E18" s="7" t="s">
        <v>490</v>
      </c>
      <c r="F18" s="7" t="s">
        <v>469</v>
      </c>
    </row>
    <row r="19" spans="1:6" hidden="1" x14ac:dyDescent="0.35">
      <c r="A19" s="8">
        <v>75202</v>
      </c>
      <c r="B19" s="9" t="s">
        <v>469</v>
      </c>
      <c r="C19" s="9" t="s">
        <v>458</v>
      </c>
      <c r="D19" s="9"/>
      <c r="E19" s="9" t="s">
        <v>491</v>
      </c>
      <c r="F19" s="9" t="s">
        <v>469</v>
      </c>
    </row>
    <row r="20" spans="1:6" hidden="1" x14ac:dyDescent="0.35">
      <c r="A20" s="10">
        <v>75214</v>
      </c>
      <c r="B20" s="7" t="s">
        <v>492</v>
      </c>
      <c r="C20" s="7" t="s">
        <v>458</v>
      </c>
      <c r="D20" s="7"/>
      <c r="E20" s="7" t="s">
        <v>493</v>
      </c>
      <c r="F20" s="7" t="s">
        <v>469</v>
      </c>
    </row>
    <row r="21" spans="1:6" hidden="1" x14ac:dyDescent="0.35">
      <c r="A21" s="10">
        <v>75397</v>
      </c>
      <c r="B21" s="7" t="s">
        <v>494</v>
      </c>
      <c r="C21" s="7" t="s">
        <v>458</v>
      </c>
      <c r="D21" s="7"/>
      <c r="E21" s="7" t="s">
        <v>495</v>
      </c>
      <c r="F21" s="7" t="s">
        <v>469</v>
      </c>
    </row>
    <row r="22" spans="1:6" hidden="1" x14ac:dyDescent="0.35">
      <c r="A22" s="10">
        <v>75398</v>
      </c>
      <c r="B22" s="7" t="s">
        <v>496</v>
      </c>
      <c r="C22" s="7" t="s">
        <v>458</v>
      </c>
      <c r="D22" s="7"/>
      <c r="E22" s="7" t="s">
        <v>497</v>
      </c>
      <c r="F22" s="7" t="s">
        <v>469</v>
      </c>
    </row>
    <row r="23" spans="1:6" hidden="1" x14ac:dyDescent="0.35">
      <c r="A23" s="10">
        <v>75399</v>
      </c>
      <c r="B23" s="7" t="s">
        <v>498</v>
      </c>
      <c r="C23" s="7" t="s">
        <v>458</v>
      </c>
      <c r="D23" s="7"/>
      <c r="E23" s="7" t="s">
        <v>499</v>
      </c>
      <c r="F23" s="7" t="s">
        <v>469</v>
      </c>
    </row>
    <row r="24" spans="1:6" hidden="1" x14ac:dyDescent="0.35">
      <c r="A24" s="10">
        <v>75400</v>
      </c>
      <c r="B24" s="7" t="s">
        <v>500</v>
      </c>
      <c r="C24" s="7" t="s">
        <v>458</v>
      </c>
      <c r="D24" s="7"/>
      <c r="E24" s="7" t="s">
        <v>501</v>
      </c>
      <c r="F24" s="7" t="s">
        <v>469</v>
      </c>
    </row>
    <row r="25" spans="1:6" hidden="1" x14ac:dyDescent="0.35">
      <c r="A25" s="10">
        <v>75401</v>
      </c>
      <c r="B25" s="7" t="s">
        <v>502</v>
      </c>
      <c r="C25" s="7" t="s">
        <v>458</v>
      </c>
      <c r="D25" s="7"/>
      <c r="E25" s="7" t="s">
        <v>503</v>
      </c>
      <c r="F25" s="7" t="s">
        <v>469</v>
      </c>
    </row>
    <row r="26" spans="1:6" hidden="1" x14ac:dyDescent="0.35">
      <c r="A26" s="10">
        <v>75402</v>
      </c>
      <c r="B26" s="7" t="s">
        <v>504</v>
      </c>
      <c r="C26" s="7" t="s">
        <v>458</v>
      </c>
      <c r="D26" s="7"/>
      <c r="E26" s="11" t="s">
        <v>505</v>
      </c>
      <c r="F26" s="7" t="s">
        <v>469</v>
      </c>
    </row>
    <row r="27" spans="1:6" hidden="1" x14ac:dyDescent="0.35">
      <c r="A27" s="10">
        <v>75403</v>
      </c>
      <c r="B27" s="7" t="s">
        <v>506</v>
      </c>
      <c r="C27" s="7" t="s">
        <v>458</v>
      </c>
      <c r="D27" s="7"/>
      <c r="E27" s="7" t="s">
        <v>507</v>
      </c>
      <c r="F27" s="7" t="s">
        <v>469</v>
      </c>
    </row>
    <row r="28" spans="1:6" hidden="1" x14ac:dyDescent="0.35">
      <c r="A28" s="10">
        <v>75931</v>
      </c>
      <c r="B28" s="7" t="s">
        <v>508</v>
      </c>
      <c r="C28" s="7" t="s">
        <v>477</v>
      </c>
      <c r="D28" s="7"/>
      <c r="E28" s="7" t="s">
        <v>509</v>
      </c>
      <c r="F28" s="7" t="s">
        <v>469</v>
      </c>
    </row>
    <row r="29" spans="1:6" hidden="1" x14ac:dyDescent="0.35">
      <c r="A29" s="10">
        <v>75932</v>
      </c>
      <c r="B29" s="7" t="s">
        <v>510</v>
      </c>
      <c r="C29" s="7" t="s">
        <v>477</v>
      </c>
      <c r="D29" s="7"/>
      <c r="E29" s="7" t="s">
        <v>511</v>
      </c>
      <c r="F29" s="7" t="s">
        <v>469</v>
      </c>
    </row>
    <row r="30" spans="1:6" hidden="1" x14ac:dyDescent="0.35">
      <c r="A30" s="10">
        <v>75933</v>
      </c>
      <c r="B30" s="7" t="s">
        <v>512</v>
      </c>
      <c r="C30" s="7" t="s">
        <v>477</v>
      </c>
      <c r="D30" s="7"/>
      <c r="E30" s="7" t="s">
        <v>513</v>
      </c>
      <c r="F30" s="7" t="s">
        <v>469</v>
      </c>
    </row>
    <row r="31" spans="1:6" hidden="1" x14ac:dyDescent="0.35">
      <c r="A31" s="10">
        <v>75934</v>
      </c>
      <c r="B31" s="7" t="s">
        <v>514</v>
      </c>
      <c r="C31" s="7" t="s">
        <v>477</v>
      </c>
      <c r="D31" s="7"/>
      <c r="E31" s="7" t="s">
        <v>515</v>
      </c>
      <c r="F31" s="7" t="s">
        <v>469</v>
      </c>
    </row>
    <row r="32" spans="1:6" hidden="1" x14ac:dyDescent="0.35">
      <c r="A32" s="10">
        <v>75935</v>
      </c>
      <c r="B32" s="7" t="s">
        <v>516</v>
      </c>
      <c r="C32" s="7" t="s">
        <v>477</v>
      </c>
      <c r="D32" s="7"/>
      <c r="E32" s="7" t="s">
        <v>517</v>
      </c>
      <c r="F32" s="7" t="s">
        <v>469</v>
      </c>
    </row>
    <row r="33" spans="1:6" hidden="1" x14ac:dyDescent="0.35">
      <c r="A33" s="10">
        <v>75936</v>
      </c>
      <c r="B33" s="7" t="s">
        <v>518</v>
      </c>
      <c r="C33" s="7" t="s">
        <v>477</v>
      </c>
      <c r="D33" s="7"/>
      <c r="E33" s="7" t="s">
        <v>519</v>
      </c>
      <c r="F33" s="7" t="s">
        <v>469</v>
      </c>
    </row>
    <row r="34" spans="1:6" hidden="1" x14ac:dyDescent="0.35">
      <c r="A34" s="10">
        <v>75974</v>
      </c>
      <c r="B34" s="7" t="s">
        <v>520</v>
      </c>
      <c r="C34" s="7" t="s">
        <v>521</v>
      </c>
      <c r="D34" s="7"/>
      <c r="E34" s="7" t="s">
        <v>522</v>
      </c>
      <c r="F34" s="7" t="s">
        <v>469</v>
      </c>
    </row>
    <row r="35" spans="1:6" hidden="1" x14ac:dyDescent="0.35">
      <c r="A35" s="10">
        <v>76096</v>
      </c>
      <c r="B35" s="7" t="s">
        <v>523</v>
      </c>
      <c r="C35" s="7" t="s">
        <v>458</v>
      </c>
      <c r="D35" s="7"/>
      <c r="E35" s="11" t="s">
        <v>524</v>
      </c>
      <c r="F35" s="7" t="s">
        <v>469</v>
      </c>
    </row>
    <row r="36" spans="1:6" hidden="1" x14ac:dyDescent="0.35">
      <c r="A36" s="10">
        <v>79064</v>
      </c>
      <c r="B36" s="7" t="s">
        <v>525</v>
      </c>
      <c r="C36" s="7" t="s">
        <v>477</v>
      </c>
      <c r="D36" s="7"/>
      <c r="E36" s="7" t="s">
        <v>526</v>
      </c>
      <c r="F36" s="7" t="s">
        <v>469</v>
      </c>
    </row>
    <row r="37" spans="1:6" hidden="1" x14ac:dyDescent="0.35">
      <c r="A37" s="10">
        <v>79102</v>
      </c>
      <c r="B37" s="7" t="s">
        <v>527</v>
      </c>
      <c r="C37" s="7" t="s">
        <v>458</v>
      </c>
      <c r="D37" s="7"/>
      <c r="E37" s="7" t="s">
        <v>528</v>
      </c>
      <c r="F37" s="7" t="s">
        <v>469</v>
      </c>
    </row>
    <row r="38" spans="1:6" hidden="1" x14ac:dyDescent="0.35">
      <c r="A38" s="10">
        <v>79218</v>
      </c>
      <c r="B38" s="7" t="s">
        <v>529</v>
      </c>
      <c r="C38" s="7" t="s">
        <v>458</v>
      </c>
      <c r="D38" s="7"/>
      <c r="E38" s="11" t="s">
        <v>530</v>
      </c>
      <c r="F38" s="7" t="s">
        <v>469</v>
      </c>
    </row>
    <row r="39" spans="1:6" hidden="1" x14ac:dyDescent="0.35">
      <c r="A39" s="10">
        <v>81785</v>
      </c>
      <c r="B39" s="7" t="s">
        <v>531</v>
      </c>
      <c r="C39" s="7" t="s">
        <v>477</v>
      </c>
      <c r="D39" s="7"/>
      <c r="E39" s="7" t="s">
        <v>532</v>
      </c>
      <c r="F39" s="7" t="s">
        <v>469</v>
      </c>
    </row>
    <row r="40" spans="1:6" hidden="1" x14ac:dyDescent="0.35">
      <c r="A40" s="7">
        <v>85573</v>
      </c>
      <c r="B40" s="7" t="s">
        <v>533</v>
      </c>
      <c r="C40" s="7" t="s">
        <v>458</v>
      </c>
      <c r="D40" s="7"/>
      <c r="E40" s="7" t="s">
        <v>534</v>
      </c>
      <c r="F40" s="7" t="s">
        <v>469</v>
      </c>
    </row>
    <row r="41" spans="1:6" hidden="1" x14ac:dyDescent="0.35">
      <c r="A41" s="7">
        <v>999006</v>
      </c>
      <c r="B41" s="7" t="s">
        <v>535</v>
      </c>
      <c r="C41" s="7" t="s">
        <v>536</v>
      </c>
      <c r="D41" s="7"/>
      <c r="E41" s="7" t="s">
        <v>537</v>
      </c>
      <c r="F41" s="7" t="s">
        <v>469</v>
      </c>
    </row>
    <row r="42" spans="1:6" hidden="1" x14ac:dyDescent="0.35">
      <c r="A42" s="7">
        <v>999007</v>
      </c>
      <c r="B42" s="7" t="s">
        <v>538</v>
      </c>
      <c r="C42" s="7" t="s">
        <v>462</v>
      </c>
      <c r="D42" s="7"/>
      <c r="E42" s="7"/>
      <c r="F42" s="7" t="s">
        <v>469</v>
      </c>
    </row>
    <row r="43" spans="1:6" hidden="1" x14ac:dyDescent="0.35">
      <c r="A43" s="7">
        <v>999008</v>
      </c>
      <c r="B43" s="7" t="s">
        <v>538</v>
      </c>
      <c r="C43" s="7" t="s">
        <v>477</v>
      </c>
      <c r="D43" s="7"/>
      <c r="E43" s="7"/>
      <c r="F43" s="7" t="s">
        <v>469</v>
      </c>
    </row>
    <row r="44" spans="1:6" hidden="1" x14ac:dyDescent="0.35">
      <c r="A44" s="7">
        <v>999009</v>
      </c>
      <c r="B44" s="7" t="s">
        <v>539</v>
      </c>
      <c r="C44" s="7" t="s">
        <v>462</v>
      </c>
      <c r="D44" s="7"/>
      <c r="E44" s="7"/>
      <c r="F44" s="7" t="s">
        <v>469</v>
      </c>
    </row>
    <row r="45" spans="1:6" hidden="1" x14ac:dyDescent="0.35">
      <c r="A45" s="7">
        <v>999010</v>
      </c>
      <c r="B45" s="7" t="s">
        <v>540</v>
      </c>
      <c r="C45" s="7" t="s">
        <v>462</v>
      </c>
      <c r="D45" s="7"/>
      <c r="E45" s="7"/>
      <c r="F45" s="7" t="s">
        <v>469</v>
      </c>
    </row>
    <row r="46" spans="1:6" hidden="1" x14ac:dyDescent="0.35">
      <c r="A46" s="7">
        <v>999011</v>
      </c>
      <c r="B46" s="7" t="s">
        <v>540</v>
      </c>
      <c r="C46" s="7" t="s">
        <v>477</v>
      </c>
      <c r="D46" s="7"/>
      <c r="E46" s="7"/>
      <c r="F46" s="7" t="s">
        <v>469</v>
      </c>
    </row>
    <row r="47" spans="1:6" hidden="1" x14ac:dyDescent="0.35">
      <c r="A47" s="7">
        <v>999012</v>
      </c>
      <c r="B47" s="7" t="s">
        <v>523</v>
      </c>
      <c r="C47" s="7" t="s">
        <v>462</v>
      </c>
      <c r="D47" s="7"/>
      <c r="E47" s="7"/>
      <c r="F47" s="7" t="s">
        <v>469</v>
      </c>
    </row>
    <row r="48" spans="1:6" hidden="1" x14ac:dyDescent="0.35">
      <c r="A48" s="7">
        <v>999013</v>
      </c>
      <c r="B48" s="7" t="s">
        <v>523</v>
      </c>
      <c r="C48" s="7" t="s">
        <v>477</v>
      </c>
      <c r="D48" s="7"/>
      <c r="E48" s="7"/>
      <c r="F48" s="7" t="s">
        <v>469</v>
      </c>
    </row>
    <row r="49" spans="1:6" hidden="1" x14ac:dyDescent="0.35">
      <c r="A49" s="7">
        <v>999014</v>
      </c>
      <c r="B49" s="7" t="s">
        <v>541</v>
      </c>
      <c r="C49" s="7" t="s">
        <v>462</v>
      </c>
      <c r="D49" s="7"/>
      <c r="E49" s="7"/>
      <c r="F49" s="7" t="s">
        <v>469</v>
      </c>
    </row>
    <row r="50" spans="1:6" hidden="1" x14ac:dyDescent="0.35">
      <c r="A50" s="7">
        <v>999015</v>
      </c>
      <c r="B50" s="7" t="s">
        <v>541</v>
      </c>
      <c r="C50" s="7" t="s">
        <v>477</v>
      </c>
      <c r="D50" s="7"/>
      <c r="E50" s="7"/>
      <c r="F50" s="7" t="s">
        <v>469</v>
      </c>
    </row>
    <row r="51" spans="1:6" hidden="1" x14ac:dyDescent="0.35">
      <c r="A51" s="7">
        <v>999016</v>
      </c>
      <c r="B51" s="7" t="s">
        <v>542</v>
      </c>
      <c r="C51" s="7" t="s">
        <v>462</v>
      </c>
      <c r="D51" s="7"/>
      <c r="E51" s="7"/>
      <c r="F51" s="7" t="s">
        <v>469</v>
      </c>
    </row>
    <row r="52" spans="1:6" hidden="1" x14ac:dyDescent="0.35">
      <c r="A52" s="7">
        <v>999017</v>
      </c>
      <c r="B52" s="7" t="s">
        <v>542</v>
      </c>
      <c r="C52" s="7" t="s">
        <v>477</v>
      </c>
      <c r="D52" s="7"/>
      <c r="E52" s="7"/>
      <c r="F52" s="7" t="s">
        <v>469</v>
      </c>
    </row>
    <row r="53" spans="1:6" hidden="1" x14ac:dyDescent="0.35">
      <c r="A53" s="7">
        <v>999018</v>
      </c>
      <c r="B53" s="7" t="s">
        <v>543</v>
      </c>
      <c r="C53" s="7" t="s">
        <v>477</v>
      </c>
      <c r="D53" s="7"/>
      <c r="E53" s="7"/>
      <c r="F53" s="7" t="s">
        <v>469</v>
      </c>
    </row>
    <row r="54" spans="1:6" hidden="1" x14ac:dyDescent="0.35">
      <c r="A54" s="7">
        <v>999019</v>
      </c>
      <c r="B54" s="7" t="s">
        <v>544</v>
      </c>
      <c r="C54" s="7" t="s">
        <v>477</v>
      </c>
      <c r="D54" s="7"/>
      <c r="E54" s="7"/>
      <c r="F54" s="7" t="s">
        <v>469</v>
      </c>
    </row>
    <row r="55" spans="1:6" hidden="1" x14ac:dyDescent="0.35">
      <c r="A55" s="7">
        <v>999020</v>
      </c>
      <c r="B55" s="7" t="s">
        <v>545</v>
      </c>
      <c r="C55" s="7" t="s">
        <v>477</v>
      </c>
      <c r="D55" s="7"/>
      <c r="E55" s="7"/>
      <c r="F55" s="7" t="s">
        <v>469</v>
      </c>
    </row>
    <row r="56" spans="1:6" hidden="1" x14ac:dyDescent="0.35">
      <c r="A56" s="7">
        <v>999021</v>
      </c>
      <c r="B56" s="7" t="s">
        <v>504</v>
      </c>
      <c r="C56" s="7" t="s">
        <v>477</v>
      </c>
      <c r="D56" s="7"/>
      <c r="E56" s="7"/>
      <c r="F56" s="7" t="s">
        <v>469</v>
      </c>
    </row>
    <row r="57" spans="1:6" hidden="1" x14ac:dyDescent="0.35">
      <c r="A57" s="7">
        <v>999022</v>
      </c>
      <c r="B57" s="7" t="s">
        <v>546</v>
      </c>
      <c r="C57" s="7" t="s">
        <v>477</v>
      </c>
      <c r="D57" s="7"/>
      <c r="E57" s="7"/>
      <c r="F57" s="7" t="s">
        <v>469</v>
      </c>
    </row>
    <row r="58" spans="1:6" hidden="1" x14ac:dyDescent="0.35">
      <c r="A58" s="7">
        <v>999023</v>
      </c>
      <c r="B58" s="7" t="s">
        <v>547</v>
      </c>
      <c r="C58" s="7" t="s">
        <v>477</v>
      </c>
      <c r="D58" s="7"/>
      <c r="E58" s="7"/>
      <c r="F58" s="7" t="s">
        <v>469</v>
      </c>
    </row>
    <row r="59" spans="1:6" hidden="1" x14ac:dyDescent="0.35">
      <c r="A59" s="7">
        <v>999024</v>
      </c>
      <c r="B59" s="7" t="s">
        <v>548</v>
      </c>
      <c r="C59" s="7" t="s">
        <v>477</v>
      </c>
      <c r="D59" s="7"/>
      <c r="E59" s="7"/>
      <c r="F59" s="7" t="s">
        <v>469</v>
      </c>
    </row>
    <row r="60" spans="1:6" hidden="1" x14ac:dyDescent="0.35">
      <c r="A60" s="7">
        <v>999025</v>
      </c>
      <c r="B60" s="7" t="s">
        <v>549</v>
      </c>
      <c r="C60" s="7" t="s">
        <v>477</v>
      </c>
      <c r="D60" s="7"/>
      <c r="E60" s="7"/>
      <c r="F60" s="7" t="s">
        <v>469</v>
      </c>
    </row>
    <row r="61" spans="1:6" hidden="1" x14ac:dyDescent="0.35">
      <c r="A61" s="7">
        <v>999026</v>
      </c>
      <c r="B61" s="7" t="s">
        <v>550</v>
      </c>
      <c r="C61" s="7" t="s">
        <v>477</v>
      </c>
      <c r="D61" s="7"/>
      <c r="E61" s="7"/>
      <c r="F61" s="7" t="s">
        <v>469</v>
      </c>
    </row>
    <row r="62" spans="1:6" hidden="1" x14ac:dyDescent="0.35">
      <c r="A62" s="7">
        <v>999027</v>
      </c>
      <c r="B62" s="7" t="s">
        <v>551</v>
      </c>
      <c r="C62" s="7" t="s">
        <v>462</v>
      </c>
      <c r="D62" s="7"/>
      <c r="E62" s="7"/>
      <c r="F62" s="7" t="s">
        <v>469</v>
      </c>
    </row>
    <row r="63" spans="1:6" hidden="1" x14ac:dyDescent="0.35">
      <c r="A63" s="7">
        <v>999028</v>
      </c>
      <c r="B63" s="7" t="s">
        <v>552</v>
      </c>
      <c r="C63" s="7" t="s">
        <v>462</v>
      </c>
      <c r="D63" s="7"/>
      <c r="E63" s="7"/>
      <c r="F63" s="7" t="s">
        <v>469</v>
      </c>
    </row>
    <row r="64" spans="1:6" hidden="1" x14ac:dyDescent="0.35">
      <c r="A64" s="7">
        <v>999029</v>
      </c>
      <c r="B64" s="7" t="s">
        <v>553</v>
      </c>
      <c r="C64" s="7" t="s">
        <v>462</v>
      </c>
      <c r="D64" s="7"/>
      <c r="E64" s="7"/>
      <c r="F64" s="7" t="s">
        <v>469</v>
      </c>
    </row>
    <row r="65" spans="1:6" hidden="1" x14ac:dyDescent="0.35">
      <c r="A65" s="12">
        <v>77887</v>
      </c>
      <c r="B65" s="13" t="s">
        <v>554</v>
      </c>
      <c r="C65" s="13" t="s">
        <v>458</v>
      </c>
      <c r="D65" s="13"/>
      <c r="E65" s="13" t="s">
        <v>555</v>
      </c>
      <c r="F65" s="13" t="s">
        <v>554</v>
      </c>
    </row>
    <row r="66" spans="1:6" hidden="1" x14ac:dyDescent="0.35">
      <c r="A66" s="14">
        <v>88881</v>
      </c>
      <c r="B66" s="15" t="s">
        <v>556</v>
      </c>
      <c r="C66" s="15" t="s">
        <v>477</v>
      </c>
      <c r="D66" s="15"/>
      <c r="E66" s="15" t="s">
        <v>557</v>
      </c>
      <c r="F66" s="15" t="s">
        <v>554</v>
      </c>
    </row>
    <row r="67" spans="1:6" hidden="1" x14ac:dyDescent="0.35">
      <c r="A67" s="16">
        <v>73827</v>
      </c>
      <c r="B67" s="17" t="s">
        <v>558</v>
      </c>
      <c r="C67" s="17" t="s">
        <v>458</v>
      </c>
      <c r="D67" s="17"/>
      <c r="E67" s="17" t="s">
        <v>559</v>
      </c>
      <c r="F67" s="17" t="s">
        <v>558</v>
      </c>
    </row>
    <row r="68" spans="1:6" hidden="1" x14ac:dyDescent="0.35">
      <c r="A68" s="18">
        <v>76336</v>
      </c>
      <c r="B68" s="19" t="s">
        <v>560</v>
      </c>
      <c r="C68" s="19" t="s">
        <v>458</v>
      </c>
      <c r="D68" s="19"/>
      <c r="E68" s="19" t="s">
        <v>561</v>
      </c>
      <c r="F68" s="19" t="s">
        <v>558</v>
      </c>
    </row>
    <row r="69" spans="1:6" hidden="1" x14ac:dyDescent="0.35">
      <c r="A69" s="18">
        <v>78725</v>
      </c>
      <c r="B69" s="19" t="s">
        <v>562</v>
      </c>
      <c r="C69" s="19" t="s">
        <v>563</v>
      </c>
      <c r="D69" s="19"/>
      <c r="E69" s="19" t="s">
        <v>564</v>
      </c>
      <c r="F69" s="19" t="s">
        <v>558</v>
      </c>
    </row>
    <row r="70" spans="1:6" hidden="1" x14ac:dyDescent="0.35">
      <c r="A70" s="18">
        <v>78779</v>
      </c>
      <c r="B70" s="19" t="s">
        <v>565</v>
      </c>
      <c r="C70" s="19" t="s">
        <v>477</v>
      </c>
      <c r="D70" s="19"/>
      <c r="E70" s="19" t="s">
        <v>566</v>
      </c>
      <c r="F70" s="19" t="s">
        <v>558</v>
      </c>
    </row>
    <row r="71" spans="1:6" hidden="1" x14ac:dyDescent="0.35">
      <c r="A71" s="18">
        <v>78781</v>
      </c>
      <c r="B71" s="19" t="s">
        <v>567</v>
      </c>
      <c r="C71" s="19" t="s">
        <v>477</v>
      </c>
      <c r="D71" s="19"/>
      <c r="E71" s="19" t="s">
        <v>568</v>
      </c>
      <c r="F71" s="19" t="s">
        <v>558</v>
      </c>
    </row>
    <row r="72" spans="1:6" hidden="1" x14ac:dyDescent="0.35">
      <c r="A72" s="18">
        <v>78782</v>
      </c>
      <c r="B72" s="19" t="s">
        <v>569</v>
      </c>
      <c r="C72" s="19" t="s">
        <v>477</v>
      </c>
      <c r="D72" s="19"/>
      <c r="E72" s="19" t="s">
        <v>570</v>
      </c>
      <c r="F72" s="19" t="s">
        <v>558</v>
      </c>
    </row>
    <row r="73" spans="1:6" hidden="1" x14ac:dyDescent="0.35">
      <c r="A73" s="18">
        <v>78783</v>
      </c>
      <c r="B73" s="19" t="s">
        <v>571</v>
      </c>
      <c r="C73" s="19" t="s">
        <v>477</v>
      </c>
      <c r="D73" s="19"/>
      <c r="E73" s="19" t="s">
        <v>572</v>
      </c>
      <c r="F73" s="19" t="s">
        <v>558</v>
      </c>
    </row>
    <row r="74" spans="1:6" hidden="1" x14ac:dyDescent="0.35">
      <c r="A74" s="18">
        <v>78784</v>
      </c>
      <c r="B74" s="19" t="s">
        <v>573</v>
      </c>
      <c r="C74" s="19" t="s">
        <v>477</v>
      </c>
      <c r="D74" s="19"/>
      <c r="E74" s="19" t="s">
        <v>574</v>
      </c>
      <c r="F74" s="19" t="s">
        <v>558</v>
      </c>
    </row>
    <row r="75" spans="1:6" hidden="1" x14ac:dyDescent="0.35">
      <c r="A75" s="18">
        <v>78785</v>
      </c>
      <c r="B75" s="19" t="s">
        <v>575</v>
      </c>
      <c r="C75" s="19" t="s">
        <v>477</v>
      </c>
      <c r="D75" s="19"/>
      <c r="E75" s="19" t="s">
        <v>576</v>
      </c>
      <c r="F75" s="19" t="s">
        <v>558</v>
      </c>
    </row>
    <row r="76" spans="1:6" hidden="1" x14ac:dyDescent="0.35">
      <c r="A76" s="18">
        <v>78786</v>
      </c>
      <c r="B76" s="19" t="s">
        <v>577</v>
      </c>
      <c r="C76" s="19" t="s">
        <v>477</v>
      </c>
      <c r="D76" s="19"/>
      <c r="E76" s="19" t="s">
        <v>578</v>
      </c>
      <c r="F76" s="19" t="s">
        <v>558</v>
      </c>
    </row>
    <row r="77" spans="1:6" hidden="1" x14ac:dyDescent="0.35">
      <c r="A77" s="18">
        <v>78787</v>
      </c>
      <c r="B77" s="19" t="s">
        <v>579</v>
      </c>
      <c r="C77" s="19" t="s">
        <v>477</v>
      </c>
      <c r="D77" s="19"/>
      <c r="E77" s="19" t="s">
        <v>580</v>
      </c>
      <c r="F77" s="19" t="s">
        <v>558</v>
      </c>
    </row>
    <row r="78" spans="1:6" hidden="1" x14ac:dyDescent="0.35">
      <c r="A78" s="18">
        <v>78788</v>
      </c>
      <c r="B78" s="19" t="s">
        <v>581</v>
      </c>
      <c r="C78" s="19" t="s">
        <v>477</v>
      </c>
      <c r="D78" s="19"/>
      <c r="E78" s="19" t="s">
        <v>582</v>
      </c>
      <c r="F78" s="19" t="s">
        <v>558</v>
      </c>
    </row>
    <row r="79" spans="1:6" hidden="1" x14ac:dyDescent="0.35">
      <c r="A79" s="18">
        <v>78789</v>
      </c>
      <c r="B79" s="19" t="s">
        <v>583</v>
      </c>
      <c r="C79" s="19" t="s">
        <v>477</v>
      </c>
      <c r="D79" s="19"/>
      <c r="E79" s="19" t="s">
        <v>584</v>
      </c>
      <c r="F79" s="19" t="s">
        <v>558</v>
      </c>
    </row>
    <row r="80" spans="1:6" hidden="1" x14ac:dyDescent="0.35">
      <c r="A80" s="18">
        <v>78790</v>
      </c>
      <c r="B80" s="19" t="s">
        <v>585</v>
      </c>
      <c r="C80" s="19" t="s">
        <v>477</v>
      </c>
      <c r="D80" s="19"/>
      <c r="E80" s="19" t="s">
        <v>586</v>
      </c>
      <c r="F80" s="19" t="s">
        <v>558</v>
      </c>
    </row>
    <row r="81" spans="1:6" hidden="1" x14ac:dyDescent="0.35">
      <c r="A81" s="18">
        <v>78791</v>
      </c>
      <c r="B81" s="19" t="s">
        <v>587</v>
      </c>
      <c r="C81" s="19" t="s">
        <v>477</v>
      </c>
      <c r="D81" s="19"/>
      <c r="E81" s="19" t="s">
        <v>588</v>
      </c>
      <c r="F81" s="19" t="s">
        <v>558</v>
      </c>
    </row>
    <row r="82" spans="1:6" hidden="1" x14ac:dyDescent="0.35">
      <c r="A82" s="18">
        <v>78792</v>
      </c>
      <c r="B82" s="19" t="s">
        <v>589</v>
      </c>
      <c r="C82" s="19" t="s">
        <v>477</v>
      </c>
      <c r="D82" s="19"/>
      <c r="E82" s="19" t="s">
        <v>590</v>
      </c>
      <c r="F82" s="19" t="s">
        <v>558</v>
      </c>
    </row>
    <row r="83" spans="1:6" hidden="1" x14ac:dyDescent="0.35">
      <c r="A83" s="18">
        <v>78793</v>
      </c>
      <c r="B83" s="19" t="s">
        <v>591</v>
      </c>
      <c r="C83" s="19" t="s">
        <v>477</v>
      </c>
      <c r="D83" s="19"/>
      <c r="E83" s="19" t="s">
        <v>592</v>
      </c>
      <c r="F83" s="19" t="s">
        <v>558</v>
      </c>
    </row>
    <row r="84" spans="1:6" hidden="1" x14ac:dyDescent="0.35">
      <c r="A84" s="18">
        <v>78794</v>
      </c>
      <c r="B84" s="19" t="s">
        <v>593</v>
      </c>
      <c r="C84" s="19" t="s">
        <v>477</v>
      </c>
      <c r="D84" s="19"/>
      <c r="E84" s="19" t="s">
        <v>594</v>
      </c>
      <c r="F84" s="19" t="s">
        <v>558</v>
      </c>
    </row>
    <row r="85" spans="1:6" hidden="1" x14ac:dyDescent="0.35">
      <c r="A85" s="18">
        <v>78796</v>
      </c>
      <c r="B85" s="19" t="s">
        <v>595</v>
      </c>
      <c r="C85" s="19" t="s">
        <v>477</v>
      </c>
      <c r="D85" s="19"/>
      <c r="E85" s="19" t="s">
        <v>596</v>
      </c>
      <c r="F85" s="19" t="s">
        <v>558</v>
      </c>
    </row>
    <row r="86" spans="1:6" hidden="1" x14ac:dyDescent="0.35">
      <c r="A86" s="18">
        <v>78797</v>
      </c>
      <c r="B86" s="19" t="s">
        <v>597</v>
      </c>
      <c r="C86" s="19" t="s">
        <v>477</v>
      </c>
      <c r="D86" s="19"/>
      <c r="E86" s="19" t="s">
        <v>598</v>
      </c>
      <c r="F86" s="19" t="s">
        <v>558</v>
      </c>
    </row>
    <row r="87" spans="1:6" hidden="1" x14ac:dyDescent="0.35">
      <c r="A87" s="18">
        <v>78798</v>
      </c>
      <c r="B87" s="19" t="s">
        <v>599</v>
      </c>
      <c r="C87" s="19" t="s">
        <v>477</v>
      </c>
      <c r="D87" s="19"/>
      <c r="E87" s="19" t="s">
        <v>600</v>
      </c>
      <c r="F87" s="19" t="s">
        <v>558</v>
      </c>
    </row>
    <row r="88" spans="1:6" hidden="1" x14ac:dyDescent="0.35">
      <c r="A88" s="18">
        <v>82516</v>
      </c>
      <c r="B88" s="19" t="s">
        <v>601</v>
      </c>
      <c r="C88" s="19" t="s">
        <v>602</v>
      </c>
      <c r="D88" s="19"/>
      <c r="E88" s="19" t="s">
        <v>603</v>
      </c>
      <c r="F88" s="19" t="s">
        <v>558</v>
      </c>
    </row>
    <row r="89" spans="1:6" hidden="1" x14ac:dyDescent="0.35">
      <c r="A89" s="18">
        <v>82523</v>
      </c>
      <c r="B89" s="19" t="s">
        <v>604</v>
      </c>
      <c r="C89" s="19" t="s">
        <v>602</v>
      </c>
      <c r="D89" s="19"/>
      <c r="E89" s="19" t="s">
        <v>605</v>
      </c>
      <c r="F89" s="19" t="s">
        <v>558</v>
      </c>
    </row>
    <row r="90" spans="1:6" hidden="1" x14ac:dyDescent="0.35">
      <c r="A90" s="18">
        <v>82576</v>
      </c>
      <c r="B90" s="19" t="s">
        <v>606</v>
      </c>
      <c r="C90" s="19" t="s">
        <v>477</v>
      </c>
      <c r="D90" s="19"/>
      <c r="E90" s="19" t="s">
        <v>607</v>
      </c>
      <c r="F90" s="19" t="s">
        <v>558</v>
      </c>
    </row>
    <row r="91" spans="1:6" hidden="1" x14ac:dyDescent="0.35">
      <c r="A91" s="18">
        <v>82577</v>
      </c>
      <c r="B91" s="19" t="s">
        <v>608</v>
      </c>
      <c r="C91" s="19" t="s">
        <v>477</v>
      </c>
      <c r="D91" s="19"/>
      <c r="E91" s="19" t="s">
        <v>609</v>
      </c>
      <c r="F91" s="19" t="s">
        <v>558</v>
      </c>
    </row>
    <row r="92" spans="1:6" hidden="1" x14ac:dyDescent="0.35">
      <c r="A92" s="18">
        <v>82605</v>
      </c>
      <c r="B92" s="19" t="s">
        <v>560</v>
      </c>
      <c r="C92" s="19" t="s">
        <v>462</v>
      </c>
      <c r="D92" s="19"/>
      <c r="E92" s="19" t="s">
        <v>610</v>
      </c>
      <c r="F92" s="19" t="s">
        <v>558</v>
      </c>
    </row>
    <row r="93" spans="1:6" hidden="1" x14ac:dyDescent="0.35">
      <c r="A93" s="18">
        <v>83415</v>
      </c>
      <c r="B93" s="19" t="s">
        <v>611</v>
      </c>
      <c r="C93" s="19" t="s">
        <v>458</v>
      </c>
      <c r="D93" s="19"/>
      <c r="E93" s="19" t="s">
        <v>612</v>
      </c>
      <c r="F93" s="19" t="s">
        <v>558</v>
      </c>
    </row>
    <row r="94" spans="1:6" hidden="1" x14ac:dyDescent="0.35">
      <c r="A94" s="18">
        <v>83416</v>
      </c>
      <c r="B94" s="19" t="s">
        <v>613</v>
      </c>
      <c r="C94" s="19" t="s">
        <v>477</v>
      </c>
      <c r="D94" s="19"/>
      <c r="E94" s="19" t="s">
        <v>614</v>
      </c>
      <c r="F94" s="19" t="s">
        <v>558</v>
      </c>
    </row>
    <row r="95" spans="1:6" hidden="1" x14ac:dyDescent="0.35">
      <c r="A95" s="18">
        <v>83417</v>
      </c>
      <c r="B95" s="19" t="s">
        <v>615</v>
      </c>
      <c r="C95" s="19" t="s">
        <v>477</v>
      </c>
      <c r="D95" s="19"/>
      <c r="E95" s="19" t="s">
        <v>616</v>
      </c>
      <c r="F95" s="19" t="s">
        <v>558</v>
      </c>
    </row>
    <row r="96" spans="1:6" hidden="1" x14ac:dyDescent="0.35">
      <c r="A96" s="18">
        <v>83418</v>
      </c>
      <c r="B96" s="19" t="s">
        <v>617</v>
      </c>
      <c r="C96" s="19" t="s">
        <v>477</v>
      </c>
      <c r="D96" s="19"/>
      <c r="E96" s="19" t="s">
        <v>618</v>
      </c>
      <c r="F96" s="19" t="s">
        <v>558</v>
      </c>
    </row>
    <row r="97" spans="1:6" hidden="1" x14ac:dyDescent="0.35">
      <c r="A97" s="18">
        <v>83419</v>
      </c>
      <c r="B97" s="19" t="s">
        <v>619</v>
      </c>
      <c r="C97" s="19" t="s">
        <v>477</v>
      </c>
      <c r="D97" s="19"/>
      <c r="E97" s="19" t="s">
        <v>620</v>
      </c>
      <c r="F97" s="19" t="s">
        <v>558</v>
      </c>
    </row>
    <row r="98" spans="1:6" hidden="1" x14ac:dyDescent="0.35">
      <c r="A98" s="18">
        <v>83421</v>
      </c>
      <c r="B98" s="19" t="s">
        <v>621</v>
      </c>
      <c r="C98" s="19" t="s">
        <v>477</v>
      </c>
      <c r="D98" s="19"/>
      <c r="E98" s="19" t="s">
        <v>622</v>
      </c>
      <c r="F98" s="19" t="s">
        <v>558</v>
      </c>
    </row>
    <row r="99" spans="1:6" hidden="1" x14ac:dyDescent="0.35">
      <c r="A99" s="18">
        <v>83733</v>
      </c>
      <c r="B99" s="19" t="s">
        <v>623</v>
      </c>
      <c r="C99" s="19" t="s">
        <v>462</v>
      </c>
      <c r="D99" s="19"/>
      <c r="E99" s="19" t="s">
        <v>624</v>
      </c>
      <c r="F99" s="19" t="s">
        <v>558</v>
      </c>
    </row>
    <row r="100" spans="1:6" hidden="1" x14ac:dyDescent="0.35">
      <c r="A100" s="18">
        <v>83736</v>
      </c>
      <c r="B100" s="19" t="s">
        <v>625</v>
      </c>
      <c r="C100" s="19" t="s">
        <v>462</v>
      </c>
      <c r="D100" s="19"/>
      <c r="E100" s="19" t="s">
        <v>626</v>
      </c>
      <c r="F100" s="19" t="s">
        <v>558</v>
      </c>
    </row>
    <row r="101" spans="1:6" hidden="1" x14ac:dyDescent="0.35">
      <c r="A101" s="7">
        <v>999030</v>
      </c>
      <c r="B101" s="4" t="s">
        <v>627</v>
      </c>
      <c r="C101" s="4" t="s">
        <v>458</v>
      </c>
      <c r="D101" s="4"/>
      <c r="E101" s="20" t="s">
        <v>628</v>
      </c>
      <c r="F101" s="4" t="s">
        <v>627</v>
      </c>
    </row>
    <row r="102" spans="1:6" hidden="1" x14ac:dyDescent="0.35">
      <c r="A102" s="7">
        <v>999031</v>
      </c>
      <c r="B102" s="5" t="s">
        <v>629</v>
      </c>
      <c r="C102" s="5" t="s">
        <v>477</v>
      </c>
      <c r="D102" s="5"/>
      <c r="E102" s="6"/>
      <c r="F102" s="5" t="s">
        <v>627</v>
      </c>
    </row>
    <row r="103" spans="1:6" hidden="1" x14ac:dyDescent="0.35">
      <c r="A103" s="7">
        <v>999032</v>
      </c>
      <c r="B103" s="5" t="s">
        <v>630</v>
      </c>
      <c r="C103" s="5" t="s">
        <v>462</v>
      </c>
      <c r="D103" s="5"/>
      <c r="E103" s="6"/>
      <c r="F103" s="5" t="s">
        <v>627</v>
      </c>
    </row>
    <row r="104" spans="1:6" hidden="1" x14ac:dyDescent="0.35">
      <c r="A104" s="7">
        <v>999033</v>
      </c>
      <c r="B104" s="5" t="s">
        <v>631</v>
      </c>
      <c r="C104" s="5" t="s">
        <v>462</v>
      </c>
      <c r="D104" s="5"/>
      <c r="E104" s="6"/>
      <c r="F104" s="5" t="s">
        <v>627</v>
      </c>
    </row>
    <row r="105" spans="1:6" hidden="1" x14ac:dyDescent="0.35">
      <c r="A105" s="7">
        <v>999034</v>
      </c>
      <c r="B105" s="5" t="s">
        <v>632</v>
      </c>
      <c r="C105" s="5" t="s">
        <v>462</v>
      </c>
      <c r="D105" s="5"/>
      <c r="E105" s="6"/>
      <c r="F105" s="5" t="s">
        <v>627</v>
      </c>
    </row>
    <row r="106" spans="1:6" hidden="1" x14ac:dyDescent="0.35">
      <c r="A106" s="7">
        <v>999035</v>
      </c>
      <c r="B106" s="5" t="s">
        <v>633</v>
      </c>
      <c r="C106" s="5" t="s">
        <v>477</v>
      </c>
      <c r="D106" s="5"/>
      <c r="E106" s="6"/>
      <c r="F106" s="5" t="s">
        <v>627</v>
      </c>
    </row>
    <row r="107" spans="1:6" hidden="1" x14ac:dyDescent="0.35">
      <c r="A107" s="7">
        <v>999036</v>
      </c>
      <c r="B107" s="21" t="s">
        <v>634</v>
      </c>
      <c r="C107" s="21" t="s">
        <v>458</v>
      </c>
      <c r="D107" s="21"/>
      <c r="E107" s="22" t="s">
        <v>628</v>
      </c>
      <c r="F107" s="21" t="s">
        <v>634</v>
      </c>
    </row>
    <row r="108" spans="1:6" hidden="1" x14ac:dyDescent="0.35">
      <c r="A108" s="7">
        <v>999037</v>
      </c>
      <c r="B108" s="23" t="s">
        <v>635</v>
      </c>
      <c r="C108" s="23" t="s">
        <v>462</v>
      </c>
      <c r="D108" s="23"/>
      <c r="E108" s="23"/>
      <c r="F108" s="23" t="s">
        <v>634</v>
      </c>
    </row>
    <row r="109" spans="1:6" hidden="1" x14ac:dyDescent="0.35">
      <c r="A109" s="7">
        <v>999038</v>
      </c>
      <c r="B109" s="23" t="s">
        <v>636</v>
      </c>
      <c r="C109" s="23" t="s">
        <v>462</v>
      </c>
      <c r="D109" s="23"/>
      <c r="E109" s="23"/>
      <c r="F109" s="23" t="s">
        <v>634</v>
      </c>
    </row>
    <row r="110" spans="1:6" hidden="1" x14ac:dyDescent="0.35">
      <c r="A110" s="7">
        <v>999039</v>
      </c>
      <c r="B110" s="23" t="s">
        <v>637</v>
      </c>
      <c r="C110" s="23" t="s">
        <v>462</v>
      </c>
      <c r="D110" s="23"/>
      <c r="E110" s="23"/>
      <c r="F110" s="23" t="s">
        <v>634</v>
      </c>
    </row>
    <row r="111" spans="1:6" hidden="1" x14ac:dyDescent="0.35">
      <c r="A111" s="7">
        <v>999040</v>
      </c>
      <c r="B111" s="23" t="s">
        <v>638</v>
      </c>
      <c r="C111" s="23" t="s">
        <v>462</v>
      </c>
      <c r="D111" s="23"/>
      <c r="E111" s="23"/>
      <c r="F111" s="23" t="s">
        <v>634</v>
      </c>
    </row>
    <row r="112" spans="1:6" hidden="1" x14ac:dyDescent="0.35">
      <c r="A112" s="7">
        <v>999041</v>
      </c>
      <c r="B112" s="23" t="s">
        <v>639</v>
      </c>
      <c r="C112" s="23" t="s">
        <v>462</v>
      </c>
      <c r="D112" s="23"/>
      <c r="E112" s="23"/>
      <c r="F112" s="23" t="s">
        <v>634</v>
      </c>
    </row>
    <row r="113" spans="1:6" hidden="1" x14ac:dyDescent="0.35">
      <c r="A113" s="7">
        <v>999042</v>
      </c>
      <c r="B113" s="23" t="s">
        <v>640</v>
      </c>
      <c r="C113" s="23" t="s">
        <v>462</v>
      </c>
      <c r="D113" s="23"/>
      <c r="E113" s="23"/>
      <c r="F113" s="23" t="s">
        <v>634</v>
      </c>
    </row>
    <row r="114" spans="1:6" hidden="1" x14ac:dyDescent="0.35">
      <c r="A114" s="7">
        <v>999043</v>
      </c>
      <c r="B114" s="23" t="s">
        <v>641</v>
      </c>
      <c r="C114" s="23" t="s">
        <v>462</v>
      </c>
      <c r="D114" s="23"/>
      <c r="E114" s="23"/>
      <c r="F114" s="23" t="s">
        <v>634</v>
      </c>
    </row>
    <row r="115" spans="1:6" hidden="1" x14ac:dyDescent="0.35">
      <c r="A115" s="7">
        <v>999044</v>
      </c>
      <c r="B115" s="23" t="s">
        <v>642</v>
      </c>
      <c r="C115" s="23" t="s">
        <v>462</v>
      </c>
      <c r="D115" s="23"/>
      <c r="E115" s="23"/>
      <c r="F115" s="23" t="s">
        <v>634</v>
      </c>
    </row>
    <row r="116" spans="1:6" hidden="1" x14ac:dyDescent="0.35">
      <c r="A116" s="7">
        <v>999045</v>
      </c>
      <c r="B116" s="23" t="s">
        <v>643</v>
      </c>
      <c r="C116" s="23" t="s">
        <v>462</v>
      </c>
      <c r="D116" s="23"/>
      <c r="E116" s="23"/>
      <c r="F116" s="23" t="s">
        <v>634</v>
      </c>
    </row>
    <row r="117" spans="1:6" hidden="1" x14ac:dyDescent="0.35">
      <c r="A117" s="7">
        <v>999046</v>
      </c>
      <c r="B117" s="23" t="s">
        <v>644</v>
      </c>
      <c r="C117" s="23" t="s">
        <v>462</v>
      </c>
      <c r="D117" s="23"/>
      <c r="E117" s="23"/>
      <c r="F117" s="23" t="s">
        <v>634</v>
      </c>
    </row>
    <row r="118" spans="1:6" hidden="1" x14ac:dyDescent="0.35">
      <c r="A118" s="7">
        <v>999047</v>
      </c>
      <c r="B118" s="23" t="s">
        <v>645</v>
      </c>
      <c r="C118" s="23" t="s">
        <v>462</v>
      </c>
      <c r="D118" s="23"/>
      <c r="E118" s="23"/>
      <c r="F118" s="23" t="s">
        <v>634</v>
      </c>
    </row>
    <row r="119" spans="1:6" hidden="1" x14ac:dyDescent="0.35">
      <c r="A119" s="7">
        <v>999048</v>
      </c>
      <c r="B119" s="23" t="s">
        <v>646</v>
      </c>
      <c r="C119" s="23" t="s">
        <v>462</v>
      </c>
      <c r="D119" s="23"/>
      <c r="E119" s="23"/>
      <c r="F119" s="23" t="s">
        <v>634</v>
      </c>
    </row>
    <row r="120" spans="1:6" hidden="1" x14ac:dyDescent="0.35">
      <c r="A120" s="7">
        <v>999049</v>
      </c>
      <c r="B120" s="23" t="s">
        <v>647</v>
      </c>
      <c r="C120" s="23" t="s">
        <v>462</v>
      </c>
      <c r="D120" s="23"/>
      <c r="E120" s="23"/>
      <c r="F120" s="23" t="s">
        <v>634</v>
      </c>
    </row>
    <row r="121" spans="1:6" hidden="1" x14ac:dyDescent="0.35">
      <c r="A121" s="7">
        <v>999050</v>
      </c>
      <c r="B121" s="23" t="s">
        <v>648</v>
      </c>
      <c r="C121" s="23" t="s">
        <v>462</v>
      </c>
      <c r="D121" s="23"/>
      <c r="E121" s="23"/>
      <c r="F121" s="23" t="s">
        <v>634</v>
      </c>
    </row>
    <row r="122" spans="1:6" hidden="1" x14ac:dyDescent="0.35">
      <c r="A122" s="7">
        <v>999051</v>
      </c>
      <c r="B122" s="23" t="s">
        <v>649</v>
      </c>
      <c r="C122" s="23" t="s">
        <v>462</v>
      </c>
      <c r="D122" s="23"/>
      <c r="E122" s="23"/>
      <c r="F122" s="23" t="s">
        <v>634</v>
      </c>
    </row>
    <row r="123" spans="1:6" hidden="1" x14ac:dyDescent="0.35">
      <c r="A123" s="7">
        <v>999052</v>
      </c>
      <c r="B123" s="23" t="s">
        <v>650</v>
      </c>
      <c r="C123" s="23" t="s">
        <v>462</v>
      </c>
      <c r="D123" s="23"/>
      <c r="E123" s="23"/>
      <c r="F123" s="23" t="s">
        <v>634</v>
      </c>
    </row>
    <row r="124" spans="1:6" hidden="1" x14ac:dyDescent="0.35">
      <c r="A124" s="7">
        <v>999053</v>
      </c>
      <c r="B124" s="23" t="s">
        <v>651</v>
      </c>
      <c r="C124" s="23" t="s">
        <v>462</v>
      </c>
      <c r="D124" s="23"/>
      <c r="E124" s="23"/>
      <c r="F124" s="23" t="s">
        <v>634</v>
      </c>
    </row>
    <row r="125" spans="1:6" hidden="1" x14ac:dyDescent="0.35">
      <c r="A125" s="7">
        <v>999054</v>
      </c>
      <c r="B125" s="23" t="s">
        <v>652</v>
      </c>
      <c r="C125" s="23" t="s">
        <v>462</v>
      </c>
      <c r="D125" s="23"/>
      <c r="E125" s="23"/>
      <c r="F125" s="23" t="s">
        <v>634</v>
      </c>
    </row>
    <row r="126" spans="1:6" hidden="1" x14ac:dyDescent="0.35">
      <c r="A126" s="24">
        <v>77888</v>
      </c>
      <c r="B126" s="25" t="s">
        <v>653</v>
      </c>
      <c r="C126" s="25" t="s">
        <v>458</v>
      </c>
      <c r="D126" s="25"/>
      <c r="E126" s="25" t="s">
        <v>654</v>
      </c>
      <c r="F126" s="25" t="s">
        <v>653</v>
      </c>
    </row>
    <row r="127" spans="1:6" hidden="1" x14ac:dyDescent="0.35">
      <c r="A127" s="26">
        <v>79147</v>
      </c>
      <c r="B127" s="27" t="s">
        <v>655</v>
      </c>
      <c r="C127" s="27" t="s">
        <v>477</v>
      </c>
      <c r="D127" s="27"/>
      <c r="E127" s="27" t="s">
        <v>656</v>
      </c>
      <c r="F127" s="27" t="s">
        <v>653</v>
      </c>
    </row>
    <row r="128" spans="1:6" hidden="1" x14ac:dyDescent="0.35">
      <c r="A128" s="26">
        <v>85249</v>
      </c>
      <c r="B128" s="27" t="s">
        <v>657</v>
      </c>
      <c r="C128" s="27" t="s">
        <v>477</v>
      </c>
      <c r="D128" s="27"/>
      <c r="E128" s="27" t="s">
        <v>658</v>
      </c>
      <c r="F128" s="27" t="s">
        <v>653</v>
      </c>
    </row>
    <row r="129" spans="1:6" hidden="1" x14ac:dyDescent="0.35">
      <c r="A129" s="27" t="s">
        <v>659</v>
      </c>
      <c r="B129" s="27" t="s">
        <v>660</v>
      </c>
      <c r="C129" s="27" t="s">
        <v>462</v>
      </c>
      <c r="D129" s="27"/>
      <c r="E129" s="28" t="s">
        <v>661</v>
      </c>
      <c r="F129" s="27" t="s">
        <v>653</v>
      </c>
    </row>
    <row r="130" spans="1:6" hidden="1" x14ac:dyDescent="0.35">
      <c r="A130" s="27">
        <v>999055</v>
      </c>
      <c r="B130" s="27" t="s">
        <v>662</v>
      </c>
      <c r="C130" s="27" t="s">
        <v>462</v>
      </c>
      <c r="D130" s="27"/>
      <c r="E130" s="27"/>
      <c r="F130" s="27" t="s">
        <v>653</v>
      </c>
    </row>
    <row r="131" spans="1:6" x14ac:dyDescent="0.35">
      <c r="A131" s="27">
        <v>999056</v>
      </c>
      <c r="B131" s="27" t="s">
        <v>663</v>
      </c>
      <c r="C131" s="27" t="s">
        <v>477</v>
      </c>
      <c r="D131" s="27"/>
      <c r="E131" s="27"/>
      <c r="F131" s="27" t="s">
        <v>653</v>
      </c>
    </row>
    <row r="132" spans="1:6" hidden="1" x14ac:dyDescent="0.35">
      <c r="A132" s="27">
        <v>999057</v>
      </c>
      <c r="B132" s="26" t="s">
        <v>664</v>
      </c>
      <c r="C132" s="27" t="s">
        <v>477</v>
      </c>
      <c r="D132" s="27"/>
      <c r="E132" s="26"/>
      <c r="F132" s="27" t="s">
        <v>653</v>
      </c>
    </row>
    <row r="133" spans="1:6" hidden="1" x14ac:dyDescent="0.35">
      <c r="A133" s="27">
        <v>999058</v>
      </c>
      <c r="B133" s="26" t="s">
        <v>665</v>
      </c>
      <c r="C133" s="27" t="s">
        <v>477</v>
      </c>
      <c r="D133" s="27"/>
      <c r="E133" s="26"/>
      <c r="F133" s="27" t="s">
        <v>653</v>
      </c>
    </row>
    <row r="134" spans="1:6" hidden="1" x14ac:dyDescent="0.35">
      <c r="A134" s="27">
        <v>999059</v>
      </c>
      <c r="B134" s="27" t="s">
        <v>666</v>
      </c>
      <c r="C134" s="27" t="s">
        <v>462</v>
      </c>
      <c r="D134" s="27"/>
      <c r="E134" s="27"/>
      <c r="F134" s="27" t="s">
        <v>653</v>
      </c>
    </row>
    <row r="135" spans="1:6" hidden="1" x14ac:dyDescent="0.35">
      <c r="A135" s="27">
        <v>999060</v>
      </c>
      <c r="B135" s="27" t="s">
        <v>667</v>
      </c>
      <c r="C135" s="27" t="s">
        <v>477</v>
      </c>
      <c r="D135" s="27"/>
      <c r="E135" s="27"/>
      <c r="F135" s="27" t="s">
        <v>653</v>
      </c>
    </row>
    <row r="136" spans="1:6" hidden="1" x14ac:dyDescent="0.35">
      <c r="A136" s="27">
        <v>999061</v>
      </c>
      <c r="B136" s="27" t="s">
        <v>668</v>
      </c>
      <c r="C136" s="27" t="s">
        <v>477</v>
      </c>
      <c r="D136" s="27"/>
      <c r="E136" s="27"/>
      <c r="F136" s="27" t="s">
        <v>653</v>
      </c>
    </row>
    <row r="137" spans="1:6" hidden="1" x14ac:dyDescent="0.35">
      <c r="A137" s="27">
        <v>999062</v>
      </c>
      <c r="B137" s="27" t="s">
        <v>669</v>
      </c>
      <c r="C137" s="27" t="s">
        <v>462</v>
      </c>
      <c r="D137" s="27"/>
      <c r="E137" s="27"/>
      <c r="F137" s="27" t="s">
        <v>653</v>
      </c>
    </row>
    <row r="138" spans="1:6" hidden="1" x14ac:dyDescent="0.35">
      <c r="A138" s="27">
        <v>999063</v>
      </c>
      <c r="B138" s="27" t="s">
        <v>670</v>
      </c>
      <c r="C138" s="27" t="s">
        <v>462</v>
      </c>
      <c r="D138" s="27"/>
      <c r="E138" s="27"/>
      <c r="F138" s="27" t="s">
        <v>653</v>
      </c>
    </row>
    <row r="139" spans="1:6" hidden="1" x14ac:dyDescent="0.35">
      <c r="A139" s="29">
        <v>3256</v>
      </c>
      <c r="B139" s="30" t="s">
        <v>671</v>
      </c>
      <c r="C139" s="5" t="s">
        <v>477</v>
      </c>
      <c r="D139" s="5"/>
      <c r="E139" s="6" t="s">
        <v>672</v>
      </c>
      <c r="F139" s="5" t="s">
        <v>673</v>
      </c>
    </row>
    <row r="140" spans="1:6" hidden="1" x14ac:dyDescent="0.35">
      <c r="A140" s="29">
        <v>3886</v>
      </c>
      <c r="B140" s="5" t="s">
        <v>474</v>
      </c>
      <c r="C140" s="5" t="s">
        <v>477</v>
      </c>
      <c r="D140" s="5"/>
      <c r="E140" s="6" t="s">
        <v>475</v>
      </c>
      <c r="F140" s="5" t="s">
        <v>673</v>
      </c>
    </row>
    <row r="141" spans="1:6" hidden="1" x14ac:dyDescent="0.35">
      <c r="A141" s="31">
        <v>75277</v>
      </c>
      <c r="B141" s="4" t="s">
        <v>673</v>
      </c>
      <c r="C141" s="4" t="s">
        <v>458</v>
      </c>
      <c r="D141" s="4"/>
      <c r="E141" s="4" t="s">
        <v>674</v>
      </c>
      <c r="F141" s="4" t="s">
        <v>673</v>
      </c>
    </row>
    <row r="142" spans="1:6" hidden="1" x14ac:dyDescent="0.35">
      <c r="A142" s="29">
        <v>75286</v>
      </c>
      <c r="B142" s="5" t="s">
        <v>675</v>
      </c>
      <c r="C142" s="5" t="s">
        <v>458</v>
      </c>
      <c r="D142" s="5"/>
      <c r="E142" s="5" t="s">
        <v>676</v>
      </c>
      <c r="F142" s="5" t="s">
        <v>673</v>
      </c>
    </row>
    <row r="143" spans="1:6" hidden="1" x14ac:dyDescent="0.35">
      <c r="A143" s="29">
        <v>75328</v>
      </c>
      <c r="B143" s="5" t="s">
        <v>677</v>
      </c>
      <c r="C143" s="5" t="s">
        <v>458</v>
      </c>
      <c r="D143" s="5"/>
      <c r="E143" s="5" t="s">
        <v>678</v>
      </c>
      <c r="F143" s="5" t="s">
        <v>673</v>
      </c>
    </row>
    <row r="144" spans="1:6" hidden="1" x14ac:dyDescent="0.35">
      <c r="A144" s="29">
        <v>75329</v>
      </c>
      <c r="B144" s="5" t="s">
        <v>679</v>
      </c>
      <c r="C144" s="5" t="s">
        <v>458</v>
      </c>
      <c r="D144" s="5"/>
      <c r="E144" s="5" t="s">
        <v>680</v>
      </c>
      <c r="F144" s="5" t="s">
        <v>673</v>
      </c>
    </row>
    <row r="145" spans="1:6" hidden="1" x14ac:dyDescent="0.35">
      <c r="A145" s="29">
        <v>82383</v>
      </c>
      <c r="B145" s="5" t="s">
        <v>472</v>
      </c>
      <c r="C145" s="5" t="s">
        <v>477</v>
      </c>
      <c r="D145" s="5"/>
      <c r="E145" s="6" t="s">
        <v>681</v>
      </c>
      <c r="F145" s="5" t="s">
        <v>673</v>
      </c>
    </row>
    <row r="146" spans="1:6" hidden="1" x14ac:dyDescent="0.35">
      <c r="A146" s="29">
        <v>86683</v>
      </c>
      <c r="B146" s="5" t="s">
        <v>682</v>
      </c>
      <c r="C146" s="5" t="s">
        <v>521</v>
      </c>
      <c r="D146" s="5"/>
      <c r="E146" s="5" t="s">
        <v>683</v>
      </c>
      <c r="F146" s="5" t="s">
        <v>673</v>
      </c>
    </row>
    <row r="147" spans="1:6" hidden="1" x14ac:dyDescent="0.35">
      <c r="A147" s="29">
        <v>89154</v>
      </c>
      <c r="B147" s="5" t="s">
        <v>684</v>
      </c>
      <c r="C147" s="5" t="s">
        <v>477</v>
      </c>
      <c r="D147" s="5"/>
      <c r="E147" s="6" t="s">
        <v>685</v>
      </c>
      <c r="F147" s="5" t="s">
        <v>673</v>
      </c>
    </row>
    <row r="148" spans="1:6" hidden="1" x14ac:dyDescent="0.35">
      <c r="A148" s="29">
        <v>89155</v>
      </c>
      <c r="B148" s="5" t="s">
        <v>686</v>
      </c>
      <c r="C148" s="5" t="s">
        <v>477</v>
      </c>
      <c r="D148" s="5"/>
      <c r="E148" s="6" t="s">
        <v>687</v>
      </c>
      <c r="F148" s="5" t="s">
        <v>673</v>
      </c>
    </row>
    <row r="149" spans="1:6" hidden="1" x14ac:dyDescent="0.35">
      <c r="A149" s="29">
        <v>89157</v>
      </c>
      <c r="B149" s="5" t="s">
        <v>688</v>
      </c>
      <c r="C149" s="5" t="s">
        <v>477</v>
      </c>
      <c r="D149" s="5"/>
      <c r="E149" s="6" t="s">
        <v>689</v>
      </c>
      <c r="F149" s="5" t="s">
        <v>673</v>
      </c>
    </row>
    <row r="150" spans="1:6" hidden="1" x14ac:dyDescent="0.35">
      <c r="A150" s="29">
        <v>89158</v>
      </c>
      <c r="B150" s="5" t="s">
        <v>690</v>
      </c>
      <c r="C150" s="5" t="s">
        <v>477</v>
      </c>
      <c r="D150" s="5"/>
      <c r="E150" s="6" t="s">
        <v>691</v>
      </c>
      <c r="F150" s="5" t="s">
        <v>673</v>
      </c>
    </row>
    <row r="151" spans="1:6" hidden="1" x14ac:dyDescent="0.35">
      <c r="A151" s="29">
        <v>89159</v>
      </c>
      <c r="B151" s="5" t="s">
        <v>692</v>
      </c>
      <c r="C151" s="5" t="s">
        <v>477</v>
      </c>
      <c r="D151" s="5"/>
      <c r="E151" s="6" t="s">
        <v>693</v>
      </c>
      <c r="F151" s="5" t="s">
        <v>673</v>
      </c>
    </row>
    <row r="152" spans="1:6" hidden="1" x14ac:dyDescent="0.35">
      <c r="A152" s="29">
        <v>89160</v>
      </c>
      <c r="B152" s="5" t="s">
        <v>694</v>
      </c>
      <c r="C152" s="5" t="s">
        <v>477</v>
      </c>
      <c r="D152" s="5"/>
      <c r="E152" s="6" t="s">
        <v>695</v>
      </c>
      <c r="F152" s="5" t="s">
        <v>673</v>
      </c>
    </row>
    <row r="153" spans="1:6" hidden="1" x14ac:dyDescent="0.35">
      <c r="A153" s="19">
        <v>999097</v>
      </c>
      <c r="B153" s="19" t="s">
        <v>929</v>
      </c>
      <c r="C153" s="19" t="s">
        <v>477</v>
      </c>
      <c r="D153" s="19"/>
      <c r="E153" s="19"/>
      <c r="F153" s="19" t="s">
        <v>872</v>
      </c>
    </row>
    <row r="154" spans="1:6" hidden="1" x14ac:dyDescent="0.35">
      <c r="A154" s="29">
        <v>999064</v>
      </c>
      <c r="B154" s="5" t="s">
        <v>698</v>
      </c>
      <c r="C154" s="5" t="s">
        <v>477</v>
      </c>
      <c r="D154" s="5"/>
      <c r="E154" s="6"/>
      <c r="F154" s="5" t="s">
        <v>673</v>
      </c>
    </row>
    <row r="155" spans="1:6" hidden="1" x14ac:dyDescent="0.35">
      <c r="A155" s="29">
        <v>999065</v>
      </c>
      <c r="B155" s="5" t="s">
        <v>699</v>
      </c>
      <c r="C155" s="5" t="s">
        <v>477</v>
      </c>
      <c r="D155" s="5"/>
      <c r="E155" s="6"/>
      <c r="F155" s="5" t="s">
        <v>673</v>
      </c>
    </row>
    <row r="156" spans="1:6" hidden="1" x14ac:dyDescent="0.35">
      <c r="A156" s="32">
        <v>73826</v>
      </c>
      <c r="B156" s="33" t="s">
        <v>700</v>
      </c>
      <c r="C156" s="33" t="s">
        <v>458</v>
      </c>
      <c r="D156" s="33"/>
      <c r="E156" s="33" t="s">
        <v>701</v>
      </c>
      <c r="F156" s="33" t="s">
        <v>700</v>
      </c>
    </row>
    <row r="157" spans="1:6" hidden="1" x14ac:dyDescent="0.35">
      <c r="A157" s="34">
        <v>76889</v>
      </c>
      <c r="B157" s="35" t="s">
        <v>702</v>
      </c>
      <c r="C157" s="35" t="s">
        <v>458</v>
      </c>
      <c r="D157" s="35"/>
      <c r="E157" s="35" t="s">
        <v>703</v>
      </c>
      <c r="F157" s="35" t="s">
        <v>700</v>
      </c>
    </row>
    <row r="158" spans="1:6" hidden="1" x14ac:dyDescent="0.35">
      <c r="A158" s="34">
        <v>78963</v>
      </c>
      <c r="B158" s="35" t="s">
        <v>704</v>
      </c>
      <c r="C158" s="35" t="s">
        <v>458</v>
      </c>
      <c r="D158" s="35"/>
      <c r="E158" s="35" t="s">
        <v>705</v>
      </c>
      <c r="F158" s="35" t="s">
        <v>700</v>
      </c>
    </row>
    <row r="159" spans="1:6" hidden="1" x14ac:dyDescent="0.35">
      <c r="A159" s="34">
        <v>78964</v>
      </c>
      <c r="B159" s="35" t="s">
        <v>706</v>
      </c>
      <c r="C159" s="35" t="s">
        <v>458</v>
      </c>
      <c r="D159" s="35"/>
      <c r="E159" s="35" t="s">
        <v>707</v>
      </c>
      <c r="F159" s="35" t="s">
        <v>700</v>
      </c>
    </row>
    <row r="160" spans="1:6" hidden="1" x14ac:dyDescent="0.35">
      <c r="A160" s="34">
        <v>78965</v>
      </c>
      <c r="B160" s="35" t="s">
        <v>708</v>
      </c>
      <c r="C160" s="35" t="s">
        <v>458</v>
      </c>
      <c r="D160" s="35"/>
      <c r="E160" s="35" t="s">
        <v>709</v>
      </c>
      <c r="F160" s="35" t="s">
        <v>700</v>
      </c>
    </row>
    <row r="161" spans="1:6" hidden="1" x14ac:dyDescent="0.35">
      <c r="A161" s="34">
        <v>78977</v>
      </c>
      <c r="B161" s="35" t="s">
        <v>710</v>
      </c>
      <c r="C161" s="35" t="s">
        <v>458</v>
      </c>
      <c r="D161" s="35"/>
      <c r="E161" s="35" t="s">
        <v>711</v>
      </c>
      <c r="F161" s="35" t="s">
        <v>700</v>
      </c>
    </row>
    <row r="162" spans="1:6" hidden="1" x14ac:dyDescent="0.35">
      <c r="A162" s="34">
        <v>78978</v>
      </c>
      <c r="B162" s="35" t="s">
        <v>712</v>
      </c>
      <c r="C162" s="35" t="s">
        <v>477</v>
      </c>
      <c r="D162" s="35"/>
      <c r="E162" s="35" t="s">
        <v>713</v>
      </c>
      <c r="F162" s="35" t="s">
        <v>700</v>
      </c>
    </row>
    <row r="163" spans="1:6" hidden="1" x14ac:dyDescent="0.35">
      <c r="A163" s="36">
        <v>79068</v>
      </c>
      <c r="B163" s="37" t="s">
        <v>714</v>
      </c>
      <c r="C163" s="37" t="s">
        <v>458</v>
      </c>
      <c r="D163" s="37"/>
      <c r="E163" s="38" t="s">
        <v>715</v>
      </c>
      <c r="F163" s="37" t="s">
        <v>700</v>
      </c>
    </row>
    <row r="164" spans="1:6" hidden="1" x14ac:dyDescent="0.35">
      <c r="A164" s="36">
        <v>79069</v>
      </c>
      <c r="B164" s="37" t="s">
        <v>716</v>
      </c>
      <c r="C164" s="37" t="s">
        <v>458</v>
      </c>
      <c r="D164" s="37"/>
      <c r="E164" s="38" t="s">
        <v>717</v>
      </c>
      <c r="F164" s="37" t="s">
        <v>700</v>
      </c>
    </row>
    <row r="165" spans="1:6" hidden="1" x14ac:dyDescent="0.35">
      <c r="A165" s="34">
        <v>79070</v>
      </c>
      <c r="B165" s="35" t="s">
        <v>718</v>
      </c>
      <c r="C165" s="35" t="s">
        <v>458</v>
      </c>
      <c r="D165" s="35"/>
      <c r="E165" s="35" t="s">
        <v>719</v>
      </c>
      <c r="F165" s="35" t="s">
        <v>700</v>
      </c>
    </row>
    <row r="166" spans="1:6" hidden="1" x14ac:dyDescent="0.35">
      <c r="A166" s="34">
        <v>79071</v>
      </c>
      <c r="B166" s="35" t="s">
        <v>720</v>
      </c>
      <c r="C166" s="35" t="s">
        <v>458</v>
      </c>
      <c r="D166" s="35"/>
      <c r="E166" s="35" t="s">
        <v>721</v>
      </c>
      <c r="F166" s="35" t="s">
        <v>700</v>
      </c>
    </row>
    <row r="167" spans="1:6" hidden="1" x14ac:dyDescent="0.35">
      <c r="A167" s="34">
        <v>79075</v>
      </c>
      <c r="B167" s="35" t="s">
        <v>722</v>
      </c>
      <c r="C167" s="35" t="s">
        <v>458</v>
      </c>
      <c r="D167" s="35"/>
      <c r="E167" s="35" t="s">
        <v>723</v>
      </c>
      <c r="F167" s="35" t="s">
        <v>700</v>
      </c>
    </row>
    <row r="168" spans="1:6" hidden="1" x14ac:dyDescent="0.35">
      <c r="A168" s="34">
        <v>82211</v>
      </c>
      <c r="B168" s="35" t="s">
        <v>724</v>
      </c>
      <c r="C168" s="35" t="s">
        <v>477</v>
      </c>
      <c r="D168" s="35"/>
      <c r="E168" s="35" t="s">
        <v>725</v>
      </c>
      <c r="F168" s="35" t="s">
        <v>700</v>
      </c>
    </row>
    <row r="169" spans="1:6" hidden="1" x14ac:dyDescent="0.35">
      <c r="A169" s="34">
        <v>82212</v>
      </c>
      <c r="B169" s="35" t="s">
        <v>726</v>
      </c>
      <c r="C169" s="35" t="s">
        <v>477</v>
      </c>
      <c r="D169" s="35"/>
      <c r="E169" s="35" t="s">
        <v>727</v>
      </c>
      <c r="F169" s="35" t="s">
        <v>700</v>
      </c>
    </row>
    <row r="170" spans="1:6" hidden="1" x14ac:dyDescent="0.35">
      <c r="A170" s="34">
        <v>82324</v>
      </c>
      <c r="B170" s="35" t="s">
        <v>728</v>
      </c>
      <c r="C170" s="35" t="s">
        <v>458</v>
      </c>
      <c r="D170" s="35"/>
      <c r="E170" s="35" t="s">
        <v>729</v>
      </c>
      <c r="F170" s="35" t="s">
        <v>700</v>
      </c>
    </row>
    <row r="171" spans="1:6" hidden="1" x14ac:dyDescent="0.35">
      <c r="A171" s="34">
        <v>82325</v>
      </c>
      <c r="B171" s="35" t="s">
        <v>730</v>
      </c>
      <c r="C171" s="35" t="s">
        <v>477</v>
      </c>
      <c r="D171" s="35"/>
      <c r="E171" s="35" t="s">
        <v>731</v>
      </c>
      <c r="F171" s="35" t="s">
        <v>700</v>
      </c>
    </row>
    <row r="172" spans="1:6" hidden="1" x14ac:dyDescent="0.35">
      <c r="A172" s="34">
        <v>82326</v>
      </c>
      <c r="B172" s="35" t="s">
        <v>732</v>
      </c>
      <c r="C172" s="35" t="s">
        <v>477</v>
      </c>
      <c r="D172" s="35"/>
      <c r="E172" s="35" t="s">
        <v>733</v>
      </c>
      <c r="F172" s="35" t="s">
        <v>700</v>
      </c>
    </row>
    <row r="173" spans="1:6" hidden="1" x14ac:dyDescent="0.35">
      <c r="A173" s="34">
        <v>82327</v>
      </c>
      <c r="B173" s="35" t="s">
        <v>734</v>
      </c>
      <c r="C173" s="35" t="s">
        <v>477</v>
      </c>
      <c r="D173" s="35"/>
      <c r="E173" s="35" t="s">
        <v>735</v>
      </c>
      <c r="F173" s="35" t="s">
        <v>700</v>
      </c>
    </row>
    <row r="174" spans="1:6" hidden="1" x14ac:dyDescent="0.35">
      <c r="A174" s="34">
        <v>82328</v>
      </c>
      <c r="B174" s="35" t="s">
        <v>736</v>
      </c>
      <c r="C174" s="35" t="s">
        <v>477</v>
      </c>
      <c r="D174" s="35"/>
      <c r="E174" s="35" t="s">
        <v>737</v>
      </c>
      <c r="F174" s="35" t="s">
        <v>700</v>
      </c>
    </row>
    <row r="175" spans="1:6" hidden="1" x14ac:dyDescent="0.35">
      <c r="A175" s="34">
        <v>82329</v>
      </c>
      <c r="B175" s="35" t="s">
        <v>738</v>
      </c>
      <c r="C175" s="35" t="s">
        <v>477</v>
      </c>
      <c r="D175" s="35"/>
      <c r="E175" s="35" t="s">
        <v>739</v>
      </c>
      <c r="F175" s="35" t="s">
        <v>700</v>
      </c>
    </row>
    <row r="176" spans="1:6" hidden="1" x14ac:dyDescent="0.35">
      <c r="A176" s="34">
        <v>82330</v>
      </c>
      <c r="B176" s="35" t="s">
        <v>740</v>
      </c>
      <c r="C176" s="35" t="s">
        <v>477</v>
      </c>
      <c r="D176" s="35"/>
      <c r="E176" s="35" t="s">
        <v>741</v>
      </c>
      <c r="F176" s="35" t="s">
        <v>700</v>
      </c>
    </row>
    <row r="177" spans="1:6" hidden="1" x14ac:dyDescent="0.35">
      <c r="A177" s="34">
        <v>82331</v>
      </c>
      <c r="B177" s="35" t="s">
        <v>742</v>
      </c>
      <c r="C177" s="35" t="s">
        <v>477</v>
      </c>
      <c r="D177" s="35"/>
      <c r="E177" s="35" t="s">
        <v>743</v>
      </c>
      <c r="F177" s="35" t="s">
        <v>700</v>
      </c>
    </row>
    <row r="178" spans="1:6" hidden="1" x14ac:dyDescent="0.35">
      <c r="A178" s="34">
        <v>82581</v>
      </c>
      <c r="B178" s="35" t="s">
        <v>744</v>
      </c>
      <c r="C178" s="35" t="s">
        <v>458</v>
      </c>
      <c r="D178" s="35"/>
      <c r="E178" s="35" t="s">
        <v>745</v>
      </c>
      <c r="F178" s="35" t="s">
        <v>700</v>
      </c>
    </row>
    <row r="179" spans="1:6" hidden="1" x14ac:dyDescent="0.35">
      <c r="A179" s="34">
        <v>82623</v>
      </c>
      <c r="B179" s="35" t="s">
        <v>746</v>
      </c>
      <c r="C179" s="35" t="s">
        <v>477</v>
      </c>
      <c r="D179" s="35"/>
      <c r="E179" s="35" t="s">
        <v>747</v>
      </c>
      <c r="F179" s="35" t="s">
        <v>700</v>
      </c>
    </row>
    <row r="180" spans="1:6" hidden="1" x14ac:dyDescent="0.35">
      <c r="A180" s="34">
        <v>84352</v>
      </c>
      <c r="B180" s="35" t="s">
        <v>748</v>
      </c>
      <c r="C180" s="35" t="s">
        <v>458</v>
      </c>
      <c r="D180" s="35"/>
      <c r="E180" s="35" t="s">
        <v>749</v>
      </c>
      <c r="F180" s="35" t="s">
        <v>700</v>
      </c>
    </row>
    <row r="181" spans="1:6" hidden="1" x14ac:dyDescent="0.35">
      <c r="A181" s="34">
        <v>84353</v>
      </c>
      <c r="B181" s="35" t="s">
        <v>750</v>
      </c>
      <c r="C181" s="35" t="s">
        <v>458</v>
      </c>
      <c r="D181" s="35"/>
      <c r="E181" s="35" t="s">
        <v>751</v>
      </c>
      <c r="F181" s="35" t="s">
        <v>700</v>
      </c>
    </row>
    <row r="182" spans="1:6" hidden="1" x14ac:dyDescent="0.35">
      <c r="A182" s="34">
        <v>85215</v>
      </c>
      <c r="B182" s="35" t="s">
        <v>752</v>
      </c>
      <c r="C182" s="35" t="s">
        <v>477</v>
      </c>
      <c r="D182" s="35"/>
      <c r="E182" s="35" t="s">
        <v>753</v>
      </c>
      <c r="F182" s="35" t="s">
        <v>700</v>
      </c>
    </row>
    <row r="183" spans="1:6" hidden="1" x14ac:dyDescent="0.35">
      <c r="A183" s="34">
        <v>85379</v>
      </c>
      <c r="B183" s="35" t="s">
        <v>754</v>
      </c>
      <c r="C183" s="35" t="s">
        <v>458</v>
      </c>
      <c r="D183" s="35"/>
      <c r="E183" s="35" t="s">
        <v>755</v>
      </c>
      <c r="F183" s="35" t="s">
        <v>700</v>
      </c>
    </row>
    <row r="184" spans="1:6" hidden="1" x14ac:dyDescent="0.35">
      <c r="A184" s="34">
        <v>85403</v>
      </c>
      <c r="B184" s="35" t="s">
        <v>756</v>
      </c>
      <c r="C184" s="35" t="s">
        <v>477</v>
      </c>
      <c r="D184" s="35"/>
      <c r="E184" s="35" t="s">
        <v>757</v>
      </c>
      <c r="F184" s="35" t="s">
        <v>700</v>
      </c>
    </row>
    <row r="185" spans="1:6" hidden="1" x14ac:dyDescent="0.35">
      <c r="A185" s="34">
        <v>85617</v>
      </c>
      <c r="B185" s="35" t="s">
        <v>758</v>
      </c>
      <c r="C185" s="35" t="s">
        <v>477</v>
      </c>
      <c r="D185" s="35"/>
      <c r="E185" s="35" t="s">
        <v>759</v>
      </c>
      <c r="F185" s="35" t="s">
        <v>700</v>
      </c>
    </row>
    <row r="186" spans="1:6" hidden="1" x14ac:dyDescent="0.35">
      <c r="A186" s="34">
        <v>85618</v>
      </c>
      <c r="B186" s="35" t="s">
        <v>760</v>
      </c>
      <c r="C186" s="35" t="s">
        <v>477</v>
      </c>
      <c r="D186" s="35"/>
      <c r="E186" s="35" t="s">
        <v>761</v>
      </c>
      <c r="F186" s="35" t="s">
        <v>700</v>
      </c>
    </row>
    <row r="187" spans="1:6" hidden="1" x14ac:dyDescent="0.35">
      <c r="A187" s="34">
        <v>85626</v>
      </c>
      <c r="B187" s="35" t="s">
        <v>762</v>
      </c>
      <c r="C187" s="35" t="s">
        <v>477</v>
      </c>
      <c r="D187" s="35"/>
      <c r="E187" s="35" t="s">
        <v>763</v>
      </c>
      <c r="F187" s="35" t="s">
        <v>700</v>
      </c>
    </row>
    <row r="188" spans="1:6" hidden="1" x14ac:dyDescent="0.35">
      <c r="A188" s="34">
        <v>85627</v>
      </c>
      <c r="B188" s="35" t="s">
        <v>764</v>
      </c>
      <c r="C188" s="35" t="s">
        <v>477</v>
      </c>
      <c r="D188" s="35"/>
      <c r="E188" s="35" t="s">
        <v>765</v>
      </c>
      <c r="F188" s="35" t="s">
        <v>700</v>
      </c>
    </row>
    <row r="189" spans="1:6" hidden="1" x14ac:dyDescent="0.35">
      <c r="A189" s="34">
        <v>85628</v>
      </c>
      <c r="B189" s="35" t="s">
        <v>766</v>
      </c>
      <c r="C189" s="35" t="s">
        <v>477</v>
      </c>
      <c r="D189" s="35"/>
      <c r="E189" s="35" t="s">
        <v>767</v>
      </c>
      <c r="F189" s="35" t="s">
        <v>700</v>
      </c>
    </row>
    <row r="190" spans="1:6" hidden="1" x14ac:dyDescent="0.35">
      <c r="A190" s="34">
        <v>87849</v>
      </c>
      <c r="B190" s="35" t="s">
        <v>768</v>
      </c>
      <c r="C190" s="35" t="s">
        <v>458</v>
      </c>
      <c r="D190" s="35"/>
      <c r="E190" s="35" t="s">
        <v>769</v>
      </c>
      <c r="F190" s="35" t="s">
        <v>700</v>
      </c>
    </row>
    <row r="191" spans="1:6" hidden="1" x14ac:dyDescent="0.35">
      <c r="A191" s="34">
        <v>87854</v>
      </c>
      <c r="B191" s="35" t="s">
        <v>770</v>
      </c>
      <c r="C191" s="35" t="s">
        <v>477</v>
      </c>
      <c r="D191" s="35"/>
      <c r="E191" s="35" t="s">
        <v>771</v>
      </c>
      <c r="F191" s="35" t="s">
        <v>700</v>
      </c>
    </row>
    <row r="192" spans="1:6" hidden="1" x14ac:dyDescent="0.35">
      <c r="A192" s="34">
        <v>87908</v>
      </c>
      <c r="B192" s="35" t="s">
        <v>772</v>
      </c>
      <c r="C192" s="35" t="s">
        <v>477</v>
      </c>
      <c r="D192" s="35"/>
      <c r="E192" s="35" t="s">
        <v>773</v>
      </c>
      <c r="F192" s="35" t="s">
        <v>700</v>
      </c>
    </row>
    <row r="193" spans="1:6" hidden="1" x14ac:dyDescent="0.35">
      <c r="A193" s="34">
        <v>87910</v>
      </c>
      <c r="B193" s="35" t="s">
        <v>774</v>
      </c>
      <c r="C193" s="35" t="s">
        <v>477</v>
      </c>
      <c r="D193" s="35"/>
      <c r="E193" s="35" t="s">
        <v>775</v>
      </c>
      <c r="F193" s="35" t="s">
        <v>700</v>
      </c>
    </row>
    <row r="194" spans="1:6" hidden="1" x14ac:dyDescent="0.35">
      <c r="A194" s="34">
        <v>87911</v>
      </c>
      <c r="B194" s="35" t="s">
        <v>776</v>
      </c>
      <c r="C194" s="35" t="s">
        <v>477</v>
      </c>
      <c r="D194" s="35"/>
      <c r="E194" s="35" t="s">
        <v>777</v>
      </c>
      <c r="F194" s="35" t="s">
        <v>700</v>
      </c>
    </row>
    <row r="195" spans="1:6" hidden="1" x14ac:dyDescent="0.35">
      <c r="A195" s="34">
        <v>87912</v>
      </c>
      <c r="B195" s="35" t="s">
        <v>778</v>
      </c>
      <c r="C195" s="35" t="s">
        <v>477</v>
      </c>
      <c r="D195" s="35"/>
      <c r="E195" s="35" t="s">
        <v>779</v>
      </c>
      <c r="F195" s="35" t="s">
        <v>700</v>
      </c>
    </row>
    <row r="196" spans="1:6" hidden="1" x14ac:dyDescent="0.35">
      <c r="A196" s="34">
        <v>87913</v>
      </c>
      <c r="B196" s="35" t="s">
        <v>780</v>
      </c>
      <c r="C196" s="35" t="s">
        <v>458</v>
      </c>
      <c r="D196" s="35"/>
      <c r="E196" s="35" t="s">
        <v>781</v>
      </c>
      <c r="F196" s="35" t="s">
        <v>700</v>
      </c>
    </row>
    <row r="197" spans="1:6" hidden="1" x14ac:dyDescent="0.35">
      <c r="A197" s="34">
        <v>87914</v>
      </c>
      <c r="B197" s="35" t="s">
        <v>782</v>
      </c>
      <c r="C197" s="35" t="s">
        <v>477</v>
      </c>
      <c r="D197" s="35"/>
      <c r="E197" s="35" t="s">
        <v>783</v>
      </c>
      <c r="F197" s="35" t="s">
        <v>700</v>
      </c>
    </row>
    <row r="198" spans="1:6" hidden="1" x14ac:dyDescent="0.35">
      <c r="A198" s="34">
        <v>87916</v>
      </c>
      <c r="B198" s="35" t="s">
        <v>784</v>
      </c>
      <c r="C198" s="35" t="s">
        <v>477</v>
      </c>
      <c r="D198" s="35"/>
      <c r="E198" s="35" t="s">
        <v>785</v>
      </c>
      <c r="F198" s="35" t="s">
        <v>700</v>
      </c>
    </row>
    <row r="199" spans="1:6" hidden="1" x14ac:dyDescent="0.35">
      <c r="A199" s="34">
        <v>87918</v>
      </c>
      <c r="B199" s="35" t="s">
        <v>786</v>
      </c>
      <c r="C199" s="35" t="s">
        <v>477</v>
      </c>
      <c r="D199" s="35"/>
      <c r="E199" s="35" t="s">
        <v>787</v>
      </c>
      <c r="F199" s="35" t="s">
        <v>700</v>
      </c>
    </row>
    <row r="200" spans="1:6" hidden="1" x14ac:dyDescent="0.35">
      <c r="A200" s="34">
        <v>87919</v>
      </c>
      <c r="B200" s="35" t="s">
        <v>788</v>
      </c>
      <c r="C200" s="35" t="s">
        <v>477</v>
      </c>
      <c r="D200" s="35"/>
      <c r="E200" s="35" t="s">
        <v>789</v>
      </c>
      <c r="F200" s="35" t="s">
        <v>700</v>
      </c>
    </row>
    <row r="201" spans="1:6" hidden="1" x14ac:dyDescent="0.35">
      <c r="A201" s="34">
        <v>87921</v>
      </c>
      <c r="B201" s="35" t="s">
        <v>790</v>
      </c>
      <c r="C201" s="35" t="s">
        <v>477</v>
      </c>
      <c r="D201" s="35"/>
      <c r="E201" s="35" t="s">
        <v>791</v>
      </c>
      <c r="F201" s="35" t="s">
        <v>700</v>
      </c>
    </row>
    <row r="202" spans="1:6" hidden="1" x14ac:dyDescent="0.35">
      <c r="A202" s="34">
        <v>88008</v>
      </c>
      <c r="B202" s="35" t="s">
        <v>792</v>
      </c>
      <c r="C202" s="35" t="s">
        <v>477</v>
      </c>
      <c r="D202" s="35"/>
      <c r="E202" s="35" t="s">
        <v>793</v>
      </c>
      <c r="F202" s="35" t="s">
        <v>700</v>
      </c>
    </row>
    <row r="203" spans="1:6" hidden="1" x14ac:dyDescent="0.35">
      <c r="A203" s="34">
        <v>88021</v>
      </c>
      <c r="B203" s="35" t="s">
        <v>477</v>
      </c>
      <c r="C203" s="35" t="s">
        <v>458</v>
      </c>
      <c r="D203" s="35"/>
      <c r="E203" s="35" t="s">
        <v>794</v>
      </c>
      <c r="F203" s="35" t="s">
        <v>700</v>
      </c>
    </row>
    <row r="204" spans="1:6" hidden="1" x14ac:dyDescent="0.35">
      <c r="A204" s="34">
        <v>88262</v>
      </c>
      <c r="B204" s="35" t="s">
        <v>795</v>
      </c>
      <c r="C204" s="35" t="s">
        <v>477</v>
      </c>
      <c r="D204" s="35"/>
      <c r="E204" s="35" t="s">
        <v>796</v>
      </c>
      <c r="F204" s="35" t="s">
        <v>700</v>
      </c>
    </row>
    <row r="205" spans="1:6" hidden="1" x14ac:dyDescent="0.35">
      <c r="A205" s="34">
        <v>88311</v>
      </c>
      <c r="B205" s="35" t="s">
        <v>797</v>
      </c>
      <c r="C205" s="35" t="s">
        <v>458</v>
      </c>
      <c r="D205" s="35"/>
      <c r="E205" s="35" t="s">
        <v>798</v>
      </c>
      <c r="F205" s="35" t="s">
        <v>700</v>
      </c>
    </row>
    <row r="206" spans="1:6" hidden="1" x14ac:dyDescent="0.35">
      <c r="A206" s="34">
        <v>88312</v>
      </c>
      <c r="B206" s="35" t="s">
        <v>799</v>
      </c>
      <c r="C206" s="35" t="s">
        <v>477</v>
      </c>
      <c r="D206" s="35"/>
      <c r="E206" s="35" t="s">
        <v>800</v>
      </c>
      <c r="F206" s="35" t="s">
        <v>700</v>
      </c>
    </row>
    <row r="207" spans="1:6" hidden="1" x14ac:dyDescent="0.35">
      <c r="A207" s="34">
        <v>88505</v>
      </c>
      <c r="B207" s="35" t="s">
        <v>801</v>
      </c>
      <c r="C207" s="35" t="s">
        <v>477</v>
      </c>
      <c r="D207" s="35"/>
      <c r="E207" s="35" t="s">
        <v>802</v>
      </c>
      <c r="F207" s="35" t="s">
        <v>700</v>
      </c>
    </row>
    <row r="208" spans="1:6" hidden="1" x14ac:dyDescent="0.35">
      <c r="A208" s="34">
        <v>88675</v>
      </c>
      <c r="B208" s="35" t="s">
        <v>803</v>
      </c>
      <c r="C208" s="35" t="s">
        <v>477</v>
      </c>
      <c r="D208" s="35"/>
      <c r="E208" s="35" t="s">
        <v>804</v>
      </c>
      <c r="F208" s="35" t="s">
        <v>700</v>
      </c>
    </row>
    <row r="209" spans="1:6" hidden="1" x14ac:dyDescent="0.35">
      <c r="A209" s="34">
        <v>89173</v>
      </c>
      <c r="B209" s="35" t="s">
        <v>805</v>
      </c>
      <c r="C209" s="35" t="s">
        <v>458</v>
      </c>
      <c r="D209" s="35"/>
      <c r="E209" s="35" t="s">
        <v>806</v>
      </c>
      <c r="F209" s="35" t="s">
        <v>700</v>
      </c>
    </row>
    <row r="210" spans="1:6" hidden="1" x14ac:dyDescent="0.35">
      <c r="A210" s="34">
        <v>89174</v>
      </c>
      <c r="B210" s="35" t="s">
        <v>807</v>
      </c>
      <c r="C210" s="35" t="s">
        <v>477</v>
      </c>
      <c r="D210" s="35"/>
      <c r="E210" s="35" t="s">
        <v>808</v>
      </c>
      <c r="F210" s="35" t="s">
        <v>700</v>
      </c>
    </row>
    <row r="211" spans="1:6" hidden="1" x14ac:dyDescent="0.35">
      <c r="A211" s="34">
        <v>89437</v>
      </c>
      <c r="B211" s="35" t="s">
        <v>809</v>
      </c>
      <c r="C211" s="35" t="s">
        <v>477</v>
      </c>
      <c r="D211" s="35"/>
      <c r="E211" s="35" t="s">
        <v>810</v>
      </c>
      <c r="F211" s="35" t="s">
        <v>700</v>
      </c>
    </row>
    <row r="212" spans="1:6" hidden="1" x14ac:dyDescent="0.35">
      <c r="A212" s="34">
        <v>89458</v>
      </c>
      <c r="B212" s="35" t="s">
        <v>811</v>
      </c>
      <c r="C212" s="35" t="s">
        <v>458</v>
      </c>
      <c r="D212" s="35"/>
      <c r="E212" s="35" t="s">
        <v>812</v>
      </c>
      <c r="F212" s="35" t="s">
        <v>700</v>
      </c>
    </row>
    <row r="213" spans="1:6" hidden="1" x14ac:dyDescent="0.35">
      <c r="A213" s="34">
        <v>89459</v>
      </c>
      <c r="B213" s="35" t="s">
        <v>813</v>
      </c>
      <c r="C213" s="35" t="s">
        <v>477</v>
      </c>
      <c r="D213" s="35"/>
      <c r="E213" s="35" t="s">
        <v>814</v>
      </c>
      <c r="F213" s="35" t="s">
        <v>700</v>
      </c>
    </row>
    <row r="214" spans="1:6" hidden="1" x14ac:dyDescent="0.35">
      <c r="A214" s="34">
        <v>90069</v>
      </c>
      <c r="B214" s="35" t="s">
        <v>815</v>
      </c>
      <c r="C214" s="35" t="s">
        <v>477</v>
      </c>
      <c r="D214" s="35"/>
      <c r="E214" s="35" t="s">
        <v>816</v>
      </c>
      <c r="F214" s="35" t="s">
        <v>700</v>
      </c>
    </row>
    <row r="215" spans="1:6" hidden="1" x14ac:dyDescent="0.35">
      <c r="A215" s="34">
        <v>90070</v>
      </c>
      <c r="B215" s="35" t="s">
        <v>817</v>
      </c>
      <c r="C215" s="35" t="s">
        <v>477</v>
      </c>
      <c r="D215" s="35"/>
      <c r="E215" s="35" t="s">
        <v>818</v>
      </c>
      <c r="F215" s="35" t="s">
        <v>700</v>
      </c>
    </row>
    <row r="216" spans="1:6" hidden="1" x14ac:dyDescent="0.35">
      <c r="A216" s="34">
        <v>90076</v>
      </c>
      <c r="B216" s="35" t="s">
        <v>819</v>
      </c>
      <c r="C216" s="35" t="s">
        <v>477</v>
      </c>
      <c r="D216" s="35"/>
      <c r="E216" s="35" t="s">
        <v>820</v>
      </c>
      <c r="F216" s="35" t="s">
        <v>700</v>
      </c>
    </row>
    <row r="217" spans="1:6" hidden="1" x14ac:dyDescent="0.35">
      <c r="A217" s="34">
        <v>90077</v>
      </c>
      <c r="B217" s="35" t="s">
        <v>821</v>
      </c>
      <c r="C217" s="35" t="s">
        <v>458</v>
      </c>
      <c r="D217" s="35"/>
      <c r="E217" s="35" t="s">
        <v>822</v>
      </c>
      <c r="F217" s="35" t="s">
        <v>700</v>
      </c>
    </row>
    <row r="218" spans="1:6" hidden="1" x14ac:dyDescent="0.35">
      <c r="A218" s="34">
        <v>90078</v>
      </c>
      <c r="B218" s="35" t="s">
        <v>823</v>
      </c>
      <c r="C218" s="35" t="s">
        <v>477</v>
      </c>
      <c r="D218" s="35"/>
      <c r="E218" s="35" t="s">
        <v>824</v>
      </c>
      <c r="F218" s="35" t="s">
        <v>700</v>
      </c>
    </row>
    <row r="219" spans="1:6" hidden="1" x14ac:dyDescent="0.35">
      <c r="A219" s="34">
        <v>90082</v>
      </c>
      <c r="B219" s="35" t="s">
        <v>825</v>
      </c>
      <c r="C219" s="35" t="s">
        <v>477</v>
      </c>
      <c r="D219" s="35"/>
      <c r="E219" s="35" t="s">
        <v>826</v>
      </c>
      <c r="F219" s="35" t="s">
        <v>700</v>
      </c>
    </row>
    <row r="220" spans="1:6" hidden="1" x14ac:dyDescent="0.35">
      <c r="A220" s="34">
        <v>90248</v>
      </c>
      <c r="B220" s="35" t="s">
        <v>827</v>
      </c>
      <c r="C220" s="35" t="s">
        <v>477</v>
      </c>
      <c r="D220" s="35"/>
      <c r="E220" s="35" t="s">
        <v>828</v>
      </c>
      <c r="F220" s="35" t="s">
        <v>700</v>
      </c>
    </row>
    <row r="221" spans="1:6" hidden="1" x14ac:dyDescent="0.35">
      <c r="A221" s="34">
        <v>90527</v>
      </c>
      <c r="B221" s="35" t="s">
        <v>829</v>
      </c>
      <c r="C221" s="35" t="s">
        <v>477</v>
      </c>
      <c r="D221" s="35"/>
      <c r="E221" s="35" t="s">
        <v>830</v>
      </c>
      <c r="F221" s="35" t="s">
        <v>700</v>
      </c>
    </row>
    <row r="222" spans="1:6" hidden="1" x14ac:dyDescent="0.35">
      <c r="A222" s="35">
        <v>999066</v>
      </c>
      <c r="B222" s="35" t="s">
        <v>831</v>
      </c>
      <c r="C222" s="35" t="s">
        <v>477</v>
      </c>
      <c r="D222" s="35"/>
      <c r="E222" s="35"/>
      <c r="F222" s="35" t="s">
        <v>700</v>
      </c>
    </row>
    <row r="223" spans="1:6" hidden="1" x14ac:dyDescent="0.35">
      <c r="A223" s="35">
        <v>999067</v>
      </c>
      <c r="B223" s="35" t="s">
        <v>832</v>
      </c>
      <c r="C223" s="35" t="s">
        <v>477</v>
      </c>
      <c r="D223" s="35"/>
      <c r="E223" s="35"/>
      <c r="F223" s="35" t="s">
        <v>700</v>
      </c>
    </row>
    <row r="224" spans="1:6" hidden="1" x14ac:dyDescent="0.35">
      <c r="A224" s="35">
        <v>999068</v>
      </c>
      <c r="B224" s="35" t="s">
        <v>833</v>
      </c>
      <c r="C224" s="35" t="s">
        <v>477</v>
      </c>
      <c r="D224" s="35"/>
      <c r="E224" s="35"/>
      <c r="F224" s="35" t="s">
        <v>700</v>
      </c>
    </row>
    <row r="225" spans="1:6" hidden="1" x14ac:dyDescent="0.35">
      <c r="A225" s="35">
        <v>999069</v>
      </c>
      <c r="B225" s="35" t="s">
        <v>834</v>
      </c>
      <c r="C225" s="35" t="s">
        <v>477</v>
      </c>
      <c r="D225" s="35"/>
      <c r="E225" s="35"/>
      <c r="F225" s="35" t="s">
        <v>700</v>
      </c>
    </row>
    <row r="226" spans="1:6" hidden="1" x14ac:dyDescent="0.35">
      <c r="A226" s="35">
        <v>999070</v>
      </c>
      <c r="B226" s="35" t="s">
        <v>835</v>
      </c>
      <c r="C226" s="35" t="s">
        <v>477</v>
      </c>
      <c r="D226" s="35"/>
      <c r="E226" s="35"/>
      <c r="F226" s="35" t="s">
        <v>700</v>
      </c>
    </row>
    <row r="227" spans="1:6" hidden="1" x14ac:dyDescent="0.35">
      <c r="A227" s="35">
        <v>999071</v>
      </c>
      <c r="B227" s="5" t="s">
        <v>836</v>
      </c>
      <c r="C227" s="5" t="s">
        <v>458</v>
      </c>
      <c r="D227" s="5"/>
      <c r="E227" s="6" t="s">
        <v>628</v>
      </c>
      <c r="F227" s="5" t="s">
        <v>836</v>
      </c>
    </row>
    <row r="228" spans="1:6" hidden="1" x14ac:dyDescent="0.35">
      <c r="A228" s="35">
        <v>999072</v>
      </c>
      <c r="B228" s="5" t="s">
        <v>837</v>
      </c>
      <c r="C228" s="5" t="s">
        <v>462</v>
      </c>
      <c r="D228" s="5"/>
      <c r="E228" s="6"/>
      <c r="F228" s="5" t="s">
        <v>836</v>
      </c>
    </row>
    <row r="229" spans="1:6" hidden="1" x14ac:dyDescent="0.35">
      <c r="A229" s="35">
        <v>999073</v>
      </c>
      <c r="B229" s="5" t="s">
        <v>838</v>
      </c>
      <c r="C229" s="5" t="s">
        <v>477</v>
      </c>
      <c r="D229" s="5"/>
      <c r="E229" s="6"/>
      <c r="F229" s="5" t="s">
        <v>836</v>
      </c>
    </row>
    <row r="230" spans="1:6" hidden="1" x14ac:dyDescent="0.35">
      <c r="A230" s="5">
        <v>15249</v>
      </c>
      <c r="B230" s="5" t="s">
        <v>839</v>
      </c>
      <c r="C230" s="5" t="s">
        <v>477</v>
      </c>
      <c r="D230" s="5"/>
      <c r="E230" s="6" t="s">
        <v>840</v>
      </c>
      <c r="F230" s="5" t="s">
        <v>841</v>
      </c>
    </row>
    <row r="231" spans="1:6" hidden="1" x14ac:dyDescent="0.35">
      <c r="A231" s="5">
        <v>64322</v>
      </c>
      <c r="B231" s="5" t="s">
        <v>842</v>
      </c>
      <c r="C231" s="5" t="s">
        <v>477</v>
      </c>
      <c r="D231" s="5"/>
      <c r="E231" s="6" t="s">
        <v>843</v>
      </c>
      <c r="F231" s="5" t="s">
        <v>841</v>
      </c>
    </row>
    <row r="232" spans="1:6" hidden="1" x14ac:dyDescent="0.35">
      <c r="A232" s="5">
        <v>64324</v>
      </c>
      <c r="B232" s="5" t="s">
        <v>844</v>
      </c>
      <c r="C232" s="5" t="s">
        <v>477</v>
      </c>
      <c r="D232" s="5"/>
      <c r="E232" s="6" t="s">
        <v>845</v>
      </c>
      <c r="F232" s="5" t="s">
        <v>841</v>
      </c>
    </row>
    <row r="233" spans="1:6" hidden="1" x14ac:dyDescent="0.35">
      <c r="A233" s="39">
        <v>75907</v>
      </c>
      <c r="B233" s="39" t="s">
        <v>841</v>
      </c>
      <c r="C233" s="39" t="s">
        <v>458</v>
      </c>
      <c r="D233" s="39"/>
      <c r="E233" s="40" t="s">
        <v>846</v>
      </c>
      <c r="F233" s="39" t="s">
        <v>841</v>
      </c>
    </row>
    <row r="234" spans="1:6" hidden="1" x14ac:dyDescent="0.35">
      <c r="A234" s="5">
        <v>76716</v>
      </c>
      <c r="B234" s="5" t="s">
        <v>847</v>
      </c>
      <c r="C234" s="5" t="s">
        <v>477</v>
      </c>
      <c r="D234" s="5"/>
      <c r="E234" s="6" t="s">
        <v>848</v>
      </c>
      <c r="F234" s="5" t="s">
        <v>841</v>
      </c>
    </row>
    <row r="235" spans="1:6" hidden="1" x14ac:dyDescent="0.35">
      <c r="A235" s="5">
        <v>79197</v>
      </c>
      <c r="B235" s="5" t="s">
        <v>849</v>
      </c>
      <c r="C235" s="5" t="s">
        <v>477</v>
      </c>
      <c r="D235" s="5"/>
      <c r="E235" s="6" t="s">
        <v>850</v>
      </c>
      <c r="F235" s="5" t="s">
        <v>841</v>
      </c>
    </row>
    <row r="236" spans="1:6" hidden="1" x14ac:dyDescent="0.35">
      <c r="A236" s="5">
        <v>79666</v>
      </c>
      <c r="B236" s="5" t="s">
        <v>851</v>
      </c>
      <c r="C236" s="5" t="s">
        <v>477</v>
      </c>
      <c r="D236" s="5"/>
      <c r="E236" s="6" t="s">
        <v>852</v>
      </c>
      <c r="F236" s="5" t="s">
        <v>841</v>
      </c>
    </row>
    <row r="237" spans="1:6" hidden="1" x14ac:dyDescent="0.35">
      <c r="A237" s="5">
        <v>79667</v>
      </c>
      <c r="B237" s="5" t="s">
        <v>853</v>
      </c>
      <c r="C237" s="5" t="s">
        <v>477</v>
      </c>
      <c r="D237" s="5"/>
      <c r="E237" s="6" t="s">
        <v>854</v>
      </c>
      <c r="F237" s="5" t="s">
        <v>841</v>
      </c>
    </row>
    <row r="238" spans="1:6" hidden="1" x14ac:dyDescent="0.35">
      <c r="A238" s="5">
        <v>84480</v>
      </c>
      <c r="B238" s="5" t="s">
        <v>855</v>
      </c>
      <c r="C238" s="5" t="s">
        <v>477</v>
      </c>
      <c r="D238" s="5"/>
      <c r="E238" s="6" t="s">
        <v>856</v>
      </c>
      <c r="F238" s="5" t="s">
        <v>841</v>
      </c>
    </row>
    <row r="239" spans="1:6" hidden="1" x14ac:dyDescent="0.35">
      <c r="A239" s="5">
        <v>999074</v>
      </c>
      <c r="B239" s="5" t="s">
        <v>857</v>
      </c>
      <c r="C239" s="5" t="s">
        <v>477</v>
      </c>
      <c r="D239" s="5"/>
      <c r="E239" s="6"/>
      <c r="F239" s="5" t="s">
        <v>841</v>
      </c>
    </row>
    <row r="240" spans="1:6" hidden="1" x14ac:dyDescent="0.35">
      <c r="A240" s="5">
        <v>999075</v>
      </c>
      <c r="B240" s="5" t="s">
        <v>858</v>
      </c>
      <c r="C240" s="5" t="s">
        <v>477</v>
      </c>
      <c r="D240" s="5"/>
      <c r="E240" s="6"/>
      <c r="F240" s="5" t="s">
        <v>841</v>
      </c>
    </row>
    <row r="241" spans="1:6" hidden="1" x14ac:dyDescent="0.35">
      <c r="A241" s="21">
        <v>999076</v>
      </c>
      <c r="B241" s="21" t="s">
        <v>859</v>
      </c>
      <c r="C241" s="21" t="s">
        <v>458</v>
      </c>
      <c r="D241" s="21"/>
      <c r="E241" s="22" t="s">
        <v>628</v>
      </c>
      <c r="F241" s="21" t="s">
        <v>859</v>
      </c>
    </row>
    <row r="242" spans="1:6" hidden="1" x14ac:dyDescent="0.35">
      <c r="A242" s="23">
        <v>999077</v>
      </c>
      <c r="B242" s="23" t="s">
        <v>860</v>
      </c>
      <c r="C242" s="23" t="s">
        <v>462</v>
      </c>
      <c r="D242" s="23"/>
      <c r="E242" s="41"/>
      <c r="F242" s="23" t="s">
        <v>859</v>
      </c>
    </row>
    <row r="243" spans="1:6" hidden="1" x14ac:dyDescent="0.35">
      <c r="A243" s="23">
        <v>999078</v>
      </c>
      <c r="B243" s="23" t="s">
        <v>861</v>
      </c>
      <c r="C243" s="23" t="s">
        <v>477</v>
      </c>
      <c r="D243" s="23"/>
      <c r="E243" s="23"/>
      <c r="F243" s="23" t="s">
        <v>859</v>
      </c>
    </row>
    <row r="244" spans="1:6" hidden="1" x14ac:dyDescent="0.35">
      <c r="A244" s="23">
        <v>999079</v>
      </c>
      <c r="B244" s="23" t="s">
        <v>862</v>
      </c>
      <c r="C244" s="23" t="s">
        <v>462</v>
      </c>
      <c r="D244" s="23"/>
      <c r="E244" s="23"/>
      <c r="F244" s="23" t="s">
        <v>859</v>
      </c>
    </row>
    <row r="245" spans="1:6" hidden="1" x14ac:dyDescent="0.35">
      <c r="A245" s="23">
        <v>999080</v>
      </c>
      <c r="B245" s="23" t="s">
        <v>863</v>
      </c>
      <c r="C245" s="23" t="s">
        <v>477</v>
      </c>
      <c r="D245" s="23"/>
      <c r="E245" s="23"/>
      <c r="F245" s="23" t="s">
        <v>859</v>
      </c>
    </row>
    <row r="246" spans="1:6" hidden="1" x14ac:dyDescent="0.35">
      <c r="A246" s="23">
        <v>999081</v>
      </c>
      <c r="B246" s="23" t="s">
        <v>864</v>
      </c>
      <c r="C246" s="23" t="s">
        <v>462</v>
      </c>
      <c r="D246" s="23"/>
      <c r="E246" s="23"/>
      <c r="F246" s="23" t="s">
        <v>859</v>
      </c>
    </row>
    <row r="247" spans="1:6" hidden="1" x14ac:dyDescent="0.35">
      <c r="A247" s="23">
        <v>999082</v>
      </c>
      <c r="B247" s="23" t="s">
        <v>865</v>
      </c>
      <c r="C247" s="23" t="s">
        <v>462</v>
      </c>
      <c r="D247" s="23"/>
      <c r="E247" s="23"/>
      <c r="F247" s="23" t="s">
        <v>859</v>
      </c>
    </row>
    <row r="248" spans="1:6" hidden="1" x14ac:dyDescent="0.35">
      <c r="A248" s="23">
        <v>999083</v>
      </c>
      <c r="B248" s="23" t="s">
        <v>866</v>
      </c>
      <c r="C248" s="23" t="s">
        <v>462</v>
      </c>
      <c r="D248" s="23"/>
      <c r="E248" s="23"/>
      <c r="F248" s="23" t="s">
        <v>859</v>
      </c>
    </row>
    <row r="249" spans="1:6" hidden="1" x14ac:dyDescent="0.35">
      <c r="A249" s="23">
        <v>999084</v>
      </c>
      <c r="B249" s="23" t="s">
        <v>867</v>
      </c>
      <c r="C249" s="23" t="s">
        <v>462</v>
      </c>
      <c r="D249" s="23"/>
      <c r="E249" s="23"/>
      <c r="F249" s="23" t="s">
        <v>859</v>
      </c>
    </row>
    <row r="250" spans="1:6" hidden="1" x14ac:dyDescent="0.35">
      <c r="A250" s="23">
        <v>999085</v>
      </c>
      <c r="B250" s="23" t="s">
        <v>868</v>
      </c>
      <c r="C250" s="23" t="s">
        <v>462</v>
      </c>
      <c r="D250" s="23"/>
      <c r="E250" s="23"/>
      <c r="F250" s="23" t="s">
        <v>859</v>
      </c>
    </row>
    <row r="251" spans="1:6" hidden="1" x14ac:dyDescent="0.35">
      <c r="A251" s="23">
        <v>999086</v>
      </c>
      <c r="B251" s="23" t="s">
        <v>869</v>
      </c>
      <c r="C251" s="23" t="s">
        <v>462</v>
      </c>
      <c r="D251" s="23"/>
      <c r="E251" s="23"/>
      <c r="F251" s="23" t="s">
        <v>859</v>
      </c>
    </row>
    <row r="252" spans="1:6" hidden="1" x14ac:dyDescent="0.35">
      <c r="A252" s="23">
        <v>999087</v>
      </c>
      <c r="B252" s="23" t="s">
        <v>870</v>
      </c>
      <c r="C252" s="23" t="s">
        <v>462</v>
      </c>
      <c r="D252" s="23"/>
      <c r="E252" s="23"/>
      <c r="F252" s="23" t="s">
        <v>859</v>
      </c>
    </row>
    <row r="253" spans="1:6" hidden="1" x14ac:dyDescent="0.35">
      <c r="A253" s="23">
        <v>999088</v>
      </c>
      <c r="B253" s="23" t="s">
        <v>871</v>
      </c>
      <c r="C253" s="23" t="s">
        <v>462</v>
      </c>
      <c r="D253" s="23"/>
      <c r="E253" s="23"/>
      <c r="F253" s="23" t="s">
        <v>859</v>
      </c>
    </row>
    <row r="254" spans="1:6" hidden="1" x14ac:dyDescent="0.35">
      <c r="A254" s="23">
        <v>999089</v>
      </c>
      <c r="B254" s="23" t="s">
        <v>1060</v>
      </c>
      <c r="C254" s="23" t="s">
        <v>462</v>
      </c>
      <c r="D254" s="23"/>
      <c r="E254" s="23"/>
      <c r="F254" s="23" t="s">
        <v>859</v>
      </c>
    </row>
    <row r="255" spans="1:6" hidden="1" x14ac:dyDescent="0.35">
      <c r="A255" s="17">
        <v>73825</v>
      </c>
      <c r="B255" s="17" t="s">
        <v>872</v>
      </c>
      <c r="C255" s="17" t="s">
        <v>458</v>
      </c>
      <c r="D255" s="17"/>
      <c r="E255" s="42" t="s">
        <v>873</v>
      </c>
      <c r="F255" s="17" t="s">
        <v>872</v>
      </c>
    </row>
    <row r="256" spans="1:6" hidden="1" x14ac:dyDescent="0.35">
      <c r="A256" s="19">
        <v>75201</v>
      </c>
      <c r="B256" s="19" t="s">
        <v>874</v>
      </c>
      <c r="C256" s="19" t="s">
        <v>477</v>
      </c>
      <c r="D256" s="19"/>
      <c r="E256" s="43" t="s">
        <v>875</v>
      </c>
      <c r="F256" s="19" t="s">
        <v>872</v>
      </c>
    </row>
    <row r="257" spans="1:6" hidden="1" x14ac:dyDescent="0.35">
      <c r="A257" s="19">
        <v>75405</v>
      </c>
      <c r="B257" s="19" t="s">
        <v>876</v>
      </c>
      <c r="C257" s="19" t="s">
        <v>458</v>
      </c>
      <c r="D257" s="19"/>
      <c r="E257" s="43" t="s">
        <v>877</v>
      </c>
      <c r="F257" s="19" t="s">
        <v>872</v>
      </c>
    </row>
    <row r="258" spans="1:6" hidden="1" x14ac:dyDescent="0.35">
      <c r="A258" s="19">
        <v>75406</v>
      </c>
      <c r="B258" s="19" t="s">
        <v>878</v>
      </c>
      <c r="C258" s="19" t="s">
        <v>458</v>
      </c>
      <c r="D258" s="19"/>
      <c r="E258" s="43" t="s">
        <v>879</v>
      </c>
      <c r="F258" s="19" t="s">
        <v>872</v>
      </c>
    </row>
    <row r="259" spans="1:6" hidden="1" x14ac:dyDescent="0.35">
      <c r="A259" s="19">
        <v>75407</v>
      </c>
      <c r="B259" s="19" t="s">
        <v>880</v>
      </c>
      <c r="C259" s="19" t="s">
        <v>458</v>
      </c>
      <c r="D259" s="19"/>
      <c r="E259" s="43" t="s">
        <v>881</v>
      </c>
      <c r="F259" s="19" t="s">
        <v>872</v>
      </c>
    </row>
    <row r="260" spans="1:6" hidden="1" x14ac:dyDescent="0.35">
      <c r="A260" s="19">
        <v>75410</v>
      </c>
      <c r="B260" s="19" t="s">
        <v>882</v>
      </c>
      <c r="C260" s="19" t="s">
        <v>458</v>
      </c>
      <c r="D260" s="19"/>
      <c r="E260" s="43" t="s">
        <v>883</v>
      </c>
      <c r="F260" s="19" t="s">
        <v>872</v>
      </c>
    </row>
    <row r="261" spans="1:6" hidden="1" x14ac:dyDescent="0.35">
      <c r="A261" s="19">
        <v>75411</v>
      </c>
      <c r="B261" s="19" t="s">
        <v>884</v>
      </c>
      <c r="C261" s="19" t="s">
        <v>458</v>
      </c>
      <c r="D261" s="19"/>
      <c r="E261" s="43" t="s">
        <v>885</v>
      </c>
      <c r="F261" s="19" t="s">
        <v>872</v>
      </c>
    </row>
    <row r="262" spans="1:6" hidden="1" x14ac:dyDescent="0.35">
      <c r="A262" s="19">
        <v>75412</v>
      </c>
      <c r="B262" s="19" t="s">
        <v>886</v>
      </c>
      <c r="C262" s="19" t="s">
        <v>458</v>
      </c>
      <c r="D262" s="19"/>
      <c r="E262" s="43" t="s">
        <v>887</v>
      </c>
      <c r="F262" s="19" t="s">
        <v>872</v>
      </c>
    </row>
    <row r="263" spans="1:6" hidden="1" x14ac:dyDescent="0.35">
      <c r="A263" s="19">
        <v>75860</v>
      </c>
      <c r="B263" s="19" t="s">
        <v>888</v>
      </c>
      <c r="C263" s="19" t="s">
        <v>477</v>
      </c>
      <c r="D263" s="19"/>
      <c r="E263" s="43" t="s">
        <v>889</v>
      </c>
      <c r="F263" s="19" t="s">
        <v>872</v>
      </c>
    </row>
    <row r="264" spans="1:6" hidden="1" x14ac:dyDescent="0.35">
      <c r="A264" s="19">
        <v>75861</v>
      </c>
      <c r="B264" s="19" t="s">
        <v>890</v>
      </c>
      <c r="C264" s="19" t="s">
        <v>477</v>
      </c>
      <c r="D264" s="19"/>
      <c r="E264" s="43" t="s">
        <v>891</v>
      </c>
      <c r="F264" s="19" t="s">
        <v>872</v>
      </c>
    </row>
    <row r="265" spans="1:6" hidden="1" x14ac:dyDescent="0.35">
      <c r="A265" s="19">
        <v>75862</v>
      </c>
      <c r="B265" s="19" t="s">
        <v>892</v>
      </c>
      <c r="C265" s="19" t="s">
        <v>477</v>
      </c>
      <c r="D265" s="19"/>
      <c r="E265" s="43" t="s">
        <v>893</v>
      </c>
      <c r="F265" s="19" t="s">
        <v>872</v>
      </c>
    </row>
    <row r="266" spans="1:6" hidden="1" x14ac:dyDescent="0.35">
      <c r="A266" s="19">
        <v>75863</v>
      </c>
      <c r="B266" s="19" t="s">
        <v>894</v>
      </c>
      <c r="C266" s="19" t="s">
        <v>477</v>
      </c>
      <c r="D266" s="19"/>
      <c r="E266" s="43" t="s">
        <v>895</v>
      </c>
      <c r="F266" s="19" t="s">
        <v>872</v>
      </c>
    </row>
    <row r="267" spans="1:6" hidden="1" x14ac:dyDescent="0.35">
      <c r="A267" s="19">
        <v>75864</v>
      </c>
      <c r="B267" s="19" t="s">
        <v>896</v>
      </c>
      <c r="C267" s="19" t="s">
        <v>477</v>
      </c>
      <c r="D267" s="19"/>
      <c r="E267" s="43" t="s">
        <v>897</v>
      </c>
      <c r="F267" s="19" t="s">
        <v>872</v>
      </c>
    </row>
    <row r="268" spans="1:6" hidden="1" x14ac:dyDescent="0.35">
      <c r="A268" s="19">
        <v>75939</v>
      </c>
      <c r="B268" s="19" t="s">
        <v>898</v>
      </c>
      <c r="C268" s="19" t="s">
        <v>521</v>
      </c>
      <c r="D268" s="19"/>
      <c r="E268" s="43" t="s">
        <v>899</v>
      </c>
      <c r="F268" s="19" t="s">
        <v>872</v>
      </c>
    </row>
    <row r="269" spans="1:6" hidden="1" x14ac:dyDescent="0.35">
      <c r="A269" s="19">
        <v>76071</v>
      </c>
      <c r="B269" s="19" t="s">
        <v>900</v>
      </c>
      <c r="C269" s="19" t="s">
        <v>477</v>
      </c>
      <c r="D269" s="19"/>
      <c r="E269" s="43" t="s">
        <v>901</v>
      </c>
      <c r="F269" s="19" t="s">
        <v>872</v>
      </c>
    </row>
    <row r="270" spans="1:6" hidden="1" x14ac:dyDescent="0.35">
      <c r="A270" s="19">
        <v>76073</v>
      </c>
      <c r="B270" s="19" t="s">
        <v>902</v>
      </c>
      <c r="C270" s="19" t="s">
        <v>477</v>
      </c>
      <c r="D270" s="19"/>
      <c r="E270" s="43" t="s">
        <v>903</v>
      </c>
      <c r="F270" s="19" t="s">
        <v>872</v>
      </c>
    </row>
    <row r="271" spans="1:6" hidden="1" x14ac:dyDescent="0.35">
      <c r="A271" s="19">
        <v>76086</v>
      </c>
      <c r="B271" s="19" t="s">
        <v>904</v>
      </c>
      <c r="C271" s="19" t="s">
        <v>477</v>
      </c>
      <c r="D271" s="19"/>
      <c r="E271" s="43" t="s">
        <v>905</v>
      </c>
      <c r="F271" s="19" t="s">
        <v>872</v>
      </c>
    </row>
    <row r="272" spans="1:6" hidden="1" x14ac:dyDescent="0.35">
      <c r="A272" s="19">
        <v>76087</v>
      </c>
      <c r="B272" s="19" t="s">
        <v>906</v>
      </c>
      <c r="C272" s="19" t="s">
        <v>477</v>
      </c>
      <c r="D272" s="19"/>
      <c r="E272" s="43" t="s">
        <v>907</v>
      </c>
      <c r="F272" s="19" t="s">
        <v>872</v>
      </c>
    </row>
    <row r="273" spans="1:6" hidden="1" x14ac:dyDescent="0.35">
      <c r="A273" s="19">
        <v>76088</v>
      </c>
      <c r="B273" s="19" t="s">
        <v>908</v>
      </c>
      <c r="C273" s="19" t="s">
        <v>477</v>
      </c>
      <c r="D273" s="19"/>
      <c r="E273" s="43" t="s">
        <v>909</v>
      </c>
      <c r="F273" s="19" t="s">
        <v>872</v>
      </c>
    </row>
    <row r="274" spans="1:6" hidden="1" x14ac:dyDescent="0.35">
      <c r="A274" s="19">
        <v>76089</v>
      </c>
      <c r="B274" s="19" t="s">
        <v>910</v>
      </c>
      <c r="C274" s="19" t="s">
        <v>477</v>
      </c>
      <c r="D274" s="19"/>
      <c r="E274" s="43" t="s">
        <v>911</v>
      </c>
      <c r="F274" s="19" t="s">
        <v>872</v>
      </c>
    </row>
    <row r="275" spans="1:6" hidden="1" x14ac:dyDescent="0.35">
      <c r="A275" s="19">
        <v>76090</v>
      </c>
      <c r="B275" s="19" t="s">
        <v>912</v>
      </c>
      <c r="C275" s="19" t="s">
        <v>477</v>
      </c>
      <c r="D275" s="19"/>
      <c r="E275" s="43" t="s">
        <v>913</v>
      </c>
      <c r="F275" s="19" t="s">
        <v>872</v>
      </c>
    </row>
    <row r="276" spans="1:6" hidden="1" x14ac:dyDescent="0.35">
      <c r="A276" s="19">
        <v>76091</v>
      </c>
      <c r="B276" s="19" t="s">
        <v>914</v>
      </c>
      <c r="C276" s="19" t="s">
        <v>477</v>
      </c>
      <c r="D276" s="19"/>
      <c r="E276" s="43" t="s">
        <v>915</v>
      </c>
      <c r="F276" s="19" t="s">
        <v>872</v>
      </c>
    </row>
    <row r="277" spans="1:6" hidden="1" x14ac:dyDescent="0.35">
      <c r="A277" s="19">
        <v>76230</v>
      </c>
      <c r="B277" s="19" t="s">
        <v>916</v>
      </c>
      <c r="C277" s="19" t="s">
        <v>477</v>
      </c>
      <c r="D277" s="19"/>
      <c r="E277" s="43" t="s">
        <v>917</v>
      </c>
      <c r="F277" s="19" t="s">
        <v>872</v>
      </c>
    </row>
    <row r="278" spans="1:6" hidden="1" x14ac:dyDescent="0.35">
      <c r="A278" s="19">
        <v>81135</v>
      </c>
      <c r="B278" s="19" t="s">
        <v>918</v>
      </c>
      <c r="C278" s="19" t="s">
        <v>462</v>
      </c>
      <c r="D278" s="19"/>
      <c r="E278" s="43" t="s">
        <v>919</v>
      </c>
      <c r="F278" s="19" t="s">
        <v>872</v>
      </c>
    </row>
    <row r="279" spans="1:6" hidden="1" x14ac:dyDescent="0.35">
      <c r="A279" s="19">
        <v>85936</v>
      </c>
      <c r="B279" s="19" t="s">
        <v>920</v>
      </c>
      <c r="C279" s="19" t="s">
        <v>462</v>
      </c>
      <c r="D279" s="19"/>
      <c r="E279" s="43" t="s">
        <v>921</v>
      </c>
      <c r="F279" s="19" t="s">
        <v>872</v>
      </c>
    </row>
    <row r="280" spans="1:6" hidden="1" x14ac:dyDescent="0.35">
      <c r="A280" s="19">
        <v>999090</v>
      </c>
      <c r="B280" s="19" t="s">
        <v>922</v>
      </c>
      <c r="C280" s="19"/>
      <c r="D280" s="19"/>
      <c r="E280" s="43"/>
      <c r="F280" s="19" t="s">
        <v>872</v>
      </c>
    </row>
    <row r="281" spans="1:6" hidden="1" x14ac:dyDescent="0.35">
      <c r="A281" s="19">
        <v>999091</v>
      </c>
      <c r="B281" s="19" t="s">
        <v>923</v>
      </c>
      <c r="C281" s="19"/>
      <c r="D281" s="19"/>
      <c r="E281" s="43"/>
      <c r="F281" s="19" t="s">
        <v>872</v>
      </c>
    </row>
    <row r="282" spans="1:6" hidden="1" x14ac:dyDescent="0.35">
      <c r="A282" s="19">
        <v>999092</v>
      </c>
      <c r="B282" s="19" t="s">
        <v>924</v>
      </c>
      <c r="C282" s="19" t="s">
        <v>477</v>
      </c>
      <c r="D282" s="19"/>
      <c r="E282" s="19"/>
      <c r="F282" s="19" t="s">
        <v>872</v>
      </c>
    </row>
    <row r="283" spans="1:6" hidden="1" x14ac:dyDescent="0.35">
      <c r="A283" s="19">
        <v>999093</v>
      </c>
      <c r="B283" s="19" t="s">
        <v>925</v>
      </c>
      <c r="C283" s="19" t="s">
        <v>477</v>
      </c>
      <c r="D283" s="19"/>
      <c r="E283" s="19"/>
      <c r="F283" s="19" t="s">
        <v>872</v>
      </c>
    </row>
    <row r="284" spans="1:6" hidden="1" x14ac:dyDescent="0.35">
      <c r="A284" s="19">
        <v>999094</v>
      </c>
      <c r="B284" s="19" t="s">
        <v>926</v>
      </c>
      <c r="C284" s="19" t="s">
        <v>477</v>
      </c>
      <c r="D284" s="19"/>
      <c r="E284" s="19"/>
      <c r="F284" s="19" t="s">
        <v>872</v>
      </c>
    </row>
    <row r="285" spans="1:6" hidden="1" x14ac:dyDescent="0.35">
      <c r="A285" s="19">
        <v>999095</v>
      </c>
      <c r="B285" s="19" t="s">
        <v>927</v>
      </c>
      <c r="C285" s="19" t="s">
        <v>477</v>
      </c>
      <c r="D285" s="19"/>
      <c r="E285" s="19"/>
      <c r="F285" s="19" t="s">
        <v>872</v>
      </c>
    </row>
    <row r="286" spans="1:6" hidden="1" x14ac:dyDescent="0.35">
      <c r="A286" s="19">
        <v>999096</v>
      </c>
      <c r="B286" s="19" t="s">
        <v>928</v>
      </c>
      <c r="C286" s="19" t="s">
        <v>462</v>
      </c>
      <c r="D286" s="19"/>
      <c r="E286" s="19"/>
      <c r="F286" s="19" t="s">
        <v>872</v>
      </c>
    </row>
    <row r="287" spans="1:6" hidden="1" x14ac:dyDescent="0.35">
      <c r="A287" s="29">
        <v>89161</v>
      </c>
      <c r="B287" s="5" t="s">
        <v>696</v>
      </c>
      <c r="C287" s="5" t="s">
        <v>477</v>
      </c>
      <c r="D287" s="5"/>
      <c r="E287" s="6" t="s">
        <v>697</v>
      </c>
      <c r="F287" s="5" t="s">
        <v>673</v>
      </c>
    </row>
    <row r="288" spans="1:6" hidden="1" x14ac:dyDescent="0.35">
      <c r="A288" s="25">
        <v>69073</v>
      </c>
      <c r="B288" s="25" t="s">
        <v>930</v>
      </c>
      <c r="C288" s="25" t="s">
        <v>458</v>
      </c>
      <c r="D288" s="25"/>
      <c r="E288" s="44" t="s">
        <v>931</v>
      </c>
      <c r="F288" s="25" t="s">
        <v>930</v>
      </c>
    </row>
    <row r="289" spans="1:6" hidden="1" x14ac:dyDescent="0.35">
      <c r="A289" s="27">
        <v>71966</v>
      </c>
      <c r="B289" s="27" t="s">
        <v>932</v>
      </c>
      <c r="C289" s="27" t="s">
        <v>477</v>
      </c>
      <c r="D289" s="27"/>
      <c r="E289" s="27" t="s">
        <v>933</v>
      </c>
      <c r="F289" s="27" t="s">
        <v>930</v>
      </c>
    </row>
    <row r="290" spans="1:6" hidden="1" x14ac:dyDescent="0.35">
      <c r="A290" s="27">
        <v>71978</v>
      </c>
      <c r="B290" s="27" t="s">
        <v>934</v>
      </c>
      <c r="C290" s="27" t="s">
        <v>477</v>
      </c>
      <c r="D290" s="27"/>
      <c r="E290" s="27" t="s">
        <v>935</v>
      </c>
      <c r="F290" s="27" t="s">
        <v>930</v>
      </c>
    </row>
    <row r="291" spans="1:6" hidden="1" x14ac:dyDescent="0.35">
      <c r="A291" s="27">
        <v>71980</v>
      </c>
      <c r="B291" s="27" t="s">
        <v>936</v>
      </c>
      <c r="C291" s="27" t="s">
        <v>477</v>
      </c>
      <c r="D291" s="27"/>
      <c r="E291" s="27" t="s">
        <v>937</v>
      </c>
      <c r="F291" s="27" t="s">
        <v>930</v>
      </c>
    </row>
    <row r="292" spans="1:6" hidden="1" x14ac:dyDescent="0.35">
      <c r="A292" s="27">
        <v>71981</v>
      </c>
      <c r="B292" s="27" t="s">
        <v>938</v>
      </c>
      <c r="C292" s="27" t="s">
        <v>477</v>
      </c>
      <c r="D292" s="27"/>
      <c r="E292" s="27" t="s">
        <v>939</v>
      </c>
      <c r="F292" s="27" t="s">
        <v>930</v>
      </c>
    </row>
    <row r="293" spans="1:6" hidden="1" x14ac:dyDescent="0.35">
      <c r="A293" s="27">
        <v>72007</v>
      </c>
      <c r="B293" s="27" t="s">
        <v>940</v>
      </c>
      <c r="C293" s="27" t="s">
        <v>477</v>
      </c>
      <c r="D293" s="27"/>
      <c r="E293" s="27" t="s">
        <v>941</v>
      </c>
      <c r="F293" s="27" t="s">
        <v>930</v>
      </c>
    </row>
    <row r="294" spans="1:6" hidden="1" x14ac:dyDescent="0.35">
      <c r="A294" s="27">
        <v>76618</v>
      </c>
      <c r="B294" s="27" t="s">
        <v>942</v>
      </c>
      <c r="C294" s="27" t="s">
        <v>477</v>
      </c>
      <c r="D294" s="27"/>
      <c r="E294" s="27" t="s">
        <v>943</v>
      </c>
      <c r="F294" s="27" t="s">
        <v>930</v>
      </c>
    </row>
    <row r="295" spans="1:6" hidden="1" x14ac:dyDescent="0.35">
      <c r="A295" s="27">
        <v>88226</v>
      </c>
      <c r="B295" s="27" t="s">
        <v>944</v>
      </c>
      <c r="C295" s="27" t="s">
        <v>477</v>
      </c>
      <c r="D295" s="27"/>
      <c r="E295" s="27" t="s">
        <v>945</v>
      </c>
      <c r="F295" s="27" t="s">
        <v>930</v>
      </c>
    </row>
    <row r="296" spans="1:6" hidden="1" x14ac:dyDescent="0.35">
      <c r="A296" s="27">
        <v>88231</v>
      </c>
      <c r="B296" s="27" t="s">
        <v>946</v>
      </c>
      <c r="C296" s="27" t="s">
        <v>477</v>
      </c>
      <c r="D296" s="27"/>
      <c r="E296" s="27" t="s">
        <v>947</v>
      </c>
      <c r="F296" s="27" t="s">
        <v>930</v>
      </c>
    </row>
    <row r="297" spans="1:6" hidden="1" x14ac:dyDescent="0.35">
      <c r="A297" s="27">
        <v>88234</v>
      </c>
      <c r="B297" s="27" t="s">
        <v>948</v>
      </c>
      <c r="C297" s="27" t="s">
        <v>477</v>
      </c>
      <c r="D297" s="27"/>
      <c r="E297" s="27" t="s">
        <v>949</v>
      </c>
      <c r="F297" s="27" t="s">
        <v>930</v>
      </c>
    </row>
    <row r="298" spans="1:6" hidden="1" x14ac:dyDescent="0.35">
      <c r="A298" s="27">
        <v>88294</v>
      </c>
      <c r="B298" s="27" t="s">
        <v>950</v>
      </c>
      <c r="C298" s="27" t="s">
        <v>477</v>
      </c>
      <c r="D298" s="27"/>
      <c r="E298" s="27" t="s">
        <v>951</v>
      </c>
      <c r="F298" s="27" t="s">
        <v>930</v>
      </c>
    </row>
    <row r="299" spans="1:6" hidden="1" x14ac:dyDescent="0.35">
      <c r="A299" s="27">
        <v>88295</v>
      </c>
      <c r="B299" s="27" t="s">
        <v>952</v>
      </c>
      <c r="C299" s="27" t="s">
        <v>477</v>
      </c>
      <c r="D299" s="27"/>
      <c r="E299" s="27" t="s">
        <v>953</v>
      </c>
      <c r="F299" s="27" t="s">
        <v>930</v>
      </c>
    </row>
    <row r="300" spans="1:6" hidden="1" x14ac:dyDescent="0.35">
      <c r="A300" s="27">
        <v>88298</v>
      </c>
      <c r="B300" s="27" t="s">
        <v>954</v>
      </c>
      <c r="C300" s="27" t="s">
        <v>477</v>
      </c>
      <c r="D300" s="27"/>
      <c r="E300" s="27" t="s">
        <v>955</v>
      </c>
      <c r="F300" s="27" t="s">
        <v>930</v>
      </c>
    </row>
    <row r="301" spans="1:6" hidden="1" x14ac:dyDescent="0.35">
      <c r="A301" s="27">
        <v>88341</v>
      </c>
      <c r="B301" s="27" t="s">
        <v>956</v>
      </c>
      <c r="C301" s="27" t="s">
        <v>477</v>
      </c>
      <c r="D301" s="27"/>
      <c r="E301" s="27" t="s">
        <v>957</v>
      </c>
      <c r="F301" s="27" t="s">
        <v>930</v>
      </c>
    </row>
    <row r="302" spans="1:6" hidden="1" x14ac:dyDescent="0.35">
      <c r="A302" s="27">
        <v>88345</v>
      </c>
      <c r="B302" s="27" t="s">
        <v>958</v>
      </c>
      <c r="C302" s="27" t="s">
        <v>477</v>
      </c>
      <c r="D302" s="27"/>
      <c r="E302" s="27" t="s">
        <v>959</v>
      </c>
      <c r="F302" s="27" t="s">
        <v>930</v>
      </c>
    </row>
    <row r="303" spans="1:6" hidden="1" x14ac:dyDescent="0.35">
      <c r="A303" s="27">
        <v>88346</v>
      </c>
      <c r="B303" s="27" t="s">
        <v>960</v>
      </c>
      <c r="C303" s="27" t="s">
        <v>477</v>
      </c>
      <c r="D303" s="27"/>
      <c r="E303" s="27" t="s">
        <v>961</v>
      </c>
      <c r="F303" s="27" t="s">
        <v>930</v>
      </c>
    </row>
    <row r="304" spans="1:6" hidden="1" x14ac:dyDescent="0.35">
      <c r="A304" s="45">
        <v>73824</v>
      </c>
      <c r="B304" s="45" t="s">
        <v>962</v>
      </c>
      <c r="C304" s="45" t="s">
        <v>458</v>
      </c>
      <c r="D304" s="45"/>
      <c r="E304" s="46" t="s">
        <v>963</v>
      </c>
      <c r="F304" s="45" t="s">
        <v>962</v>
      </c>
    </row>
    <row r="305" spans="1:6" hidden="1" x14ac:dyDescent="0.35">
      <c r="A305" s="47">
        <v>74429</v>
      </c>
      <c r="B305" s="47" t="s">
        <v>964</v>
      </c>
      <c r="C305" s="47" t="s">
        <v>477</v>
      </c>
      <c r="D305" s="47"/>
      <c r="E305" s="47" t="s">
        <v>965</v>
      </c>
      <c r="F305" s="47" t="s">
        <v>962</v>
      </c>
    </row>
    <row r="306" spans="1:6" hidden="1" x14ac:dyDescent="0.35">
      <c r="A306" s="47">
        <v>74430</v>
      </c>
      <c r="B306" s="47" t="s">
        <v>966</v>
      </c>
      <c r="C306" s="47" t="s">
        <v>477</v>
      </c>
      <c r="D306" s="47"/>
      <c r="E306" s="47" t="s">
        <v>967</v>
      </c>
      <c r="F306" s="47" t="s">
        <v>962</v>
      </c>
    </row>
    <row r="307" spans="1:6" hidden="1" x14ac:dyDescent="0.35">
      <c r="A307" s="47">
        <v>74431</v>
      </c>
      <c r="B307" s="47" t="s">
        <v>968</v>
      </c>
      <c r="C307" s="47" t="s">
        <v>477</v>
      </c>
      <c r="D307" s="47"/>
      <c r="E307" s="47" t="s">
        <v>969</v>
      </c>
      <c r="F307" s="47" t="s">
        <v>962</v>
      </c>
    </row>
    <row r="308" spans="1:6" hidden="1" x14ac:dyDescent="0.35">
      <c r="A308" s="47">
        <v>74432</v>
      </c>
      <c r="B308" s="47" t="s">
        <v>970</v>
      </c>
      <c r="C308" s="47" t="s">
        <v>477</v>
      </c>
      <c r="D308" s="47"/>
      <c r="E308" s="47" t="s">
        <v>971</v>
      </c>
      <c r="F308" s="47" t="s">
        <v>962</v>
      </c>
    </row>
    <row r="309" spans="1:6" hidden="1" x14ac:dyDescent="0.35">
      <c r="A309" s="47">
        <v>74435</v>
      </c>
      <c r="B309" s="47" t="s">
        <v>972</v>
      </c>
      <c r="C309" s="47" t="s">
        <v>477</v>
      </c>
      <c r="D309" s="47"/>
      <c r="E309" s="47" t="s">
        <v>973</v>
      </c>
      <c r="F309" s="47" t="s">
        <v>962</v>
      </c>
    </row>
    <row r="310" spans="1:6" hidden="1" x14ac:dyDescent="0.35">
      <c r="A310" s="47">
        <v>74436</v>
      </c>
      <c r="B310" s="47" t="s">
        <v>974</v>
      </c>
      <c r="C310" s="47" t="s">
        <v>477</v>
      </c>
      <c r="D310" s="47"/>
      <c r="E310" s="47" t="s">
        <v>975</v>
      </c>
      <c r="F310" s="47" t="s">
        <v>962</v>
      </c>
    </row>
    <row r="311" spans="1:6" hidden="1" x14ac:dyDescent="0.35">
      <c r="A311" s="47">
        <v>74437</v>
      </c>
      <c r="B311" s="47" t="s">
        <v>976</v>
      </c>
      <c r="C311" s="47" t="s">
        <v>477</v>
      </c>
      <c r="D311" s="47"/>
      <c r="E311" s="47" t="s">
        <v>977</v>
      </c>
      <c r="F311" s="47" t="s">
        <v>962</v>
      </c>
    </row>
    <row r="312" spans="1:6" hidden="1" x14ac:dyDescent="0.35">
      <c r="A312" s="47">
        <v>74440</v>
      </c>
      <c r="B312" s="47" t="s">
        <v>978</v>
      </c>
      <c r="C312" s="47" t="s">
        <v>477</v>
      </c>
      <c r="D312" s="47"/>
      <c r="E312" s="47" t="s">
        <v>979</v>
      </c>
      <c r="F312" s="47" t="s">
        <v>962</v>
      </c>
    </row>
    <row r="313" spans="1:6" hidden="1" x14ac:dyDescent="0.35">
      <c r="A313" s="47">
        <v>75937</v>
      </c>
      <c r="B313" s="47" t="s">
        <v>980</v>
      </c>
      <c r="C313" s="47" t="s">
        <v>462</v>
      </c>
      <c r="D313" s="47"/>
      <c r="E313" s="47" t="s">
        <v>981</v>
      </c>
      <c r="F313" s="47" t="s">
        <v>962</v>
      </c>
    </row>
    <row r="314" spans="1:6" hidden="1" x14ac:dyDescent="0.35">
      <c r="A314" s="47">
        <v>76845</v>
      </c>
      <c r="B314" s="47" t="s">
        <v>982</v>
      </c>
      <c r="C314" s="47" t="s">
        <v>477</v>
      </c>
      <c r="D314" s="47"/>
      <c r="E314" s="47" t="s">
        <v>983</v>
      </c>
      <c r="F314" s="47" t="s">
        <v>962</v>
      </c>
    </row>
    <row r="315" spans="1:6" hidden="1" x14ac:dyDescent="0.35">
      <c r="A315" s="47">
        <v>76846</v>
      </c>
      <c r="B315" s="47" t="s">
        <v>984</v>
      </c>
      <c r="C315" s="47" t="s">
        <v>477</v>
      </c>
      <c r="D315" s="47"/>
      <c r="E315" s="47" t="s">
        <v>985</v>
      </c>
      <c r="F315" s="47" t="s">
        <v>962</v>
      </c>
    </row>
    <row r="316" spans="1:6" hidden="1" x14ac:dyDescent="0.35">
      <c r="A316" s="47">
        <v>76847</v>
      </c>
      <c r="B316" s="47" t="s">
        <v>986</v>
      </c>
      <c r="C316" s="47" t="s">
        <v>477</v>
      </c>
      <c r="D316" s="47"/>
      <c r="E316" s="47" t="s">
        <v>987</v>
      </c>
      <c r="F316" s="47" t="s">
        <v>962</v>
      </c>
    </row>
    <row r="317" spans="1:6" hidden="1" x14ac:dyDescent="0.35">
      <c r="A317" s="47">
        <v>76848</v>
      </c>
      <c r="B317" s="47" t="s">
        <v>988</v>
      </c>
      <c r="C317" s="47" t="s">
        <v>477</v>
      </c>
      <c r="D317" s="47"/>
      <c r="E317" s="47" t="s">
        <v>989</v>
      </c>
      <c r="F317" s="47" t="s">
        <v>962</v>
      </c>
    </row>
    <row r="318" spans="1:6" hidden="1" x14ac:dyDescent="0.35">
      <c r="A318" s="47">
        <v>77409</v>
      </c>
      <c r="B318" s="47" t="s">
        <v>990</v>
      </c>
      <c r="C318" s="47" t="s">
        <v>462</v>
      </c>
      <c r="D318" s="47"/>
      <c r="E318" s="47" t="s">
        <v>991</v>
      </c>
      <c r="F318" s="47" t="s">
        <v>962</v>
      </c>
    </row>
    <row r="319" spans="1:6" hidden="1" x14ac:dyDescent="0.35">
      <c r="A319" s="47">
        <v>78180</v>
      </c>
      <c r="B319" s="47" t="s">
        <v>992</v>
      </c>
      <c r="C319" s="47" t="s">
        <v>462</v>
      </c>
      <c r="D319" s="47"/>
      <c r="E319" s="47" t="s">
        <v>993</v>
      </c>
      <c r="F319" s="47" t="s">
        <v>962</v>
      </c>
    </row>
    <row r="320" spans="1:6" hidden="1" x14ac:dyDescent="0.35">
      <c r="A320" s="47">
        <v>78277</v>
      </c>
      <c r="B320" s="47" t="s">
        <v>994</v>
      </c>
      <c r="C320" s="47" t="s">
        <v>462</v>
      </c>
      <c r="D320" s="47"/>
      <c r="E320" s="47" t="s">
        <v>995</v>
      </c>
      <c r="F320" s="47" t="s">
        <v>962</v>
      </c>
    </row>
    <row r="321" spans="1:6" hidden="1" x14ac:dyDescent="0.35">
      <c r="A321" s="47">
        <v>78279</v>
      </c>
      <c r="B321" s="47" t="s">
        <v>996</v>
      </c>
      <c r="C321" s="47" t="s">
        <v>462</v>
      </c>
      <c r="D321" s="47"/>
      <c r="E321" s="47" t="s">
        <v>997</v>
      </c>
      <c r="F321" s="47" t="s">
        <v>962</v>
      </c>
    </row>
    <row r="322" spans="1:6" hidden="1" x14ac:dyDescent="0.35">
      <c r="A322" s="47">
        <v>78310</v>
      </c>
      <c r="B322" s="47" t="s">
        <v>998</v>
      </c>
      <c r="C322" s="47" t="s">
        <v>462</v>
      </c>
      <c r="D322" s="47"/>
      <c r="E322" s="47" t="s">
        <v>999</v>
      </c>
      <c r="F322" s="47" t="s">
        <v>962</v>
      </c>
    </row>
    <row r="323" spans="1:6" hidden="1" x14ac:dyDescent="0.35">
      <c r="A323" s="47">
        <v>78368</v>
      </c>
      <c r="B323" s="47" t="s">
        <v>1000</v>
      </c>
      <c r="C323" s="47" t="s">
        <v>462</v>
      </c>
      <c r="D323" s="47"/>
      <c r="E323" s="47" t="s">
        <v>1001</v>
      </c>
      <c r="F323" s="47" t="s">
        <v>962</v>
      </c>
    </row>
    <row r="324" spans="1:6" hidden="1" x14ac:dyDescent="0.35">
      <c r="A324" s="47">
        <v>78369</v>
      </c>
      <c r="B324" s="47" t="s">
        <v>1002</v>
      </c>
      <c r="C324" s="47" t="s">
        <v>462</v>
      </c>
      <c r="D324" s="47"/>
      <c r="E324" s="47" t="s">
        <v>1003</v>
      </c>
      <c r="F324" s="47" t="s">
        <v>962</v>
      </c>
    </row>
    <row r="325" spans="1:6" hidden="1" x14ac:dyDescent="0.35">
      <c r="A325" s="47">
        <v>80311</v>
      </c>
      <c r="B325" s="47" t="s">
        <v>1004</v>
      </c>
      <c r="C325" s="47" t="s">
        <v>458</v>
      </c>
      <c r="D325" s="47"/>
      <c r="E325" s="47" t="s">
        <v>1005</v>
      </c>
      <c r="F325" s="47" t="s">
        <v>962</v>
      </c>
    </row>
    <row r="326" spans="1:6" hidden="1" x14ac:dyDescent="0.35">
      <c r="A326" s="47">
        <v>82391</v>
      </c>
      <c r="B326" s="47" t="s">
        <v>1006</v>
      </c>
      <c r="C326" s="47" t="s">
        <v>477</v>
      </c>
      <c r="D326" s="47"/>
      <c r="E326" s="47" t="s">
        <v>1007</v>
      </c>
      <c r="F326" s="47" t="s">
        <v>962</v>
      </c>
    </row>
    <row r="327" spans="1:6" hidden="1" x14ac:dyDescent="0.35">
      <c r="A327" s="47">
        <v>82400</v>
      </c>
      <c r="B327" s="47" t="s">
        <v>1008</v>
      </c>
      <c r="C327" s="47" t="s">
        <v>477</v>
      </c>
      <c r="D327" s="47"/>
      <c r="E327" s="47" t="s">
        <v>1009</v>
      </c>
      <c r="F327" s="47" t="s">
        <v>962</v>
      </c>
    </row>
    <row r="328" spans="1:6" hidden="1" x14ac:dyDescent="0.35">
      <c r="A328" s="47">
        <v>82404</v>
      </c>
      <c r="B328" s="47" t="s">
        <v>1024</v>
      </c>
      <c r="C328" s="47" t="s">
        <v>477</v>
      </c>
      <c r="D328" s="47"/>
      <c r="E328" s="47" t="s">
        <v>1010</v>
      </c>
      <c r="F328" s="47" t="s">
        <v>962</v>
      </c>
    </row>
    <row r="329" spans="1:6" hidden="1" x14ac:dyDescent="0.35">
      <c r="A329" s="47">
        <v>82406</v>
      </c>
      <c r="B329" s="47" t="s">
        <v>1025</v>
      </c>
      <c r="C329" s="47" t="s">
        <v>477</v>
      </c>
      <c r="D329" s="47"/>
      <c r="E329" s="47" t="s">
        <v>1011</v>
      </c>
      <c r="F329" s="47" t="s">
        <v>962</v>
      </c>
    </row>
    <row r="330" spans="1:6" hidden="1" x14ac:dyDescent="0.35">
      <c r="A330" s="47">
        <v>82407</v>
      </c>
      <c r="B330" s="47" t="s">
        <v>1012</v>
      </c>
      <c r="C330" s="47" t="s">
        <v>477</v>
      </c>
      <c r="D330" s="47"/>
      <c r="E330" s="47" t="s">
        <v>1013</v>
      </c>
      <c r="F330" s="47" t="s">
        <v>962</v>
      </c>
    </row>
    <row r="331" spans="1:6" hidden="1" x14ac:dyDescent="0.35">
      <c r="A331" s="47">
        <v>82408</v>
      </c>
      <c r="B331" s="47" t="s">
        <v>1014</v>
      </c>
      <c r="C331" s="47" t="s">
        <v>477</v>
      </c>
      <c r="D331" s="47"/>
      <c r="E331" s="47" t="s">
        <v>1015</v>
      </c>
      <c r="F331" s="47" t="s">
        <v>962</v>
      </c>
    </row>
    <row r="332" spans="1:6" hidden="1" x14ac:dyDescent="0.35">
      <c r="A332" s="47">
        <v>83236</v>
      </c>
      <c r="B332" s="47" t="s">
        <v>1016</v>
      </c>
      <c r="C332" s="47" t="s">
        <v>477</v>
      </c>
      <c r="D332" s="47"/>
      <c r="E332" s="47" t="s">
        <v>1017</v>
      </c>
      <c r="F332" s="47" t="s">
        <v>962</v>
      </c>
    </row>
    <row r="333" spans="1:6" hidden="1" x14ac:dyDescent="0.35">
      <c r="A333" s="47">
        <v>83239</v>
      </c>
      <c r="B333" s="47" t="s">
        <v>1018</v>
      </c>
      <c r="C333" s="47" t="s">
        <v>477</v>
      </c>
      <c r="D333" s="47"/>
      <c r="E333" s="47" t="s">
        <v>1019</v>
      </c>
      <c r="F333" s="47" t="s">
        <v>962</v>
      </c>
    </row>
    <row r="334" spans="1:6" hidden="1" x14ac:dyDescent="0.35">
      <c r="A334" s="47">
        <v>89568</v>
      </c>
      <c r="B334" s="47" t="s">
        <v>1020</v>
      </c>
      <c r="C334" s="47" t="s">
        <v>462</v>
      </c>
      <c r="D334" s="47"/>
      <c r="E334" s="47" t="s">
        <v>1021</v>
      </c>
      <c r="F334" s="47" t="s">
        <v>962</v>
      </c>
    </row>
    <row r="335" spans="1:6" hidden="1" x14ac:dyDescent="0.35">
      <c r="A335" s="47">
        <v>89569</v>
      </c>
      <c r="B335" s="47" t="s">
        <v>1022</v>
      </c>
      <c r="C335" s="47" t="s">
        <v>462</v>
      </c>
      <c r="D335" s="47"/>
      <c r="E335" s="47" t="s">
        <v>1023</v>
      </c>
      <c r="F335" s="47" t="s">
        <v>962</v>
      </c>
    </row>
  </sheetData>
  <hyperlinks>
    <hyperlink ref="E288" r:id="rId1" xr:uid="{D9F472F5-5266-405D-BF04-4D7EF0C2D2B7}"/>
    <hyperlink ref="E299" r:id="rId2" xr:uid="{1AD40D98-85B1-4CE9-B335-1932BC509D27}"/>
    <hyperlink ref="E295" r:id="rId3" xr:uid="{88729B37-09B2-4D06-92B2-3D19F048C61C}"/>
    <hyperlink ref="E296" r:id="rId4" xr:uid="{2C6FE3FB-2FEB-4FDD-B5D4-838F0250F430}"/>
    <hyperlink ref="E302" r:id="rId5" xr:uid="{A384E8C8-9AFD-44AA-B192-F933A272DAA5}"/>
    <hyperlink ref="E303" r:id="rId6" xr:uid="{8E686E74-6FE3-47CB-804E-9ACBCCDD5508}"/>
    <hyperlink ref="E301" r:id="rId7" xr:uid="{2A37F2B1-ECA0-4548-9F14-487DEEB22F5E}"/>
    <hyperlink ref="E298" r:id="rId8" xr:uid="{46732352-C3DD-4A7B-88B3-C8F36BB943FF}"/>
    <hyperlink ref="E294" r:id="rId9" xr:uid="{2D5D0CF7-7FA9-44A0-8DF4-C54A8C289814}"/>
    <hyperlink ref="E304" r:id="rId10" xr:uid="{BA690157-106E-47AD-9D5B-FEF9768A152D}"/>
    <hyperlink ref="E255" r:id="rId11" xr:uid="{A0D075B3-F9D4-44B7-9FA5-2CE23C75BABF}"/>
    <hyperlink ref="E233" r:id="rId12" xr:uid="{6ED6E535-D74B-4E8D-9E69-D3FE6E40E8C1}"/>
    <hyperlink ref="E297" r:id="rId13" xr:uid="{560486BB-BE79-4BC5-9536-A8B96A4D5602}"/>
    <hyperlink ref="E300" r:id="rId14" xr:uid="{937EABCC-A5EE-4A3A-BED2-9AA5AC477134}"/>
    <hyperlink ref="E291" r:id="rId15" xr:uid="{0536CDE6-BDF5-42D2-9DAF-EEEF6CB35CE1}"/>
    <hyperlink ref="E256" r:id="rId16" xr:uid="{D8B59C08-CC3B-4E22-8C28-E62EE6B00BBE}"/>
    <hyperlink ref="E234" r:id="rId17" xr:uid="{2DC6FF02-19C4-433B-B1EA-8689331FCBEA}"/>
    <hyperlink ref="E230" r:id="rId18" xr:uid="{8C171B51-5A29-4FEC-8AAC-D572257E5F7A}"/>
    <hyperlink ref="E232" r:id="rId19" xr:uid="{F3A8C4FA-EBF9-43BC-97F4-F4213017807C}"/>
    <hyperlink ref="E231" r:id="rId20" xr:uid="{D7519E67-0922-4A0A-AAA9-2D5C1A2F51DF}"/>
    <hyperlink ref="E236" r:id="rId21" xr:uid="{2A5E7291-67FF-423F-85EA-458A352045C7}"/>
    <hyperlink ref="E237" r:id="rId22" xr:uid="{4BADE5F1-99C7-4F6D-91F8-D2BA9BAE05BD}"/>
    <hyperlink ref="E235" r:id="rId23" xr:uid="{6F1886C9-7C2E-48EB-AACD-A1CD84B0F5DB}"/>
    <hyperlink ref="E238" r:id="rId24" xr:uid="{E6480FB7-03C8-4903-8338-F03781DE8B09}"/>
    <hyperlink ref="E13" r:id="rId25" xr:uid="{1DAE9685-5E38-4CFF-9E01-185E21C9E5E6}"/>
    <hyperlink ref="E12" r:id="rId26" xr:uid="{575ABA39-11A3-4361-B328-29BE3DE835EF}"/>
    <hyperlink ref="E17" r:id="rId27" xr:uid="{D549E1B5-0693-4BD6-B684-F54F1321EB76}"/>
    <hyperlink ref="E9" r:id="rId28" xr:uid="{20FC1739-7D37-4783-8229-00BABD81A2ED}"/>
    <hyperlink ref="E40" r:id="rId29" xr:uid="{5CD1C9E3-E866-4840-9212-EFB20DA5DF0E}"/>
    <hyperlink ref="E8" r:id="rId30" xr:uid="{E933C79B-ED36-4131-9B75-8C6455A7EB2C}"/>
    <hyperlink ref="E10" r:id="rId31" xr:uid="{BB5A5B80-EDA6-4FD8-9527-C687FADEDE0C}"/>
    <hyperlink ref="E15" r:id="rId32" xr:uid="{979A3D22-B5ED-40E3-A3A5-7CC8C5515622}"/>
    <hyperlink ref="E16" r:id="rId33" xr:uid="{C8D23C2C-BBAE-433D-9177-2CD1040DC199}"/>
    <hyperlink ref="E14" r:id="rId34" xr:uid="{165CD5E6-FA18-44CF-B7BD-33AEB450C6C1}"/>
    <hyperlink ref="E41" r:id="rId35" xr:uid="{DB7CA95A-0EA7-4CC0-813C-815A39EAF383}"/>
    <hyperlink ref="E18" r:id="rId36" xr:uid="{C25F74BF-FD76-479E-91D4-6A86DC3F3C54}"/>
    <hyperlink ref="E11" r:id="rId37" xr:uid="{DC9B7D26-FF63-4DE3-9DCF-FB27DEDD213A}"/>
    <hyperlink ref="E38" r:id="rId38" xr:uid="{228B67F8-2F31-4097-8B50-C3A4E518DD9D}"/>
    <hyperlink ref="E35" r:id="rId39" xr:uid="{032E6DE0-DD46-4CE1-9733-53C7AB562EA8}"/>
    <hyperlink ref="E26" r:id="rId40" xr:uid="{0B2ACD5B-761A-4E62-BE9A-33B7A47BC73A}"/>
    <hyperlink ref="E129" r:id="rId41" xr:uid="{E24B950B-EEBB-4114-A4B9-EF311C4D0C93}"/>
    <hyperlink ref="E287" r:id="rId42" xr:uid="{A0FDE03F-EC62-4C5D-8C87-F055BAD35F7B}"/>
    <hyperlink ref="E149" r:id="rId43" xr:uid="{DE92DAD4-6DCB-43FE-9669-C86F2363A328}"/>
    <hyperlink ref="E152" r:id="rId44" xr:uid="{65AFC11E-3365-465F-B5AA-38ACEC9762BE}"/>
    <hyperlink ref="E147" r:id="rId45" xr:uid="{CE7BAFE8-D8F6-4A62-A7C3-6762E6D365B5}"/>
    <hyperlink ref="E148" r:id="rId46" xr:uid="{C11F0DAE-0FFA-4A63-A7DE-0F66AB1061D6}"/>
  </hyperlinks>
  <pageMargins left="0.7" right="0.7" top="0.75" bottom="0.75" header="0.3" footer="0.3"/>
  <pageSetup paperSize="9" orientation="portrait" r:id="rId47"/>
  <tableParts count="1">
    <tablePart r:id="rId4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FA926-A063-44AE-AEBD-E238F05241AD}">
  <dimension ref="A1:N3828"/>
  <sheetViews>
    <sheetView tabSelected="1" topLeftCell="E568" workbookViewId="0">
      <selection activeCell="B2" sqref="B2"/>
    </sheetView>
  </sheetViews>
  <sheetFormatPr defaultRowHeight="14.5" x14ac:dyDescent="0.35"/>
  <cols>
    <col min="1" max="1" width="10" customWidth="1"/>
    <col min="2" max="2" width="51.1796875" customWidth="1"/>
    <col min="3" max="3" width="11.81640625" customWidth="1"/>
    <col min="4" max="4" width="60.81640625" customWidth="1"/>
    <col min="5" max="5" width="38" customWidth="1"/>
    <col min="6" max="6" width="10.453125" customWidth="1"/>
    <col min="7" max="7" width="12.26953125" customWidth="1"/>
    <col min="8" max="8" width="18.453125" customWidth="1"/>
    <col min="9" max="9" width="14.81640625" customWidth="1"/>
    <col min="10" max="10" width="13" customWidth="1"/>
    <col min="11" max="11" width="29.81640625" customWidth="1"/>
    <col min="12" max="12" width="22.7265625" customWidth="1"/>
    <col min="13" max="13" width="21.453125" customWidth="1"/>
    <col min="14" max="14" width="15.7265625" bestFit="1" customWidth="1"/>
  </cols>
  <sheetData>
    <row r="1" spans="1:14" x14ac:dyDescent="0.35">
      <c r="A1" t="s">
        <v>0</v>
      </c>
      <c r="B1" t="s">
        <v>3</v>
      </c>
      <c r="C1" t="s">
        <v>452</v>
      </c>
      <c r="D1" t="s">
        <v>462</v>
      </c>
      <c r="E1" t="s">
        <v>456</v>
      </c>
      <c r="F1" t="s">
        <v>454</v>
      </c>
      <c r="G1" t="s">
        <v>1030</v>
      </c>
      <c r="H1" t="s">
        <v>1026</v>
      </c>
      <c r="I1" s="50" t="s">
        <v>1028</v>
      </c>
      <c r="J1" s="50" t="s">
        <v>1029</v>
      </c>
      <c r="K1" t="s">
        <v>1031</v>
      </c>
      <c r="L1" t="s">
        <v>1050</v>
      </c>
      <c r="M1" t="s">
        <v>1032</v>
      </c>
      <c r="N1" t="s">
        <v>1033</v>
      </c>
    </row>
    <row r="2" spans="1:14" x14ac:dyDescent="0.35">
      <c r="A2" t="s">
        <v>122</v>
      </c>
      <c r="B2" s="5" t="str">
        <f>_xlfn.XLOOKUP(role_course_map[[#This Row],[role_id]], role_data[role_id], role_data[Role],"")</f>
        <v>Business Support Manager</v>
      </c>
      <c r="C2">
        <v>75406</v>
      </c>
      <c r="D2" s="5" t="str">
        <f>_xlfn.XLOOKUP(role_course_map[[#This Row],[course_id]],course_data[course_id],course_data[title],"")</f>
        <v>Foundation Leadership and Management Programme (FLMP)</v>
      </c>
      <c r="E2" s="5" t="str">
        <f>_xlfn.XLOOKUP(role_course_map[[#This Row],[course_id]],course_data[course_id],course_data[topic],"")</f>
        <v>SAS: Staff development and experience</v>
      </c>
      <c r="F2" s="5" t="str">
        <f>_xlfn.XLOOKUP(role_course_map[[#This Row],[course_id]],course_data[course_id],course_data[type],"")</f>
        <v>Page</v>
      </c>
      <c r="I2" s="50"/>
      <c r="J2" s="50"/>
      <c r="K2" t="str">
        <f>role_course_map[[#This Row],[role_id]] &amp; "|" &amp; role_course_map[[#This Row],[course_id]]</f>
        <v>R0055|75406</v>
      </c>
      <c r="L2" t="str">
        <f>IF(COUNTIF(role_course_map[mapping_key],role_course_map[[#This Row],[mapping_key]])&gt;1,"DUPLICATE","OK")</f>
        <v>OK</v>
      </c>
      <c r="M2" t="str">
        <f>IF(COUNTIF(role_data[role_id],role_course_map[[#This Row],[role_id]])=0, "INVALID","VALID")</f>
        <v>VALID</v>
      </c>
      <c r="N2" t="str">
        <f>IF(COUNTIF(course_data[course_id],role_course_map[[#This Row],[course_id]])=0, "INVALID","VALID")</f>
        <v>VALID</v>
      </c>
    </row>
    <row r="3" spans="1:14" x14ac:dyDescent="0.35">
      <c r="A3" t="s">
        <v>122</v>
      </c>
      <c r="B3" s="5" t="str">
        <f>_xlfn.XLOOKUP(role_course_map[[#This Row],[role_id]], role_data[role_id], role_data[Role],"")</f>
        <v>Business Support Manager</v>
      </c>
      <c r="C3">
        <v>999058</v>
      </c>
      <c r="D3" s="5" t="str">
        <f>_xlfn.XLOOKUP(role_course_map[[#This Row],[course_id]],course_data[course_id],course_data[title],"")</f>
        <v>Stress Identification &amp; Stress Management</v>
      </c>
      <c r="E3" s="5" t="str">
        <f>_xlfn.XLOOKUP(role_course_map[[#This Row],[course_id]],course_data[course_id],course_data[topic],"")</f>
        <v>SAS : Health and Safety</v>
      </c>
      <c r="F3" s="5" t="str">
        <f>_xlfn.XLOOKUP(role_course_map[[#This Row],[course_id]],course_data[course_id],course_data[type],"")</f>
        <v>eLearning</v>
      </c>
      <c r="K3" t="str">
        <f>role_course_map[[#This Row],[role_id]] &amp; "|" &amp; role_course_map[[#This Row],[course_id]]</f>
        <v>R0055|999058</v>
      </c>
      <c r="L3" t="str">
        <f>IF(COUNTIF(role_course_map[mapping_key],role_course_map[[#This Row],[mapping_key]])&gt;1,"DUPLICATE","OK")</f>
        <v>DUPLICATE</v>
      </c>
      <c r="M3" t="str">
        <f>IF(COUNTIF(role_data[role_id],role_course_map[[#This Row],[role_id]])=0, "INVALID","VALID")</f>
        <v>VALID</v>
      </c>
      <c r="N3" t="str">
        <f>IF(COUNTIF(course_data[course_id],role_course_map[[#This Row],[course_id]])=0, "INVALID","VALID")</f>
        <v>VALID</v>
      </c>
    </row>
    <row r="4" spans="1:14" x14ac:dyDescent="0.35">
      <c r="A4" t="s">
        <v>122</v>
      </c>
      <c r="B4" s="5" t="str">
        <f>_xlfn.XLOOKUP(role_course_map[[#This Row],[role_id]], role_data[role_id], role_data[Role],"")</f>
        <v>Business Support Manager</v>
      </c>
      <c r="C4">
        <v>79147</v>
      </c>
      <c r="D4" s="5" t="str">
        <f>_xlfn.XLOOKUP(role_course_map[[#This Row],[course_id]],course_data[course_id],course_data[title],"")</f>
        <v>Driving risks at work</v>
      </c>
      <c r="E4" s="5" t="str">
        <f>_xlfn.XLOOKUP(role_course_map[[#This Row],[course_id]],course_data[course_id],course_data[topic],"")</f>
        <v>SAS : Health and Safety</v>
      </c>
      <c r="F4" s="5" t="str">
        <f>_xlfn.XLOOKUP(role_course_map[[#This Row],[course_id]],course_data[course_id],course_data[type],"")</f>
        <v>eLearning</v>
      </c>
      <c r="K4" t="str">
        <f>role_course_map[[#This Row],[role_id]] &amp; "|" &amp; role_course_map[[#This Row],[course_id]]</f>
        <v>R0055|79147</v>
      </c>
      <c r="L4" t="str">
        <f>IF(COUNTIF(role_course_map[mapping_key],role_course_map[[#This Row],[mapping_key]])&gt;1,"DUPLICATE","OK")</f>
        <v>OK</v>
      </c>
      <c r="M4" t="str">
        <f>IF(COUNTIF(role_data[role_id],role_course_map[[#This Row],[role_id]])=0, "INVALID","VALID")</f>
        <v>VALID</v>
      </c>
      <c r="N4" t="str">
        <f>IF(COUNTIF(course_data[course_id],role_course_map[[#This Row],[course_id]])=0, "INVALID","VALID")</f>
        <v>VALID</v>
      </c>
    </row>
    <row r="5" spans="1:14" x14ac:dyDescent="0.35">
      <c r="A5" t="s">
        <v>122</v>
      </c>
      <c r="B5" s="5" t="str">
        <f>_xlfn.XLOOKUP(role_course_map[[#This Row],[role_id]], role_data[role_id], role_data[Role],"")</f>
        <v>Business Support Manager</v>
      </c>
      <c r="C5">
        <v>999093</v>
      </c>
      <c r="D5" s="5" t="str">
        <f>_xlfn.XLOOKUP(role_course_map[[#This Row],[course_id]],course_data[course_id],course_data[title],"")</f>
        <v>Managing Wellbeing Refresher for Managers</v>
      </c>
      <c r="E5" s="5" t="str">
        <f>_xlfn.XLOOKUP(role_course_map[[#This Row],[course_id]],course_data[course_id],course_data[topic],"")</f>
        <v>SAS: Staff development and experience</v>
      </c>
      <c r="F5" s="5" t="str">
        <f>_xlfn.XLOOKUP(role_course_map[[#This Row],[course_id]],course_data[course_id],course_data[type],"")</f>
        <v>eLearning</v>
      </c>
      <c r="K5" t="str">
        <f>role_course_map[[#This Row],[role_id]] &amp; "|" &amp; role_course_map[[#This Row],[course_id]]</f>
        <v>R0055|999093</v>
      </c>
      <c r="L5" t="str">
        <f>IF(COUNTIF(role_course_map[mapping_key],role_course_map[[#This Row],[mapping_key]])&gt;1,"DUPLICATE","OK")</f>
        <v>OK</v>
      </c>
      <c r="M5" t="str">
        <f>IF(COUNTIF(role_data[role_id],role_course_map[[#This Row],[role_id]])=0, "INVALID","VALID")</f>
        <v>VALID</v>
      </c>
      <c r="N5" t="str">
        <f>IF(COUNTIF(course_data[course_id],role_course_map[[#This Row],[course_id]])=0, "INVALID","VALID")</f>
        <v>VALID</v>
      </c>
    </row>
    <row r="6" spans="1:14" x14ac:dyDescent="0.35">
      <c r="A6" t="s">
        <v>122</v>
      </c>
      <c r="B6" s="5" t="str">
        <f>_xlfn.XLOOKUP(role_course_map[[#This Row],[role_id]], role_data[role_id], role_data[Role],"")</f>
        <v>Business Support Manager</v>
      </c>
      <c r="C6">
        <v>64322</v>
      </c>
      <c r="D6" s="5" t="str">
        <f>_xlfn.XLOOKUP(role_course_map[[#This Row],[course_id]],course_data[course_id],course_data[title],"")</f>
        <v>Adult support and protection: practice level 2 [skilled]</v>
      </c>
      <c r="E6" s="5" t="str">
        <f>_xlfn.XLOOKUP(role_course_map[[#This Row],[course_id]],course_data[course_id],course_data[topic],"")</f>
        <v>SAS : Public Protection</v>
      </c>
      <c r="F6" s="5" t="str">
        <f>_xlfn.XLOOKUP(role_course_map[[#This Row],[course_id]],course_data[course_id],course_data[type],"")</f>
        <v>eLearning</v>
      </c>
      <c r="K6" t="str">
        <f>role_course_map[[#This Row],[role_id]] &amp; "|" &amp; role_course_map[[#This Row],[course_id]]</f>
        <v>R0055|64322</v>
      </c>
      <c r="L6" t="str">
        <f>IF(COUNTIF(role_course_map[mapping_key],role_course_map[[#This Row],[mapping_key]])&gt;1,"DUPLICATE","OK")</f>
        <v>OK</v>
      </c>
      <c r="M6" t="str">
        <f>IF(COUNTIF(role_data[role_id],role_course_map[[#This Row],[role_id]])=0, "INVALID","VALID")</f>
        <v>VALID</v>
      </c>
      <c r="N6" t="str">
        <f>IF(COUNTIF(course_data[course_id],role_course_map[[#This Row],[course_id]])=0, "INVALID","VALID")</f>
        <v>VALID</v>
      </c>
    </row>
    <row r="7" spans="1:14" x14ac:dyDescent="0.35">
      <c r="A7" t="s">
        <v>122</v>
      </c>
      <c r="B7" s="5" t="str">
        <f>_xlfn.XLOOKUP(role_course_map[[#This Row],[role_id]], role_data[role_id], role_data[Role],"")</f>
        <v>Business Support Manager</v>
      </c>
      <c r="C7">
        <v>64324</v>
      </c>
      <c r="D7" s="5" t="str">
        <f>_xlfn.XLOOKUP(role_course_map[[#This Row],[course_id]],course_data[course_id],course_data[title],"")</f>
        <v>Child protection: practice level 2 [skilled]</v>
      </c>
      <c r="E7" s="5" t="str">
        <f>_xlfn.XLOOKUP(role_course_map[[#This Row],[course_id]],course_data[course_id],course_data[topic],"")</f>
        <v>SAS : Public Protection</v>
      </c>
      <c r="F7" s="5" t="str">
        <f>_xlfn.XLOOKUP(role_course_map[[#This Row],[course_id]],course_data[course_id],course_data[type],"")</f>
        <v>eLearning</v>
      </c>
      <c r="K7" t="str">
        <f>role_course_map[[#This Row],[role_id]] &amp; "|" &amp; role_course_map[[#This Row],[course_id]]</f>
        <v>R0055|64324</v>
      </c>
      <c r="L7" t="str">
        <f>IF(COUNTIF(role_course_map[mapping_key],role_course_map[[#This Row],[mapping_key]])&gt;1,"DUPLICATE","OK")</f>
        <v>OK</v>
      </c>
      <c r="M7" t="str">
        <f>IF(COUNTIF(role_data[role_id],role_course_map[[#This Row],[role_id]])=0, "INVALID","VALID")</f>
        <v>VALID</v>
      </c>
      <c r="N7" t="str">
        <f>IF(COUNTIF(course_data[course_id],role_course_map[[#This Row],[course_id]])=0, "INVALID","VALID")</f>
        <v>VALID</v>
      </c>
    </row>
    <row r="8" spans="1:14" x14ac:dyDescent="0.35">
      <c r="A8" t="s">
        <v>122</v>
      </c>
      <c r="B8" s="5" t="str">
        <f>_xlfn.XLOOKUP(role_course_map[[#This Row],[role_id]], role_data[role_id], role_data[Role],"")</f>
        <v>Business Support Manager</v>
      </c>
      <c r="C8">
        <v>79666</v>
      </c>
      <c r="D8" s="5" t="str">
        <f>_xlfn.XLOOKUP(role_course_map[[#This Row],[course_id]],course_data[course_id],course_data[title],"")</f>
        <v>Getting it right for every child (GIRFEC): informed level</v>
      </c>
      <c r="E8" s="5" t="str">
        <f>_xlfn.XLOOKUP(role_course_map[[#This Row],[course_id]],course_data[course_id],course_data[topic],"")</f>
        <v>SAS : Public Protection</v>
      </c>
      <c r="F8" s="5" t="str">
        <f>_xlfn.XLOOKUP(role_course_map[[#This Row],[course_id]],course_data[course_id],course_data[type],"")</f>
        <v>eLearning</v>
      </c>
      <c r="K8" t="str">
        <f>role_course_map[[#This Row],[role_id]] &amp; "|" &amp; role_course_map[[#This Row],[course_id]]</f>
        <v>R0055|79666</v>
      </c>
      <c r="L8" t="str">
        <f>IF(COUNTIF(role_course_map[mapping_key],role_course_map[[#This Row],[mapping_key]])&gt;1,"DUPLICATE","OK")</f>
        <v>OK</v>
      </c>
      <c r="M8" t="str">
        <f>IF(COUNTIF(role_data[role_id],role_course_map[[#This Row],[role_id]])=0, "INVALID","VALID")</f>
        <v>VALID</v>
      </c>
      <c r="N8" t="str">
        <f>IF(COUNTIF(course_data[course_id],role_course_map[[#This Row],[course_id]])=0, "INVALID","VALID")</f>
        <v>VALID</v>
      </c>
    </row>
    <row r="9" spans="1:14" x14ac:dyDescent="0.35">
      <c r="A9" t="s">
        <v>122</v>
      </c>
      <c r="B9" s="5" t="str">
        <f>_xlfn.XLOOKUP(role_course_map[[#This Row],[role_id]], role_data[role_id], role_data[Role],"")</f>
        <v>Business Support Manager</v>
      </c>
      <c r="C9">
        <v>999074</v>
      </c>
      <c r="D9" s="5" t="str">
        <f>_xlfn.XLOOKUP(role_course_map[[#This Row],[course_id]],course_data[course_id],course_data[title],"")</f>
        <v>SAS-specific Children’s rights</v>
      </c>
      <c r="E9" s="5" t="str">
        <f>_xlfn.XLOOKUP(role_course_map[[#This Row],[course_id]],course_data[course_id],course_data[topic],"")</f>
        <v>SAS : Public Protection</v>
      </c>
      <c r="F9" s="5" t="str">
        <f>_xlfn.XLOOKUP(role_course_map[[#This Row],[course_id]],course_data[course_id],course_data[type],"")</f>
        <v>eLearning</v>
      </c>
      <c r="K9" t="str">
        <f>role_course_map[[#This Row],[role_id]] &amp; "|" &amp; role_course_map[[#This Row],[course_id]]</f>
        <v>R0055|999074</v>
      </c>
      <c r="L9" t="str">
        <f>IF(COUNTIF(role_course_map[mapping_key],role_course_map[[#This Row],[mapping_key]])&gt;1,"DUPLICATE","OK")</f>
        <v>OK</v>
      </c>
      <c r="M9" t="str">
        <f>IF(COUNTIF(role_data[role_id],role_course_map[[#This Row],[role_id]])=0, "INVALID","VALID")</f>
        <v>VALID</v>
      </c>
      <c r="N9" t="str">
        <f>IF(COUNTIF(course_data[course_id],role_course_map[[#This Row],[course_id]])=0, "INVALID","VALID")</f>
        <v>VALID</v>
      </c>
    </row>
    <row r="10" spans="1:14" x14ac:dyDescent="0.35">
      <c r="A10" t="s">
        <v>122</v>
      </c>
      <c r="B10" s="5" t="str">
        <f>_xlfn.XLOOKUP(role_course_map[[#This Row],[role_id]], role_data[role_id], role_data[Role],"")</f>
        <v>Business Support Manager</v>
      </c>
      <c r="C10">
        <v>999075</v>
      </c>
      <c r="D10" s="5" t="str">
        <f>_xlfn.XLOOKUP(role_course_map[[#This Row],[course_id]],course_data[course_id],course_data[title],"")</f>
        <v>Multiagency local or bespoke Level 3 delivery training</v>
      </c>
      <c r="E10" s="5" t="str">
        <f>_xlfn.XLOOKUP(role_course_map[[#This Row],[course_id]],course_data[course_id],course_data[topic],"")</f>
        <v>SAS : Public Protection</v>
      </c>
      <c r="F10" s="5" t="str">
        <f>_xlfn.XLOOKUP(role_course_map[[#This Row],[course_id]],course_data[course_id],course_data[type],"")</f>
        <v>eLearning</v>
      </c>
      <c r="K10" t="str">
        <f>role_course_map[[#This Row],[role_id]] &amp; "|" &amp; role_course_map[[#This Row],[course_id]]</f>
        <v>R0055|999075</v>
      </c>
      <c r="L10" t="str">
        <f>IF(COUNTIF(role_course_map[mapping_key],role_course_map[[#This Row],[mapping_key]])&gt;1,"DUPLICATE","OK")</f>
        <v>OK</v>
      </c>
      <c r="M10" t="str">
        <f>IF(COUNTIF(role_data[role_id],role_course_map[[#This Row],[role_id]])=0, "INVALID","VALID")</f>
        <v>VALID</v>
      </c>
      <c r="N10" t="str">
        <f>IF(COUNTIF(course_data[course_id],role_course_map[[#This Row],[course_id]])=0, "INVALID","VALID")</f>
        <v>VALID</v>
      </c>
    </row>
    <row r="11" spans="1:14" x14ac:dyDescent="0.35">
      <c r="A11" t="s">
        <v>122</v>
      </c>
      <c r="B11" s="5" t="str">
        <f>_xlfn.XLOOKUP(role_course_map[[#This Row],[role_id]], role_data[role_id], role_data[Role],"")</f>
        <v>Business Support Manager</v>
      </c>
      <c r="C11">
        <v>15249</v>
      </c>
      <c r="D11" s="5" t="str">
        <f>_xlfn.XLOOKUP(role_course_map[[#This Row],[course_id]],course_data[course_id],course_data[title],"")</f>
        <v>Human trafficking</v>
      </c>
      <c r="E11" s="5" t="str">
        <f>_xlfn.XLOOKUP(role_course_map[[#This Row],[course_id]],course_data[course_id],course_data[topic],"")</f>
        <v>SAS : Public Protection</v>
      </c>
      <c r="F11" s="5" t="str">
        <f>_xlfn.XLOOKUP(role_course_map[[#This Row],[course_id]],course_data[course_id],course_data[type],"")</f>
        <v>eLearning</v>
      </c>
      <c r="K11" t="str">
        <f>role_course_map[[#This Row],[role_id]] &amp; "|" &amp; role_course_map[[#This Row],[course_id]]</f>
        <v>R0055|15249</v>
      </c>
      <c r="L11" t="str">
        <f>IF(COUNTIF(role_course_map[mapping_key],role_course_map[[#This Row],[mapping_key]])&gt;1,"DUPLICATE","OK")</f>
        <v>OK</v>
      </c>
      <c r="M11" t="str">
        <f>IF(COUNTIF(role_data[role_id],role_course_map[[#This Row],[role_id]])=0, "INVALID","VALID")</f>
        <v>VALID</v>
      </c>
      <c r="N11" t="str">
        <f>IF(COUNTIF(course_data[course_id],role_course_map[[#This Row],[course_id]])=0, "INVALID","VALID")</f>
        <v>VALID</v>
      </c>
    </row>
    <row r="12" spans="1:14" x14ac:dyDescent="0.35">
      <c r="A12" t="s">
        <v>158</v>
      </c>
      <c r="B12" s="5" t="str">
        <f>_xlfn.XLOOKUP(role_course_map[[#This Row],[role_id]], role_data[role_id], role_data[Role],"")</f>
        <v>National Dispatch Manager</v>
      </c>
      <c r="C12">
        <v>75406</v>
      </c>
      <c r="D12" s="5" t="str">
        <f>_xlfn.XLOOKUP(role_course_map[[#This Row],[course_id]],course_data[course_id],course_data[title],"")</f>
        <v>Foundation Leadership and Management Programme (FLMP)</v>
      </c>
      <c r="E12" s="5" t="str">
        <f>_xlfn.XLOOKUP(role_course_map[[#This Row],[course_id]],course_data[course_id],course_data[topic],"")</f>
        <v>SAS: Staff development and experience</v>
      </c>
      <c r="F12" s="5" t="str">
        <f>_xlfn.XLOOKUP(role_course_map[[#This Row],[course_id]],course_data[course_id],course_data[type],"")</f>
        <v>Page</v>
      </c>
      <c r="K12" t="str">
        <f>role_course_map[[#This Row],[role_id]] &amp; "|" &amp; role_course_map[[#This Row],[course_id]]</f>
        <v>R0073|75406</v>
      </c>
      <c r="L12" t="str">
        <f>IF(COUNTIF(role_course_map[mapping_key],role_course_map[[#This Row],[mapping_key]])&gt;1,"DUPLICATE","OK")</f>
        <v>OK</v>
      </c>
      <c r="M12" t="str">
        <f>IF(COUNTIF(role_data[role_id],role_course_map[[#This Row],[role_id]])=0, "INVALID","VALID")</f>
        <v>VALID</v>
      </c>
      <c r="N12" t="str">
        <f>IF(COUNTIF(course_data[course_id],role_course_map[[#This Row],[course_id]])=0, "INVALID","VALID")</f>
        <v>VALID</v>
      </c>
    </row>
    <row r="13" spans="1:14" x14ac:dyDescent="0.35">
      <c r="A13" t="s">
        <v>158</v>
      </c>
      <c r="B13" s="5" t="str">
        <f>_xlfn.XLOOKUP(role_course_map[[#This Row],[role_id]], role_data[role_id], role_data[Role],"")</f>
        <v>National Dispatch Manager</v>
      </c>
      <c r="C13">
        <v>89569</v>
      </c>
      <c r="D13" s="5" t="str">
        <f>_xlfn.XLOOKUP(role_course_map[[#This Row],[course_id]],course_data[course_id],course_data[title],"")</f>
        <v>LifeX for Supervisors</v>
      </c>
      <c r="E13" s="5" t="str">
        <f>_xlfn.XLOOKUP(role_course_map[[#This Row],[course_id]],course_data[course_id],course_data[topic],"")</f>
        <v>SAS: Systems Training</v>
      </c>
      <c r="F13" s="5" t="str">
        <f>_xlfn.XLOOKUP(role_course_map[[#This Row],[course_id]],course_data[course_id],course_data[type],"")</f>
        <v>Course</v>
      </c>
      <c r="K13" t="str">
        <f>role_course_map[[#This Row],[role_id]] &amp; "|" &amp; role_course_map[[#This Row],[course_id]]</f>
        <v>R0073|89569</v>
      </c>
      <c r="L13" t="str">
        <f>IF(COUNTIF(role_course_map[mapping_key],role_course_map[[#This Row],[mapping_key]])&gt;1,"DUPLICATE","OK")</f>
        <v>OK</v>
      </c>
      <c r="M13" t="str">
        <f>IF(COUNTIF(role_data[role_id],role_course_map[[#This Row],[role_id]])=0, "INVALID","VALID")</f>
        <v>VALID</v>
      </c>
      <c r="N13" t="str">
        <f>IF(COUNTIF(course_data[course_id],role_course_map[[#This Row],[course_id]])=0, "INVALID","VALID")</f>
        <v>VALID</v>
      </c>
    </row>
    <row r="14" spans="1:14" x14ac:dyDescent="0.35">
      <c r="A14" t="s">
        <v>158</v>
      </c>
      <c r="B14" s="5" t="str">
        <f>_xlfn.XLOOKUP(role_course_map[[#This Row],[role_id]], role_data[role_id], role_data[Role],"")</f>
        <v>National Dispatch Manager</v>
      </c>
      <c r="C14">
        <v>999091</v>
      </c>
      <c r="D14" s="5" t="str">
        <f>_xlfn.XLOOKUP(role_course_map[[#This Row],[course_id]],course_data[course_id],course_data[title],"")</f>
        <v>Intermediate Leadership Development Programme</v>
      </c>
      <c r="E14" s="5" t="str">
        <f>_xlfn.XLOOKUP(role_course_map[[#This Row],[course_id]],course_data[course_id],course_data[topic],"")</f>
        <v>SAS: Staff development and experience</v>
      </c>
      <c r="F14" s="5">
        <f>_xlfn.XLOOKUP(role_course_map[[#This Row],[course_id]],course_data[course_id],course_data[type],"")</f>
        <v>0</v>
      </c>
      <c r="K14" t="str">
        <f>role_course_map[[#This Row],[role_id]] &amp; "|" &amp; role_course_map[[#This Row],[course_id]]</f>
        <v>R0073|999091</v>
      </c>
      <c r="L14" t="str">
        <f>IF(COUNTIF(role_course_map[mapping_key],role_course_map[[#This Row],[mapping_key]])&gt;1,"DUPLICATE","OK")</f>
        <v>OK</v>
      </c>
      <c r="M14" t="str">
        <f>IF(COUNTIF(role_data[role_id],role_course_map[[#This Row],[role_id]])=0, "INVALID","VALID")</f>
        <v>VALID</v>
      </c>
      <c r="N14" t="str">
        <f>IF(COUNTIF(course_data[course_id],role_course_map[[#This Row],[course_id]])=0, "INVALID","VALID")</f>
        <v>VALID</v>
      </c>
    </row>
    <row r="15" spans="1:14" x14ac:dyDescent="0.35">
      <c r="A15" t="s">
        <v>158</v>
      </c>
      <c r="B15" s="5" t="str">
        <f>_xlfn.XLOOKUP(role_course_map[[#This Row],[role_id]], role_data[role_id], role_data[Role],"")</f>
        <v>National Dispatch Manager</v>
      </c>
      <c r="C15">
        <v>999058</v>
      </c>
      <c r="D15" s="5" t="str">
        <f>_xlfn.XLOOKUP(role_course_map[[#This Row],[course_id]],course_data[course_id],course_data[title],"")</f>
        <v>Stress Identification &amp; Stress Management</v>
      </c>
      <c r="E15" s="5" t="str">
        <f>_xlfn.XLOOKUP(role_course_map[[#This Row],[course_id]],course_data[course_id],course_data[topic],"")</f>
        <v>SAS : Health and Safety</v>
      </c>
      <c r="F15" s="5" t="str">
        <f>_xlfn.XLOOKUP(role_course_map[[#This Row],[course_id]],course_data[course_id],course_data[type],"")</f>
        <v>eLearning</v>
      </c>
      <c r="K15" t="str">
        <f>role_course_map[[#This Row],[role_id]] &amp; "|" &amp; role_course_map[[#This Row],[course_id]]</f>
        <v>R0073|999058</v>
      </c>
      <c r="L15" t="str">
        <f>IF(COUNTIF(role_course_map[mapping_key],role_course_map[[#This Row],[mapping_key]])&gt;1,"DUPLICATE","OK")</f>
        <v>OK</v>
      </c>
      <c r="M15" t="str">
        <f>IF(COUNTIF(role_data[role_id],role_course_map[[#This Row],[role_id]])=0, "INVALID","VALID")</f>
        <v>VALID</v>
      </c>
      <c r="N15" t="str">
        <f>IF(COUNTIF(course_data[course_id],role_course_map[[#This Row],[course_id]])=0, "INVALID","VALID")</f>
        <v>VALID</v>
      </c>
    </row>
    <row r="16" spans="1:14" x14ac:dyDescent="0.35">
      <c r="A16" t="s">
        <v>158</v>
      </c>
      <c r="B16" s="5" t="str">
        <f>_xlfn.XLOOKUP(role_course_map[[#This Row],[role_id]], role_data[role_id], role_data[Role],"")</f>
        <v>National Dispatch Manager</v>
      </c>
      <c r="C16">
        <v>79147</v>
      </c>
      <c r="D16" s="5" t="str">
        <f>_xlfn.XLOOKUP(role_course_map[[#This Row],[course_id]],course_data[course_id],course_data[title],"")</f>
        <v>Driving risks at work</v>
      </c>
      <c r="E16" s="5" t="str">
        <f>_xlfn.XLOOKUP(role_course_map[[#This Row],[course_id]],course_data[course_id],course_data[topic],"")</f>
        <v>SAS : Health and Safety</v>
      </c>
      <c r="F16" s="5" t="str">
        <f>_xlfn.XLOOKUP(role_course_map[[#This Row],[course_id]],course_data[course_id],course_data[type],"")</f>
        <v>eLearning</v>
      </c>
      <c r="K16" t="str">
        <f>role_course_map[[#This Row],[role_id]] &amp; "|" &amp; role_course_map[[#This Row],[course_id]]</f>
        <v>R0073|79147</v>
      </c>
      <c r="L16" t="str">
        <f>IF(COUNTIF(role_course_map[mapping_key],role_course_map[[#This Row],[mapping_key]])&gt;1,"DUPLICATE","OK")</f>
        <v>OK</v>
      </c>
      <c r="M16" t="str">
        <f>IF(COUNTIF(role_data[role_id],role_course_map[[#This Row],[role_id]])=0, "INVALID","VALID")</f>
        <v>VALID</v>
      </c>
      <c r="N16" t="str">
        <f>IF(COUNTIF(course_data[course_id],role_course_map[[#This Row],[course_id]])=0, "INVALID","VALID")</f>
        <v>VALID</v>
      </c>
    </row>
    <row r="17" spans="1:14" x14ac:dyDescent="0.35">
      <c r="A17" t="s">
        <v>122</v>
      </c>
      <c r="B17" s="5" t="str">
        <f>_xlfn.XLOOKUP(role_course_map[[#This Row],[role_id]], role_data[role_id], role_data[Role],"")</f>
        <v>Business Support Manager</v>
      </c>
      <c r="C17">
        <v>999057</v>
      </c>
      <c r="D17" s="5" t="str">
        <f>_xlfn.XLOOKUP(role_course_map[[#This Row],[course_id]],course_data[course_id],course_data[title],"")</f>
        <v>Fatigue Awareness</v>
      </c>
      <c r="E17" s="5" t="str">
        <f>_xlfn.XLOOKUP(role_course_map[[#This Row],[course_id]],course_data[course_id],course_data[topic],"")</f>
        <v>SAS : Health and Safety</v>
      </c>
      <c r="F17" s="5" t="str">
        <f>_xlfn.XLOOKUP(role_course_map[[#This Row],[course_id]],course_data[course_id],course_data[type],"")</f>
        <v>eLearning</v>
      </c>
      <c r="K17" t="str">
        <f>role_course_map[[#This Row],[role_id]] &amp; "|" &amp; role_course_map[[#This Row],[course_id]]</f>
        <v>R0055|999057</v>
      </c>
      <c r="L17" t="str">
        <f>IF(COUNTIF(role_course_map[mapping_key],role_course_map[[#This Row],[mapping_key]])&gt;1,"DUPLICATE","OK")</f>
        <v>DUPLICATE</v>
      </c>
      <c r="M17" t="str">
        <f>IF(COUNTIF(role_data[role_id],role_course_map[[#This Row],[role_id]])=0, "INVALID","VALID")</f>
        <v>VALID</v>
      </c>
      <c r="N17" t="str">
        <f>IF(COUNTIF(course_data[course_id],role_course_map[[#This Row],[course_id]])=0, "INVALID","VALID")</f>
        <v>VALID</v>
      </c>
    </row>
    <row r="18" spans="1:14" x14ac:dyDescent="0.35">
      <c r="A18" t="s">
        <v>158</v>
      </c>
      <c r="B18" s="5" t="str">
        <f>_xlfn.XLOOKUP(role_course_map[[#This Row],[role_id]], role_data[role_id], role_data[Role],"")</f>
        <v>National Dispatch Manager</v>
      </c>
      <c r="C18">
        <v>64322</v>
      </c>
      <c r="D18" s="5" t="str">
        <f>_xlfn.XLOOKUP(role_course_map[[#This Row],[course_id]],course_data[course_id],course_data[title],"")</f>
        <v>Adult support and protection: practice level 2 [skilled]</v>
      </c>
      <c r="E18" s="5" t="str">
        <f>_xlfn.XLOOKUP(role_course_map[[#This Row],[course_id]],course_data[course_id],course_data[topic],"")</f>
        <v>SAS : Public Protection</v>
      </c>
      <c r="F18" s="5" t="str">
        <f>_xlfn.XLOOKUP(role_course_map[[#This Row],[course_id]],course_data[course_id],course_data[type],"")</f>
        <v>eLearning</v>
      </c>
      <c r="K18" t="str">
        <f>role_course_map[[#This Row],[role_id]] &amp; "|" &amp; role_course_map[[#This Row],[course_id]]</f>
        <v>R0073|64322</v>
      </c>
      <c r="L18" t="str">
        <f>IF(COUNTIF(role_course_map[mapping_key],role_course_map[[#This Row],[mapping_key]])&gt;1,"DUPLICATE","OK")</f>
        <v>OK</v>
      </c>
      <c r="M18" t="str">
        <f>IF(COUNTIF(role_data[role_id],role_course_map[[#This Row],[role_id]])=0, "INVALID","VALID")</f>
        <v>VALID</v>
      </c>
      <c r="N18" t="str">
        <f>IF(COUNTIF(course_data[course_id],role_course_map[[#This Row],[course_id]])=0, "INVALID","VALID")</f>
        <v>VALID</v>
      </c>
    </row>
    <row r="19" spans="1:14" x14ac:dyDescent="0.35">
      <c r="A19" t="s">
        <v>158</v>
      </c>
      <c r="B19" s="5" t="str">
        <f>_xlfn.XLOOKUP(role_course_map[[#This Row],[role_id]], role_data[role_id], role_data[Role],"")</f>
        <v>National Dispatch Manager</v>
      </c>
      <c r="C19">
        <v>64324</v>
      </c>
      <c r="D19" s="5" t="str">
        <f>_xlfn.XLOOKUP(role_course_map[[#This Row],[course_id]],course_data[course_id],course_data[title],"")</f>
        <v>Child protection: practice level 2 [skilled]</v>
      </c>
      <c r="E19" s="5" t="str">
        <f>_xlfn.XLOOKUP(role_course_map[[#This Row],[course_id]],course_data[course_id],course_data[topic],"")</f>
        <v>SAS : Public Protection</v>
      </c>
      <c r="F19" s="5" t="str">
        <f>_xlfn.XLOOKUP(role_course_map[[#This Row],[course_id]],course_data[course_id],course_data[type],"")</f>
        <v>eLearning</v>
      </c>
      <c r="K19" t="str">
        <f>role_course_map[[#This Row],[role_id]] &amp; "|" &amp; role_course_map[[#This Row],[course_id]]</f>
        <v>R0073|64324</v>
      </c>
      <c r="L19" t="str">
        <f>IF(COUNTIF(role_course_map[mapping_key],role_course_map[[#This Row],[mapping_key]])&gt;1,"DUPLICATE","OK")</f>
        <v>OK</v>
      </c>
      <c r="M19" t="str">
        <f>IF(COUNTIF(role_data[role_id],role_course_map[[#This Row],[role_id]])=0, "INVALID","VALID")</f>
        <v>VALID</v>
      </c>
      <c r="N19" t="str">
        <f>IF(COUNTIF(course_data[course_id],role_course_map[[#This Row],[course_id]])=0, "INVALID","VALID")</f>
        <v>VALID</v>
      </c>
    </row>
    <row r="20" spans="1:14" x14ac:dyDescent="0.35">
      <c r="A20" t="s">
        <v>122</v>
      </c>
      <c r="B20" s="5" t="str">
        <f>_xlfn.XLOOKUP(role_course_map[[#This Row],[role_id]], role_data[role_id], role_data[Role],"")</f>
        <v>Business Support Manager</v>
      </c>
      <c r="C20">
        <v>76716</v>
      </c>
      <c r="D20" s="5" t="str">
        <f>_xlfn.XLOOKUP(role_course_map[[#This Row],[course_id]],course_data[course_id],course_data[title],"")</f>
        <v>Domestic abuse awareness training tool (DAART)</v>
      </c>
      <c r="E20" s="5" t="str">
        <f>_xlfn.XLOOKUP(role_course_map[[#This Row],[course_id]],course_data[course_id],course_data[topic],"")</f>
        <v>SAS : Public Protection</v>
      </c>
      <c r="F20" s="5" t="str">
        <f>_xlfn.XLOOKUP(role_course_map[[#This Row],[course_id]],course_data[course_id],course_data[type],"")</f>
        <v>eLearning</v>
      </c>
      <c r="K20" t="str">
        <f>role_course_map[[#This Row],[role_id]] &amp; "|" &amp; role_course_map[[#This Row],[course_id]]</f>
        <v>R0055|76716</v>
      </c>
      <c r="L20" t="str">
        <f>IF(COUNTIF(role_course_map[mapping_key],role_course_map[[#This Row],[mapping_key]])&gt;1,"DUPLICATE","OK")</f>
        <v>OK</v>
      </c>
      <c r="M20" t="str">
        <f>IF(COUNTIF(role_data[role_id],role_course_map[[#This Row],[role_id]])=0, "INVALID","VALID")</f>
        <v>VALID</v>
      </c>
      <c r="N20" t="str">
        <f>IF(COUNTIF(course_data[course_id],role_course_map[[#This Row],[course_id]])=0, "INVALID","VALID")</f>
        <v>VALID</v>
      </c>
    </row>
    <row r="21" spans="1:14" x14ac:dyDescent="0.35">
      <c r="A21" t="s">
        <v>158</v>
      </c>
      <c r="B21" s="5" t="str">
        <f>_xlfn.XLOOKUP(role_course_map[[#This Row],[role_id]], role_data[role_id], role_data[Role],"")</f>
        <v>National Dispatch Manager</v>
      </c>
      <c r="C21">
        <v>79666</v>
      </c>
      <c r="D21" s="5" t="str">
        <f>_xlfn.XLOOKUP(role_course_map[[#This Row],[course_id]],course_data[course_id],course_data[title],"")</f>
        <v>Getting it right for every child (GIRFEC): informed level</v>
      </c>
      <c r="E21" s="5" t="str">
        <f>_xlfn.XLOOKUP(role_course_map[[#This Row],[course_id]],course_data[course_id],course_data[topic],"")</f>
        <v>SAS : Public Protection</v>
      </c>
      <c r="F21" s="5" t="str">
        <f>_xlfn.XLOOKUP(role_course_map[[#This Row],[course_id]],course_data[course_id],course_data[type],"")</f>
        <v>eLearning</v>
      </c>
      <c r="K21" t="str">
        <f>role_course_map[[#This Row],[role_id]] &amp; "|" &amp; role_course_map[[#This Row],[course_id]]</f>
        <v>R0073|79666</v>
      </c>
      <c r="L21" t="str">
        <f>IF(COUNTIF(role_course_map[mapping_key],role_course_map[[#This Row],[mapping_key]])&gt;1,"DUPLICATE","OK")</f>
        <v>OK</v>
      </c>
      <c r="M21" t="str">
        <f>IF(COUNTIF(role_data[role_id],role_course_map[[#This Row],[role_id]])=0, "INVALID","VALID")</f>
        <v>VALID</v>
      </c>
      <c r="N21" t="str">
        <f>IF(COUNTIF(course_data[course_id],role_course_map[[#This Row],[course_id]])=0, "INVALID","VALID")</f>
        <v>VALID</v>
      </c>
    </row>
    <row r="22" spans="1:14" x14ac:dyDescent="0.35">
      <c r="A22" t="s">
        <v>158</v>
      </c>
      <c r="B22" s="5" t="str">
        <f>_xlfn.XLOOKUP(role_course_map[[#This Row],[role_id]], role_data[role_id], role_data[Role],"")</f>
        <v>National Dispatch Manager</v>
      </c>
      <c r="C22">
        <v>999074</v>
      </c>
      <c r="D22" s="5" t="str">
        <f>_xlfn.XLOOKUP(role_course_map[[#This Row],[course_id]],course_data[course_id],course_data[title],"")</f>
        <v>SAS-specific Children’s rights</v>
      </c>
      <c r="E22" s="5" t="str">
        <f>_xlfn.XLOOKUP(role_course_map[[#This Row],[course_id]],course_data[course_id],course_data[topic],"")</f>
        <v>SAS : Public Protection</v>
      </c>
      <c r="F22" s="5" t="str">
        <f>_xlfn.XLOOKUP(role_course_map[[#This Row],[course_id]],course_data[course_id],course_data[type],"")</f>
        <v>eLearning</v>
      </c>
      <c r="K22" t="str">
        <f>role_course_map[[#This Row],[role_id]] &amp; "|" &amp; role_course_map[[#This Row],[course_id]]</f>
        <v>R0073|999074</v>
      </c>
      <c r="L22" t="str">
        <f>IF(COUNTIF(role_course_map[mapping_key],role_course_map[[#This Row],[mapping_key]])&gt;1,"DUPLICATE","OK")</f>
        <v>OK</v>
      </c>
      <c r="M22" t="str">
        <f>IF(COUNTIF(role_data[role_id],role_course_map[[#This Row],[role_id]])=0, "INVALID","VALID")</f>
        <v>VALID</v>
      </c>
      <c r="N22" t="str">
        <f>IF(COUNTIF(course_data[course_id],role_course_map[[#This Row],[course_id]])=0, "INVALID","VALID")</f>
        <v>VALID</v>
      </c>
    </row>
    <row r="23" spans="1:14" x14ac:dyDescent="0.35">
      <c r="A23" t="s">
        <v>158</v>
      </c>
      <c r="B23" s="5" t="str">
        <f>_xlfn.XLOOKUP(role_course_map[[#This Row],[role_id]], role_data[role_id], role_data[Role],"")</f>
        <v>National Dispatch Manager</v>
      </c>
      <c r="C23">
        <v>999075</v>
      </c>
      <c r="D23" s="5" t="str">
        <f>_xlfn.XLOOKUP(role_course_map[[#This Row],[course_id]],course_data[course_id],course_data[title],"")</f>
        <v>Multiagency local or bespoke Level 3 delivery training</v>
      </c>
      <c r="E23" s="5" t="str">
        <f>_xlfn.XLOOKUP(role_course_map[[#This Row],[course_id]],course_data[course_id],course_data[topic],"")</f>
        <v>SAS : Public Protection</v>
      </c>
      <c r="F23" s="5" t="str">
        <f>_xlfn.XLOOKUP(role_course_map[[#This Row],[course_id]],course_data[course_id],course_data[type],"")</f>
        <v>eLearning</v>
      </c>
      <c r="K23" t="str">
        <f>role_course_map[[#This Row],[role_id]] &amp; "|" &amp; role_course_map[[#This Row],[course_id]]</f>
        <v>R0073|999075</v>
      </c>
      <c r="L23" t="str">
        <f>IF(COUNTIF(role_course_map[mapping_key],role_course_map[[#This Row],[mapping_key]])&gt;1,"DUPLICATE","OK")</f>
        <v>OK</v>
      </c>
      <c r="M23" t="str">
        <f>IF(COUNTIF(role_data[role_id],role_course_map[[#This Row],[role_id]])=0, "INVALID","VALID")</f>
        <v>VALID</v>
      </c>
      <c r="N23" t="str">
        <f>IF(COUNTIF(course_data[course_id],role_course_map[[#This Row],[course_id]])=0, "INVALID","VALID")</f>
        <v>VALID</v>
      </c>
    </row>
    <row r="24" spans="1:14" x14ac:dyDescent="0.35">
      <c r="A24" t="s">
        <v>158</v>
      </c>
      <c r="B24" s="5" t="str">
        <f>_xlfn.XLOOKUP(role_course_map[[#This Row],[role_id]], role_data[role_id], role_data[Role],"")</f>
        <v>National Dispatch Manager</v>
      </c>
      <c r="C24">
        <v>15249</v>
      </c>
      <c r="D24" s="5" t="str">
        <f>_xlfn.XLOOKUP(role_course_map[[#This Row],[course_id]],course_data[course_id],course_data[title],"")</f>
        <v>Human trafficking</v>
      </c>
      <c r="E24" s="5" t="str">
        <f>_xlfn.XLOOKUP(role_course_map[[#This Row],[course_id]],course_data[course_id],course_data[topic],"")</f>
        <v>SAS : Public Protection</v>
      </c>
      <c r="F24" s="5" t="str">
        <f>_xlfn.XLOOKUP(role_course_map[[#This Row],[course_id]],course_data[course_id],course_data[type],"")</f>
        <v>eLearning</v>
      </c>
      <c r="K24" t="str">
        <f>role_course_map[[#This Row],[role_id]] &amp; "|" &amp; role_course_map[[#This Row],[course_id]]</f>
        <v>R0073|15249</v>
      </c>
      <c r="L24" t="str">
        <f>IF(COUNTIF(role_course_map[mapping_key],role_course_map[[#This Row],[mapping_key]])&gt;1,"DUPLICATE","OK")</f>
        <v>OK</v>
      </c>
      <c r="M24" t="str">
        <f>IF(COUNTIF(role_data[role_id],role_course_map[[#This Row],[role_id]])=0, "INVALID","VALID")</f>
        <v>VALID</v>
      </c>
      <c r="N24" t="str">
        <f>IF(COUNTIF(course_data[course_id],role_course_map[[#This Row],[course_id]])=0, "INVALID","VALID")</f>
        <v>VALID</v>
      </c>
    </row>
    <row r="25" spans="1:14" x14ac:dyDescent="0.35">
      <c r="A25" t="s">
        <v>122</v>
      </c>
      <c r="B25" s="5" t="str">
        <f>_xlfn.XLOOKUP(role_course_map[[#This Row],[role_id]], role_data[role_id], role_data[Role],"")</f>
        <v>Business Support Manager</v>
      </c>
      <c r="C25">
        <v>999092</v>
      </c>
      <c r="D25" s="5" t="str">
        <f>_xlfn.XLOOKUP(role_course_map[[#This Row],[course_id]],course_data[course_id],course_data[title],"")</f>
        <v>Health &amp; Wellbeing Awareness for Managers</v>
      </c>
      <c r="E25" s="5" t="str">
        <f>_xlfn.XLOOKUP(role_course_map[[#This Row],[course_id]],course_data[course_id],course_data[topic],"")</f>
        <v>SAS: Staff development and experience</v>
      </c>
      <c r="F25" s="5" t="str">
        <f>_xlfn.XLOOKUP(role_course_map[[#This Row],[course_id]],course_data[course_id],course_data[type],"")</f>
        <v>eLearning</v>
      </c>
      <c r="K25" t="str">
        <f>role_course_map[[#This Row],[role_id]] &amp; "|" &amp; role_course_map[[#This Row],[course_id]]</f>
        <v>R0055|999092</v>
      </c>
      <c r="L25" t="str">
        <f>IF(COUNTIF(role_course_map[mapping_key],role_course_map[[#This Row],[mapping_key]])&gt;1,"DUPLICATE","OK")</f>
        <v>OK</v>
      </c>
      <c r="M25" t="str">
        <f>IF(COUNTIF(role_data[role_id],role_course_map[[#This Row],[role_id]])=0, "INVALID","VALID")</f>
        <v>VALID</v>
      </c>
      <c r="N25" t="str">
        <f>IF(COUNTIF(course_data[course_id],role_course_map[[#This Row],[course_id]])=0, "INVALID","VALID")</f>
        <v>VALID</v>
      </c>
    </row>
    <row r="26" spans="1:14" x14ac:dyDescent="0.35">
      <c r="A26" t="s">
        <v>158</v>
      </c>
      <c r="B26" s="5" t="str">
        <f>_xlfn.XLOOKUP(role_course_map[[#This Row],[role_id]], role_data[role_id], role_data[Role],"")</f>
        <v>National Dispatch Manager</v>
      </c>
      <c r="C26">
        <v>999093</v>
      </c>
      <c r="D26" s="5" t="str">
        <f>_xlfn.XLOOKUP(role_course_map[[#This Row],[course_id]],course_data[course_id],course_data[title],"")</f>
        <v>Managing Wellbeing Refresher for Managers</v>
      </c>
      <c r="E26" s="5" t="str">
        <f>_xlfn.XLOOKUP(role_course_map[[#This Row],[course_id]],course_data[course_id],course_data[topic],"")</f>
        <v>SAS: Staff development and experience</v>
      </c>
      <c r="F26" s="5" t="str">
        <f>_xlfn.XLOOKUP(role_course_map[[#This Row],[course_id]],course_data[course_id],course_data[type],"")</f>
        <v>eLearning</v>
      </c>
      <c r="K26" t="str">
        <f>role_course_map[[#This Row],[role_id]] &amp; "|" &amp; role_course_map[[#This Row],[course_id]]</f>
        <v>R0073|999093</v>
      </c>
      <c r="L26" t="str">
        <f>IF(COUNTIF(role_course_map[mapping_key],role_course_map[[#This Row],[mapping_key]])&gt;1,"DUPLICATE","OK")</f>
        <v>OK</v>
      </c>
      <c r="M26" t="str">
        <f>IF(COUNTIF(role_data[role_id],role_course_map[[#This Row],[role_id]])=0, "INVALID","VALID")</f>
        <v>VALID</v>
      </c>
      <c r="N26" t="str">
        <f>IF(COUNTIF(course_data[course_id],role_course_map[[#This Row],[course_id]])=0, "INVALID","VALID")</f>
        <v>VALID</v>
      </c>
    </row>
    <row r="27" spans="1:14" x14ac:dyDescent="0.35">
      <c r="A27" t="s">
        <v>122</v>
      </c>
      <c r="B27" s="5" t="str">
        <f>_xlfn.XLOOKUP(role_course_map[[#This Row],[role_id]], role_data[role_id], role_data[Role],"")</f>
        <v>Business Support Manager</v>
      </c>
      <c r="C27">
        <v>999094</v>
      </c>
      <c r="D27" s="5" t="str">
        <f>_xlfn.XLOOKUP(role_course_map[[#This Row],[course_id]],course_data[course_id],course_data[title],"")</f>
        <v>Being well, Mind, Body &amp; Workplace</v>
      </c>
      <c r="E27" s="5" t="str">
        <f>_xlfn.XLOOKUP(role_course_map[[#This Row],[course_id]],course_data[course_id],course_data[topic],"")</f>
        <v>SAS: Staff development and experience</v>
      </c>
      <c r="F27" s="5" t="str">
        <f>_xlfn.XLOOKUP(role_course_map[[#This Row],[course_id]],course_data[course_id],course_data[type],"")</f>
        <v>eLearning</v>
      </c>
      <c r="K27" t="str">
        <f>role_course_map[[#This Row],[role_id]] &amp; "|" &amp; role_course_map[[#This Row],[course_id]]</f>
        <v>R0055|999094</v>
      </c>
      <c r="L27" t="str">
        <f>IF(COUNTIF(role_course_map[mapping_key],role_course_map[[#This Row],[mapping_key]])&gt;1,"DUPLICATE","OK")</f>
        <v>DUPLICATE</v>
      </c>
      <c r="M27" t="str">
        <f>IF(COUNTIF(role_data[role_id],role_course_map[[#This Row],[role_id]])=0, "INVALID","VALID")</f>
        <v>VALID</v>
      </c>
      <c r="N27" t="str">
        <f>IF(COUNTIF(course_data[course_id],role_course_map[[#This Row],[course_id]])=0, "INVALID","VALID")</f>
        <v>VALID</v>
      </c>
    </row>
    <row r="28" spans="1:14" x14ac:dyDescent="0.35">
      <c r="A28" t="s">
        <v>128</v>
      </c>
      <c r="B28" s="5" t="str">
        <f>_xlfn.XLOOKUP(role_course_map[[#This Row],[role_id]], role_data[role_id], role_data[Role],"")</f>
        <v>Call Performance Manager</v>
      </c>
      <c r="C28">
        <v>89569</v>
      </c>
      <c r="D28" s="5" t="str">
        <f>_xlfn.XLOOKUP(role_course_map[[#This Row],[course_id]],course_data[course_id],course_data[title],"")</f>
        <v>LifeX for Supervisors</v>
      </c>
      <c r="E28" s="5" t="str">
        <f>_xlfn.XLOOKUP(role_course_map[[#This Row],[course_id]],course_data[course_id],course_data[topic],"")</f>
        <v>SAS: Systems Training</v>
      </c>
      <c r="F28" s="5" t="str">
        <f>_xlfn.XLOOKUP(role_course_map[[#This Row],[course_id]],course_data[course_id],course_data[type],"")</f>
        <v>Course</v>
      </c>
      <c r="K28" t="str">
        <f>role_course_map[[#This Row],[role_id]] &amp; "|" &amp; role_course_map[[#This Row],[course_id]]</f>
        <v>R0058|89569</v>
      </c>
      <c r="L28" t="str">
        <f>IF(COUNTIF(role_course_map[mapping_key],role_course_map[[#This Row],[mapping_key]])&gt;1,"DUPLICATE","OK")</f>
        <v>OK</v>
      </c>
      <c r="M28" t="str">
        <f>IF(COUNTIF(role_data[role_id],role_course_map[[#This Row],[role_id]])=0, "INVALID","VALID")</f>
        <v>VALID</v>
      </c>
      <c r="N28" t="str">
        <f>IF(COUNTIF(course_data[course_id],role_course_map[[#This Row],[course_id]])=0, "INVALID","VALID")</f>
        <v>VALID</v>
      </c>
    </row>
    <row r="29" spans="1:14" x14ac:dyDescent="0.35">
      <c r="A29" t="s">
        <v>128</v>
      </c>
      <c r="B29" s="5" t="str">
        <f>_xlfn.XLOOKUP(role_course_map[[#This Row],[role_id]], role_data[role_id], role_data[Role],"")</f>
        <v>Call Performance Manager</v>
      </c>
      <c r="C29">
        <v>999001</v>
      </c>
      <c r="D29" s="5" t="str">
        <f>_xlfn.XLOOKUP(role_course_map[[#This Row],[course_id]],course_data[course_id],course_data[title],"")</f>
        <v>IAED - EMD</v>
      </c>
      <c r="E29" s="5" t="str">
        <f>_xlfn.XLOOKUP(role_course_map[[#This Row],[course_id]],course_data[course_id],course_data[topic],"")</f>
        <v>SAS : Ambulance Control Centre (ACC)</v>
      </c>
      <c r="F29" s="5" t="str">
        <f>_xlfn.XLOOKUP(role_course_map[[#This Row],[course_id]],course_data[course_id],course_data[type],"")</f>
        <v>Course</v>
      </c>
      <c r="K29" t="str">
        <f>role_course_map[[#This Row],[role_id]] &amp; "|" &amp; role_course_map[[#This Row],[course_id]]</f>
        <v>R0058|999001</v>
      </c>
      <c r="L29" t="str">
        <f>IF(COUNTIF(role_course_map[mapping_key],role_course_map[[#This Row],[mapping_key]])&gt;1,"DUPLICATE","OK")</f>
        <v>OK</v>
      </c>
      <c r="M29" t="str">
        <f>IF(COUNTIF(role_data[role_id],role_course_map[[#This Row],[role_id]])=0, "INVALID","VALID")</f>
        <v>VALID</v>
      </c>
      <c r="N29" t="str">
        <f>IF(COUNTIF(course_data[course_id],role_course_map[[#This Row],[course_id]])=0, "INVALID","VALID")</f>
        <v>VALID</v>
      </c>
    </row>
    <row r="30" spans="1:14" x14ac:dyDescent="0.35">
      <c r="A30" t="s">
        <v>128</v>
      </c>
      <c r="B30" s="5" t="str">
        <f>_xlfn.XLOOKUP(role_course_map[[#This Row],[role_id]], role_data[role_id], role_data[Role],"")</f>
        <v>Call Performance Manager</v>
      </c>
      <c r="C30">
        <v>75406</v>
      </c>
      <c r="D30" s="5" t="str">
        <f>_xlfn.XLOOKUP(role_course_map[[#This Row],[course_id]],course_data[course_id],course_data[title],"")</f>
        <v>Foundation Leadership and Management Programme (FLMP)</v>
      </c>
      <c r="E30" s="5" t="str">
        <f>_xlfn.XLOOKUP(role_course_map[[#This Row],[course_id]],course_data[course_id],course_data[topic],"")</f>
        <v>SAS: Staff development and experience</v>
      </c>
      <c r="F30" s="5" t="str">
        <f>_xlfn.XLOOKUP(role_course_map[[#This Row],[course_id]],course_data[course_id],course_data[type],"")</f>
        <v>Page</v>
      </c>
      <c r="K30" t="str">
        <f>role_course_map[[#This Row],[role_id]] &amp; "|" &amp; role_course_map[[#This Row],[course_id]]</f>
        <v>R0058|75406</v>
      </c>
      <c r="L30" t="str">
        <f>IF(COUNTIF(role_course_map[mapping_key],role_course_map[[#This Row],[mapping_key]])&gt;1,"DUPLICATE","OK")</f>
        <v>OK</v>
      </c>
      <c r="M30" t="str">
        <f>IF(COUNTIF(role_data[role_id],role_course_map[[#This Row],[role_id]])=0, "INVALID","VALID")</f>
        <v>VALID</v>
      </c>
      <c r="N30" t="str">
        <f>IF(COUNTIF(course_data[course_id],role_course_map[[#This Row],[course_id]])=0, "INVALID","VALID")</f>
        <v>VALID</v>
      </c>
    </row>
    <row r="31" spans="1:14" x14ac:dyDescent="0.35">
      <c r="A31" t="s">
        <v>128</v>
      </c>
      <c r="B31" s="5" t="str">
        <f>_xlfn.XLOOKUP(role_course_map[[#This Row],[role_id]], role_data[role_id], role_data[Role],"")</f>
        <v>Call Performance Manager</v>
      </c>
      <c r="C31">
        <v>999091</v>
      </c>
      <c r="D31" s="5" t="str">
        <f>_xlfn.XLOOKUP(role_course_map[[#This Row],[course_id]],course_data[course_id],course_data[title],"")</f>
        <v>Intermediate Leadership Development Programme</v>
      </c>
      <c r="E31" s="5" t="str">
        <f>_xlfn.XLOOKUP(role_course_map[[#This Row],[course_id]],course_data[course_id],course_data[topic],"")</f>
        <v>SAS: Staff development and experience</v>
      </c>
      <c r="F31" s="5">
        <f>_xlfn.XLOOKUP(role_course_map[[#This Row],[course_id]],course_data[course_id],course_data[type],"")</f>
        <v>0</v>
      </c>
      <c r="K31" t="str">
        <f>role_course_map[[#This Row],[role_id]] &amp; "|" &amp; role_course_map[[#This Row],[course_id]]</f>
        <v>R0058|999091</v>
      </c>
      <c r="L31" t="str">
        <f>IF(COUNTIF(role_course_map[mapping_key],role_course_map[[#This Row],[mapping_key]])&gt;1,"DUPLICATE","OK")</f>
        <v>OK</v>
      </c>
      <c r="M31" t="str">
        <f>IF(COUNTIF(role_data[role_id],role_course_map[[#This Row],[role_id]])=0, "INVALID","VALID")</f>
        <v>VALID</v>
      </c>
      <c r="N31" t="str">
        <f>IF(COUNTIF(course_data[course_id],role_course_map[[#This Row],[course_id]])=0, "INVALID","VALID")</f>
        <v>VALID</v>
      </c>
    </row>
    <row r="32" spans="1:14" x14ac:dyDescent="0.35">
      <c r="A32" t="s">
        <v>128</v>
      </c>
      <c r="B32" s="5" t="str">
        <f>_xlfn.XLOOKUP(role_course_map[[#This Row],[role_id]], role_data[role_id], role_data[Role],"")</f>
        <v>Call Performance Manager</v>
      </c>
      <c r="C32">
        <v>999058</v>
      </c>
      <c r="D32" s="5" t="str">
        <f>_xlfn.XLOOKUP(role_course_map[[#This Row],[course_id]],course_data[course_id],course_data[title],"")</f>
        <v>Stress Identification &amp; Stress Management</v>
      </c>
      <c r="E32" s="5" t="str">
        <f>_xlfn.XLOOKUP(role_course_map[[#This Row],[course_id]],course_data[course_id],course_data[topic],"")</f>
        <v>SAS : Health and Safety</v>
      </c>
      <c r="F32" s="5" t="str">
        <f>_xlfn.XLOOKUP(role_course_map[[#This Row],[course_id]],course_data[course_id],course_data[type],"")</f>
        <v>eLearning</v>
      </c>
      <c r="K32" t="str">
        <f>role_course_map[[#This Row],[role_id]] &amp; "|" &amp; role_course_map[[#This Row],[course_id]]</f>
        <v>R0058|999058</v>
      </c>
      <c r="L32" t="str">
        <f>IF(COUNTIF(role_course_map[mapping_key],role_course_map[[#This Row],[mapping_key]])&gt;1,"DUPLICATE","OK")</f>
        <v>OK</v>
      </c>
      <c r="M32" t="str">
        <f>IF(COUNTIF(role_data[role_id],role_course_map[[#This Row],[role_id]])=0, "INVALID","VALID")</f>
        <v>VALID</v>
      </c>
      <c r="N32" t="str">
        <f>IF(COUNTIF(course_data[course_id],role_course_map[[#This Row],[course_id]])=0, "INVALID","VALID")</f>
        <v>VALID</v>
      </c>
    </row>
    <row r="33" spans="1:14" x14ac:dyDescent="0.35">
      <c r="A33" t="s">
        <v>128</v>
      </c>
      <c r="B33" s="5" t="str">
        <f>_xlfn.XLOOKUP(role_course_map[[#This Row],[role_id]], role_data[role_id], role_data[Role],"")</f>
        <v>Call Performance Manager</v>
      </c>
      <c r="C33">
        <v>79147</v>
      </c>
      <c r="D33" s="5" t="str">
        <f>_xlfn.XLOOKUP(role_course_map[[#This Row],[course_id]],course_data[course_id],course_data[title],"")</f>
        <v>Driving risks at work</v>
      </c>
      <c r="E33" s="5" t="str">
        <f>_xlfn.XLOOKUP(role_course_map[[#This Row],[course_id]],course_data[course_id],course_data[topic],"")</f>
        <v>SAS : Health and Safety</v>
      </c>
      <c r="F33" s="5" t="str">
        <f>_xlfn.XLOOKUP(role_course_map[[#This Row],[course_id]],course_data[course_id],course_data[type],"")</f>
        <v>eLearning</v>
      </c>
      <c r="K33" t="str">
        <f>role_course_map[[#This Row],[role_id]] &amp; "|" &amp; role_course_map[[#This Row],[course_id]]</f>
        <v>R0058|79147</v>
      </c>
      <c r="L33" t="str">
        <f>IF(COUNTIF(role_course_map[mapping_key],role_course_map[[#This Row],[mapping_key]])&gt;1,"DUPLICATE","OK")</f>
        <v>OK</v>
      </c>
      <c r="M33" t="str">
        <f>IF(COUNTIF(role_data[role_id],role_course_map[[#This Row],[role_id]])=0, "INVALID","VALID")</f>
        <v>VALID</v>
      </c>
      <c r="N33" t="str">
        <f>IF(COUNTIF(course_data[course_id],role_course_map[[#This Row],[course_id]])=0, "INVALID","VALID")</f>
        <v>VALID</v>
      </c>
    </row>
    <row r="34" spans="1:14" x14ac:dyDescent="0.35">
      <c r="A34" t="s">
        <v>158</v>
      </c>
      <c r="B34" s="5" t="str">
        <f>_xlfn.XLOOKUP(role_course_map[[#This Row],[role_id]], role_data[role_id], role_data[Role],"")</f>
        <v>National Dispatch Manager</v>
      </c>
      <c r="C34">
        <v>999057</v>
      </c>
      <c r="D34" s="5" t="str">
        <f>_xlfn.XLOOKUP(role_course_map[[#This Row],[course_id]],course_data[course_id],course_data[title],"")</f>
        <v>Fatigue Awareness</v>
      </c>
      <c r="E34" s="5" t="str">
        <f>_xlfn.XLOOKUP(role_course_map[[#This Row],[course_id]],course_data[course_id],course_data[topic],"")</f>
        <v>SAS : Health and Safety</v>
      </c>
      <c r="F34" s="5" t="str">
        <f>_xlfn.XLOOKUP(role_course_map[[#This Row],[course_id]],course_data[course_id],course_data[type],"")</f>
        <v>eLearning</v>
      </c>
      <c r="K34" t="str">
        <f>role_course_map[[#This Row],[role_id]] &amp; "|" &amp; role_course_map[[#This Row],[course_id]]</f>
        <v>R0073|999057</v>
      </c>
      <c r="L34" t="str">
        <f>IF(COUNTIF(role_course_map[mapping_key],role_course_map[[#This Row],[mapping_key]])&gt;1,"DUPLICATE","OK")</f>
        <v>OK</v>
      </c>
      <c r="M34" t="str">
        <f>IF(COUNTIF(role_data[role_id],role_course_map[[#This Row],[role_id]])=0, "INVALID","VALID")</f>
        <v>VALID</v>
      </c>
      <c r="N34" t="str">
        <f>IF(COUNTIF(course_data[course_id],role_course_map[[#This Row],[course_id]])=0, "INVALID","VALID")</f>
        <v>VALID</v>
      </c>
    </row>
    <row r="35" spans="1:14" x14ac:dyDescent="0.35">
      <c r="A35" t="s">
        <v>128</v>
      </c>
      <c r="B35" s="5" t="str">
        <f>_xlfn.XLOOKUP(role_course_map[[#This Row],[role_id]], role_data[role_id], role_data[Role],"")</f>
        <v>Call Performance Manager</v>
      </c>
      <c r="C35">
        <v>64322</v>
      </c>
      <c r="D35" s="5" t="str">
        <f>_xlfn.XLOOKUP(role_course_map[[#This Row],[course_id]],course_data[course_id],course_data[title],"")</f>
        <v>Adult support and protection: practice level 2 [skilled]</v>
      </c>
      <c r="E35" s="5" t="str">
        <f>_xlfn.XLOOKUP(role_course_map[[#This Row],[course_id]],course_data[course_id],course_data[topic],"")</f>
        <v>SAS : Public Protection</v>
      </c>
      <c r="F35" s="5" t="str">
        <f>_xlfn.XLOOKUP(role_course_map[[#This Row],[course_id]],course_data[course_id],course_data[type],"")</f>
        <v>eLearning</v>
      </c>
      <c r="K35" t="str">
        <f>role_course_map[[#This Row],[role_id]] &amp; "|" &amp; role_course_map[[#This Row],[course_id]]</f>
        <v>R0058|64322</v>
      </c>
      <c r="L35" t="str">
        <f>IF(COUNTIF(role_course_map[mapping_key],role_course_map[[#This Row],[mapping_key]])&gt;1,"DUPLICATE","OK")</f>
        <v>OK</v>
      </c>
      <c r="M35" t="str">
        <f>IF(COUNTIF(role_data[role_id],role_course_map[[#This Row],[role_id]])=0, "INVALID","VALID")</f>
        <v>VALID</v>
      </c>
      <c r="N35" t="str">
        <f>IF(COUNTIF(course_data[course_id],role_course_map[[#This Row],[course_id]])=0, "INVALID","VALID")</f>
        <v>VALID</v>
      </c>
    </row>
    <row r="36" spans="1:14" x14ac:dyDescent="0.35">
      <c r="A36" t="s">
        <v>128</v>
      </c>
      <c r="B36" s="5" t="str">
        <f>_xlfn.XLOOKUP(role_course_map[[#This Row],[role_id]], role_data[role_id], role_data[Role],"")</f>
        <v>Call Performance Manager</v>
      </c>
      <c r="C36">
        <v>64324</v>
      </c>
      <c r="D36" s="5" t="str">
        <f>_xlfn.XLOOKUP(role_course_map[[#This Row],[course_id]],course_data[course_id],course_data[title],"")</f>
        <v>Child protection: practice level 2 [skilled]</v>
      </c>
      <c r="E36" s="5" t="str">
        <f>_xlfn.XLOOKUP(role_course_map[[#This Row],[course_id]],course_data[course_id],course_data[topic],"")</f>
        <v>SAS : Public Protection</v>
      </c>
      <c r="F36" s="5" t="str">
        <f>_xlfn.XLOOKUP(role_course_map[[#This Row],[course_id]],course_data[course_id],course_data[type],"")</f>
        <v>eLearning</v>
      </c>
      <c r="K36" t="str">
        <f>role_course_map[[#This Row],[role_id]] &amp; "|" &amp; role_course_map[[#This Row],[course_id]]</f>
        <v>R0058|64324</v>
      </c>
      <c r="L36" t="str">
        <f>IF(COUNTIF(role_course_map[mapping_key],role_course_map[[#This Row],[mapping_key]])&gt;1,"DUPLICATE","OK")</f>
        <v>OK</v>
      </c>
      <c r="M36" t="str">
        <f>IF(COUNTIF(role_data[role_id],role_course_map[[#This Row],[role_id]])=0, "INVALID","VALID")</f>
        <v>VALID</v>
      </c>
      <c r="N36" t="str">
        <f>IF(COUNTIF(course_data[course_id],role_course_map[[#This Row],[course_id]])=0, "INVALID","VALID")</f>
        <v>VALID</v>
      </c>
    </row>
    <row r="37" spans="1:14" x14ac:dyDescent="0.35">
      <c r="A37" t="s">
        <v>158</v>
      </c>
      <c r="B37" s="5" t="str">
        <f>_xlfn.XLOOKUP(role_course_map[[#This Row],[role_id]], role_data[role_id], role_data[Role],"")</f>
        <v>National Dispatch Manager</v>
      </c>
      <c r="C37">
        <v>76716</v>
      </c>
      <c r="D37" s="5" t="str">
        <f>_xlfn.XLOOKUP(role_course_map[[#This Row],[course_id]],course_data[course_id],course_data[title],"")</f>
        <v>Domestic abuse awareness training tool (DAART)</v>
      </c>
      <c r="E37" s="5" t="str">
        <f>_xlfn.XLOOKUP(role_course_map[[#This Row],[course_id]],course_data[course_id],course_data[topic],"")</f>
        <v>SAS : Public Protection</v>
      </c>
      <c r="F37" s="5" t="str">
        <f>_xlfn.XLOOKUP(role_course_map[[#This Row],[course_id]],course_data[course_id],course_data[type],"")</f>
        <v>eLearning</v>
      </c>
      <c r="K37" t="str">
        <f>role_course_map[[#This Row],[role_id]] &amp; "|" &amp; role_course_map[[#This Row],[course_id]]</f>
        <v>R0073|76716</v>
      </c>
      <c r="L37" t="str">
        <f>IF(COUNTIF(role_course_map[mapping_key],role_course_map[[#This Row],[mapping_key]])&gt;1,"DUPLICATE","OK")</f>
        <v>OK</v>
      </c>
      <c r="M37" t="str">
        <f>IF(COUNTIF(role_data[role_id],role_course_map[[#This Row],[role_id]])=0, "INVALID","VALID")</f>
        <v>VALID</v>
      </c>
      <c r="N37" t="str">
        <f>IF(COUNTIF(course_data[course_id],role_course_map[[#This Row],[course_id]])=0, "INVALID","VALID")</f>
        <v>VALID</v>
      </c>
    </row>
    <row r="38" spans="1:14" x14ac:dyDescent="0.35">
      <c r="A38" t="s">
        <v>128</v>
      </c>
      <c r="B38" s="5" t="str">
        <f>_xlfn.XLOOKUP(role_course_map[[#This Row],[role_id]], role_data[role_id], role_data[Role],"")</f>
        <v>Call Performance Manager</v>
      </c>
      <c r="C38">
        <v>79666</v>
      </c>
      <c r="D38" s="5" t="str">
        <f>_xlfn.XLOOKUP(role_course_map[[#This Row],[course_id]],course_data[course_id],course_data[title],"")</f>
        <v>Getting it right for every child (GIRFEC): informed level</v>
      </c>
      <c r="E38" s="5" t="str">
        <f>_xlfn.XLOOKUP(role_course_map[[#This Row],[course_id]],course_data[course_id],course_data[topic],"")</f>
        <v>SAS : Public Protection</v>
      </c>
      <c r="F38" s="5" t="str">
        <f>_xlfn.XLOOKUP(role_course_map[[#This Row],[course_id]],course_data[course_id],course_data[type],"")</f>
        <v>eLearning</v>
      </c>
      <c r="K38" t="str">
        <f>role_course_map[[#This Row],[role_id]] &amp; "|" &amp; role_course_map[[#This Row],[course_id]]</f>
        <v>R0058|79666</v>
      </c>
      <c r="L38" t="str">
        <f>IF(COUNTIF(role_course_map[mapping_key],role_course_map[[#This Row],[mapping_key]])&gt;1,"DUPLICATE","OK")</f>
        <v>OK</v>
      </c>
      <c r="M38" t="str">
        <f>IF(COUNTIF(role_data[role_id],role_course_map[[#This Row],[role_id]])=0, "INVALID","VALID")</f>
        <v>VALID</v>
      </c>
      <c r="N38" t="str">
        <f>IF(COUNTIF(course_data[course_id],role_course_map[[#This Row],[course_id]])=0, "INVALID","VALID")</f>
        <v>VALID</v>
      </c>
    </row>
    <row r="39" spans="1:14" x14ac:dyDescent="0.35">
      <c r="A39" t="s">
        <v>128</v>
      </c>
      <c r="B39" s="5" t="str">
        <f>_xlfn.XLOOKUP(role_course_map[[#This Row],[role_id]], role_data[role_id], role_data[Role],"")</f>
        <v>Call Performance Manager</v>
      </c>
      <c r="C39">
        <v>999074</v>
      </c>
      <c r="D39" s="5" t="str">
        <f>_xlfn.XLOOKUP(role_course_map[[#This Row],[course_id]],course_data[course_id],course_data[title],"")</f>
        <v>SAS-specific Children’s rights</v>
      </c>
      <c r="E39" s="5" t="str">
        <f>_xlfn.XLOOKUP(role_course_map[[#This Row],[course_id]],course_data[course_id],course_data[topic],"")</f>
        <v>SAS : Public Protection</v>
      </c>
      <c r="F39" s="5" t="str">
        <f>_xlfn.XLOOKUP(role_course_map[[#This Row],[course_id]],course_data[course_id],course_data[type],"")</f>
        <v>eLearning</v>
      </c>
      <c r="K39" t="str">
        <f>role_course_map[[#This Row],[role_id]] &amp; "|" &amp; role_course_map[[#This Row],[course_id]]</f>
        <v>R0058|999074</v>
      </c>
      <c r="L39" t="str">
        <f>IF(COUNTIF(role_course_map[mapping_key],role_course_map[[#This Row],[mapping_key]])&gt;1,"DUPLICATE","OK")</f>
        <v>OK</v>
      </c>
      <c r="M39" t="str">
        <f>IF(COUNTIF(role_data[role_id],role_course_map[[#This Row],[role_id]])=0, "INVALID","VALID")</f>
        <v>VALID</v>
      </c>
      <c r="N39" t="str">
        <f>IF(COUNTIF(course_data[course_id],role_course_map[[#This Row],[course_id]])=0, "INVALID","VALID")</f>
        <v>VALID</v>
      </c>
    </row>
    <row r="40" spans="1:14" x14ac:dyDescent="0.35">
      <c r="A40" t="s">
        <v>128</v>
      </c>
      <c r="B40" s="5" t="str">
        <f>_xlfn.XLOOKUP(role_course_map[[#This Row],[role_id]], role_data[role_id], role_data[Role],"")</f>
        <v>Call Performance Manager</v>
      </c>
      <c r="C40">
        <v>999075</v>
      </c>
      <c r="D40" s="5" t="str">
        <f>_xlfn.XLOOKUP(role_course_map[[#This Row],[course_id]],course_data[course_id],course_data[title],"")</f>
        <v>Multiagency local or bespoke Level 3 delivery training</v>
      </c>
      <c r="E40" s="5" t="str">
        <f>_xlfn.XLOOKUP(role_course_map[[#This Row],[course_id]],course_data[course_id],course_data[topic],"")</f>
        <v>SAS : Public Protection</v>
      </c>
      <c r="F40" s="5" t="str">
        <f>_xlfn.XLOOKUP(role_course_map[[#This Row],[course_id]],course_data[course_id],course_data[type],"")</f>
        <v>eLearning</v>
      </c>
      <c r="K40" t="str">
        <f>role_course_map[[#This Row],[role_id]] &amp; "|" &amp; role_course_map[[#This Row],[course_id]]</f>
        <v>R0058|999075</v>
      </c>
      <c r="L40" t="str">
        <f>IF(COUNTIF(role_course_map[mapping_key],role_course_map[[#This Row],[mapping_key]])&gt;1,"DUPLICATE","OK")</f>
        <v>OK</v>
      </c>
      <c r="M40" t="str">
        <f>IF(COUNTIF(role_data[role_id],role_course_map[[#This Row],[role_id]])=0, "INVALID","VALID")</f>
        <v>VALID</v>
      </c>
      <c r="N40" t="str">
        <f>IF(COUNTIF(course_data[course_id],role_course_map[[#This Row],[course_id]])=0, "INVALID","VALID")</f>
        <v>VALID</v>
      </c>
    </row>
    <row r="41" spans="1:14" x14ac:dyDescent="0.35">
      <c r="A41" t="s">
        <v>128</v>
      </c>
      <c r="B41" s="5" t="str">
        <f>_xlfn.XLOOKUP(role_course_map[[#This Row],[role_id]], role_data[role_id], role_data[Role],"")</f>
        <v>Call Performance Manager</v>
      </c>
      <c r="C41">
        <v>15249</v>
      </c>
      <c r="D41" s="5" t="str">
        <f>_xlfn.XLOOKUP(role_course_map[[#This Row],[course_id]],course_data[course_id],course_data[title],"")</f>
        <v>Human trafficking</v>
      </c>
      <c r="E41" s="5" t="str">
        <f>_xlfn.XLOOKUP(role_course_map[[#This Row],[course_id]],course_data[course_id],course_data[topic],"")</f>
        <v>SAS : Public Protection</v>
      </c>
      <c r="F41" s="5" t="str">
        <f>_xlfn.XLOOKUP(role_course_map[[#This Row],[course_id]],course_data[course_id],course_data[type],"")</f>
        <v>eLearning</v>
      </c>
      <c r="K41" t="str">
        <f>role_course_map[[#This Row],[role_id]] &amp; "|" &amp; role_course_map[[#This Row],[course_id]]</f>
        <v>R0058|15249</v>
      </c>
      <c r="L41" t="str">
        <f>IF(COUNTIF(role_course_map[mapping_key],role_course_map[[#This Row],[mapping_key]])&gt;1,"DUPLICATE","OK")</f>
        <v>OK</v>
      </c>
      <c r="M41" t="str">
        <f>IF(COUNTIF(role_data[role_id],role_course_map[[#This Row],[role_id]])=0, "INVALID","VALID")</f>
        <v>VALID</v>
      </c>
      <c r="N41" t="str">
        <f>IF(COUNTIF(course_data[course_id],role_course_map[[#This Row],[course_id]])=0, "INVALID","VALID")</f>
        <v>VALID</v>
      </c>
    </row>
    <row r="42" spans="1:14" x14ac:dyDescent="0.35">
      <c r="A42" t="s">
        <v>158</v>
      </c>
      <c r="B42" s="5" t="str">
        <f>_xlfn.XLOOKUP(role_course_map[[#This Row],[role_id]], role_data[role_id], role_data[Role],"")</f>
        <v>National Dispatch Manager</v>
      </c>
      <c r="C42">
        <v>999092</v>
      </c>
      <c r="D42" s="5" t="str">
        <f>_xlfn.XLOOKUP(role_course_map[[#This Row],[course_id]],course_data[course_id],course_data[title],"")</f>
        <v>Health &amp; Wellbeing Awareness for Managers</v>
      </c>
      <c r="E42" s="5" t="str">
        <f>_xlfn.XLOOKUP(role_course_map[[#This Row],[course_id]],course_data[course_id],course_data[topic],"")</f>
        <v>SAS: Staff development and experience</v>
      </c>
      <c r="F42" s="5" t="str">
        <f>_xlfn.XLOOKUP(role_course_map[[#This Row],[course_id]],course_data[course_id],course_data[type],"")</f>
        <v>eLearning</v>
      </c>
      <c r="K42" t="str">
        <f>role_course_map[[#This Row],[role_id]] &amp; "|" &amp; role_course_map[[#This Row],[course_id]]</f>
        <v>R0073|999092</v>
      </c>
      <c r="L42" t="str">
        <f>IF(COUNTIF(role_course_map[mapping_key],role_course_map[[#This Row],[mapping_key]])&gt;1,"DUPLICATE","OK")</f>
        <v>OK</v>
      </c>
      <c r="M42" t="str">
        <f>IF(COUNTIF(role_data[role_id],role_course_map[[#This Row],[role_id]])=0, "INVALID","VALID")</f>
        <v>VALID</v>
      </c>
      <c r="N42" t="str">
        <f>IF(COUNTIF(course_data[course_id],role_course_map[[#This Row],[course_id]])=0, "INVALID","VALID")</f>
        <v>VALID</v>
      </c>
    </row>
    <row r="43" spans="1:14" x14ac:dyDescent="0.35">
      <c r="A43" t="s">
        <v>128</v>
      </c>
      <c r="B43" s="5" t="str">
        <f>_xlfn.XLOOKUP(role_course_map[[#This Row],[role_id]], role_data[role_id], role_data[Role],"")</f>
        <v>Call Performance Manager</v>
      </c>
      <c r="C43">
        <v>999093</v>
      </c>
      <c r="D43" s="5" t="str">
        <f>_xlfn.XLOOKUP(role_course_map[[#This Row],[course_id]],course_data[course_id],course_data[title],"")</f>
        <v>Managing Wellbeing Refresher for Managers</v>
      </c>
      <c r="E43" s="5" t="str">
        <f>_xlfn.XLOOKUP(role_course_map[[#This Row],[course_id]],course_data[course_id],course_data[topic],"")</f>
        <v>SAS: Staff development and experience</v>
      </c>
      <c r="F43" s="5" t="str">
        <f>_xlfn.XLOOKUP(role_course_map[[#This Row],[course_id]],course_data[course_id],course_data[type],"")</f>
        <v>eLearning</v>
      </c>
      <c r="K43" t="str">
        <f>role_course_map[[#This Row],[role_id]] &amp; "|" &amp; role_course_map[[#This Row],[course_id]]</f>
        <v>R0058|999093</v>
      </c>
      <c r="L43" t="str">
        <f>IF(COUNTIF(role_course_map[mapping_key],role_course_map[[#This Row],[mapping_key]])&gt;1,"DUPLICATE","OK")</f>
        <v>OK</v>
      </c>
      <c r="M43" t="str">
        <f>IF(COUNTIF(role_data[role_id],role_course_map[[#This Row],[role_id]])=0, "INVALID","VALID")</f>
        <v>VALID</v>
      </c>
      <c r="N43" t="str">
        <f>IF(COUNTIF(course_data[course_id],role_course_map[[#This Row],[course_id]])=0, "INVALID","VALID")</f>
        <v>VALID</v>
      </c>
    </row>
    <row r="44" spans="1:14" x14ac:dyDescent="0.35">
      <c r="A44" t="s">
        <v>158</v>
      </c>
      <c r="B44" s="5" t="str">
        <f>_xlfn.XLOOKUP(role_course_map[[#This Row],[role_id]], role_data[role_id], role_data[Role],"")</f>
        <v>National Dispatch Manager</v>
      </c>
      <c r="C44">
        <v>999094</v>
      </c>
      <c r="D44" s="5" t="str">
        <f>_xlfn.XLOOKUP(role_course_map[[#This Row],[course_id]],course_data[course_id],course_data[title],"")</f>
        <v>Being well, Mind, Body &amp; Workplace</v>
      </c>
      <c r="E44" s="5" t="str">
        <f>_xlfn.XLOOKUP(role_course_map[[#This Row],[course_id]],course_data[course_id],course_data[topic],"")</f>
        <v>SAS: Staff development and experience</v>
      </c>
      <c r="F44" s="5" t="str">
        <f>_xlfn.XLOOKUP(role_course_map[[#This Row],[course_id]],course_data[course_id],course_data[type],"")</f>
        <v>eLearning</v>
      </c>
      <c r="K44" t="str">
        <f>role_course_map[[#This Row],[role_id]] &amp; "|" &amp; role_course_map[[#This Row],[course_id]]</f>
        <v>R0073|999094</v>
      </c>
      <c r="L44" t="str">
        <f>IF(COUNTIF(role_course_map[mapping_key],role_course_map[[#This Row],[mapping_key]])&gt;1,"DUPLICATE","OK")</f>
        <v>OK</v>
      </c>
      <c r="M44" t="str">
        <f>IF(COUNTIF(role_data[role_id],role_course_map[[#This Row],[role_id]])=0, "INVALID","VALID")</f>
        <v>VALID</v>
      </c>
      <c r="N44" t="str">
        <f>IF(COUNTIF(course_data[course_id],role_course_map[[#This Row],[course_id]])=0, "INVALID","VALID")</f>
        <v>VALID</v>
      </c>
    </row>
    <row r="45" spans="1:14" x14ac:dyDescent="0.35">
      <c r="A45" t="s">
        <v>154</v>
      </c>
      <c r="B45" s="5" t="str">
        <f>_xlfn.XLOOKUP(role_course_map[[#This Row],[role_id]], role_data[role_id], role_data[Role],"")</f>
        <v>Learning and Development Manager</v>
      </c>
      <c r="C45">
        <v>89569</v>
      </c>
      <c r="D45" s="5" t="str">
        <f>_xlfn.XLOOKUP(role_course_map[[#This Row],[course_id]],course_data[course_id],course_data[title],"")</f>
        <v>LifeX for Supervisors</v>
      </c>
      <c r="E45" s="5" t="str">
        <f>_xlfn.XLOOKUP(role_course_map[[#This Row],[course_id]],course_data[course_id],course_data[topic],"")</f>
        <v>SAS: Systems Training</v>
      </c>
      <c r="F45" s="5" t="str">
        <f>_xlfn.XLOOKUP(role_course_map[[#This Row],[course_id]],course_data[course_id],course_data[type],"")</f>
        <v>Course</v>
      </c>
      <c r="K45" t="str">
        <f>role_course_map[[#This Row],[role_id]] &amp; "|" &amp; role_course_map[[#This Row],[course_id]]</f>
        <v>R0071|89569</v>
      </c>
      <c r="L45" t="str">
        <f>IF(COUNTIF(role_course_map[mapping_key],role_course_map[[#This Row],[mapping_key]])&gt;1,"DUPLICATE","OK")</f>
        <v>OK</v>
      </c>
      <c r="M45" t="str">
        <f>IF(COUNTIF(role_data[role_id],role_course_map[[#This Row],[role_id]])=0, "INVALID","VALID")</f>
        <v>VALID</v>
      </c>
      <c r="N45" t="str">
        <f>IF(COUNTIF(course_data[course_id],role_course_map[[#This Row],[course_id]])=0, "INVALID","VALID")</f>
        <v>VALID</v>
      </c>
    </row>
    <row r="46" spans="1:14" x14ac:dyDescent="0.35">
      <c r="A46" t="s">
        <v>154</v>
      </c>
      <c r="B46" s="5" t="str">
        <f>_xlfn.XLOOKUP(role_course_map[[#This Row],[role_id]], role_data[role_id], role_data[Role],"")</f>
        <v>Learning and Development Manager</v>
      </c>
      <c r="C46">
        <v>999001</v>
      </c>
      <c r="D46" s="5" t="str">
        <f>_xlfn.XLOOKUP(role_course_map[[#This Row],[course_id]],course_data[course_id],course_data[title],"")</f>
        <v>IAED - EMD</v>
      </c>
      <c r="E46" s="5" t="str">
        <f>_xlfn.XLOOKUP(role_course_map[[#This Row],[course_id]],course_data[course_id],course_data[topic],"")</f>
        <v>SAS : Ambulance Control Centre (ACC)</v>
      </c>
      <c r="F46" s="5" t="str">
        <f>_xlfn.XLOOKUP(role_course_map[[#This Row],[course_id]],course_data[course_id],course_data[type],"")</f>
        <v>Course</v>
      </c>
      <c r="K46" t="str">
        <f>role_course_map[[#This Row],[role_id]] &amp; "|" &amp; role_course_map[[#This Row],[course_id]]</f>
        <v>R0071|999001</v>
      </c>
      <c r="L46" t="str">
        <f>IF(COUNTIF(role_course_map[mapping_key],role_course_map[[#This Row],[mapping_key]])&gt;1,"DUPLICATE","OK")</f>
        <v>OK</v>
      </c>
      <c r="M46" t="str">
        <f>IF(COUNTIF(role_data[role_id],role_course_map[[#This Row],[role_id]])=0, "INVALID","VALID")</f>
        <v>VALID</v>
      </c>
      <c r="N46" t="str">
        <f>IF(COUNTIF(course_data[course_id],role_course_map[[#This Row],[course_id]])=0, "INVALID","VALID")</f>
        <v>VALID</v>
      </c>
    </row>
    <row r="47" spans="1:14" x14ac:dyDescent="0.35">
      <c r="A47" t="s">
        <v>154</v>
      </c>
      <c r="B47" s="5" t="str">
        <f>_xlfn.XLOOKUP(role_course_map[[#This Row],[role_id]], role_data[role_id], role_data[Role],"")</f>
        <v>Learning and Development Manager</v>
      </c>
      <c r="C47">
        <v>999002</v>
      </c>
      <c r="D47" s="5" t="str">
        <f>_xlfn.XLOOKUP(role_course_map[[#This Row],[course_id]],course_data[course_id],course_data[title],"")</f>
        <v>IAED Instructors</v>
      </c>
      <c r="E47" s="5" t="str">
        <f>_xlfn.XLOOKUP(role_course_map[[#This Row],[course_id]],course_data[course_id],course_data[topic],"")</f>
        <v>SAS : Ambulance Control Centre (ACC)</v>
      </c>
      <c r="F47" s="5" t="str">
        <f>_xlfn.XLOOKUP(role_course_map[[#This Row],[course_id]],course_data[course_id],course_data[type],"")</f>
        <v>Course</v>
      </c>
      <c r="K47" t="str">
        <f>role_course_map[[#This Row],[role_id]] &amp; "|" &amp; role_course_map[[#This Row],[course_id]]</f>
        <v>R0071|999002</v>
      </c>
      <c r="L47" t="str">
        <f>IF(COUNTIF(role_course_map[mapping_key],role_course_map[[#This Row],[mapping_key]])&gt;1,"DUPLICATE","OK")</f>
        <v>OK</v>
      </c>
      <c r="M47" t="str">
        <f>IF(COUNTIF(role_data[role_id],role_course_map[[#This Row],[role_id]])=0, "INVALID","VALID")</f>
        <v>VALID</v>
      </c>
      <c r="N47" t="str">
        <f>IF(COUNTIF(course_data[course_id],role_course_map[[#This Row],[course_id]])=0, "INVALID","VALID")</f>
        <v>VALID</v>
      </c>
    </row>
    <row r="48" spans="1:14" x14ac:dyDescent="0.35">
      <c r="A48" t="s">
        <v>154</v>
      </c>
      <c r="B48" s="5" t="str">
        <f>_xlfn.XLOOKUP(role_course_map[[#This Row],[role_id]], role_data[role_id], role_data[Role],"")</f>
        <v>Learning and Development Manager</v>
      </c>
      <c r="C48">
        <v>999003</v>
      </c>
      <c r="D48" s="5" t="str">
        <f>_xlfn.XLOOKUP(role_course_map[[#This Row],[course_id]],course_data[course_id],course_data[title],"")</f>
        <v>IAED Instructors Workshop</v>
      </c>
      <c r="E48" s="5" t="str">
        <f>_xlfn.XLOOKUP(role_course_map[[#This Row],[course_id]],course_data[course_id],course_data[topic],"")</f>
        <v>SAS : Ambulance Control Centre (ACC)</v>
      </c>
      <c r="F48" s="5" t="str">
        <f>_xlfn.XLOOKUP(role_course_map[[#This Row],[course_id]],course_data[course_id],course_data[type],"")</f>
        <v>Course</v>
      </c>
      <c r="K48" t="str">
        <f>role_course_map[[#This Row],[role_id]] &amp; "|" &amp; role_course_map[[#This Row],[course_id]]</f>
        <v>R0071|999003</v>
      </c>
      <c r="L48" t="str">
        <f>IF(COUNTIF(role_course_map[mapping_key],role_course_map[[#This Row],[mapping_key]])&gt;1,"DUPLICATE","OK")</f>
        <v>OK</v>
      </c>
      <c r="M48" t="str">
        <f>IF(COUNTIF(role_data[role_id],role_course_map[[#This Row],[role_id]])=0, "INVALID","VALID")</f>
        <v>VALID</v>
      </c>
      <c r="N48" t="str">
        <f>IF(COUNTIF(course_data[course_id],role_course_map[[#This Row],[course_id]])=0, "INVALID","VALID")</f>
        <v>VALID</v>
      </c>
    </row>
    <row r="49" spans="1:14" x14ac:dyDescent="0.35">
      <c r="A49" t="s">
        <v>154</v>
      </c>
      <c r="B49" s="5" t="str">
        <f>_xlfn.XLOOKUP(role_course_map[[#This Row],[role_id]], role_data[role_id], role_data[Role],"")</f>
        <v>Learning and Development Manager</v>
      </c>
      <c r="C49">
        <v>999005</v>
      </c>
      <c r="D49" s="5" t="str">
        <f>_xlfn.XLOOKUP(role_course_map[[#This Row],[course_id]],course_data[course_id],course_data[title],"")</f>
        <v>IAED - Mentor</v>
      </c>
      <c r="E49" s="5" t="str">
        <f>_xlfn.XLOOKUP(role_course_map[[#This Row],[course_id]],course_data[course_id],course_data[topic],"")</f>
        <v>SAS : Ambulance Control Centre (ACC)</v>
      </c>
      <c r="F49" s="5" t="str">
        <f>_xlfn.XLOOKUP(role_course_map[[#This Row],[course_id]],course_data[course_id],course_data[type],"")</f>
        <v>Course</v>
      </c>
      <c r="K49" t="str">
        <f>role_course_map[[#This Row],[role_id]] &amp; "|" &amp; role_course_map[[#This Row],[course_id]]</f>
        <v>R0071|999005</v>
      </c>
      <c r="L49" t="str">
        <f>IF(COUNTIF(role_course_map[mapping_key],role_course_map[[#This Row],[mapping_key]])&gt;1,"DUPLICATE","OK")</f>
        <v>OK</v>
      </c>
      <c r="M49" t="str">
        <f>IF(COUNTIF(role_data[role_id],role_course_map[[#This Row],[role_id]])=0, "INVALID","VALID")</f>
        <v>VALID</v>
      </c>
      <c r="N49" t="str">
        <f>IF(COUNTIF(course_data[course_id],role_course_map[[#This Row],[course_id]])=0, "INVALID","VALID")</f>
        <v>VALID</v>
      </c>
    </row>
    <row r="50" spans="1:14" x14ac:dyDescent="0.35">
      <c r="A50" t="s">
        <v>154</v>
      </c>
      <c r="B50" s="5" t="str">
        <f>_xlfn.XLOOKUP(role_course_map[[#This Row],[role_id]], role_data[role_id], role_data[Role],"")</f>
        <v>Learning and Development Manager</v>
      </c>
      <c r="C50">
        <v>75406</v>
      </c>
      <c r="D50" s="5" t="str">
        <f>_xlfn.XLOOKUP(role_course_map[[#This Row],[course_id]],course_data[course_id],course_data[title],"")</f>
        <v>Foundation Leadership and Management Programme (FLMP)</v>
      </c>
      <c r="E50" s="5" t="str">
        <f>_xlfn.XLOOKUP(role_course_map[[#This Row],[course_id]],course_data[course_id],course_data[topic],"")</f>
        <v>SAS: Staff development and experience</v>
      </c>
      <c r="F50" s="5" t="str">
        <f>_xlfn.XLOOKUP(role_course_map[[#This Row],[course_id]],course_data[course_id],course_data[type],"")</f>
        <v>Page</v>
      </c>
      <c r="K50" t="str">
        <f>role_course_map[[#This Row],[role_id]] &amp; "|" &amp; role_course_map[[#This Row],[course_id]]</f>
        <v>R0071|75406</v>
      </c>
      <c r="L50" t="str">
        <f>IF(COUNTIF(role_course_map[mapping_key],role_course_map[[#This Row],[mapping_key]])&gt;1,"DUPLICATE","OK")</f>
        <v>OK</v>
      </c>
      <c r="M50" t="str">
        <f>IF(COUNTIF(role_data[role_id],role_course_map[[#This Row],[role_id]])=0, "INVALID","VALID")</f>
        <v>VALID</v>
      </c>
      <c r="N50" t="str">
        <f>IF(COUNTIF(course_data[course_id],role_course_map[[#This Row],[course_id]])=0, "INVALID","VALID")</f>
        <v>VALID</v>
      </c>
    </row>
    <row r="51" spans="1:14" x14ac:dyDescent="0.35">
      <c r="A51" t="s">
        <v>154</v>
      </c>
      <c r="B51" s="5" t="str">
        <f>_xlfn.XLOOKUP(role_course_map[[#This Row],[role_id]], role_data[role_id], role_data[Role],"")</f>
        <v>Learning and Development Manager</v>
      </c>
      <c r="C51">
        <v>999091</v>
      </c>
      <c r="D51" s="5" t="str">
        <f>_xlfn.XLOOKUP(role_course_map[[#This Row],[course_id]],course_data[course_id],course_data[title],"")</f>
        <v>Intermediate Leadership Development Programme</v>
      </c>
      <c r="E51" s="5" t="str">
        <f>_xlfn.XLOOKUP(role_course_map[[#This Row],[course_id]],course_data[course_id],course_data[topic],"")</f>
        <v>SAS: Staff development and experience</v>
      </c>
      <c r="F51" s="5">
        <f>_xlfn.XLOOKUP(role_course_map[[#This Row],[course_id]],course_data[course_id],course_data[type],"")</f>
        <v>0</v>
      </c>
      <c r="K51" t="str">
        <f>role_course_map[[#This Row],[role_id]] &amp; "|" &amp; role_course_map[[#This Row],[course_id]]</f>
        <v>R0071|999091</v>
      </c>
      <c r="L51" t="str">
        <f>IF(COUNTIF(role_course_map[mapping_key],role_course_map[[#This Row],[mapping_key]])&gt;1,"DUPLICATE","OK")</f>
        <v>OK</v>
      </c>
      <c r="M51" t="str">
        <f>IF(COUNTIF(role_data[role_id],role_course_map[[#This Row],[role_id]])=0, "INVALID","VALID")</f>
        <v>VALID</v>
      </c>
      <c r="N51" t="str">
        <f>IF(COUNTIF(course_data[course_id],role_course_map[[#This Row],[course_id]])=0, "INVALID","VALID")</f>
        <v>VALID</v>
      </c>
    </row>
    <row r="52" spans="1:14" x14ac:dyDescent="0.35">
      <c r="A52" t="s">
        <v>154</v>
      </c>
      <c r="B52" s="5" t="str">
        <f>_xlfn.XLOOKUP(role_course_map[[#This Row],[role_id]], role_data[role_id], role_data[Role],"")</f>
        <v>Learning and Development Manager</v>
      </c>
      <c r="C52">
        <v>999058</v>
      </c>
      <c r="D52" s="5" t="str">
        <f>_xlfn.XLOOKUP(role_course_map[[#This Row],[course_id]],course_data[course_id],course_data[title],"")</f>
        <v>Stress Identification &amp; Stress Management</v>
      </c>
      <c r="E52" s="5" t="str">
        <f>_xlfn.XLOOKUP(role_course_map[[#This Row],[course_id]],course_data[course_id],course_data[topic],"")</f>
        <v>SAS : Health and Safety</v>
      </c>
      <c r="F52" s="5" t="str">
        <f>_xlfn.XLOOKUP(role_course_map[[#This Row],[course_id]],course_data[course_id],course_data[type],"")</f>
        <v>eLearning</v>
      </c>
      <c r="K52" t="str">
        <f>role_course_map[[#This Row],[role_id]] &amp; "|" &amp; role_course_map[[#This Row],[course_id]]</f>
        <v>R0071|999058</v>
      </c>
      <c r="L52" t="str">
        <f>IF(COUNTIF(role_course_map[mapping_key],role_course_map[[#This Row],[mapping_key]])&gt;1,"DUPLICATE","OK")</f>
        <v>OK</v>
      </c>
      <c r="M52" t="str">
        <f>IF(COUNTIF(role_data[role_id],role_course_map[[#This Row],[role_id]])=0, "INVALID","VALID")</f>
        <v>VALID</v>
      </c>
      <c r="N52" t="str">
        <f>IF(COUNTIF(course_data[course_id],role_course_map[[#This Row],[course_id]])=0, "INVALID","VALID")</f>
        <v>VALID</v>
      </c>
    </row>
    <row r="53" spans="1:14" x14ac:dyDescent="0.35">
      <c r="A53" t="s">
        <v>154</v>
      </c>
      <c r="B53" s="5" t="str">
        <f>_xlfn.XLOOKUP(role_course_map[[#This Row],[role_id]], role_data[role_id], role_data[Role],"")</f>
        <v>Learning and Development Manager</v>
      </c>
      <c r="C53">
        <v>79147</v>
      </c>
      <c r="D53" s="5" t="str">
        <f>_xlfn.XLOOKUP(role_course_map[[#This Row],[course_id]],course_data[course_id],course_data[title],"")</f>
        <v>Driving risks at work</v>
      </c>
      <c r="E53" s="5" t="str">
        <f>_xlfn.XLOOKUP(role_course_map[[#This Row],[course_id]],course_data[course_id],course_data[topic],"")</f>
        <v>SAS : Health and Safety</v>
      </c>
      <c r="F53" s="5" t="str">
        <f>_xlfn.XLOOKUP(role_course_map[[#This Row],[course_id]],course_data[course_id],course_data[type],"")</f>
        <v>eLearning</v>
      </c>
      <c r="K53" t="str">
        <f>role_course_map[[#This Row],[role_id]] &amp; "|" &amp; role_course_map[[#This Row],[course_id]]</f>
        <v>R0071|79147</v>
      </c>
      <c r="L53" t="str">
        <f>IF(COUNTIF(role_course_map[mapping_key],role_course_map[[#This Row],[mapping_key]])&gt;1,"DUPLICATE","OK")</f>
        <v>OK</v>
      </c>
      <c r="M53" t="str">
        <f>IF(COUNTIF(role_data[role_id],role_course_map[[#This Row],[role_id]])=0, "INVALID","VALID")</f>
        <v>VALID</v>
      </c>
      <c r="N53" t="str">
        <f>IF(COUNTIF(course_data[course_id],role_course_map[[#This Row],[course_id]])=0, "INVALID","VALID")</f>
        <v>VALID</v>
      </c>
    </row>
    <row r="54" spans="1:14" x14ac:dyDescent="0.35">
      <c r="A54" t="s">
        <v>128</v>
      </c>
      <c r="B54" s="5" t="str">
        <f>_xlfn.XLOOKUP(role_course_map[[#This Row],[role_id]], role_data[role_id], role_data[Role],"")</f>
        <v>Call Performance Manager</v>
      </c>
      <c r="C54">
        <v>999057</v>
      </c>
      <c r="D54" s="5" t="str">
        <f>_xlfn.XLOOKUP(role_course_map[[#This Row],[course_id]],course_data[course_id],course_data[title],"")</f>
        <v>Fatigue Awareness</v>
      </c>
      <c r="E54" s="5" t="str">
        <f>_xlfn.XLOOKUP(role_course_map[[#This Row],[course_id]],course_data[course_id],course_data[topic],"")</f>
        <v>SAS : Health and Safety</v>
      </c>
      <c r="F54" s="5" t="str">
        <f>_xlfn.XLOOKUP(role_course_map[[#This Row],[course_id]],course_data[course_id],course_data[type],"")</f>
        <v>eLearning</v>
      </c>
      <c r="K54" t="str">
        <f>role_course_map[[#This Row],[role_id]] &amp; "|" &amp; role_course_map[[#This Row],[course_id]]</f>
        <v>R0058|999057</v>
      </c>
      <c r="L54" t="str">
        <f>IF(COUNTIF(role_course_map[mapping_key],role_course_map[[#This Row],[mapping_key]])&gt;1,"DUPLICATE","OK")</f>
        <v>OK</v>
      </c>
      <c r="M54" t="str">
        <f>IF(COUNTIF(role_data[role_id],role_course_map[[#This Row],[role_id]])=0, "INVALID","VALID")</f>
        <v>VALID</v>
      </c>
      <c r="N54" t="str">
        <f>IF(COUNTIF(course_data[course_id],role_course_map[[#This Row],[course_id]])=0, "INVALID","VALID")</f>
        <v>VALID</v>
      </c>
    </row>
    <row r="55" spans="1:14" x14ac:dyDescent="0.35">
      <c r="A55" t="s">
        <v>154</v>
      </c>
      <c r="B55" s="5" t="str">
        <f>_xlfn.XLOOKUP(role_course_map[[#This Row],[role_id]], role_data[role_id], role_data[Role],"")</f>
        <v>Learning and Development Manager</v>
      </c>
      <c r="C55">
        <v>64322</v>
      </c>
      <c r="D55" s="5" t="str">
        <f>_xlfn.XLOOKUP(role_course_map[[#This Row],[course_id]],course_data[course_id],course_data[title],"")</f>
        <v>Adult support and protection: practice level 2 [skilled]</v>
      </c>
      <c r="E55" s="5" t="str">
        <f>_xlfn.XLOOKUP(role_course_map[[#This Row],[course_id]],course_data[course_id],course_data[topic],"")</f>
        <v>SAS : Public Protection</v>
      </c>
      <c r="F55" s="5" t="str">
        <f>_xlfn.XLOOKUP(role_course_map[[#This Row],[course_id]],course_data[course_id],course_data[type],"")</f>
        <v>eLearning</v>
      </c>
      <c r="K55" t="str">
        <f>role_course_map[[#This Row],[role_id]] &amp; "|" &amp; role_course_map[[#This Row],[course_id]]</f>
        <v>R0071|64322</v>
      </c>
      <c r="L55" t="str">
        <f>IF(COUNTIF(role_course_map[mapping_key],role_course_map[[#This Row],[mapping_key]])&gt;1,"DUPLICATE","OK")</f>
        <v>OK</v>
      </c>
      <c r="M55" t="str">
        <f>IF(COUNTIF(role_data[role_id],role_course_map[[#This Row],[role_id]])=0, "INVALID","VALID")</f>
        <v>VALID</v>
      </c>
      <c r="N55" t="str">
        <f>IF(COUNTIF(course_data[course_id],role_course_map[[#This Row],[course_id]])=0, "INVALID","VALID")</f>
        <v>VALID</v>
      </c>
    </row>
    <row r="56" spans="1:14" x14ac:dyDescent="0.35">
      <c r="A56" t="s">
        <v>154</v>
      </c>
      <c r="B56" s="5" t="str">
        <f>_xlfn.XLOOKUP(role_course_map[[#This Row],[role_id]], role_data[role_id], role_data[Role],"")</f>
        <v>Learning and Development Manager</v>
      </c>
      <c r="C56">
        <v>64324</v>
      </c>
      <c r="D56" s="5" t="str">
        <f>_xlfn.XLOOKUP(role_course_map[[#This Row],[course_id]],course_data[course_id],course_data[title],"")</f>
        <v>Child protection: practice level 2 [skilled]</v>
      </c>
      <c r="E56" s="5" t="str">
        <f>_xlfn.XLOOKUP(role_course_map[[#This Row],[course_id]],course_data[course_id],course_data[topic],"")</f>
        <v>SAS : Public Protection</v>
      </c>
      <c r="F56" s="5" t="str">
        <f>_xlfn.XLOOKUP(role_course_map[[#This Row],[course_id]],course_data[course_id],course_data[type],"")</f>
        <v>eLearning</v>
      </c>
      <c r="K56" t="str">
        <f>role_course_map[[#This Row],[role_id]] &amp; "|" &amp; role_course_map[[#This Row],[course_id]]</f>
        <v>R0071|64324</v>
      </c>
      <c r="L56" t="str">
        <f>IF(COUNTIF(role_course_map[mapping_key],role_course_map[[#This Row],[mapping_key]])&gt;1,"DUPLICATE","OK")</f>
        <v>OK</v>
      </c>
      <c r="M56" t="str">
        <f>IF(COUNTIF(role_data[role_id],role_course_map[[#This Row],[role_id]])=0, "INVALID","VALID")</f>
        <v>VALID</v>
      </c>
      <c r="N56" t="str">
        <f>IF(COUNTIF(course_data[course_id],role_course_map[[#This Row],[course_id]])=0, "INVALID","VALID")</f>
        <v>VALID</v>
      </c>
    </row>
    <row r="57" spans="1:14" x14ac:dyDescent="0.35">
      <c r="A57" t="s">
        <v>128</v>
      </c>
      <c r="B57" s="5" t="str">
        <f>_xlfn.XLOOKUP(role_course_map[[#This Row],[role_id]], role_data[role_id], role_data[Role],"")</f>
        <v>Call Performance Manager</v>
      </c>
      <c r="C57">
        <v>76716</v>
      </c>
      <c r="D57" s="5" t="str">
        <f>_xlfn.XLOOKUP(role_course_map[[#This Row],[course_id]],course_data[course_id],course_data[title],"")</f>
        <v>Domestic abuse awareness training tool (DAART)</v>
      </c>
      <c r="E57" s="5" t="str">
        <f>_xlfn.XLOOKUP(role_course_map[[#This Row],[course_id]],course_data[course_id],course_data[topic],"")</f>
        <v>SAS : Public Protection</v>
      </c>
      <c r="F57" s="5" t="str">
        <f>_xlfn.XLOOKUP(role_course_map[[#This Row],[course_id]],course_data[course_id],course_data[type],"")</f>
        <v>eLearning</v>
      </c>
      <c r="K57" t="str">
        <f>role_course_map[[#This Row],[role_id]] &amp; "|" &amp; role_course_map[[#This Row],[course_id]]</f>
        <v>R0058|76716</v>
      </c>
      <c r="L57" t="str">
        <f>IF(COUNTIF(role_course_map[mapping_key],role_course_map[[#This Row],[mapping_key]])&gt;1,"DUPLICATE","OK")</f>
        <v>OK</v>
      </c>
      <c r="M57" t="str">
        <f>IF(COUNTIF(role_data[role_id],role_course_map[[#This Row],[role_id]])=0, "INVALID","VALID")</f>
        <v>VALID</v>
      </c>
      <c r="N57" t="str">
        <f>IF(COUNTIF(course_data[course_id],role_course_map[[#This Row],[course_id]])=0, "INVALID","VALID")</f>
        <v>VALID</v>
      </c>
    </row>
    <row r="58" spans="1:14" x14ac:dyDescent="0.35">
      <c r="A58" t="s">
        <v>154</v>
      </c>
      <c r="B58" s="5" t="str">
        <f>_xlfn.XLOOKUP(role_course_map[[#This Row],[role_id]], role_data[role_id], role_data[Role],"")</f>
        <v>Learning and Development Manager</v>
      </c>
      <c r="C58">
        <v>79666</v>
      </c>
      <c r="D58" s="5" t="str">
        <f>_xlfn.XLOOKUP(role_course_map[[#This Row],[course_id]],course_data[course_id],course_data[title],"")</f>
        <v>Getting it right for every child (GIRFEC): informed level</v>
      </c>
      <c r="E58" s="5" t="str">
        <f>_xlfn.XLOOKUP(role_course_map[[#This Row],[course_id]],course_data[course_id],course_data[topic],"")</f>
        <v>SAS : Public Protection</v>
      </c>
      <c r="F58" s="5" t="str">
        <f>_xlfn.XLOOKUP(role_course_map[[#This Row],[course_id]],course_data[course_id],course_data[type],"")</f>
        <v>eLearning</v>
      </c>
      <c r="K58" t="str">
        <f>role_course_map[[#This Row],[role_id]] &amp; "|" &amp; role_course_map[[#This Row],[course_id]]</f>
        <v>R0071|79666</v>
      </c>
      <c r="L58" t="str">
        <f>IF(COUNTIF(role_course_map[mapping_key],role_course_map[[#This Row],[mapping_key]])&gt;1,"DUPLICATE","OK")</f>
        <v>OK</v>
      </c>
      <c r="M58" t="str">
        <f>IF(COUNTIF(role_data[role_id],role_course_map[[#This Row],[role_id]])=0, "INVALID","VALID")</f>
        <v>VALID</v>
      </c>
      <c r="N58" t="str">
        <f>IF(COUNTIF(course_data[course_id],role_course_map[[#This Row],[course_id]])=0, "INVALID","VALID")</f>
        <v>VALID</v>
      </c>
    </row>
    <row r="59" spans="1:14" x14ac:dyDescent="0.35">
      <c r="A59" t="s">
        <v>154</v>
      </c>
      <c r="B59" s="5" t="str">
        <f>_xlfn.XLOOKUP(role_course_map[[#This Row],[role_id]], role_data[role_id], role_data[Role],"")</f>
        <v>Learning and Development Manager</v>
      </c>
      <c r="C59">
        <v>999074</v>
      </c>
      <c r="D59" s="5" t="str">
        <f>_xlfn.XLOOKUP(role_course_map[[#This Row],[course_id]],course_data[course_id],course_data[title],"")</f>
        <v>SAS-specific Children’s rights</v>
      </c>
      <c r="E59" s="5" t="str">
        <f>_xlfn.XLOOKUP(role_course_map[[#This Row],[course_id]],course_data[course_id],course_data[topic],"")</f>
        <v>SAS : Public Protection</v>
      </c>
      <c r="F59" s="5" t="str">
        <f>_xlfn.XLOOKUP(role_course_map[[#This Row],[course_id]],course_data[course_id],course_data[type],"")</f>
        <v>eLearning</v>
      </c>
      <c r="K59" t="str">
        <f>role_course_map[[#This Row],[role_id]] &amp; "|" &amp; role_course_map[[#This Row],[course_id]]</f>
        <v>R0071|999074</v>
      </c>
      <c r="L59" t="str">
        <f>IF(COUNTIF(role_course_map[mapping_key],role_course_map[[#This Row],[mapping_key]])&gt;1,"DUPLICATE","OK")</f>
        <v>OK</v>
      </c>
      <c r="M59" t="str">
        <f>IF(COUNTIF(role_data[role_id],role_course_map[[#This Row],[role_id]])=0, "INVALID","VALID")</f>
        <v>VALID</v>
      </c>
      <c r="N59" t="str">
        <f>IF(COUNTIF(course_data[course_id],role_course_map[[#This Row],[course_id]])=0, "INVALID","VALID")</f>
        <v>VALID</v>
      </c>
    </row>
    <row r="60" spans="1:14" x14ac:dyDescent="0.35">
      <c r="A60" t="s">
        <v>154</v>
      </c>
      <c r="B60" s="5" t="str">
        <f>_xlfn.XLOOKUP(role_course_map[[#This Row],[role_id]], role_data[role_id], role_data[Role],"")</f>
        <v>Learning and Development Manager</v>
      </c>
      <c r="C60">
        <v>999075</v>
      </c>
      <c r="D60" s="5" t="str">
        <f>_xlfn.XLOOKUP(role_course_map[[#This Row],[course_id]],course_data[course_id],course_data[title],"")</f>
        <v>Multiagency local or bespoke Level 3 delivery training</v>
      </c>
      <c r="E60" s="5" t="str">
        <f>_xlfn.XLOOKUP(role_course_map[[#This Row],[course_id]],course_data[course_id],course_data[topic],"")</f>
        <v>SAS : Public Protection</v>
      </c>
      <c r="F60" s="5" t="str">
        <f>_xlfn.XLOOKUP(role_course_map[[#This Row],[course_id]],course_data[course_id],course_data[type],"")</f>
        <v>eLearning</v>
      </c>
      <c r="K60" t="str">
        <f>role_course_map[[#This Row],[role_id]] &amp; "|" &amp; role_course_map[[#This Row],[course_id]]</f>
        <v>R0071|999075</v>
      </c>
      <c r="L60" t="str">
        <f>IF(COUNTIF(role_course_map[mapping_key],role_course_map[[#This Row],[mapping_key]])&gt;1,"DUPLICATE","OK")</f>
        <v>OK</v>
      </c>
      <c r="M60" t="str">
        <f>IF(COUNTIF(role_data[role_id],role_course_map[[#This Row],[role_id]])=0, "INVALID","VALID")</f>
        <v>VALID</v>
      </c>
      <c r="N60" t="str">
        <f>IF(COUNTIF(course_data[course_id],role_course_map[[#This Row],[course_id]])=0, "INVALID","VALID")</f>
        <v>VALID</v>
      </c>
    </row>
    <row r="61" spans="1:14" x14ac:dyDescent="0.35">
      <c r="A61" t="s">
        <v>154</v>
      </c>
      <c r="B61" s="5" t="str">
        <f>_xlfn.XLOOKUP(role_course_map[[#This Row],[role_id]], role_data[role_id], role_data[Role],"")</f>
        <v>Learning and Development Manager</v>
      </c>
      <c r="C61">
        <v>15249</v>
      </c>
      <c r="D61" s="5" t="str">
        <f>_xlfn.XLOOKUP(role_course_map[[#This Row],[course_id]],course_data[course_id],course_data[title],"")</f>
        <v>Human trafficking</v>
      </c>
      <c r="E61" s="5" t="str">
        <f>_xlfn.XLOOKUP(role_course_map[[#This Row],[course_id]],course_data[course_id],course_data[topic],"")</f>
        <v>SAS : Public Protection</v>
      </c>
      <c r="F61" s="5" t="str">
        <f>_xlfn.XLOOKUP(role_course_map[[#This Row],[course_id]],course_data[course_id],course_data[type],"")</f>
        <v>eLearning</v>
      </c>
      <c r="K61" t="str">
        <f>role_course_map[[#This Row],[role_id]] &amp; "|" &amp; role_course_map[[#This Row],[course_id]]</f>
        <v>R0071|15249</v>
      </c>
      <c r="L61" t="str">
        <f>IF(COUNTIF(role_course_map[mapping_key],role_course_map[[#This Row],[mapping_key]])&gt;1,"DUPLICATE","OK")</f>
        <v>OK</v>
      </c>
      <c r="M61" t="str">
        <f>IF(COUNTIF(role_data[role_id],role_course_map[[#This Row],[role_id]])=0, "INVALID","VALID")</f>
        <v>VALID</v>
      </c>
      <c r="N61" t="str">
        <f>IF(COUNTIF(course_data[course_id],role_course_map[[#This Row],[course_id]])=0, "INVALID","VALID")</f>
        <v>VALID</v>
      </c>
    </row>
    <row r="62" spans="1:14" x14ac:dyDescent="0.35">
      <c r="A62" t="s">
        <v>128</v>
      </c>
      <c r="B62" s="5" t="str">
        <f>_xlfn.XLOOKUP(role_course_map[[#This Row],[role_id]], role_data[role_id], role_data[Role],"")</f>
        <v>Call Performance Manager</v>
      </c>
      <c r="C62">
        <v>999092</v>
      </c>
      <c r="D62" s="5" t="str">
        <f>_xlfn.XLOOKUP(role_course_map[[#This Row],[course_id]],course_data[course_id],course_data[title],"")</f>
        <v>Health &amp; Wellbeing Awareness for Managers</v>
      </c>
      <c r="E62" s="5" t="str">
        <f>_xlfn.XLOOKUP(role_course_map[[#This Row],[course_id]],course_data[course_id],course_data[topic],"")</f>
        <v>SAS: Staff development and experience</v>
      </c>
      <c r="F62" s="5" t="str">
        <f>_xlfn.XLOOKUP(role_course_map[[#This Row],[course_id]],course_data[course_id],course_data[type],"")</f>
        <v>eLearning</v>
      </c>
      <c r="K62" t="str">
        <f>role_course_map[[#This Row],[role_id]] &amp; "|" &amp; role_course_map[[#This Row],[course_id]]</f>
        <v>R0058|999092</v>
      </c>
      <c r="L62" t="str">
        <f>IF(COUNTIF(role_course_map[mapping_key],role_course_map[[#This Row],[mapping_key]])&gt;1,"DUPLICATE","OK")</f>
        <v>OK</v>
      </c>
      <c r="M62" t="str">
        <f>IF(COUNTIF(role_data[role_id],role_course_map[[#This Row],[role_id]])=0, "INVALID","VALID")</f>
        <v>VALID</v>
      </c>
      <c r="N62" t="str">
        <f>IF(COUNTIF(course_data[course_id],role_course_map[[#This Row],[course_id]])=0, "INVALID","VALID")</f>
        <v>VALID</v>
      </c>
    </row>
    <row r="63" spans="1:14" x14ac:dyDescent="0.35">
      <c r="A63" t="s">
        <v>154</v>
      </c>
      <c r="B63" s="5" t="str">
        <f>_xlfn.XLOOKUP(role_course_map[[#This Row],[role_id]], role_data[role_id], role_data[Role],"")</f>
        <v>Learning and Development Manager</v>
      </c>
      <c r="C63">
        <v>999093</v>
      </c>
      <c r="D63" s="5" t="str">
        <f>_xlfn.XLOOKUP(role_course_map[[#This Row],[course_id]],course_data[course_id],course_data[title],"")</f>
        <v>Managing Wellbeing Refresher for Managers</v>
      </c>
      <c r="E63" s="5" t="str">
        <f>_xlfn.XLOOKUP(role_course_map[[#This Row],[course_id]],course_data[course_id],course_data[topic],"")</f>
        <v>SAS: Staff development and experience</v>
      </c>
      <c r="F63" s="5" t="str">
        <f>_xlfn.XLOOKUP(role_course_map[[#This Row],[course_id]],course_data[course_id],course_data[type],"")</f>
        <v>eLearning</v>
      </c>
      <c r="K63" t="str">
        <f>role_course_map[[#This Row],[role_id]] &amp; "|" &amp; role_course_map[[#This Row],[course_id]]</f>
        <v>R0071|999093</v>
      </c>
      <c r="L63" t="str">
        <f>IF(COUNTIF(role_course_map[mapping_key],role_course_map[[#This Row],[mapping_key]])&gt;1,"DUPLICATE","OK")</f>
        <v>OK</v>
      </c>
      <c r="M63" t="str">
        <f>IF(COUNTIF(role_data[role_id],role_course_map[[#This Row],[role_id]])=0, "INVALID","VALID")</f>
        <v>VALID</v>
      </c>
      <c r="N63" t="str">
        <f>IF(COUNTIF(course_data[course_id],role_course_map[[#This Row],[course_id]])=0, "INVALID","VALID")</f>
        <v>VALID</v>
      </c>
    </row>
    <row r="64" spans="1:14" x14ac:dyDescent="0.35">
      <c r="A64" t="s">
        <v>128</v>
      </c>
      <c r="B64" s="5" t="str">
        <f>_xlfn.XLOOKUP(role_course_map[[#This Row],[role_id]], role_data[role_id], role_data[Role],"")</f>
        <v>Call Performance Manager</v>
      </c>
      <c r="C64">
        <v>999094</v>
      </c>
      <c r="D64" s="5" t="str">
        <f>_xlfn.XLOOKUP(role_course_map[[#This Row],[course_id]],course_data[course_id],course_data[title],"")</f>
        <v>Being well, Mind, Body &amp; Workplace</v>
      </c>
      <c r="E64" s="5" t="str">
        <f>_xlfn.XLOOKUP(role_course_map[[#This Row],[course_id]],course_data[course_id],course_data[topic],"")</f>
        <v>SAS: Staff development and experience</v>
      </c>
      <c r="F64" s="5" t="str">
        <f>_xlfn.XLOOKUP(role_course_map[[#This Row],[course_id]],course_data[course_id],course_data[type],"")</f>
        <v>eLearning</v>
      </c>
      <c r="K64" t="str">
        <f>role_course_map[[#This Row],[role_id]] &amp; "|" &amp; role_course_map[[#This Row],[course_id]]</f>
        <v>R0058|999094</v>
      </c>
      <c r="L64" t="str">
        <f>IF(COUNTIF(role_course_map[mapping_key],role_course_map[[#This Row],[mapping_key]])&gt;1,"DUPLICATE","OK")</f>
        <v>OK</v>
      </c>
      <c r="M64" t="str">
        <f>IF(COUNTIF(role_data[role_id],role_course_map[[#This Row],[role_id]])=0, "INVALID","VALID")</f>
        <v>VALID</v>
      </c>
      <c r="N64" t="str">
        <f>IF(COUNTIF(course_data[course_id],role_course_map[[#This Row],[course_id]])=0, "INVALID","VALID")</f>
        <v>VALID</v>
      </c>
    </row>
    <row r="65" spans="1:14" x14ac:dyDescent="0.35">
      <c r="A65" t="s">
        <v>144</v>
      </c>
      <c r="B65" s="5" t="str">
        <f>_xlfn.XLOOKUP(role_course_map[[#This Row],[role_id]], role_data[role_id], role_data[Role],"")</f>
        <v>Duty Manager</v>
      </c>
      <c r="C65">
        <v>89569</v>
      </c>
      <c r="D65" s="5" t="str">
        <f>_xlfn.XLOOKUP(role_course_map[[#This Row],[course_id]],course_data[course_id],course_data[title],"")</f>
        <v>LifeX for Supervisors</v>
      </c>
      <c r="E65" s="5" t="str">
        <f>_xlfn.XLOOKUP(role_course_map[[#This Row],[course_id]],course_data[course_id],course_data[topic],"")</f>
        <v>SAS: Systems Training</v>
      </c>
      <c r="F65" s="5" t="str">
        <f>_xlfn.XLOOKUP(role_course_map[[#This Row],[course_id]],course_data[course_id],course_data[type],"")</f>
        <v>Course</v>
      </c>
      <c r="K65" t="str">
        <f>role_course_map[[#This Row],[role_id]] &amp; "|" &amp; role_course_map[[#This Row],[course_id]]</f>
        <v>R0066|89569</v>
      </c>
      <c r="L65" t="str">
        <f>IF(COUNTIF(role_course_map[mapping_key],role_course_map[[#This Row],[mapping_key]])&gt;1,"DUPLICATE","OK")</f>
        <v>OK</v>
      </c>
      <c r="M65" t="str">
        <f>IF(COUNTIF(role_data[role_id],role_course_map[[#This Row],[role_id]])=0, "INVALID","VALID")</f>
        <v>VALID</v>
      </c>
      <c r="N65" t="str">
        <f>IF(COUNTIF(course_data[course_id],role_course_map[[#This Row],[course_id]])=0, "INVALID","VALID")</f>
        <v>VALID</v>
      </c>
    </row>
    <row r="66" spans="1:14" x14ac:dyDescent="0.35">
      <c r="A66" t="s">
        <v>144</v>
      </c>
      <c r="B66" s="5" t="str">
        <f>_xlfn.XLOOKUP(role_course_map[[#This Row],[role_id]], role_data[role_id], role_data[Role],"")</f>
        <v>Duty Manager</v>
      </c>
      <c r="C66">
        <v>75406</v>
      </c>
      <c r="D66" s="5" t="str">
        <f>_xlfn.XLOOKUP(role_course_map[[#This Row],[course_id]],course_data[course_id],course_data[title],"")</f>
        <v>Foundation Leadership and Management Programme (FLMP)</v>
      </c>
      <c r="E66" s="5" t="str">
        <f>_xlfn.XLOOKUP(role_course_map[[#This Row],[course_id]],course_data[course_id],course_data[topic],"")</f>
        <v>SAS: Staff development and experience</v>
      </c>
      <c r="F66" s="5" t="str">
        <f>_xlfn.XLOOKUP(role_course_map[[#This Row],[course_id]],course_data[course_id],course_data[type],"")</f>
        <v>Page</v>
      </c>
      <c r="K66" t="str">
        <f>role_course_map[[#This Row],[role_id]] &amp; "|" &amp; role_course_map[[#This Row],[course_id]]</f>
        <v>R0066|75406</v>
      </c>
      <c r="L66" t="str">
        <f>IF(COUNTIF(role_course_map[mapping_key],role_course_map[[#This Row],[mapping_key]])&gt;1,"DUPLICATE","OK")</f>
        <v>OK</v>
      </c>
      <c r="M66" t="str">
        <f>IF(COUNTIF(role_data[role_id],role_course_map[[#This Row],[role_id]])=0, "INVALID","VALID")</f>
        <v>VALID</v>
      </c>
      <c r="N66" t="str">
        <f>IF(COUNTIF(course_data[course_id],role_course_map[[#This Row],[course_id]])=0, "INVALID","VALID")</f>
        <v>VALID</v>
      </c>
    </row>
    <row r="67" spans="1:14" x14ac:dyDescent="0.35">
      <c r="A67" t="s">
        <v>144</v>
      </c>
      <c r="B67" s="5" t="str">
        <f>_xlfn.XLOOKUP(role_course_map[[#This Row],[role_id]], role_data[role_id], role_data[Role],"")</f>
        <v>Duty Manager</v>
      </c>
      <c r="C67">
        <v>999091</v>
      </c>
      <c r="D67" s="5" t="str">
        <f>_xlfn.XLOOKUP(role_course_map[[#This Row],[course_id]],course_data[course_id],course_data[title],"")</f>
        <v>Intermediate Leadership Development Programme</v>
      </c>
      <c r="E67" s="5" t="str">
        <f>_xlfn.XLOOKUP(role_course_map[[#This Row],[course_id]],course_data[course_id],course_data[topic],"")</f>
        <v>SAS: Staff development and experience</v>
      </c>
      <c r="F67" s="5">
        <f>_xlfn.XLOOKUP(role_course_map[[#This Row],[course_id]],course_data[course_id],course_data[type],"")</f>
        <v>0</v>
      </c>
      <c r="K67" t="str">
        <f>role_course_map[[#This Row],[role_id]] &amp; "|" &amp; role_course_map[[#This Row],[course_id]]</f>
        <v>R0066|999091</v>
      </c>
      <c r="L67" t="str">
        <f>IF(COUNTIF(role_course_map[mapping_key],role_course_map[[#This Row],[mapping_key]])&gt;1,"DUPLICATE","OK")</f>
        <v>OK</v>
      </c>
      <c r="M67" t="str">
        <f>IF(COUNTIF(role_data[role_id],role_course_map[[#This Row],[role_id]])=0, "INVALID","VALID")</f>
        <v>VALID</v>
      </c>
      <c r="N67" t="str">
        <f>IF(COUNTIF(course_data[course_id],role_course_map[[#This Row],[course_id]])=0, "INVALID","VALID")</f>
        <v>VALID</v>
      </c>
    </row>
    <row r="68" spans="1:14" x14ac:dyDescent="0.35">
      <c r="A68" t="s">
        <v>144</v>
      </c>
      <c r="B68" s="5" t="str">
        <f>_xlfn.XLOOKUP(role_course_map[[#This Row],[role_id]], role_data[role_id], role_data[Role],"")</f>
        <v>Duty Manager</v>
      </c>
      <c r="C68">
        <v>999058</v>
      </c>
      <c r="D68" s="5" t="str">
        <f>_xlfn.XLOOKUP(role_course_map[[#This Row],[course_id]],course_data[course_id],course_data[title],"")</f>
        <v>Stress Identification &amp; Stress Management</v>
      </c>
      <c r="E68" s="5" t="str">
        <f>_xlfn.XLOOKUP(role_course_map[[#This Row],[course_id]],course_data[course_id],course_data[topic],"")</f>
        <v>SAS : Health and Safety</v>
      </c>
      <c r="F68" s="5" t="str">
        <f>_xlfn.XLOOKUP(role_course_map[[#This Row],[course_id]],course_data[course_id],course_data[type],"")</f>
        <v>eLearning</v>
      </c>
      <c r="K68" t="str">
        <f>role_course_map[[#This Row],[role_id]] &amp; "|" &amp; role_course_map[[#This Row],[course_id]]</f>
        <v>R0066|999058</v>
      </c>
      <c r="L68" t="str">
        <f>IF(COUNTIF(role_course_map[mapping_key],role_course_map[[#This Row],[mapping_key]])&gt;1,"DUPLICATE","OK")</f>
        <v>OK</v>
      </c>
      <c r="M68" t="str">
        <f>IF(COUNTIF(role_data[role_id],role_course_map[[#This Row],[role_id]])=0, "INVALID","VALID")</f>
        <v>VALID</v>
      </c>
      <c r="N68" t="str">
        <f>IF(COUNTIF(course_data[course_id],role_course_map[[#This Row],[course_id]])=0, "INVALID","VALID")</f>
        <v>VALID</v>
      </c>
    </row>
    <row r="69" spans="1:14" x14ac:dyDescent="0.35">
      <c r="A69" t="s">
        <v>144</v>
      </c>
      <c r="B69" s="5" t="str">
        <f>_xlfn.XLOOKUP(role_course_map[[#This Row],[role_id]], role_data[role_id], role_data[Role],"")</f>
        <v>Duty Manager</v>
      </c>
      <c r="C69">
        <v>79147</v>
      </c>
      <c r="D69" s="5" t="str">
        <f>_xlfn.XLOOKUP(role_course_map[[#This Row],[course_id]],course_data[course_id],course_data[title],"")</f>
        <v>Driving risks at work</v>
      </c>
      <c r="E69" s="5" t="str">
        <f>_xlfn.XLOOKUP(role_course_map[[#This Row],[course_id]],course_data[course_id],course_data[topic],"")</f>
        <v>SAS : Health and Safety</v>
      </c>
      <c r="F69" s="5" t="str">
        <f>_xlfn.XLOOKUP(role_course_map[[#This Row],[course_id]],course_data[course_id],course_data[type],"")</f>
        <v>eLearning</v>
      </c>
      <c r="K69" t="str">
        <f>role_course_map[[#This Row],[role_id]] &amp; "|" &amp; role_course_map[[#This Row],[course_id]]</f>
        <v>R0066|79147</v>
      </c>
      <c r="L69" t="str">
        <f>IF(COUNTIF(role_course_map[mapping_key],role_course_map[[#This Row],[mapping_key]])&gt;1,"DUPLICATE","OK")</f>
        <v>OK</v>
      </c>
      <c r="M69" t="str">
        <f>IF(COUNTIF(role_data[role_id],role_course_map[[#This Row],[role_id]])=0, "INVALID","VALID")</f>
        <v>VALID</v>
      </c>
      <c r="N69" t="str">
        <f>IF(COUNTIF(course_data[course_id],role_course_map[[#This Row],[course_id]])=0, "INVALID","VALID")</f>
        <v>VALID</v>
      </c>
    </row>
    <row r="70" spans="1:14" x14ac:dyDescent="0.35">
      <c r="A70" t="s">
        <v>154</v>
      </c>
      <c r="B70" s="5" t="str">
        <f>_xlfn.XLOOKUP(role_course_map[[#This Row],[role_id]], role_data[role_id], role_data[Role],"")</f>
        <v>Learning and Development Manager</v>
      </c>
      <c r="C70">
        <v>999057</v>
      </c>
      <c r="D70" s="5" t="str">
        <f>_xlfn.XLOOKUP(role_course_map[[#This Row],[course_id]],course_data[course_id],course_data[title],"")</f>
        <v>Fatigue Awareness</v>
      </c>
      <c r="E70" s="5" t="str">
        <f>_xlfn.XLOOKUP(role_course_map[[#This Row],[course_id]],course_data[course_id],course_data[topic],"")</f>
        <v>SAS : Health and Safety</v>
      </c>
      <c r="F70" s="5" t="str">
        <f>_xlfn.XLOOKUP(role_course_map[[#This Row],[course_id]],course_data[course_id],course_data[type],"")</f>
        <v>eLearning</v>
      </c>
      <c r="K70" t="str">
        <f>role_course_map[[#This Row],[role_id]] &amp; "|" &amp; role_course_map[[#This Row],[course_id]]</f>
        <v>R0071|999057</v>
      </c>
      <c r="L70" t="str">
        <f>IF(COUNTIF(role_course_map[mapping_key],role_course_map[[#This Row],[mapping_key]])&gt;1,"DUPLICATE","OK")</f>
        <v>OK</v>
      </c>
      <c r="M70" t="str">
        <f>IF(COUNTIF(role_data[role_id],role_course_map[[#This Row],[role_id]])=0, "INVALID","VALID")</f>
        <v>VALID</v>
      </c>
      <c r="N70" t="str">
        <f>IF(COUNTIF(course_data[course_id],role_course_map[[#This Row],[course_id]])=0, "INVALID","VALID")</f>
        <v>VALID</v>
      </c>
    </row>
    <row r="71" spans="1:14" x14ac:dyDescent="0.35">
      <c r="A71" t="s">
        <v>144</v>
      </c>
      <c r="B71" s="5" t="str">
        <f>_xlfn.XLOOKUP(role_course_map[[#This Row],[role_id]], role_data[role_id], role_data[Role],"")</f>
        <v>Duty Manager</v>
      </c>
      <c r="C71">
        <v>64322</v>
      </c>
      <c r="D71" s="5" t="str">
        <f>_xlfn.XLOOKUP(role_course_map[[#This Row],[course_id]],course_data[course_id],course_data[title],"")</f>
        <v>Adult support and protection: practice level 2 [skilled]</v>
      </c>
      <c r="E71" s="5" t="str">
        <f>_xlfn.XLOOKUP(role_course_map[[#This Row],[course_id]],course_data[course_id],course_data[topic],"")</f>
        <v>SAS : Public Protection</v>
      </c>
      <c r="F71" s="5" t="str">
        <f>_xlfn.XLOOKUP(role_course_map[[#This Row],[course_id]],course_data[course_id],course_data[type],"")</f>
        <v>eLearning</v>
      </c>
      <c r="K71" t="str">
        <f>role_course_map[[#This Row],[role_id]] &amp; "|" &amp; role_course_map[[#This Row],[course_id]]</f>
        <v>R0066|64322</v>
      </c>
      <c r="L71" t="str">
        <f>IF(COUNTIF(role_course_map[mapping_key],role_course_map[[#This Row],[mapping_key]])&gt;1,"DUPLICATE","OK")</f>
        <v>OK</v>
      </c>
      <c r="M71" t="str">
        <f>IF(COUNTIF(role_data[role_id],role_course_map[[#This Row],[role_id]])=0, "INVALID","VALID")</f>
        <v>VALID</v>
      </c>
      <c r="N71" t="str">
        <f>IF(COUNTIF(course_data[course_id],role_course_map[[#This Row],[course_id]])=0, "INVALID","VALID")</f>
        <v>VALID</v>
      </c>
    </row>
    <row r="72" spans="1:14" x14ac:dyDescent="0.35">
      <c r="A72" t="s">
        <v>144</v>
      </c>
      <c r="B72" s="5" t="str">
        <f>_xlfn.XLOOKUP(role_course_map[[#This Row],[role_id]], role_data[role_id], role_data[Role],"")</f>
        <v>Duty Manager</v>
      </c>
      <c r="C72">
        <v>64324</v>
      </c>
      <c r="D72" s="5" t="str">
        <f>_xlfn.XLOOKUP(role_course_map[[#This Row],[course_id]],course_data[course_id],course_data[title],"")</f>
        <v>Child protection: practice level 2 [skilled]</v>
      </c>
      <c r="E72" s="5" t="str">
        <f>_xlfn.XLOOKUP(role_course_map[[#This Row],[course_id]],course_data[course_id],course_data[topic],"")</f>
        <v>SAS : Public Protection</v>
      </c>
      <c r="F72" s="5" t="str">
        <f>_xlfn.XLOOKUP(role_course_map[[#This Row],[course_id]],course_data[course_id],course_data[type],"")</f>
        <v>eLearning</v>
      </c>
      <c r="K72" t="str">
        <f>role_course_map[[#This Row],[role_id]] &amp; "|" &amp; role_course_map[[#This Row],[course_id]]</f>
        <v>R0066|64324</v>
      </c>
      <c r="L72" t="str">
        <f>IF(COUNTIF(role_course_map[mapping_key],role_course_map[[#This Row],[mapping_key]])&gt;1,"DUPLICATE","OK")</f>
        <v>OK</v>
      </c>
      <c r="M72" t="str">
        <f>IF(COUNTIF(role_data[role_id],role_course_map[[#This Row],[role_id]])=0, "INVALID","VALID")</f>
        <v>VALID</v>
      </c>
      <c r="N72" t="str">
        <f>IF(COUNTIF(course_data[course_id],role_course_map[[#This Row],[course_id]])=0, "INVALID","VALID")</f>
        <v>VALID</v>
      </c>
    </row>
    <row r="73" spans="1:14" x14ac:dyDescent="0.35">
      <c r="A73" t="s">
        <v>154</v>
      </c>
      <c r="B73" s="5" t="str">
        <f>_xlfn.XLOOKUP(role_course_map[[#This Row],[role_id]], role_data[role_id], role_data[Role],"")</f>
        <v>Learning and Development Manager</v>
      </c>
      <c r="C73">
        <v>76716</v>
      </c>
      <c r="D73" s="5" t="str">
        <f>_xlfn.XLOOKUP(role_course_map[[#This Row],[course_id]],course_data[course_id],course_data[title],"")</f>
        <v>Domestic abuse awareness training tool (DAART)</v>
      </c>
      <c r="E73" s="5" t="str">
        <f>_xlfn.XLOOKUP(role_course_map[[#This Row],[course_id]],course_data[course_id],course_data[topic],"")</f>
        <v>SAS : Public Protection</v>
      </c>
      <c r="F73" s="5" t="str">
        <f>_xlfn.XLOOKUP(role_course_map[[#This Row],[course_id]],course_data[course_id],course_data[type],"")</f>
        <v>eLearning</v>
      </c>
      <c r="K73" t="str">
        <f>role_course_map[[#This Row],[role_id]] &amp; "|" &amp; role_course_map[[#This Row],[course_id]]</f>
        <v>R0071|76716</v>
      </c>
      <c r="L73" t="str">
        <f>IF(COUNTIF(role_course_map[mapping_key],role_course_map[[#This Row],[mapping_key]])&gt;1,"DUPLICATE","OK")</f>
        <v>OK</v>
      </c>
      <c r="M73" t="str">
        <f>IF(COUNTIF(role_data[role_id],role_course_map[[#This Row],[role_id]])=0, "INVALID","VALID")</f>
        <v>VALID</v>
      </c>
      <c r="N73" t="str">
        <f>IF(COUNTIF(course_data[course_id],role_course_map[[#This Row],[course_id]])=0, "INVALID","VALID")</f>
        <v>VALID</v>
      </c>
    </row>
    <row r="74" spans="1:14" x14ac:dyDescent="0.35">
      <c r="A74" t="s">
        <v>144</v>
      </c>
      <c r="B74" s="5" t="str">
        <f>_xlfn.XLOOKUP(role_course_map[[#This Row],[role_id]], role_data[role_id], role_data[Role],"")</f>
        <v>Duty Manager</v>
      </c>
      <c r="C74">
        <v>79666</v>
      </c>
      <c r="D74" s="5" t="str">
        <f>_xlfn.XLOOKUP(role_course_map[[#This Row],[course_id]],course_data[course_id],course_data[title],"")</f>
        <v>Getting it right for every child (GIRFEC): informed level</v>
      </c>
      <c r="E74" s="5" t="str">
        <f>_xlfn.XLOOKUP(role_course_map[[#This Row],[course_id]],course_data[course_id],course_data[topic],"")</f>
        <v>SAS : Public Protection</v>
      </c>
      <c r="F74" s="5" t="str">
        <f>_xlfn.XLOOKUP(role_course_map[[#This Row],[course_id]],course_data[course_id],course_data[type],"")</f>
        <v>eLearning</v>
      </c>
      <c r="K74" t="str">
        <f>role_course_map[[#This Row],[role_id]] &amp; "|" &amp; role_course_map[[#This Row],[course_id]]</f>
        <v>R0066|79666</v>
      </c>
      <c r="L74" t="str">
        <f>IF(COUNTIF(role_course_map[mapping_key],role_course_map[[#This Row],[mapping_key]])&gt;1,"DUPLICATE","OK")</f>
        <v>OK</v>
      </c>
      <c r="M74" t="str">
        <f>IF(COUNTIF(role_data[role_id],role_course_map[[#This Row],[role_id]])=0, "INVALID","VALID")</f>
        <v>VALID</v>
      </c>
      <c r="N74" t="str">
        <f>IF(COUNTIF(course_data[course_id],role_course_map[[#This Row],[course_id]])=0, "INVALID","VALID")</f>
        <v>VALID</v>
      </c>
    </row>
    <row r="75" spans="1:14" x14ac:dyDescent="0.35">
      <c r="A75" t="s">
        <v>144</v>
      </c>
      <c r="B75" s="5" t="str">
        <f>_xlfn.XLOOKUP(role_course_map[[#This Row],[role_id]], role_data[role_id], role_data[Role],"")</f>
        <v>Duty Manager</v>
      </c>
      <c r="C75">
        <v>999074</v>
      </c>
      <c r="D75" s="5" t="str">
        <f>_xlfn.XLOOKUP(role_course_map[[#This Row],[course_id]],course_data[course_id],course_data[title],"")</f>
        <v>SAS-specific Children’s rights</v>
      </c>
      <c r="E75" s="5" t="str">
        <f>_xlfn.XLOOKUP(role_course_map[[#This Row],[course_id]],course_data[course_id],course_data[topic],"")</f>
        <v>SAS : Public Protection</v>
      </c>
      <c r="F75" s="5" t="str">
        <f>_xlfn.XLOOKUP(role_course_map[[#This Row],[course_id]],course_data[course_id],course_data[type],"")</f>
        <v>eLearning</v>
      </c>
      <c r="K75" t="str">
        <f>role_course_map[[#This Row],[role_id]] &amp; "|" &amp; role_course_map[[#This Row],[course_id]]</f>
        <v>R0066|999074</v>
      </c>
      <c r="L75" t="str">
        <f>IF(COUNTIF(role_course_map[mapping_key],role_course_map[[#This Row],[mapping_key]])&gt;1,"DUPLICATE","OK")</f>
        <v>OK</v>
      </c>
      <c r="M75" t="str">
        <f>IF(COUNTIF(role_data[role_id],role_course_map[[#This Row],[role_id]])=0, "INVALID","VALID")</f>
        <v>VALID</v>
      </c>
      <c r="N75" t="str">
        <f>IF(COUNTIF(course_data[course_id],role_course_map[[#This Row],[course_id]])=0, "INVALID","VALID")</f>
        <v>VALID</v>
      </c>
    </row>
    <row r="76" spans="1:14" x14ac:dyDescent="0.35">
      <c r="A76" t="s">
        <v>144</v>
      </c>
      <c r="B76" s="5" t="str">
        <f>_xlfn.XLOOKUP(role_course_map[[#This Row],[role_id]], role_data[role_id], role_data[Role],"")</f>
        <v>Duty Manager</v>
      </c>
      <c r="C76">
        <v>999075</v>
      </c>
      <c r="D76" s="5" t="str">
        <f>_xlfn.XLOOKUP(role_course_map[[#This Row],[course_id]],course_data[course_id],course_data[title],"")</f>
        <v>Multiagency local or bespoke Level 3 delivery training</v>
      </c>
      <c r="E76" s="5" t="str">
        <f>_xlfn.XLOOKUP(role_course_map[[#This Row],[course_id]],course_data[course_id],course_data[topic],"")</f>
        <v>SAS : Public Protection</v>
      </c>
      <c r="F76" s="5" t="str">
        <f>_xlfn.XLOOKUP(role_course_map[[#This Row],[course_id]],course_data[course_id],course_data[type],"")</f>
        <v>eLearning</v>
      </c>
      <c r="K76" t="str">
        <f>role_course_map[[#This Row],[role_id]] &amp; "|" &amp; role_course_map[[#This Row],[course_id]]</f>
        <v>R0066|999075</v>
      </c>
      <c r="L76" t="str">
        <f>IF(COUNTIF(role_course_map[mapping_key],role_course_map[[#This Row],[mapping_key]])&gt;1,"DUPLICATE","OK")</f>
        <v>OK</v>
      </c>
      <c r="M76" t="str">
        <f>IF(COUNTIF(role_data[role_id],role_course_map[[#This Row],[role_id]])=0, "INVALID","VALID")</f>
        <v>VALID</v>
      </c>
      <c r="N76" t="str">
        <f>IF(COUNTIF(course_data[course_id],role_course_map[[#This Row],[course_id]])=0, "INVALID","VALID")</f>
        <v>VALID</v>
      </c>
    </row>
    <row r="77" spans="1:14" x14ac:dyDescent="0.35">
      <c r="A77" t="s">
        <v>144</v>
      </c>
      <c r="B77" s="5" t="str">
        <f>_xlfn.XLOOKUP(role_course_map[[#This Row],[role_id]], role_data[role_id], role_data[Role],"")</f>
        <v>Duty Manager</v>
      </c>
      <c r="C77">
        <v>15249</v>
      </c>
      <c r="D77" s="5" t="str">
        <f>_xlfn.XLOOKUP(role_course_map[[#This Row],[course_id]],course_data[course_id],course_data[title],"")</f>
        <v>Human trafficking</v>
      </c>
      <c r="E77" s="5" t="str">
        <f>_xlfn.XLOOKUP(role_course_map[[#This Row],[course_id]],course_data[course_id],course_data[topic],"")</f>
        <v>SAS : Public Protection</v>
      </c>
      <c r="F77" s="5" t="str">
        <f>_xlfn.XLOOKUP(role_course_map[[#This Row],[course_id]],course_data[course_id],course_data[type],"")</f>
        <v>eLearning</v>
      </c>
      <c r="K77" t="str">
        <f>role_course_map[[#This Row],[role_id]] &amp; "|" &amp; role_course_map[[#This Row],[course_id]]</f>
        <v>R0066|15249</v>
      </c>
      <c r="L77" t="str">
        <f>IF(COUNTIF(role_course_map[mapping_key],role_course_map[[#This Row],[mapping_key]])&gt;1,"DUPLICATE","OK")</f>
        <v>OK</v>
      </c>
      <c r="M77" t="str">
        <f>IF(COUNTIF(role_data[role_id],role_course_map[[#This Row],[role_id]])=0, "INVALID","VALID")</f>
        <v>VALID</v>
      </c>
      <c r="N77" t="str">
        <f>IF(COUNTIF(course_data[course_id],role_course_map[[#This Row],[course_id]])=0, "INVALID","VALID")</f>
        <v>VALID</v>
      </c>
    </row>
    <row r="78" spans="1:14" x14ac:dyDescent="0.35">
      <c r="A78" t="s">
        <v>154</v>
      </c>
      <c r="B78" s="5" t="str">
        <f>_xlfn.XLOOKUP(role_course_map[[#This Row],[role_id]], role_data[role_id], role_data[Role],"")</f>
        <v>Learning and Development Manager</v>
      </c>
      <c r="C78">
        <v>999092</v>
      </c>
      <c r="D78" s="5" t="str">
        <f>_xlfn.XLOOKUP(role_course_map[[#This Row],[course_id]],course_data[course_id],course_data[title],"")</f>
        <v>Health &amp; Wellbeing Awareness for Managers</v>
      </c>
      <c r="E78" s="5" t="str">
        <f>_xlfn.XLOOKUP(role_course_map[[#This Row],[course_id]],course_data[course_id],course_data[topic],"")</f>
        <v>SAS: Staff development and experience</v>
      </c>
      <c r="F78" s="5" t="str">
        <f>_xlfn.XLOOKUP(role_course_map[[#This Row],[course_id]],course_data[course_id],course_data[type],"")</f>
        <v>eLearning</v>
      </c>
      <c r="K78" t="str">
        <f>role_course_map[[#This Row],[role_id]] &amp; "|" &amp; role_course_map[[#This Row],[course_id]]</f>
        <v>R0071|999092</v>
      </c>
      <c r="L78" t="str">
        <f>IF(COUNTIF(role_course_map[mapping_key],role_course_map[[#This Row],[mapping_key]])&gt;1,"DUPLICATE","OK")</f>
        <v>OK</v>
      </c>
      <c r="M78" t="str">
        <f>IF(COUNTIF(role_data[role_id],role_course_map[[#This Row],[role_id]])=0, "INVALID","VALID")</f>
        <v>VALID</v>
      </c>
      <c r="N78" t="str">
        <f>IF(COUNTIF(course_data[course_id],role_course_map[[#This Row],[course_id]])=0, "INVALID","VALID")</f>
        <v>VALID</v>
      </c>
    </row>
    <row r="79" spans="1:14" x14ac:dyDescent="0.35">
      <c r="A79" t="s">
        <v>144</v>
      </c>
      <c r="B79" s="5" t="str">
        <f>_xlfn.XLOOKUP(role_course_map[[#This Row],[role_id]], role_data[role_id], role_data[Role],"")</f>
        <v>Duty Manager</v>
      </c>
      <c r="C79">
        <v>999093</v>
      </c>
      <c r="D79" s="5" t="str">
        <f>_xlfn.XLOOKUP(role_course_map[[#This Row],[course_id]],course_data[course_id],course_data[title],"")</f>
        <v>Managing Wellbeing Refresher for Managers</v>
      </c>
      <c r="E79" s="5" t="str">
        <f>_xlfn.XLOOKUP(role_course_map[[#This Row],[course_id]],course_data[course_id],course_data[topic],"")</f>
        <v>SAS: Staff development and experience</v>
      </c>
      <c r="F79" s="5" t="str">
        <f>_xlfn.XLOOKUP(role_course_map[[#This Row],[course_id]],course_data[course_id],course_data[type],"")</f>
        <v>eLearning</v>
      </c>
      <c r="K79" t="str">
        <f>role_course_map[[#This Row],[role_id]] &amp; "|" &amp; role_course_map[[#This Row],[course_id]]</f>
        <v>R0066|999093</v>
      </c>
      <c r="L79" t="str">
        <f>IF(COUNTIF(role_course_map[mapping_key],role_course_map[[#This Row],[mapping_key]])&gt;1,"DUPLICATE","OK")</f>
        <v>OK</v>
      </c>
      <c r="M79" t="str">
        <f>IF(COUNTIF(role_data[role_id],role_course_map[[#This Row],[role_id]])=0, "INVALID","VALID")</f>
        <v>VALID</v>
      </c>
      <c r="N79" t="str">
        <f>IF(COUNTIF(course_data[course_id],role_course_map[[#This Row],[course_id]])=0, "INVALID","VALID")</f>
        <v>VALID</v>
      </c>
    </row>
    <row r="80" spans="1:14" x14ac:dyDescent="0.35">
      <c r="A80" t="s">
        <v>154</v>
      </c>
      <c r="B80" s="5" t="str">
        <f>_xlfn.XLOOKUP(role_course_map[[#This Row],[role_id]], role_data[role_id], role_data[Role],"")</f>
        <v>Learning and Development Manager</v>
      </c>
      <c r="C80">
        <v>999094</v>
      </c>
      <c r="D80" s="5" t="str">
        <f>_xlfn.XLOOKUP(role_course_map[[#This Row],[course_id]],course_data[course_id],course_data[title],"")</f>
        <v>Being well, Mind, Body &amp; Workplace</v>
      </c>
      <c r="E80" s="5" t="str">
        <f>_xlfn.XLOOKUP(role_course_map[[#This Row],[course_id]],course_data[course_id],course_data[topic],"")</f>
        <v>SAS: Staff development and experience</v>
      </c>
      <c r="F80" s="5" t="str">
        <f>_xlfn.XLOOKUP(role_course_map[[#This Row],[course_id]],course_data[course_id],course_data[type],"")</f>
        <v>eLearning</v>
      </c>
      <c r="K80" t="str">
        <f>role_course_map[[#This Row],[role_id]] &amp; "|" &amp; role_course_map[[#This Row],[course_id]]</f>
        <v>R0071|999094</v>
      </c>
      <c r="L80" t="str">
        <f>IF(COUNTIF(role_course_map[mapping_key],role_course_map[[#This Row],[mapping_key]])&gt;1,"DUPLICATE","OK")</f>
        <v>OK</v>
      </c>
      <c r="M80" t="str">
        <f>IF(COUNTIF(role_data[role_id],role_course_map[[#This Row],[role_id]])=0, "INVALID","VALID")</f>
        <v>VALID</v>
      </c>
      <c r="N80" t="str">
        <f>IF(COUNTIF(course_data[course_id],role_course_map[[#This Row],[course_id]])=0, "INVALID","VALID")</f>
        <v>VALID</v>
      </c>
    </row>
    <row r="81" spans="1:14" x14ac:dyDescent="0.35">
      <c r="A81" t="s">
        <v>180</v>
      </c>
      <c r="B81" s="5" t="str">
        <f>_xlfn.XLOOKUP(role_course_map[[#This Row],[role_id]], role_data[role_id], role_data[Role],"")</f>
        <v>System Support Manager</v>
      </c>
      <c r="C81">
        <v>89569</v>
      </c>
      <c r="D81" s="5" t="str">
        <f>_xlfn.XLOOKUP(role_course_map[[#This Row],[course_id]],course_data[course_id],course_data[title],"")</f>
        <v>LifeX for Supervisors</v>
      </c>
      <c r="E81" s="5" t="str">
        <f>_xlfn.XLOOKUP(role_course_map[[#This Row],[course_id]],course_data[course_id],course_data[topic],"")</f>
        <v>SAS: Systems Training</v>
      </c>
      <c r="F81" s="5" t="str">
        <f>_xlfn.XLOOKUP(role_course_map[[#This Row],[course_id]],course_data[course_id],course_data[type],"")</f>
        <v>Course</v>
      </c>
      <c r="K81" t="str">
        <f>role_course_map[[#This Row],[role_id]] &amp; "|" &amp; role_course_map[[#This Row],[course_id]]</f>
        <v>R0084|89569</v>
      </c>
      <c r="L81" t="str">
        <f>IF(COUNTIF(role_course_map[mapping_key],role_course_map[[#This Row],[mapping_key]])&gt;1,"DUPLICATE","OK")</f>
        <v>OK</v>
      </c>
      <c r="M81" t="str">
        <f>IF(COUNTIF(role_data[role_id],role_course_map[[#This Row],[role_id]])=0, "INVALID","VALID")</f>
        <v>VALID</v>
      </c>
      <c r="N81" t="str">
        <f>IF(COUNTIF(course_data[course_id],role_course_map[[#This Row],[course_id]])=0, "INVALID","VALID")</f>
        <v>VALID</v>
      </c>
    </row>
    <row r="82" spans="1:14" x14ac:dyDescent="0.35">
      <c r="A82" t="s">
        <v>180</v>
      </c>
      <c r="B82" s="5" t="str">
        <f>_xlfn.XLOOKUP(role_course_map[[#This Row],[role_id]], role_data[role_id], role_data[Role],"")</f>
        <v>System Support Manager</v>
      </c>
      <c r="C82">
        <v>75406</v>
      </c>
      <c r="D82" s="5" t="str">
        <f>_xlfn.XLOOKUP(role_course_map[[#This Row],[course_id]],course_data[course_id],course_data[title],"")</f>
        <v>Foundation Leadership and Management Programme (FLMP)</v>
      </c>
      <c r="E82" s="5" t="str">
        <f>_xlfn.XLOOKUP(role_course_map[[#This Row],[course_id]],course_data[course_id],course_data[topic],"")</f>
        <v>SAS: Staff development and experience</v>
      </c>
      <c r="F82" s="5" t="str">
        <f>_xlfn.XLOOKUP(role_course_map[[#This Row],[course_id]],course_data[course_id],course_data[type],"")</f>
        <v>Page</v>
      </c>
      <c r="K82" t="str">
        <f>role_course_map[[#This Row],[role_id]] &amp; "|" &amp; role_course_map[[#This Row],[course_id]]</f>
        <v>R0084|75406</v>
      </c>
      <c r="L82" t="str">
        <f>IF(COUNTIF(role_course_map[mapping_key],role_course_map[[#This Row],[mapping_key]])&gt;1,"DUPLICATE","OK")</f>
        <v>OK</v>
      </c>
      <c r="M82" t="str">
        <f>IF(COUNTIF(role_data[role_id],role_course_map[[#This Row],[role_id]])=0, "INVALID","VALID")</f>
        <v>VALID</v>
      </c>
      <c r="N82" t="str">
        <f>IF(COUNTIF(course_data[course_id],role_course_map[[#This Row],[course_id]])=0, "INVALID","VALID")</f>
        <v>VALID</v>
      </c>
    </row>
    <row r="83" spans="1:14" x14ac:dyDescent="0.35">
      <c r="A83" t="s">
        <v>180</v>
      </c>
      <c r="B83" s="5" t="str">
        <f>_xlfn.XLOOKUP(role_course_map[[#This Row],[role_id]], role_data[role_id], role_data[Role],"")</f>
        <v>System Support Manager</v>
      </c>
      <c r="C83">
        <v>999058</v>
      </c>
      <c r="D83" s="5" t="str">
        <f>_xlfn.XLOOKUP(role_course_map[[#This Row],[course_id]],course_data[course_id],course_data[title],"")</f>
        <v>Stress Identification &amp; Stress Management</v>
      </c>
      <c r="E83" s="5" t="str">
        <f>_xlfn.XLOOKUP(role_course_map[[#This Row],[course_id]],course_data[course_id],course_data[topic],"")</f>
        <v>SAS : Health and Safety</v>
      </c>
      <c r="F83" s="5" t="str">
        <f>_xlfn.XLOOKUP(role_course_map[[#This Row],[course_id]],course_data[course_id],course_data[type],"")</f>
        <v>eLearning</v>
      </c>
      <c r="K83" t="str">
        <f>role_course_map[[#This Row],[role_id]] &amp; "|" &amp; role_course_map[[#This Row],[course_id]]</f>
        <v>R0084|999058</v>
      </c>
      <c r="L83" t="str">
        <f>IF(COUNTIF(role_course_map[mapping_key],role_course_map[[#This Row],[mapping_key]])&gt;1,"DUPLICATE","OK")</f>
        <v>OK</v>
      </c>
      <c r="M83" t="str">
        <f>IF(COUNTIF(role_data[role_id],role_course_map[[#This Row],[role_id]])=0, "INVALID","VALID")</f>
        <v>VALID</v>
      </c>
      <c r="N83" t="str">
        <f>IF(COUNTIF(course_data[course_id],role_course_map[[#This Row],[course_id]])=0, "INVALID","VALID")</f>
        <v>VALID</v>
      </c>
    </row>
    <row r="84" spans="1:14" x14ac:dyDescent="0.35">
      <c r="A84" t="s">
        <v>180</v>
      </c>
      <c r="B84" s="5" t="str">
        <f>_xlfn.XLOOKUP(role_course_map[[#This Row],[role_id]], role_data[role_id], role_data[Role],"")</f>
        <v>System Support Manager</v>
      </c>
      <c r="C84">
        <v>79147</v>
      </c>
      <c r="D84" s="5" t="str">
        <f>_xlfn.XLOOKUP(role_course_map[[#This Row],[course_id]],course_data[course_id],course_data[title],"")</f>
        <v>Driving risks at work</v>
      </c>
      <c r="E84" s="5" t="str">
        <f>_xlfn.XLOOKUP(role_course_map[[#This Row],[course_id]],course_data[course_id],course_data[topic],"")</f>
        <v>SAS : Health and Safety</v>
      </c>
      <c r="F84" s="5" t="str">
        <f>_xlfn.XLOOKUP(role_course_map[[#This Row],[course_id]],course_data[course_id],course_data[type],"")</f>
        <v>eLearning</v>
      </c>
      <c r="K84" t="str">
        <f>role_course_map[[#This Row],[role_id]] &amp; "|" &amp; role_course_map[[#This Row],[course_id]]</f>
        <v>R0084|79147</v>
      </c>
      <c r="L84" t="str">
        <f>IF(COUNTIF(role_course_map[mapping_key],role_course_map[[#This Row],[mapping_key]])&gt;1,"DUPLICATE","OK")</f>
        <v>OK</v>
      </c>
      <c r="M84" t="str">
        <f>IF(COUNTIF(role_data[role_id],role_course_map[[#This Row],[role_id]])=0, "INVALID","VALID")</f>
        <v>VALID</v>
      </c>
      <c r="N84" t="str">
        <f>IF(COUNTIF(course_data[course_id],role_course_map[[#This Row],[course_id]])=0, "INVALID","VALID")</f>
        <v>VALID</v>
      </c>
    </row>
    <row r="85" spans="1:14" x14ac:dyDescent="0.35">
      <c r="A85" t="s">
        <v>144</v>
      </c>
      <c r="B85" s="5" t="str">
        <f>_xlfn.XLOOKUP(role_course_map[[#This Row],[role_id]], role_data[role_id], role_data[Role],"")</f>
        <v>Duty Manager</v>
      </c>
      <c r="C85">
        <v>999057</v>
      </c>
      <c r="D85" s="5" t="str">
        <f>_xlfn.XLOOKUP(role_course_map[[#This Row],[course_id]],course_data[course_id],course_data[title],"")</f>
        <v>Fatigue Awareness</v>
      </c>
      <c r="E85" s="5" t="str">
        <f>_xlfn.XLOOKUP(role_course_map[[#This Row],[course_id]],course_data[course_id],course_data[topic],"")</f>
        <v>SAS : Health and Safety</v>
      </c>
      <c r="F85" s="5" t="str">
        <f>_xlfn.XLOOKUP(role_course_map[[#This Row],[course_id]],course_data[course_id],course_data[type],"")</f>
        <v>eLearning</v>
      </c>
      <c r="K85" t="str">
        <f>role_course_map[[#This Row],[role_id]] &amp; "|" &amp; role_course_map[[#This Row],[course_id]]</f>
        <v>R0066|999057</v>
      </c>
      <c r="L85" t="str">
        <f>IF(COUNTIF(role_course_map[mapping_key],role_course_map[[#This Row],[mapping_key]])&gt;1,"DUPLICATE","OK")</f>
        <v>OK</v>
      </c>
      <c r="M85" t="str">
        <f>IF(COUNTIF(role_data[role_id],role_course_map[[#This Row],[role_id]])=0, "INVALID","VALID")</f>
        <v>VALID</v>
      </c>
      <c r="N85" t="str">
        <f>IF(COUNTIF(course_data[course_id],role_course_map[[#This Row],[course_id]])=0, "INVALID","VALID")</f>
        <v>VALID</v>
      </c>
    </row>
    <row r="86" spans="1:14" x14ac:dyDescent="0.35">
      <c r="A86" t="s">
        <v>180</v>
      </c>
      <c r="B86" s="5" t="str">
        <f>_xlfn.XLOOKUP(role_course_map[[#This Row],[role_id]], role_data[role_id], role_data[Role],"")</f>
        <v>System Support Manager</v>
      </c>
      <c r="C86">
        <v>64322</v>
      </c>
      <c r="D86" s="5" t="str">
        <f>_xlfn.XLOOKUP(role_course_map[[#This Row],[course_id]],course_data[course_id],course_data[title],"")</f>
        <v>Adult support and protection: practice level 2 [skilled]</v>
      </c>
      <c r="E86" s="5" t="str">
        <f>_xlfn.XLOOKUP(role_course_map[[#This Row],[course_id]],course_data[course_id],course_data[topic],"")</f>
        <v>SAS : Public Protection</v>
      </c>
      <c r="F86" s="5" t="str">
        <f>_xlfn.XLOOKUP(role_course_map[[#This Row],[course_id]],course_data[course_id],course_data[type],"")</f>
        <v>eLearning</v>
      </c>
      <c r="K86" t="str">
        <f>role_course_map[[#This Row],[role_id]] &amp; "|" &amp; role_course_map[[#This Row],[course_id]]</f>
        <v>R0084|64322</v>
      </c>
      <c r="L86" t="str">
        <f>IF(COUNTIF(role_course_map[mapping_key],role_course_map[[#This Row],[mapping_key]])&gt;1,"DUPLICATE","OK")</f>
        <v>OK</v>
      </c>
      <c r="M86" t="str">
        <f>IF(COUNTIF(role_data[role_id],role_course_map[[#This Row],[role_id]])=0, "INVALID","VALID")</f>
        <v>VALID</v>
      </c>
      <c r="N86" t="str">
        <f>IF(COUNTIF(course_data[course_id],role_course_map[[#This Row],[course_id]])=0, "INVALID","VALID")</f>
        <v>VALID</v>
      </c>
    </row>
    <row r="87" spans="1:14" x14ac:dyDescent="0.35">
      <c r="A87" t="s">
        <v>180</v>
      </c>
      <c r="B87" s="5" t="str">
        <f>_xlfn.XLOOKUP(role_course_map[[#This Row],[role_id]], role_data[role_id], role_data[Role],"")</f>
        <v>System Support Manager</v>
      </c>
      <c r="C87">
        <v>64324</v>
      </c>
      <c r="D87" s="5" t="str">
        <f>_xlfn.XLOOKUP(role_course_map[[#This Row],[course_id]],course_data[course_id],course_data[title],"")</f>
        <v>Child protection: practice level 2 [skilled]</v>
      </c>
      <c r="E87" s="5" t="str">
        <f>_xlfn.XLOOKUP(role_course_map[[#This Row],[course_id]],course_data[course_id],course_data[topic],"")</f>
        <v>SAS : Public Protection</v>
      </c>
      <c r="F87" s="5" t="str">
        <f>_xlfn.XLOOKUP(role_course_map[[#This Row],[course_id]],course_data[course_id],course_data[type],"")</f>
        <v>eLearning</v>
      </c>
      <c r="K87" t="str">
        <f>role_course_map[[#This Row],[role_id]] &amp; "|" &amp; role_course_map[[#This Row],[course_id]]</f>
        <v>R0084|64324</v>
      </c>
      <c r="L87" t="str">
        <f>IF(COUNTIF(role_course_map[mapping_key],role_course_map[[#This Row],[mapping_key]])&gt;1,"DUPLICATE","OK")</f>
        <v>OK</v>
      </c>
      <c r="M87" t="str">
        <f>IF(COUNTIF(role_data[role_id],role_course_map[[#This Row],[role_id]])=0, "INVALID","VALID")</f>
        <v>VALID</v>
      </c>
      <c r="N87" t="str">
        <f>IF(COUNTIF(course_data[course_id],role_course_map[[#This Row],[course_id]])=0, "INVALID","VALID")</f>
        <v>VALID</v>
      </c>
    </row>
    <row r="88" spans="1:14" x14ac:dyDescent="0.35">
      <c r="A88" t="s">
        <v>144</v>
      </c>
      <c r="B88" s="5" t="str">
        <f>_xlfn.XLOOKUP(role_course_map[[#This Row],[role_id]], role_data[role_id], role_data[Role],"")</f>
        <v>Duty Manager</v>
      </c>
      <c r="C88">
        <v>76716</v>
      </c>
      <c r="D88" s="5" t="str">
        <f>_xlfn.XLOOKUP(role_course_map[[#This Row],[course_id]],course_data[course_id],course_data[title],"")</f>
        <v>Domestic abuse awareness training tool (DAART)</v>
      </c>
      <c r="E88" s="5" t="str">
        <f>_xlfn.XLOOKUP(role_course_map[[#This Row],[course_id]],course_data[course_id],course_data[topic],"")</f>
        <v>SAS : Public Protection</v>
      </c>
      <c r="F88" s="5" t="str">
        <f>_xlfn.XLOOKUP(role_course_map[[#This Row],[course_id]],course_data[course_id],course_data[type],"")</f>
        <v>eLearning</v>
      </c>
      <c r="K88" t="str">
        <f>role_course_map[[#This Row],[role_id]] &amp; "|" &amp; role_course_map[[#This Row],[course_id]]</f>
        <v>R0066|76716</v>
      </c>
      <c r="L88" t="str">
        <f>IF(COUNTIF(role_course_map[mapping_key],role_course_map[[#This Row],[mapping_key]])&gt;1,"DUPLICATE","OK")</f>
        <v>OK</v>
      </c>
      <c r="M88" t="str">
        <f>IF(COUNTIF(role_data[role_id],role_course_map[[#This Row],[role_id]])=0, "INVALID","VALID")</f>
        <v>VALID</v>
      </c>
      <c r="N88" t="str">
        <f>IF(COUNTIF(course_data[course_id],role_course_map[[#This Row],[course_id]])=0, "INVALID","VALID")</f>
        <v>VALID</v>
      </c>
    </row>
    <row r="89" spans="1:14" x14ac:dyDescent="0.35">
      <c r="A89" t="s">
        <v>180</v>
      </c>
      <c r="B89" s="5" t="str">
        <f>_xlfn.XLOOKUP(role_course_map[[#This Row],[role_id]], role_data[role_id], role_data[Role],"")</f>
        <v>System Support Manager</v>
      </c>
      <c r="C89">
        <v>79666</v>
      </c>
      <c r="D89" s="5" t="str">
        <f>_xlfn.XLOOKUP(role_course_map[[#This Row],[course_id]],course_data[course_id],course_data[title],"")</f>
        <v>Getting it right for every child (GIRFEC): informed level</v>
      </c>
      <c r="E89" s="5" t="str">
        <f>_xlfn.XLOOKUP(role_course_map[[#This Row],[course_id]],course_data[course_id],course_data[topic],"")</f>
        <v>SAS : Public Protection</v>
      </c>
      <c r="F89" s="5" t="str">
        <f>_xlfn.XLOOKUP(role_course_map[[#This Row],[course_id]],course_data[course_id],course_data[type],"")</f>
        <v>eLearning</v>
      </c>
      <c r="K89" t="str">
        <f>role_course_map[[#This Row],[role_id]] &amp; "|" &amp; role_course_map[[#This Row],[course_id]]</f>
        <v>R0084|79666</v>
      </c>
      <c r="L89" t="str">
        <f>IF(COUNTIF(role_course_map[mapping_key],role_course_map[[#This Row],[mapping_key]])&gt;1,"DUPLICATE","OK")</f>
        <v>OK</v>
      </c>
      <c r="M89" t="str">
        <f>IF(COUNTIF(role_data[role_id],role_course_map[[#This Row],[role_id]])=0, "INVALID","VALID")</f>
        <v>VALID</v>
      </c>
      <c r="N89" t="str">
        <f>IF(COUNTIF(course_data[course_id],role_course_map[[#This Row],[course_id]])=0, "INVALID","VALID")</f>
        <v>VALID</v>
      </c>
    </row>
    <row r="90" spans="1:14" x14ac:dyDescent="0.35">
      <c r="A90" t="s">
        <v>180</v>
      </c>
      <c r="B90" s="5" t="str">
        <f>_xlfn.XLOOKUP(role_course_map[[#This Row],[role_id]], role_data[role_id], role_data[Role],"")</f>
        <v>System Support Manager</v>
      </c>
      <c r="C90">
        <v>999074</v>
      </c>
      <c r="D90" s="5" t="str">
        <f>_xlfn.XLOOKUP(role_course_map[[#This Row],[course_id]],course_data[course_id],course_data[title],"")</f>
        <v>SAS-specific Children’s rights</v>
      </c>
      <c r="E90" s="5" t="str">
        <f>_xlfn.XLOOKUP(role_course_map[[#This Row],[course_id]],course_data[course_id],course_data[topic],"")</f>
        <v>SAS : Public Protection</v>
      </c>
      <c r="F90" s="5" t="str">
        <f>_xlfn.XLOOKUP(role_course_map[[#This Row],[course_id]],course_data[course_id],course_data[type],"")</f>
        <v>eLearning</v>
      </c>
      <c r="K90" t="str">
        <f>role_course_map[[#This Row],[role_id]] &amp; "|" &amp; role_course_map[[#This Row],[course_id]]</f>
        <v>R0084|999074</v>
      </c>
      <c r="L90" t="str">
        <f>IF(COUNTIF(role_course_map[mapping_key],role_course_map[[#This Row],[mapping_key]])&gt;1,"DUPLICATE","OK")</f>
        <v>OK</v>
      </c>
      <c r="M90" t="str">
        <f>IF(COUNTIF(role_data[role_id],role_course_map[[#This Row],[role_id]])=0, "INVALID","VALID")</f>
        <v>VALID</v>
      </c>
      <c r="N90" t="str">
        <f>IF(COUNTIF(course_data[course_id],role_course_map[[#This Row],[course_id]])=0, "INVALID","VALID")</f>
        <v>VALID</v>
      </c>
    </row>
    <row r="91" spans="1:14" x14ac:dyDescent="0.35">
      <c r="A91" t="s">
        <v>180</v>
      </c>
      <c r="B91" s="5" t="str">
        <f>_xlfn.XLOOKUP(role_course_map[[#This Row],[role_id]], role_data[role_id], role_data[Role],"")</f>
        <v>System Support Manager</v>
      </c>
      <c r="C91">
        <v>999075</v>
      </c>
      <c r="D91" s="5" t="str">
        <f>_xlfn.XLOOKUP(role_course_map[[#This Row],[course_id]],course_data[course_id],course_data[title],"")</f>
        <v>Multiagency local or bespoke Level 3 delivery training</v>
      </c>
      <c r="E91" s="5" t="str">
        <f>_xlfn.XLOOKUP(role_course_map[[#This Row],[course_id]],course_data[course_id],course_data[topic],"")</f>
        <v>SAS : Public Protection</v>
      </c>
      <c r="F91" s="5" t="str">
        <f>_xlfn.XLOOKUP(role_course_map[[#This Row],[course_id]],course_data[course_id],course_data[type],"")</f>
        <v>eLearning</v>
      </c>
      <c r="K91" t="str">
        <f>role_course_map[[#This Row],[role_id]] &amp; "|" &amp; role_course_map[[#This Row],[course_id]]</f>
        <v>R0084|999075</v>
      </c>
      <c r="L91" t="str">
        <f>IF(COUNTIF(role_course_map[mapping_key],role_course_map[[#This Row],[mapping_key]])&gt;1,"DUPLICATE","OK")</f>
        <v>OK</v>
      </c>
      <c r="M91" t="str">
        <f>IF(COUNTIF(role_data[role_id],role_course_map[[#This Row],[role_id]])=0, "INVALID","VALID")</f>
        <v>VALID</v>
      </c>
      <c r="N91" t="str">
        <f>IF(COUNTIF(course_data[course_id],role_course_map[[#This Row],[course_id]])=0, "INVALID","VALID")</f>
        <v>VALID</v>
      </c>
    </row>
    <row r="92" spans="1:14" x14ac:dyDescent="0.35">
      <c r="A92" t="s">
        <v>180</v>
      </c>
      <c r="B92" s="5" t="str">
        <f>_xlfn.XLOOKUP(role_course_map[[#This Row],[role_id]], role_data[role_id], role_data[Role],"")</f>
        <v>System Support Manager</v>
      </c>
      <c r="C92">
        <v>15249</v>
      </c>
      <c r="D92" s="5" t="str">
        <f>_xlfn.XLOOKUP(role_course_map[[#This Row],[course_id]],course_data[course_id],course_data[title],"")</f>
        <v>Human trafficking</v>
      </c>
      <c r="E92" s="5" t="str">
        <f>_xlfn.XLOOKUP(role_course_map[[#This Row],[course_id]],course_data[course_id],course_data[topic],"")</f>
        <v>SAS : Public Protection</v>
      </c>
      <c r="F92" s="5" t="str">
        <f>_xlfn.XLOOKUP(role_course_map[[#This Row],[course_id]],course_data[course_id],course_data[type],"")</f>
        <v>eLearning</v>
      </c>
      <c r="K92" t="str">
        <f>role_course_map[[#This Row],[role_id]] &amp; "|" &amp; role_course_map[[#This Row],[course_id]]</f>
        <v>R0084|15249</v>
      </c>
      <c r="L92" t="str">
        <f>IF(COUNTIF(role_course_map[mapping_key],role_course_map[[#This Row],[mapping_key]])&gt;1,"DUPLICATE","OK")</f>
        <v>OK</v>
      </c>
      <c r="M92" t="str">
        <f>IF(COUNTIF(role_data[role_id],role_course_map[[#This Row],[role_id]])=0, "INVALID","VALID")</f>
        <v>VALID</v>
      </c>
      <c r="N92" t="str">
        <f>IF(COUNTIF(course_data[course_id],role_course_map[[#This Row],[course_id]])=0, "INVALID","VALID")</f>
        <v>VALID</v>
      </c>
    </row>
    <row r="93" spans="1:14" x14ac:dyDescent="0.35">
      <c r="A93" t="s">
        <v>144</v>
      </c>
      <c r="B93" s="5" t="str">
        <f>_xlfn.XLOOKUP(role_course_map[[#This Row],[role_id]], role_data[role_id], role_data[Role],"")</f>
        <v>Duty Manager</v>
      </c>
      <c r="C93">
        <v>999092</v>
      </c>
      <c r="D93" s="5" t="str">
        <f>_xlfn.XLOOKUP(role_course_map[[#This Row],[course_id]],course_data[course_id],course_data[title],"")</f>
        <v>Health &amp; Wellbeing Awareness for Managers</v>
      </c>
      <c r="E93" s="5" t="str">
        <f>_xlfn.XLOOKUP(role_course_map[[#This Row],[course_id]],course_data[course_id],course_data[topic],"")</f>
        <v>SAS: Staff development and experience</v>
      </c>
      <c r="F93" s="5" t="str">
        <f>_xlfn.XLOOKUP(role_course_map[[#This Row],[course_id]],course_data[course_id],course_data[type],"")</f>
        <v>eLearning</v>
      </c>
      <c r="K93" t="str">
        <f>role_course_map[[#This Row],[role_id]] &amp; "|" &amp; role_course_map[[#This Row],[course_id]]</f>
        <v>R0066|999092</v>
      </c>
      <c r="L93" t="str">
        <f>IF(COUNTIF(role_course_map[mapping_key],role_course_map[[#This Row],[mapping_key]])&gt;1,"DUPLICATE","OK")</f>
        <v>OK</v>
      </c>
      <c r="M93" t="str">
        <f>IF(COUNTIF(role_data[role_id],role_course_map[[#This Row],[role_id]])=0, "INVALID","VALID")</f>
        <v>VALID</v>
      </c>
      <c r="N93" t="str">
        <f>IF(COUNTIF(course_data[course_id],role_course_map[[#This Row],[course_id]])=0, "INVALID","VALID")</f>
        <v>VALID</v>
      </c>
    </row>
    <row r="94" spans="1:14" x14ac:dyDescent="0.35">
      <c r="A94" t="s">
        <v>180</v>
      </c>
      <c r="B94" s="5" t="str">
        <f>_xlfn.XLOOKUP(role_course_map[[#This Row],[role_id]], role_data[role_id], role_data[Role],"")</f>
        <v>System Support Manager</v>
      </c>
      <c r="C94">
        <v>999093</v>
      </c>
      <c r="D94" s="5" t="str">
        <f>_xlfn.XLOOKUP(role_course_map[[#This Row],[course_id]],course_data[course_id],course_data[title],"")</f>
        <v>Managing Wellbeing Refresher for Managers</v>
      </c>
      <c r="E94" s="5" t="str">
        <f>_xlfn.XLOOKUP(role_course_map[[#This Row],[course_id]],course_data[course_id],course_data[topic],"")</f>
        <v>SAS: Staff development and experience</v>
      </c>
      <c r="F94" s="5" t="str">
        <f>_xlfn.XLOOKUP(role_course_map[[#This Row],[course_id]],course_data[course_id],course_data[type],"")</f>
        <v>eLearning</v>
      </c>
      <c r="K94" t="str">
        <f>role_course_map[[#This Row],[role_id]] &amp; "|" &amp; role_course_map[[#This Row],[course_id]]</f>
        <v>R0084|999093</v>
      </c>
      <c r="L94" t="str">
        <f>IF(COUNTIF(role_course_map[mapping_key],role_course_map[[#This Row],[mapping_key]])&gt;1,"DUPLICATE","OK")</f>
        <v>OK</v>
      </c>
      <c r="M94" t="str">
        <f>IF(COUNTIF(role_data[role_id],role_course_map[[#This Row],[role_id]])=0, "INVALID","VALID")</f>
        <v>VALID</v>
      </c>
      <c r="N94" t="str">
        <f>IF(COUNTIF(course_data[course_id],role_course_map[[#This Row],[course_id]])=0, "INVALID","VALID")</f>
        <v>VALID</v>
      </c>
    </row>
    <row r="95" spans="1:14" x14ac:dyDescent="0.35">
      <c r="A95" t="s">
        <v>144</v>
      </c>
      <c r="B95" s="5" t="str">
        <f>_xlfn.XLOOKUP(role_course_map[[#This Row],[role_id]], role_data[role_id], role_data[Role],"")</f>
        <v>Duty Manager</v>
      </c>
      <c r="C95">
        <v>999094</v>
      </c>
      <c r="D95" s="5" t="str">
        <f>_xlfn.XLOOKUP(role_course_map[[#This Row],[course_id]],course_data[course_id],course_data[title],"")</f>
        <v>Being well, Mind, Body &amp; Workplace</v>
      </c>
      <c r="E95" s="5" t="str">
        <f>_xlfn.XLOOKUP(role_course_map[[#This Row],[course_id]],course_data[course_id],course_data[topic],"")</f>
        <v>SAS: Staff development and experience</v>
      </c>
      <c r="F95" s="5" t="str">
        <f>_xlfn.XLOOKUP(role_course_map[[#This Row],[course_id]],course_data[course_id],course_data[type],"")</f>
        <v>eLearning</v>
      </c>
      <c r="K95" t="str">
        <f>role_course_map[[#This Row],[role_id]] &amp; "|" &amp; role_course_map[[#This Row],[course_id]]</f>
        <v>R0066|999094</v>
      </c>
      <c r="L95" t="str">
        <f>IF(COUNTIF(role_course_map[mapping_key],role_course_map[[#This Row],[mapping_key]])&gt;1,"DUPLICATE","OK")</f>
        <v>OK</v>
      </c>
      <c r="M95" t="str">
        <f>IF(COUNTIF(role_data[role_id],role_course_map[[#This Row],[role_id]])=0, "INVALID","VALID")</f>
        <v>VALID</v>
      </c>
      <c r="N95" t="str">
        <f>IF(COUNTIF(course_data[course_id],role_course_map[[#This Row],[course_id]])=0, "INVALID","VALID")</f>
        <v>VALID</v>
      </c>
    </row>
    <row r="96" spans="1:14" x14ac:dyDescent="0.35">
      <c r="A96" t="s">
        <v>168</v>
      </c>
      <c r="B96" s="5" t="str">
        <f>_xlfn.XLOOKUP(role_course_map[[#This Row],[role_id]], role_data[role_id], role_data[Role],"")</f>
        <v>Scheduled Care Coordinator</v>
      </c>
      <c r="C96">
        <v>78180</v>
      </c>
      <c r="D96" s="5" t="str">
        <f>_xlfn.XLOOKUP(role_course_map[[#This Row],[course_id]],course_data[course_id],course_data[title],"")</f>
        <v>APTS Planning</v>
      </c>
      <c r="E96" s="5" t="str">
        <f>_xlfn.XLOOKUP(role_course_map[[#This Row],[course_id]],course_data[course_id],course_data[topic],"")</f>
        <v>SAS: Systems Training</v>
      </c>
      <c r="F96" s="5" t="str">
        <f>_xlfn.XLOOKUP(role_course_map[[#This Row],[course_id]],course_data[course_id],course_data[type],"")</f>
        <v>Course</v>
      </c>
      <c r="K96" t="str">
        <f>role_course_map[[#This Row],[role_id]] &amp; "|" &amp; role_course_map[[#This Row],[course_id]]</f>
        <v>R0078|78180</v>
      </c>
      <c r="L96" t="str">
        <f>IF(COUNTIF(role_course_map[mapping_key],role_course_map[[#This Row],[mapping_key]])&gt;1,"DUPLICATE","OK")</f>
        <v>OK</v>
      </c>
      <c r="M96" t="str">
        <f>IF(COUNTIF(role_data[role_id],role_course_map[[#This Row],[role_id]])=0, "INVALID","VALID")</f>
        <v>VALID</v>
      </c>
      <c r="N96" t="str">
        <f>IF(COUNTIF(course_data[course_id],role_course_map[[#This Row],[course_id]])=0, "INVALID","VALID")</f>
        <v>VALID</v>
      </c>
    </row>
    <row r="97" spans="1:14" x14ac:dyDescent="0.35">
      <c r="A97" t="s">
        <v>168</v>
      </c>
      <c r="B97" s="5" t="str">
        <f>_xlfn.XLOOKUP(role_course_map[[#This Row],[role_id]], role_data[role_id], role_data[Role],"")</f>
        <v>Scheduled Care Coordinator</v>
      </c>
      <c r="C97">
        <v>999058</v>
      </c>
      <c r="D97" s="5" t="str">
        <f>_xlfn.XLOOKUP(role_course_map[[#This Row],[course_id]],course_data[course_id],course_data[title],"")</f>
        <v>Stress Identification &amp; Stress Management</v>
      </c>
      <c r="E97" s="5" t="str">
        <f>_xlfn.XLOOKUP(role_course_map[[#This Row],[course_id]],course_data[course_id],course_data[topic],"")</f>
        <v>SAS : Health and Safety</v>
      </c>
      <c r="F97" s="5" t="str">
        <f>_xlfn.XLOOKUP(role_course_map[[#This Row],[course_id]],course_data[course_id],course_data[type],"")</f>
        <v>eLearning</v>
      </c>
      <c r="K97" t="str">
        <f>role_course_map[[#This Row],[role_id]] &amp; "|" &amp; role_course_map[[#This Row],[course_id]]</f>
        <v>R0078|999058</v>
      </c>
      <c r="L97" t="str">
        <f>IF(COUNTIF(role_course_map[mapping_key],role_course_map[[#This Row],[mapping_key]])&gt;1,"DUPLICATE","OK")</f>
        <v>OK</v>
      </c>
      <c r="M97" t="str">
        <f>IF(COUNTIF(role_data[role_id],role_course_map[[#This Row],[role_id]])=0, "INVALID","VALID")</f>
        <v>VALID</v>
      </c>
      <c r="N97" t="str">
        <f>IF(COUNTIF(course_data[course_id],role_course_map[[#This Row],[course_id]])=0, "INVALID","VALID")</f>
        <v>VALID</v>
      </c>
    </row>
    <row r="98" spans="1:14" x14ac:dyDescent="0.35">
      <c r="A98" t="s">
        <v>168</v>
      </c>
      <c r="B98" s="5" t="str">
        <f>_xlfn.XLOOKUP(role_course_map[[#This Row],[role_id]], role_data[role_id], role_data[Role],"")</f>
        <v>Scheduled Care Coordinator</v>
      </c>
      <c r="C98">
        <v>79147</v>
      </c>
      <c r="D98" s="5" t="str">
        <f>_xlfn.XLOOKUP(role_course_map[[#This Row],[course_id]],course_data[course_id],course_data[title],"")</f>
        <v>Driving risks at work</v>
      </c>
      <c r="E98" s="5" t="str">
        <f>_xlfn.XLOOKUP(role_course_map[[#This Row],[course_id]],course_data[course_id],course_data[topic],"")</f>
        <v>SAS : Health and Safety</v>
      </c>
      <c r="F98" s="5" t="str">
        <f>_xlfn.XLOOKUP(role_course_map[[#This Row],[course_id]],course_data[course_id],course_data[type],"")</f>
        <v>eLearning</v>
      </c>
      <c r="K98" t="str">
        <f>role_course_map[[#This Row],[role_id]] &amp; "|" &amp; role_course_map[[#This Row],[course_id]]</f>
        <v>R0078|79147</v>
      </c>
      <c r="L98" t="str">
        <f>IF(COUNTIF(role_course_map[mapping_key],role_course_map[[#This Row],[mapping_key]])&gt;1,"DUPLICATE","OK")</f>
        <v>OK</v>
      </c>
      <c r="M98" t="str">
        <f>IF(COUNTIF(role_data[role_id],role_course_map[[#This Row],[role_id]])=0, "INVALID","VALID")</f>
        <v>VALID</v>
      </c>
      <c r="N98" t="str">
        <f>IF(COUNTIF(course_data[course_id],role_course_map[[#This Row],[course_id]])=0, "INVALID","VALID")</f>
        <v>VALID</v>
      </c>
    </row>
    <row r="99" spans="1:14" x14ac:dyDescent="0.35">
      <c r="A99" t="s">
        <v>180</v>
      </c>
      <c r="B99" s="5" t="str">
        <f>_xlfn.XLOOKUP(role_course_map[[#This Row],[role_id]], role_data[role_id], role_data[Role],"")</f>
        <v>System Support Manager</v>
      </c>
      <c r="C99">
        <v>999057</v>
      </c>
      <c r="D99" s="5" t="str">
        <f>_xlfn.XLOOKUP(role_course_map[[#This Row],[course_id]],course_data[course_id],course_data[title],"")</f>
        <v>Fatigue Awareness</v>
      </c>
      <c r="E99" s="5" t="str">
        <f>_xlfn.XLOOKUP(role_course_map[[#This Row],[course_id]],course_data[course_id],course_data[topic],"")</f>
        <v>SAS : Health and Safety</v>
      </c>
      <c r="F99" s="5" t="str">
        <f>_xlfn.XLOOKUP(role_course_map[[#This Row],[course_id]],course_data[course_id],course_data[type],"")</f>
        <v>eLearning</v>
      </c>
      <c r="K99" t="str">
        <f>role_course_map[[#This Row],[role_id]] &amp; "|" &amp; role_course_map[[#This Row],[course_id]]</f>
        <v>R0084|999057</v>
      </c>
      <c r="L99" t="str">
        <f>IF(COUNTIF(role_course_map[mapping_key],role_course_map[[#This Row],[mapping_key]])&gt;1,"DUPLICATE","OK")</f>
        <v>OK</v>
      </c>
      <c r="M99" t="str">
        <f>IF(COUNTIF(role_data[role_id],role_course_map[[#This Row],[role_id]])=0, "INVALID","VALID")</f>
        <v>VALID</v>
      </c>
      <c r="N99" t="str">
        <f>IF(COUNTIF(course_data[course_id],role_course_map[[#This Row],[course_id]])=0, "INVALID","VALID")</f>
        <v>VALID</v>
      </c>
    </row>
    <row r="100" spans="1:14" x14ac:dyDescent="0.35">
      <c r="A100" t="s">
        <v>168</v>
      </c>
      <c r="B100" s="5" t="str">
        <f>_xlfn.XLOOKUP(role_course_map[[#This Row],[role_id]], role_data[role_id], role_data[Role],"")</f>
        <v>Scheduled Care Coordinator</v>
      </c>
      <c r="C100">
        <v>64322</v>
      </c>
      <c r="D100" s="5" t="str">
        <f>_xlfn.XLOOKUP(role_course_map[[#This Row],[course_id]],course_data[course_id],course_data[title],"")</f>
        <v>Adult support and protection: practice level 2 [skilled]</v>
      </c>
      <c r="E100" s="5" t="str">
        <f>_xlfn.XLOOKUP(role_course_map[[#This Row],[course_id]],course_data[course_id],course_data[topic],"")</f>
        <v>SAS : Public Protection</v>
      </c>
      <c r="F100" s="5" t="str">
        <f>_xlfn.XLOOKUP(role_course_map[[#This Row],[course_id]],course_data[course_id],course_data[type],"")</f>
        <v>eLearning</v>
      </c>
      <c r="K100" t="str">
        <f>role_course_map[[#This Row],[role_id]] &amp; "|" &amp; role_course_map[[#This Row],[course_id]]</f>
        <v>R0078|64322</v>
      </c>
      <c r="L100" t="str">
        <f>IF(COUNTIF(role_course_map[mapping_key],role_course_map[[#This Row],[mapping_key]])&gt;1,"DUPLICATE","OK")</f>
        <v>OK</v>
      </c>
      <c r="M100" t="str">
        <f>IF(COUNTIF(role_data[role_id],role_course_map[[#This Row],[role_id]])=0, "INVALID","VALID")</f>
        <v>VALID</v>
      </c>
      <c r="N100" t="str">
        <f>IF(COUNTIF(course_data[course_id],role_course_map[[#This Row],[course_id]])=0, "INVALID","VALID")</f>
        <v>VALID</v>
      </c>
    </row>
    <row r="101" spans="1:14" x14ac:dyDescent="0.35">
      <c r="A101" t="s">
        <v>168</v>
      </c>
      <c r="B101" s="5" t="str">
        <f>_xlfn.XLOOKUP(role_course_map[[#This Row],[role_id]], role_data[role_id], role_data[Role],"")</f>
        <v>Scheduled Care Coordinator</v>
      </c>
      <c r="C101">
        <v>64324</v>
      </c>
      <c r="D101" s="5" t="str">
        <f>_xlfn.XLOOKUP(role_course_map[[#This Row],[course_id]],course_data[course_id],course_data[title],"")</f>
        <v>Child protection: practice level 2 [skilled]</v>
      </c>
      <c r="E101" s="5" t="str">
        <f>_xlfn.XLOOKUP(role_course_map[[#This Row],[course_id]],course_data[course_id],course_data[topic],"")</f>
        <v>SAS : Public Protection</v>
      </c>
      <c r="F101" s="5" t="str">
        <f>_xlfn.XLOOKUP(role_course_map[[#This Row],[course_id]],course_data[course_id],course_data[type],"")</f>
        <v>eLearning</v>
      </c>
      <c r="K101" t="str">
        <f>role_course_map[[#This Row],[role_id]] &amp; "|" &amp; role_course_map[[#This Row],[course_id]]</f>
        <v>R0078|64324</v>
      </c>
      <c r="L101" t="str">
        <f>IF(COUNTIF(role_course_map[mapping_key],role_course_map[[#This Row],[mapping_key]])&gt;1,"DUPLICATE","OK")</f>
        <v>OK</v>
      </c>
      <c r="M101" t="str">
        <f>IF(COUNTIF(role_data[role_id],role_course_map[[#This Row],[role_id]])=0, "INVALID","VALID")</f>
        <v>VALID</v>
      </c>
      <c r="N101" t="str">
        <f>IF(COUNTIF(course_data[course_id],role_course_map[[#This Row],[course_id]])=0, "INVALID","VALID")</f>
        <v>VALID</v>
      </c>
    </row>
    <row r="102" spans="1:14" x14ac:dyDescent="0.35">
      <c r="A102" t="s">
        <v>180</v>
      </c>
      <c r="B102" s="5" t="str">
        <f>_xlfn.XLOOKUP(role_course_map[[#This Row],[role_id]], role_data[role_id], role_data[Role],"")</f>
        <v>System Support Manager</v>
      </c>
      <c r="C102">
        <v>76716</v>
      </c>
      <c r="D102" s="5" t="str">
        <f>_xlfn.XLOOKUP(role_course_map[[#This Row],[course_id]],course_data[course_id],course_data[title],"")</f>
        <v>Domestic abuse awareness training tool (DAART)</v>
      </c>
      <c r="E102" s="5" t="str">
        <f>_xlfn.XLOOKUP(role_course_map[[#This Row],[course_id]],course_data[course_id],course_data[topic],"")</f>
        <v>SAS : Public Protection</v>
      </c>
      <c r="F102" s="5" t="str">
        <f>_xlfn.XLOOKUP(role_course_map[[#This Row],[course_id]],course_data[course_id],course_data[type],"")</f>
        <v>eLearning</v>
      </c>
      <c r="K102" t="str">
        <f>role_course_map[[#This Row],[role_id]] &amp; "|" &amp; role_course_map[[#This Row],[course_id]]</f>
        <v>R0084|76716</v>
      </c>
      <c r="L102" t="str">
        <f>IF(COUNTIF(role_course_map[mapping_key],role_course_map[[#This Row],[mapping_key]])&gt;1,"DUPLICATE","OK")</f>
        <v>OK</v>
      </c>
      <c r="M102" t="str">
        <f>IF(COUNTIF(role_data[role_id],role_course_map[[#This Row],[role_id]])=0, "INVALID","VALID")</f>
        <v>VALID</v>
      </c>
      <c r="N102" t="str">
        <f>IF(COUNTIF(course_data[course_id],role_course_map[[#This Row],[course_id]])=0, "INVALID","VALID")</f>
        <v>VALID</v>
      </c>
    </row>
    <row r="103" spans="1:14" x14ac:dyDescent="0.35">
      <c r="A103" t="s">
        <v>168</v>
      </c>
      <c r="B103" s="5" t="str">
        <f>_xlfn.XLOOKUP(role_course_map[[#This Row],[role_id]], role_data[role_id], role_data[Role],"")</f>
        <v>Scheduled Care Coordinator</v>
      </c>
      <c r="C103">
        <v>79666</v>
      </c>
      <c r="D103" s="5" t="str">
        <f>_xlfn.XLOOKUP(role_course_map[[#This Row],[course_id]],course_data[course_id],course_data[title],"")</f>
        <v>Getting it right for every child (GIRFEC): informed level</v>
      </c>
      <c r="E103" s="5" t="str">
        <f>_xlfn.XLOOKUP(role_course_map[[#This Row],[course_id]],course_data[course_id],course_data[topic],"")</f>
        <v>SAS : Public Protection</v>
      </c>
      <c r="F103" s="5" t="str">
        <f>_xlfn.XLOOKUP(role_course_map[[#This Row],[course_id]],course_data[course_id],course_data[type],"")</f>
        <v>eLearning</v>
      </c>
      <c r="K103" t="str">
        <f>role_course_map[[#This Row],[role_id]] &amp; "|" &amp; role_course_map[[#This Row],[course_id]]</f>
        <v>R0078|79666</v>
      </c>
      <c r="L103" t="str">
        <f>IF(COUNTIF(role_course_map[mapping_key],role_course_map[[#This Row],[mapping_key]])&gt;1,"DUPLICATE","OK")</f>
        <v>OK</v>
      </c>
      <c r="M103" t="str">
        <f>IF(COUNTIF(role_data[role_id],role_course_map[[#This Row],[role_id]])=0, "INVALID","VALID")</f>
        <v>VALID</v>
      </c>
      <c r="N103" t="str">
        <f>IF(COUNTIF(course_data[course_id],role_course_map[[#This Row],[course_id]])=0, "INVALID","VALID")</f>
        <v>VALID</v>
      </c>
    </row>
    <row r="104" spans="1:14" x14ac:dyDescent="0.35">
      <c r="A104" t="s">
        <v>168</v>
      </c>
      <c r="B104" s="5" t="str">
        <f>_xlfn.XLOOKUP(role_course_map[[#This Row],[role_id]], role_data[role_id], role_data[Role],"")</f>
        <v>Scheduled Care Coordinator</v>
      </c>
      <c r="C104">
        <v>999074</v>
      </c>
      <c r="D104" s="5" t="str">
        <f>_xlfn.XLOOKUP(role_course_map[[#This Row],[course_id]],course_data[course_id],course_data[title],"")</f>
        <v>SAS-specific Children’s rights</v>
      </c>
      <c r="E104" s="5" t="str">
        <f>_xlfn.XLOOKUP(role_course_map[[#This Row],[course_id]],course_data[course_id],course_data[topic],"")</f>
        <v>SAS : Public Protection</v>
      </c>
      <c r="F104" s="5" t="str">
        <f>_xlfn.XLOOKUP(role_course_map[[#This Row],[course_id]],course_data[course_id],course_data[type],"")</f>
        <v>eLearning</v>
      </c>
      <c r="K104" t="str">
        <f>role_course_map[[#This Row],[role_id]] &amp; "|" &amp; role_course_map[[#This Row],[course_id]]</f>
        <v>R0078|999074</v>
      </c>
      <c r="L104" t="str">
        <f>IF(COUNTIF(role_course_map[mapping_key],role_course_map[[#This Row],[mapping_key]])&gt;1,"DUPLICATE","OK")</f>
        <v>OK</v>
      </c>
      <c r="M104" t="str">
        <f>IF(COUNTIF(role_data[role_id],role_course_map[[#This Row],[role_id]])=0, "INVALID","VALID")</f>
        <v>VALID</v>
      </c>
      <c r="N104" t="str">
        <f>IF(COUNTIF(course_data[course_id],role_course_map[[#This Row],[course_id]])=0, "INVALID","VALID")</f>
        <v>VALID</v>
      </c>
    </row>
    <row r="105" spans="1:14" x14ac:dyDescent="0.35">
      <c r="A105" t="s">
        <v>168</v>
      </c>
      <c r="B105" s="5" t="str">
        <f>_xlfn.XLOOKUP(role_course_map[[#This Row],[role_id]], role_data[role_id], role_data[Role],"")</f>
        <v>Scheduled Care Coordinator</v>
      </c>
      <c r="C105">
        <v>999075</v>
      </c>
      <c r="D105" s="5" t="str">
        <f>_xlfn.XLOOKUP(role_course_map[[#This Row],[course_id]],course_data[course_id],course_data[title],"")</f>
        <v>Multiagency local or bespoke Level 3 delivery training</v>
      </c>
      <c r="E105" s="5" t="str">
        <f>_xlfn.XLOOKUP(role_course_map[[#This Row],[course_id]],course_data[course_id],course_data[topic],"")</f>
        <v>SAS : Public Protection</v>
      </c>
      <c r="F105" s="5" t="str">
        <f>_xlfn.XLOOKUP(role_course_map[[#This Row],[course_id]],course_data[course_id],course_data[type],"")</f>
        <v>eLearning</v>
      </c>
      <c r="K105" t="str">
        <f>role_course_map[[#This Row],[role_id]] &amp; "|" &amp; role_course_map[[#This Row],[course_id]]</f>
        <v>R0078|999075</v>
      </c>
      <c r="L105" t="str">
        <f>IF(COUNTIF(role_course_map[mapping_key],role_course_map[[#This Row],[mapping_key]])&gt;1,"DUPLICATE","OK")</f>
        <v>OK</v>
      </c>
      <c r="M105" t="str">
        <f>IF(COUNTIF(role_data[role_id],role_course_map[[#This Row],[role_id]])=0, "INVALID","VALID")</f>
        <v>VALID</v>
      </c>
      <c r="N105" t="str">
        <f>IF(COUNTIF(course_data[course_id],role_course_map[[#This Row],[course_id]])=0, "INVALID","VALID")</f>
        <v>VALID</v>
      </c>
    </row>
    <row r="106" spans="1:14" x14ac:dyDescent="0.35">
      <c r="A106" t="s">
        <v>168</v>
      </c>
      <c r="B106" s="5" t="str">
        <f>_xlfn.XLOOKUP(role_course_map[[#This Row],[role_id]], role_data[role_id], role_data[Role],"")</f>
        <v>Scheduled Care Coordinator</v>
      </c>
      <c r="C106">
        <v>15249</v>
      </c>
      <c r="D106" s="5" t="str">
        <f>_xlfn.XLOOKUP(role_course_map[[#This Row],[course_id]],course_data[course_id],course_data[title],"")</f>
        <v>Human trafficking</v>
      </c>
      <c r="E106" s="5" t="str">
        <f>_xlfn.XLOOKUP(role_course_map[[#This Row],[course_id]],course_data[course_id],course_data[topic],"")</f>
        <v>SAS : Public Protection</v>
      </c>
      <c r="F106" s="5" t="str">
        <f>_xlfn.XLOOKUP(role_course_map[[#This Row],[course_id]],course_data[course_id],course_data[type],"")</f>
        <v>eLearning</v>
      </c>
      <c r="K106" t="str">
        <f>role_course_map[[#This Row],[role_id]] &amp; "|" &amp; role_course_map[[#This Row],[course_id]]</f>
        <v>R0078|15249</v>
      </c>
      <c r="L106" t="str">
        <f>IF(COUNTIF(role_course_map[mapping_key],role_course_map[[#This Row],[mapping_key]])&gt;1,"DUPLICATE","OK")</f>
        <v>OK</v>
      </c>
      <c r="M106" t="str">
        <f>IF(COUNTIF(role_data[role_id],role_course_map[[#This Row],[role_id]])=0, "INVALID","VALID")</f>
        <v>VALID</v>
      </c>
      <c r="N106" t="str">
        <f>IF(COUNTIF(course_data[course_id],role_course_map[[#This Row],[course_id]])=0, "INVALID","VALID")</f>
        <v>VALID</v>
      </c>
    </row>
    <row r="107" spans="1:14" x14ac:dyDescent="0.35">
      <c r="A107" t="s">
        <v>180</v>
      </c>
      <c r="B107" s="5" t="str">
        <f>_xlfn.XLOOKUP(role_course_map[[#This Row],[role_id]], role_data[role_id], role_data[Role],"")</f>
        <v>System Support Manager</v>
      </c>
      <c r="C107">
        <v>999094</v>
      </c>
      <c r="D107" s="5" t="str">
        <f>_xlfn.XLOOKUP(role_course_map[[#This Row],[course_id]],course_data[course_id],course_data[title],"")</f>
        <v>Being well, Mind, Body &amp; Workplace</v>
      </c>
      <c r="E107" s="5" t="str">
        <f>_xlfn.XLOOKUP(role_course_map[[#This Row],[course_id]],course_data[course_id],course_data[topic],"")</f>
        <v>SAS: Staff development and experience</v>
      </c>
      <c r="F107" s="5" t="str">
        <f>_xlfn.XLOOKUP(role_course_map[[#This Row],[course_id]],course_data[course_id],course_data[type],"")</f>
        <v>eLearning</v>
      </c>
      <c r="K107" t="str">
        <f>role_course_map[[#This Row],[role_id]] &amp; "|" &amp; role_course_map[[#This Row],[course_id]]</f>
        <v>R0084|999094</v>
      </c>
      <c r="L107" t="str">
        <f>IF(COUNTIF(role_course_map[mapping_key],role_course_map[[#This Row],[mapping_key]])&gt;1,"DUPLICATE","OK")</f>
        <v>OK</v>
      </c>
      <c r="M107" t="str">
        <f>IF(COUNTIF(role_data[role_id],role_course_map[[#This Row],[role_id]])=0, "INVALID","VALID")</f>
        <v>VALID</v>
      </c>
      <c r="N107" t="str">
        <f>IF(COUNTIF(course_data[course_id],role_course_map[[#This Row],[course_id]])=0, "INVALID","VALID")</f>
        <v>VALID</v>
      </c>
    </row>
    <row r="108" spans="1:14" x14ac:dyDescent="0.35">
      <c r="A108" t="s">
        <v>160</v>
      </c>
      <c r="B108" s="5" t="str">
        <f>_xlfn.XLOOKUP(role_course_map[[#This Row],[role_id]], role_data[role_id], role_data[Role],"")</f>
        <v>Performance Supervisor</v>
      </c>
      <c r="C108">
        <v>89569</v>
      </c>
      <c r="D108" s="5" t="str">
        <f>_xlfn.XLOOKUP(role_course_map[[#This Row],[course_id]],course_data[course_id],course_data[title],"")</f>
        <v>LifeX for Supervisors</v>
      </c>
      <c r="E108" s="5" t="str">
        <f>_xlfn.XLOOKUP(role_course_map[[#This Row],[course_id]],course_data[course_id],course_data[topic],"")</f>
        <v>SAS: Systems Training</v>
      </c>
      <c r="F108" s="5" t="str">
        <f>_xlfn.XLOOKUP(role_course_map[[#This Row],[course_id]],course_data[course_id],course_data[type],"")</f>
        <v>Course</v>
      </c>
      <c r="K108" t="str">
        <f>role_course_map[[#This Row],[role_id]] &amp; "|" &amp; role_course_map[[#This Row],[course_id]]</f>
        <v>R0074|89569</v>
      </c>
      <c r="L108" t="str">
        <f>IF(COUNTIF(role_course_map[mapping_key],role_course_map[[#This Row],[mapping_key]])&gt;1,"DUPLICATE","OK")</f>
        <v>OK</v>
      </c>
      <c r="M108" t="str">
        <f>IF(COUNTIF(role_data[role_id],role_course_map[[#This Row],[role_id]])=0, "INVALID","VALID")</f>
        <v>VALID</v>
      </c>
      <c r="N108" t="str">
        <f>IF(COUNTIF(course_data[course_id],role_course_map[[#This Row],[course_id]])=0, "INVALID","VALID")</f>
        <v>VALID</v>
      </c>
    </row>
    <row r="109" spans="1:14" x14ac:dyDescent="0.35">
      <c r="A109" t="s">
        <v>160</v>
      </c>
      <c r="B109" s="5" t="str">
        <f>_xlfn.XLOOKUP(role_course_map[[#This Row],[role_id]], role_data[role_id], role_data[Role],"")</f>
        <v>Performance Supervisor</v>
      </c>
      <c r="C109">
        <v>999001</v>
      </c>
      <c r="D109" s="5" t="str">
        <f>_xlfn.XLOOKUP(role_course_map[[#This Row],[course_id]],course_data[course_id],course_data[title],"")</f>
        <v>IAED - EMD</v>
      </c>
      <c r="E109" s="5" t="str">
        <f>_xlfn.XLOOKUP(role_course_map[[#This Row],[course_id]],course_data[course_id],course_data[topic],"")</f>
        <v>SAS : Ambulance Control Centre (ACC)</v>
      </c>
      <c r="F109" s="5" t="str">
        <f>_xlfn.XLOOKUP(role_course_map[[#This Row],[course_id]],course_data[course_id],course_data[type],"")</f>
        <v>Course</v>
      </c>
      <c r="K109" t="str">
        <f>role_course_map[[#This Row],[role_id]] &amp; "|" &amp; role_course_map[[#This Row],[course_id]]</f>
        <v>R0074|999001</v>
      </c>
      <c r="L109" t="str">
        <f>IF(COUNTIF(role_course_map[mapping_key],role_course_map[[#This Row],[mapping_key]])&gt;1,"DUPLICATE","OK")</f>
        <v>OK</v>
      </c>
      <c r="M109" t="str">
        <f>IF(COUNTIF(role_data[role_id],role_course_map[[#This Row],[role_id]])=0, "INVALID","VALID")</f>
        <v>VALID</v>
      </c>
      <c r="N109" t="str">
        <f>IF(COUNTIF(course_data[course_id],role_course_map[[#This Row],[course_id]])=0, "INVALID","VALID")</f>
        <v>VALID</v>
      </c>
    </row>
    <row r="110" spans="1:14" x14ac:dyDescent="0.35">
      <c r="A110" t="s">
        <v>160</v>
      </c>
      <c r="B110" s="5" t="str">
        <f>_xlfn.XLOOKUP(role_course_map[[#This Row],[role_id]], role_data[role_id], role_data[Role],"")</f>
        <v>Performance Supervisor</v>
      </c>
      <c r="C110">
        <v>999058</v>
      </c>
      <c r="D110" s="5" t="str">
        <f>_xlfn.XLOOKUP(role_course_map[[#This Row],[course_id]],course_data[course_id],course_data[title],"")</f>
        <v>Stress Identification &amp; Stress Management</v>
      </c>
      <c r="E110" s="5" t="str">
        <f>_xlfn.XLOOKUP(role_course_map[[#This Row],[course_id]],course_data[course_id],course_data[topic],"")</f>
        <v>SAS : Health and Safety</v>
      </c>
      <c r="F110" s="5" t="str">
        <f>_xlfn.XLOOKUP(role_course_map[[#This Row],[course_id]],course_data[course_id],course_data[type],"")</f>
        <v>eLearning</v>
      </c>
      <c r="K110" t="str">
        <f>role_course_map[[#This Row],[role_id]] &amp; "|" &amp; role_course_map[[#This Row],[course_id]]</f>
        <v>R0074|999058</v>
      </c>
      <c r="L110" t="str">
        <f>IF(COUNTIF(role_course_map[mapping_key],role_course_map[[#This Row],[mapping_key]])&gt;1,"DUPLICATE","OK")</f>
        <v>OK</v>
      </c>
      <c r="M110" t="str">
        <f>IF(COUNTIF(role_data[role_id],role_course_map[[#This Row],[role_id]])=0, "INVALID","VALID")</f>
        <v>VALID</v>
      </c>
      <c r="N110" t="str">
        <f>IF(COUNTIF(course_data[course_id],role_course_map[[#This Row],[course_id]])=0, "INVALID","VALID")</f>
        <v>VALID</v>
      </c>
    </row>
    <row r="111" spans="1:14" x14ac:dyDescent="0.35">
      <c r="A111" t="s">
        <v>160</v>
      </c>
      <c r="B111" s="5" t="str">
        <f>_xlfn.XLOOKUP(role_course_map[[#This Row],[role_id]], role_data[role_id], role_data[Role],"")</f>
        <v>Performance Supervisor</v>
      </c>
      <c r="C111">
        <v>79147</v>
      </c>
      <c r="D111" s="5" t="str">
        <f>_xlfn.XLOOKUP(role_course_map[[#This Row],[course_id]],course_data[course_id],course_data[title],"")</f>
        <v>Driving risks at work</v>
      </c>
      <c r="E111" s="5" t="str">
        <f>_xlfn.XLOOKUP(role_course_map[[#This Row],[course_id]],course_data[course_id],course_data[topic],"")</f>
        <v>SAS : Health and Safety</v>
      </c>
      <c r="F111" s="5" t="str">
        <f>_xlfn.XLOOKUP(role_course_map[[#This Row],[course_id]],course_data[course_id],course_data[type],"")</f>
        <v>eLearning</v>
      </c>
      <c r="K111" t="str">
        <f>role_course_map[[#This Row],[role_id]] &amp; "|" &amp; role_course_map[[#This Row],[course_id]]</f>
        <v>R0074|79147</v>
      </c>
      <c r="L111" t="str">
        <f>IF(COUNTIF(role_course_map[mapping_key],role_course_map[[#This Row],[mapping_key]])&gt;1,"DUPLICATE","OK")</f>
        <v>OK</v>
      </c>
      <c r="M111" t="str">
        <f>IF(COUNTIF(role_data[role_id],role_course_map[[#This Row],[role_id]])=0, "INVALID","VALID")</f>
        <v>VALID</v>
      </c>
      <c r="N111" t="str">
        <f>IF(COUNTIF(course_data[course_id],role_course_map[[#This Row],[course_id]])=0, "INVALID","VALID")</f>
        <v>VALID</v>
      </c>
    </row>
    <row r="112" spans="1:14" x14ac:dyDescent="0.35">
      <c r="A112" t="s">
        <v>168</v>
      </c>
      <c r="B112" s="5" t="str">
        <f>_xlfn.XLOOKUP(role_course_map[[#This Row],[role_id]], role_data[role_id], role_data[Role],"")</f>
        <v>Scheduled Care Coordinator</v>
      </c>
      <c r="C112">
        <v>999057</v>
      </c>
      <c r="D112" s="5" t="str">
        <f>_xlfn.XLOOKUP(role_course_map[[#This Row],[course_id]],course_data[course_id],course_data[title],"")</f>
        <v>Fatigue Awareness</v>
      </c>
      <c r="E112" s="5" t="str">
        <f>_xlfn.XLOOKUP(role_course_map[[#This Row],[course_id]],course_data[course_id],course_data[topic],"")</f>
        <v>SAS : Health and Safety</v>
      </c>
      <c r="F112" s="5" t="str">
        <f>_xlfn.XLOOKUP(role_course_map[[#This Row],[course_id]],course_data[course_id],course_data[type],"")</f>
        <v>eLearning</v>
      </c>
      <c r="K112" t="str">
        <f>role_course_map[[#This Row],[role_id]] &amp; "|" &amp; role_course_map[[#This Row],[course_id]]</f>
        <v>R0078|999057</v>
      </c>
      <c r="L112" t="str">
        <f>IF(COUNTIF(role_course_map[mapping_key],role_course_map[[#This Row],[mapping_key]])&gt;1,"DUPLICATE","OK")</f>
        <v>OK</v>
      </c>
      <c r="M112" t="str">
        <f>IF(COUNTIF(role_data[role_id],role_course_map[[#This Row],[role_id]])=0, "INVALID","VALID")</f>
        <v>VALID</v>
      </c>
      <c r="N112" t="str">
        <f>IF(COUNTIF(course_data[course_id],role_course_map[[#This Row],[course_id]])=0, "INVALID","VALID")</f>
        <v>VALID</v>
      </c>
    </row>
    <row r="113" spans="1:14" x14ac:dyDescent="0.35">
      <c r="A113" t="s">
        <v>160</v>
      </c>
      <c r="B113" s="5" t="str">
        <f>_xlfn.XLOOKUP(role_course_map[[#This Row],[role_id]], role_data[role_id], role_data[Role],"")</f>
        <v>Performance Supervisor</v>
      </c>
      <c r="C113">
        <v>64322</v>
      </c>
      <c r="D113" s="5" t="str">
        <f>_xlfn.XLOOKUP(role_course_map[[#This Row],[course_id]],course_data[course_id],course_data[title],"")</f>
        <v>Adult support and protection: practice level 2 [skilled]</v>
      </c>
      <c r="E113" s="5" t="str">
        <f>_xlfn.XLOOKUP(role_course_map[[#This Row],[course_id]],course_data[course_id],course_data[topic],"")</f>
        <v>SAS : Public Protection</v>
      </c>
      <c r="F113" s="5" t="str">
        <f>_xlfn.XLOOKUP(role_course_map[[#This Row],[course_id]],course_data[course_id],course_data[type],"")</f>
        <v>eLearning</v>
      </c>
      <c r="K113" t="str">
        <f>role_course_map[[#This Row],[role_id]] &amp; "|" &amp; role_course_map[[#This Row],[course_id]]</f>
        <v>R0074|64322</v>
      </c>
      <c r="L113" t="str">
        <f>IF(COUNTIF(role_course_map[mapping_key],role_course_map[[#This Row],[mapping_key]])&gt;1,"DUPLICATE","OK")</f>
        <v>OK</v>
      </c>
      <c r="M113" t="str">
        <f>IF(COUNTIF(role_data[role_id],role_course_map[[#This Row],[role_id]])=0, "INVALID","VALID")</f>
        <v>VALID</v>
      </c>
      <c r="N113" t="str">
        <f>IF(COUNTIF(course_data[course_id],role_course_map[[#This Row],[course_id]])=0, "INVALID","VALID")</f>
        <v>VALID</v>
      </c>
    </row>
    <row r="114" spans="1:14" x14ac:dyDescent="0.35">
      <c r="A114" t="s">
        <v>160</v>
      </c>
      <c r="B114" s="5" t="str">
        <f>_xlfn.XLOOKUP(role_course_map[[#This Row],[role_id]], role_data[role_id], role_data[Role],"")</f>
        <v>Performance Supervisor</v>
      </c>
      <c r="C114">
        <v>64324</v>
      </c>
      <c r="D114" s="5" t="str">
        <f>_xlfn.XLOOKUP(role_course_map[[#This Row],[course_id]],course_data[course_id],course_data[title],"")</f>
        <v>Child protection: practice level 2 [skilled]</v>
      </c>
      <c r="E114" s="5" t="str">
        <f>_xlfn.XLOOKUP(role_course_map[[#This Row],[course_id]],course_data[course_id],course_data[topic],"")</f>
        <v>SAS : Public Protection</v>
      </c>
      <c r="F114" s="5" t="str">
        <f>_xlfn.XLOOKUP(role_course_map[[#This Row],[course_id]],course_data[course_id],course_data[type],"")</f>
        <v>eLearning</v>
      </c>
      <c r="K114" t="str">
        <f>role_course_map[[#This Row],[role_id]] &amp; "|" &amp; role_course_map[[#This Row],[course_id]]</f>
        <v>R0074|64324</v>
      </c>
      <c r="L114" t="str">
        <f>IF(COUNTIF(role_course_map[mapping_key],role_course_map[[#This Row],[mapping_key]])&gt;1,"DUPLICATE","OK")</f>
        <v>OK</v>
      </c>
      <c r="M114" t="str">
        <f>IF(COUNTIF(role_data[role_id],role_course_map[[#This Row],[role_id]])=0, "INVALID","VALID")</f>
        <v>VALID</v>
      </c>
      <c r="N114" t="str">
        <f>IF(COUNTIF(course_data[course_id],role_course_map[[#This Row],[course_id]])=0, "INVALID","VALID")</f>
        <v>VALID</v>
      </c>
    </row>
    <row r="115" spans="1:14" x14ac:dyDescent="0.35">
      <c r="A115" t="s">
        <v>168</v>
      </c>
      <c r="B115" s="5" t="str">
        <f>_xlfn.XLOOKUP(role_course_map[[#This Row],[role_id]], role_data[role_id], role_data[Role],"")</f>
        <v>Scheduled Care Coordinator</v>
      </c>
      <c r="C115">
        <v>76716</v>
      </c>
      <c r="D115" s="5" t="str">
        <f>_xlfn.XLOOKUP(role_course_map[[#This Row],[course_id]],course_data[course_id],course_data[title],"")</f>
        <v>Domestic abuse awareness training tool (DAART)</v>
      </c>
      <c r="E115" s="5" t="str">
        <f>_xlfn.XLOOKUP(role_course_map[[#This Row],[course_id]],course_data[course_id],course_data[topic],"")</f>
        <v>SAS : Public Protection</v>
      </c>
      <c r="F115" s="5" t="str">
        <f>_xlfn.XLOOKUP(role_course_map[[#This Row],[course_id]],course_data[course_id],course_data[type],"")</f>
        <v>eLearning</v>
      </c>
      <c r="K115" t="str">
        <f>role_course_map[[#This Row],[role_id]] &amp; "|" &amp; role_course_map[[#This Row],[course_id]]</f>
        <v>R0078|76716</v>
      </c>
      <c r="L115" t="str">
        <f>IF(COUNTIF(role_course_map[mapping_key],role_course_map[[#This Row],[mapping_key]])&gt;1,"DUPLICATE","OK")</f>
        <v>OK</v>
      </c>
      <c r="M115" t="str">
        <f>IF(COUNTIF(role_data[role_id],role_course_map[[#This Row],[role_id]])=0, "INVALID","VALID")</f>
        <v>VALID</v>
      </c>
      <c r="N115" t="str">
        <f>IF(COUNTIF(course_data[course_id],role_course_map[[#This Row],[course_id]])=0, "INVALID","VALID")</f>
        <v>VALID</v>
      </c>
    </row>
    <row r="116" spans="1:14" x14ac:dyDescent="0.35">
      <c r="A116" t="s">
        <v>160</v>
      </c>
      <c r="B116" s="5" t="str">
        <f>_xlfn.XLOOKUP(role_course_map[[#This Row],[role_id]], role_data[role_id], role_data[Role],"")</f>
        <v>Performance Supervisor</v>
      </c>
      <c r="C116">
        <v>79666</v>
      </c>
      <c r="D116" s="5" t="str">
        <f>_xlfn.XLOOKUP(role_course_map[[#This Row],[course_id]],course_data[course_id],course_data[title],"")</f>
        <v>Getting it right for every child (GIRFEC): informed level</v>
      </c>
      <c r="E116" s="5" t="str">
        <f>_xlfn.XLOOKUP(role_course_map[[#This Row],[course_id]],course_data[course_id],course_data[topic],"")</f>
        <v>SAS : Public Protection</v>
      </c>
      <c r="F116" s="5" t="str">
        <f>_xlfn.XLOOKUP(role_course_map[[#This Row],[course_id]],course_data[course_id],course_data[type],"")</f>
        <v>eLearning</v>
      </c>
      <c r="K116" t="str">
        <f>role_course_map[[#This Row],[role_id]] &amp; "|" &amp; role_course_map[[#This Row],[course_id]]</f>
        <v>R0074|79666</v>
      </c>
      <c r="L116" t="str">
        <f>IF(COUNTIF(role_course_map[mapping_key],role_course_map[[#This Row],[mapping_key]])&gt;1,"DUPLICATE","OK")</f>
        <v>OK</v>
      </c>
      <c r="M116" t="str">
        <f>IF(COUNTIF(role_data[role_id],role_course_map[[#This Row],[role_id]])=0, "INVALID","VALID")</f>
        <v>VALID</v>
      </c>
      <c r="N116" t="str">
        <f>IF(COUNTIF(course_data[course_id],role_course_map[[#This Row],[course_id]])=0, "INVALID","VALID")</f>
        <v>VALID</v>
      </c>
    </row>
    <row r="117" spans="1:14" x14ac:dyDescent="0.35">
      <c r="A117" t="s">
        <v>160</v>
      </c>
      <c r="B117" s="5" t="str">
        <f>_xlfn.XLOOKUP(role_course_map[[#This Row],[role_id]], role_data[role_id], role_data[Role],"")</f>
        <v>Performance Supervisor</v>
      </c>
      <c r="C117">
        <v>999074</v>
      </c>
      <c r="D117" s="5" t="str">
        <f>_xlfn.XLOOKUP(role_course_map[[#This Row],[course_id]],course_data[course_id],course_data[title],"")</f>
        <v>SAS-specific Children’s rights</v>
      </c>
      <c r="E117" s="5" t="str">
        <f>_xlfn.XLOOKUP(role_course_map[[#This Row],[course_id]],course_data[course_id],course_data[topic],"")</f>
        <v>SAS : Public Protection</v>
      </c>
      <c r="F117" s="5" t="str">
        <f>_xlfn.XLOOKUP(role_course_map[[#This Row],[course_id]],course_data[course_id],course_data[type],"")</f>
        <v>eLearning</v>
      </c>
      <c r="K117" t="str">
        <f>role_course_map[[#This Row],[role_id]] &amp; "|" &amp; role_course_map[[#This Row],[course_id]]</f>
        <v>R0074|999074</v>
      </c>
      <c r="L117" t="str">
        <f>IF(COUNTIF(role_course_map[mapping_key],role_course_map[[#This Row],[mapping_key]])&gt;1,"DUPLICATE","OK")</f>
        <v>OK</v>
      </c>
      <c r="M117" t="str">
        <f>IF(COUNTIF(role_data[role_id],role_course_map[[#This Row],[role_id]])=0, "INVALID","VALID")</f>
        <v>VALID</v>
      </c>
      <c r="N117" t="str">
        <f>IF(COUNTIF(course_data[course_id],role_course_map[[#This Row],[course_id]])=0, "INVALID","VALID")</f>
        <v>VALID</v>
      </c>
    </row>
    <row r="118" spans="1:14" x14ac:dyDescent="0.35">
      <c r="A118" t="s">
        <v>160</v>
      </c>
      <c r="B118" s="5" t="str">
        <f>_xlfn.XLOOKUP(role_course_map[[#This Row],[role_id]], role_data[role_id], role_data[Role],"")</f>
        <v>Performance Supervisor</v>
      </c>
      <c r="C118">
        <v>999075</v>
      </c>
      <c r="D118" s="5" t="str">
        <f>_xlfn.XLOOKUP(role_course_map[[#This Row],[course_id]],course_data[course_id],course_data[title],"")</f>
        <v>Multiagency local or bespoke Level 3 delivery training</v>
      </c>
      <c r="E118" s="5" t="str">
        <f>_xlfn.XLOOKUP(role_course_map[[#This Row],[course_id]],course_data[course_id],course_data[topic],"")</f>
        <v>SAS : Public Protection</v>
      </c>
      <c r="F118" s="5" t="str">
        <f>_xlfn.XLOOKUP(role_course_map[[#This Row],[course_id]],course_data[course_id],course_data[type],"")</f>
        <v>eLearning</v>
      </c>
      <c r="K118" t="str">
        <f>role_course_map[[#This Row],[role_id]] &amp; "|" &amp; role_course_map[[#This Row],[course_id]]</f>
        <v>R0074|999075</v>
      </c>
      <c r="L118" t="str">
        <f>IF(COUNTIF(role_course_map[mapping_key],role_course_map[[#This Row],[mapping_key]])&gt;1,"DUPLICATE","OK")</f>
        <v>OK</v>
      </c>
      <c r="M118" t="str">
        <f>IF(COUNTIF(role_data[role_id],role_course_map[[#This Row],[role_id]])=0, "INVALID","VALID")</f>
        <v>VALID</v>
      </c>
      <c r="N118" t="str">
        <f>IF(COUNTIF(course_data[course_id],role_course_map[[#This Row],[course_id]])=0, "INVALID","VALID")</f>
        <v>VALID</v>
      </c>
    </row>
    <row r="119" spans="1:14" x14ac:dyDescent="0.35">
      <c r="A119" t="s">
        <v>160</v>
      </c>
      <c r="B119" s="5" t="str">
        <f>_xlfn.XLOOKUP(role_course_map[[#This Row],[role_id]], role_data[role_id], role_data[Role],"")</f>
        <v>Performance Supervisor</v>
      </c>
      <c r="C119">
        <v>15249</v>
      </c>
      <c r="D119" s="5" t="str">
        <f>_xlfn.XLOOKUP(role_course_map[[#This Row],[course_id]],course_data[course_id],course_data[title],"")</f>
        <v>Human trafficking</v>
      </c>
      <c r="E119" s="5" t="str">
        <f>_xlfn.XLOOKUP(role_course_map[[#This Row],[course_id]],course_data[course_id],course_data[topic],"")</f>
        <v>SAS : Public Protection</v>
      </c>
      <c r="F119" s="5" t="str">
        <f>_xlfn.XLOOKUP(role_course_map[[#This Row],[course_id]],course_data[course_id],course_data[type],"")</f>
        <v>eLearning</v>
      </c>
      <c r="K119" t="str">
        <f>role_course_map[[#This Row],[role_id]] &amp; "|" &amp; role_course_map[[#This Row],[course_id]]</f>
        <v>R0074|15249</v>
      </c>
      <c r="L119" t="str">
        <f>IF(COUNTIF(role_course_map[mapping_key],role_course_map[[#This Row],[mapping_key]])&gt;1,"DUPLICATE","OK")</f>
        <v>OK</v>
      </c>
      <c r="M119" t="str">
        <f>IF(COUNTIF(role_data[role_id],role_course_map[[#This Row],[role_id]])=0, "INVALID","VALID")</f>
        <v>VALID</v>
      </c>
      <c r="N119" t="str">
        <f>IF(COUNTIF(course_data[course_id],role_course_map[[#This Row],[course_id]])=0, "INVALID","VALID")</f>
        <v>VALID</v>
      </c>
    </row>
    <row r="120" spans="1:14" x14ac:dyDescent="0.35">
      <c r="A120" t="s">
        <v>180</v>
      </c>
      <c r="B120" s="5" t="str">
        <f>_xlfn.XLOOKUP(role_course_map[[#This Row],[role_id]], role_data[role_id], role_data[Role],"")</f>
        <v>System Support Manager</v>
      </c>
      <c r="C120">
        <v>999092</v>
      </c>
      <c r="D120" s="5" t="str">
        <f>_xlfn.XLOOKUP(role_course_map[[#This Row],[course_id]],course_data[course_id],course_data[title],"")</f>
        <v>Health &amp; Wellbeing Awareness for Managers</v>
      </c>
      <c r="E120" s="5" t="str">
        <f>_xlfn.XLOOKUP(role_course_map[[#This Row],[course_id]],course_data[course_id],course_data[topic],"")</f>
        <v>SAS: Staff development and experience</v>
      </c>
      <c r="F120" s="5" t="str">
        <f>_xlfn.XLOOKUP(role_course_map[[#This Row],[course_id]],course_data[course_id],course_data[type],"")</f>
        <v>eLearning</v>
      </c>
      <c r="K120" t="str">
        <f>role_course_map[[#This Row],[role_id]] &amp; "|" &amp; role_course_map[[#This Row],[course_id]]</f>
        <v>R0084|999092</v>
      </c>
      <c r="L120" t="str">
        <f>IF(COUNTIF(role_course_map[mapping_key],role_course_map[[#This Row],[mapping_key]])&gt;1,"DUPLICATE","OK")</f>
        <v>OK</v>
      </c>
      <c r="M120" t="str">
        <f>IF(COUNTIF(role_data[role_id],role_course_map[[#This Row],[role_id]])=0, "INVALID","VALID")</f>
        <v>VALID</v>
      </c>
      <c r="N120" t="str">
        <f>IF(COUNTIF(course_data[course_id],role_course_map[[#This Row],[course_id]])=0, "INVALID","VALID")</f>
        <v>VALID</v>
      </c>
    </row>
    <row r="121" spans="1:14" x14ac:dyDescent="0.35">
      <c r="A121" t="s">
        <v>160</v>
      </c>
      <c r="B121" s="5" t="str">
        <f>_xlfn.XLOOKUP(role_course_map[[#This Row],[role_id]], role_data[role_id], role_data[Role],"")</f>
        <v>Performance Supervisor</v>
      </c>
      <c r="C121">
        <v>999093</v>
      </c>
      <c r="D121" s="5" t="str">
        <f>_xlfn.XLOOKUP(role_course_map[[#This Row],[course_id]],course_data[course_id],course_data[title],"")</f>
        <v>Managing Wellbeing Refresher for Managers</v>
      </c>
      <c r="E121" s="5" t="str">
        <f>_xlfn.XLOOKUP(role_course_map[[#This Row],[course_id]],course_data[course_id],course_data[topic],"")</f>
        <v>SAS: Staff development and experience</v>
      </c>
      <c r="F121" s="5" t="str">
        <f>_xlfn.XLOOKUP(role_course_map[[#This Row],[course_id]],course_data[course_id],course_data[type],"")</f>
        <v>eLearning</v>
      </c>
      <c r="K121" t="str">
        <f>role_course_map[[#This Row],[role_id]] &amp; "|" &amp; role_course_map[[#This Row],[course_id]]</f>
        <v>R0074|999093</v>
      </c>
      <c r="L121" t="str">
        <f>IF(COUNTIF(role_course_map[mapping_key],role_course_map[[#This Row],[mapping_key]])&gt;1,"DUPLICATE","OK")</f>
        <v>OK</v>
      </c>
      <c r="M121" t="str">
        <f>IF(COUNTIF(role_data[role_id],role_course_map[[#This Row],[role_id]])=0, "INVALID","VALID")</f>
        <v>VALID</v>
      </c>
      <c r="N121" t="str">
        <f>IF(COUNTIF(course_data[course_id],role_course_map[[#This Row],[course_id]])=0, "INVALID","VALID")</f>
        <v>VALID</v>
      </c>
    </row>
    <row r="122" spans="1:14" x14ac:dyDescent="0.35">
      <c r="A122" t="s">
        <v>168</v>
      </c>
      <c r="B122" s="5" t="str">
        <f>_xlfn.XLOOKUP(role_course_map[[#This Row],[role_id]], role_data[role_id], role_data[Role],"")</f>
        <v>Scheduled Care Coordinator</v>
      </c>
      <c r="C122">
        <v>999094</v>
      </c>
      <c r="D122" s="5" t="str">
        <f>_xlfn.XLOOKUP(role_course_map[[#This Row],[course_id]],course_data[course_id],course_data[title],"")</f>
        <v>Being well, Mind, Body &amp; Workplace</v>
      </c>
      <c r="E122" s="5" t="str">
        <f>_xlfn.XLOOKUP(role_course_map[[#This Row],[course_id]],course_data[course_id],course_data[topic],"")</f>
        <v>SAS: Staff development and experience</v>
      </c>
      <c r="F122" s="5" t="str">
        <f>_xlfn.XLOOKUP(role_course_map[[#This Row],[course_id]],course_data[course_id],course_data[type],"")</f>
        <v>eLearning</v>
      </c>
      <c r="K122" t="str">
        <f>role_course_map[[#This Row],[role_id]] &amp; "|" &amp; role_course_map[[#This Row],[course_id]]</f>
        <v>R0078|999094</v>
      </c>
      <c r="L122" t="str">
        <f>IF(COUNTIF(role_course_map[mapping_key],role_course_map[[#This Row],[mapping_key]])&gt;1,"DUPLICATE","OK")</f>
        <v>OK</v>
      </c>
      <c r="M122" t="str">
        <f>IF(COUNTIF(role_data[role_id],role_course_map[[#This Row],[role_id]])=0, "INVALID","VALID")</f>
        <v>VALID</v>
      </c>
      <c r="N122" t="str">
        <f>IF(COUNTIF(course_data[course_id],role_course_map[[#This Row],[course_id]])=0, "INVALID","VALID")</f>
        <v>VALID</v>
      </c>
    </row>
    <row r="123" spans="1:14" x14ac:dyDescent="0.35">
      <c r="A123" t="s">
        <v>138</v>
      </c>
      <c r="B123" s="5" t="str">
        <f>_xlfn.XLOOKUP(role_course_map[[#This Row],[role_id]], role_data[role_id], role_data[Role],"")</f>
        <v>Dispatch Supervisor</v>
      </c>
      <c r="C123">
        <v>999058</v>
      </c>
      <c r="D123" s="5" t="str">
        <f>_xlfn.XLOOKUP(role_course_map[[#This Row],[course_id]],course_data[course_id],course_data[title],"")</f>
        <v>Stress Identification &amp; Stress Management</v>
      </c>
      <c r="E123" s="5" t="str">
        <f>_xlfn.XLOOKUP(role_course_map[[#This Row],[course_id]],course_data[course_id],course_data[topic],"")</f>
        <v>SAS : Health and Safety</v>
      </c>
      <c r="F123" s="5" t="str">
        <f>_xlfn.XLOOKUP(role_course_map[[#This Row],[course_id]],course_data[course_id],course_data[type],"")</f>
        <v>eLearning</v>
      </c>
      <c r="K123" t="str">
        <f>role_course_map[[#This Row],[role_id]] &amp; "|" &amp; role_course_map[[#This Row],[course_id]]</f>
        <v>R0063|999058</v>
      </c>
      <c r="L123" t="str">
        <f>IF(COUNTIF(role_course_map[mapping_key],role_course_map[[#This Row],[mapping_key]])&gt;1,"DUPLICATE","OK")</f>
        <v>OK</v>
      </c>
      <c r="M123" t="str">
        <f>IF(COUNTIF(role_data[role_id],role_course_map[[#This Row],[role_id]])=0, "INVALID","VALID")</f>
        <v>VALID</v>
      </c>
      <c r="N123" t="str">
        <f>IF(COUNTIF(course_data[course_id],role_course_map[[#This Row],[course_id]])=0, "INVALID","VALID")</f>
        <v>VALID</v>
      </c>
    </row>
    <row r="124" spans="1:14" x14ac:dyDescent="0.35">
      <c r="A124" t="s">
        <v>138</v>
      </c>
      <c r="B124" s="5" t="str">
        <f>_xlfn.XLOOKUP(role_course_map[[#This Row],[role_id]], role_data[role_id], role_data[Role],"")</f>
        <v>Dispatch Supervisor</v>
      </c>
      <c r="C124">
        <v>79147</v>
      </c>
      <c r="D124" s="5" t="str">
        <f>_xlfn.XLOOKUP(role_course_map[[#This Row],[course_id]],course_data[course_id],course_data[title],"")</f>
        <v>Driving risks at work</v>
      </c>
      <c r="E124" s="5" t="str">
        <f>_xlfn.XLOOKUP(role_course_map[[#This Row],[course_id]],course_data[course_id],course_data[topic],"")</f>
        <v>SAS : Health and Safety</v>
      </c>
      <c r="F124" s="5" t="str">
        <f>_xlfn.XLOOKUP(role_course_map[[#This Row],[course_id]],course_data[course_id],course_data[type],"")</f>
        <v>eLearning</v>
      </c>
      <c r="K124" t="str">
        <f>role_course_map[[#This Row],[role_id]] &amp; "|" &amp; role_course_map[[#This Row],[course_id]]</f>
        <v>R0063|79147</v>
      </c>
      <c r="L124" t="str">
        <f>IF(COUNTIF(role_course_map[mapping_key],role_course_map[[#This Row],[mapping_key]])&gt;1,"DUPLICATE","OK")</f>
        <v>OK</v>
      </c>
      <c r="M124" t="str">
        <f>IF(COUNTIF(role_data[role_id],role_course_map[[#This Row],[role_id]])=0, "INVALID","VALID")</f>
        <v>VALID</v>
      </c>
      <c r="N124" t="str">
        <f>IF(COUNTIF(course_data[course_id],role_course_map[[#This Row],[course_id]])=0, "INVALID","VALID")</f>
        <v>VALID</v>
      </c>
    </row>
    <row r="125" spans="1:14" x14ac:dyDescent="0.35">
      <c r="A125" t="s">
        <v>160</v>
      </c>
      <c r="B125" s="5" t="str">
        <f>_xlfn.XLOOKUP(role_course_map[[#This Row],[role_id]], role_data[role_id], role_data[Role],"")</f>
        <v>Performance Supervisor</v>
      </c>
      <c r="C125">
        <v>999057</v>
      </c>
      <c r="D125" s="5" t="str">
        <f>_xlfn.XLOOKUP(role_course_map[[#This Row],[course_id]],course_data[course_id],course_data[title],"")</f>
        <v>Fatigue Awareness</v>
      </c>
      <c r="E125" s="5" t="str">
        <f>_xlfn.XLOOKUP(role_course_map[[#This Row],[course_id]],course_data[course_id],course_data[topic],"")</f>
        <v>SAS : Health and Safety</v>
      </c>
      <c r="F125" s="5" t="str">
        <f>_xlfn.XLOOKUP(role_course_map[[#This Row],[course_id]],course_data[course_id],course_data[type],"")</f>
        <v>eLearning</v>
      </c>
      <c r="K125" t="str">
        <f>role_course_map[[#This Row],[role_id]] &amp; "|" &amp; role_course_map[[#This Row],[course_id]]</f>
        <v>R0074|999057</v>
      </c>
      <c r="L125" t="str">
        <f>IF(COUNTIF(role_course_map[mapping_key],role_course_map[[#This Row],[mapping_key]])&gt;1,"DUPLICATE","OK")</f>
        <v>OK</v>
      </c>
      <c r="M125" t="str">
        <f>IF(COUNTIF(role_data[role_id],role_course_map[[#This Row],[role_id]])=0, "INVALID","VALID")</f>
        <v>VALID</v>
      </c>
      <c r="N125" t="str">
        <f>IF(COUNTIF(course_data[course_id],role_course_map[[#This Row],[course_id]])=0, "INVALID","VALID")</f>
        <v>VALID</v>
      </c>
    </row>
    <row r="126" spans="1:14" x14ac:dyDescent="0.35">
      <c r="A126" t="s">
        <v>138</v>
      </c>
      <c r="B126" s="5" t="str">
        <f>_xlfn.XLOOKUP(role_course_map[[#This Row],[role_id]], role_data[role_id], role_data[Role],"")</f>
        <v>Dispatch Supervisor</v>
      </c>
      <c r="C126">
        <v>64322</v>
      </c>
      <c r="D126" s="5" t="str">
        <f>_xlfn.XLOOKUP(role_course_map[[#This Row],[course_id]],course_data[course_id],course_data[title],"")</f>
        <v>Adult support and protection: practice level 2 [skilled]</v>
      </c>
      <c r="E126" s="5" t="str">
        <f>_xlfn.XLOOKUP(role_course_map[[#This Row],[course_id]],course_data[course_id],course_data[topic],"")</f>
        <v>SAS : Public Protection</v>
      </c>
      <c r="F126" s="5" t="str">
        <f>_xlfn.XLOOKUP(role_course_map[[#This Row],[course_id]],course_data[course_id],course_data[type],"")</f>
        <v>eLearning</v>
      </c>
      <c r="K126" t="str">
        <f>role_course_map[[#This Row],[role_id]] &amp; "|" &amp; role_course_map[[#This Row],[course_id]]</f>
        <v>R0063|64322</v>
      </c>
      <c r="L126" t="str">
        <f>IF(COUNTIF(role_course_map[mapping_key],role_course_map[[#This Row],[mapping_key]])&gt;1,"DUPLICATE","OK")</f>
        <v>OK</v>
      </c>
      <c r="M126" t="str">
        <f>IF(COUNTIF(role_data[role_id],role_course_map[[#This Row],[role_id]])=0, "INVALID","VALID")</f>
        <v>VALID</v>
      </c>
      <c r="N126" t="str">
        <f>IF(COUNTIF(course_data[course_id],role_course_map[[#This Row],[course_id]])=0, "INVALID","VALID")</f>
        <v>VALID</v>
      </c>
    </row>
    <row r="127" spans="1:14" x14ac:dyDescent="0.35">
      <c r="A127" t="s">
        <v>138</v>
      </c>
      <c r="B127" s="5" t="str">
        <f>_xlfn.XLOOKUP(role_course_map[[#This Row],[role_id]], role_data[role_id], role_data[Role],"")</f>
        <v>Dispatch Supervisor</v>
      </c>
      <c r="C127">
        <v>64324</v>
      </c>
      <c r="D127" s="5" t="str">
        <f>_xlfn.XLOOKUP(role_course_map[[#This Row],[course_id]],course_data[course_id],course_data[title],"")</f>
        <v>Child protection: practice level 2 [skilled]</v>
      </c>
      <c r="E127" s="5" t="str">
        <f>_xlfn.XLOOKUP(role_course_map[[#This Row],[course_id]],course_data[course_id],course_data[topic],"")</f>
        <v>SAS : Public Protection</v>
      </c>
      <c r="F127" s="5" t="str">
        <f>_xlfn.XLOOKUP(role_course_map[[#This Row],[course_id]],course_data[course_id],course_data[type],"")</f>
        <v>eLearning</v>
      </c>
      <c r="K127" t="str">
        <f>role_course_map[[#This Row],[role_id]] &amp; "|" &amp; role_course_map[[#This Row],[course_id]]</f>
        <v>R0063|64324</v>
      </c>
      <c r="L127" t="str">
        <f>IF(COUNTIF(role_course_map[mapping_key],role_course_map[[#This Row],[mapping_key]])&gt;1,"DUPLICATE","OK")</f>
        <v>OK</v>
      </c>
      <c r="M127" t="str">
        <f>IF(COUNTIF(role_data[role_id],role_course_map[[#This Row],[role_id]])=0, "INVALID","VALID")</f>
        <v>VALID</v>
      </c>
      <c r="N127" t="str">
        <f>IF(COUNTIF(course_data[course_id],role_course_map[[#This Row],[course_id]])=0, "INVALID","VALID")</f>
        <v>VALID</v>
      </c>
    </row>
    <row r="128" spans="1:14" x14ac:dyDescent="0.35">
      <c r="A128" t="s">
        <v>160</v>
      </c>
      <c r="B128" s="5" t="str">
        <f>_xlfn.XLOOKUP(role_course_map[[#This Row],[role_id]], role_data[role_id], role_data[Role],"")</f>
        <v>Performance Supervisor</v>
      </c>
      <c r="C128">
        <v>76716</v>
      </c>
      <c r="D128" s="5" t="str">
        <f>_xlfn.XLOOKUP(role_course_map[[#This Row],[course_id]],course_data[course_id],course_data[title],"")</f>
        <v>Domestic abuse awareness training tool (DAART)</v>
      </c>
      <c r="E128" s="5" t="str">
        <f>_xlfn.XLOOKUP(role_course_map[[#This Row],[course_id]],course_data[course_id],course_data[topic],"")</f>
        <v>SAS : Public Protection</v>
      </c>
      <c r="F128" s="5" t="str">
        <f>_xlfn.XLOOKUP(role_course_map[[#This Row],[course_id]],course_data[course_id],course_data[type],"")</f>
        <v>eLearning</v>
      </c>
      <c r="K128" t="str">
        <f>role_course_map[[#This Row],[role_id]] &amp; "|" &amp; role_course_map[[#This Row],[course_id]]</f>
        <v>R0074|76716</v>
      </c>
      <c r="L128" t="str">
        <f>IF(COUNTIF(role_course_map[mapping_key],role_course_map[[#This Row],[mapping_key]])&gt;1,"DUPLICATE","OK")</f>
        <v>OK</v>
      </c>
      <c r="M128" t="str">
        <f>IF(COUNTIF(role_data[role_id],role_course_map[[#This Row],[role_id]])=0, "INVALID","VALID")</f>
        <v>VALID</v>
      </c>
      <c r="N128" t="str">
        <f>IF(COUNTIF(course_data[course_id],role_course_map[[#This Row],[course_id]])=0, "INVALID","VALID")</f>
        <v>VALID</v>
      </c>
    </row>
    <row r="129" spans="1:14" x14ac:dyDescent="0.35">
      <c r="A129" t="s">
        <v>138</v>
      </c>
      <c r="B129" s="5" t="str">
        <f>_xlfn.XLOOKUP(role_course_map[[#This Row],[role_id]], role_data[role_id], role_data[Role],"")</f>
        <v>Dispatch Supervisor</v>
      </c>
      <c r="C129">
        <v>79666</v>
      </c>
      <c r="D129" s="5" t="str">
        <f>_xlfn.XLOOKUP(role_course_map[[#This Row],[course_id]],course_data[course_id],course_data[title],"")</f>
        <v>Getting it right for every child (GIRFEC): informed level</v>
      </c>
      <c r="E129" s="5" t="str">
        <f>_xlfn.XLOOKUP(role_course_map[[#This Row],[course_id]],course_data[course_id],course_data[topic],"")</f>
        <v>SAS : Public Protection</v>
      </c>
      <c r="F129" s="5" t="str">
        <f>_xlfn.XLOOKUP(role_course_map[[#This Row],[course_id]],course_data[course_id],course_data[type],"")</f>
        <v>eLearning</v>
      </c>
      <c r="K129" t="str">
        <f>role_course_map[[#This Row],[role_id]] &amp; "|" &amp; role_course_map[[#This Row],[course_id]]</f>
        <v>R0063|79666</v>
      </c>
      <c r="L129" t="str">
        <f>IF(COUNTIF(role_course_map[mapping_key],role_course_map[[#This Row],[mapping_key]])&gt;1,"DUPLICATE","OK")</f>
        <v>OK</v>
      </c>
      <c r="M129" t="str">
        <f>IF(COUNTIF(role_data[role_id],role_course_map[[#This Row],[role_id]])=0, "INVALID","VALID")</f>
        <v>VALID</v>
      </c>
      <c r="N129" t="str">
        <f>IF(COUNTIF(course_data[course_id],role_course_map[[#This Row],[course_id]])=0, "INVALID","VALID")</f>
        <v>VALID</v>
      </c>
    </row>
    <row r="130" spans="1:14" x14ac:dyDescent="0.35">
      <c r="A130" t="s">
        <v>138</v>
      </c>
      <c r="B130" s="5" t="str">
        <f>_xlfn.XLOOKUP(role_course_map[[#This Row],[role_id]], role_data[role_id], role_data[Role],"")</f>
        <v>Dispatch Supervisor</v>
      </c>
      <c r="C130">
        <v>999074</v>
      </c>
      <c r="D130" s="5" t="str">
        <f>_xlfn.XLOOKUP(role_course_map[[#This Row],[course_id]],course_data[course_id],course_data[title],"")</f>
        <v>SAS-specific Children’s rights</v>
      </c>
      <c r="E130" s="5" t="str">
        <f>_xlfn.XLOOKUP(role_course_map[[#This Row],[course_id]],course_data[course_id],course_data[topic],"")</f>
        <v>SAS : Public Protection</v>
      </c>
      <c r="F130" s="5" t="str">
        <f>_xlfn.XLOOKUP(role_course_map[[#This Row],[course_id]],course_data[course_id],course_data[type],"")</f>
        <v>eLearning</v>
      </c>
      <c r="K130" t="str">
        <f>role_course_map[[#This Row],[role_id]] &amp; "|" &amp; role_course_map[[#This Row],[course_id]]</f>
        <v>R0063|999074</v>
      </c>
      <c r="L130" t="str">
        <f>IF(COUNTIF(role_course_map[mapping_key],role_course_map[[#This Row],[mapping_key]])&gt;1,"DUPLICATE","OK")</f>
        <v>OK</v>
      </c>
      <c r="M130" t="str">
        <f>IF(COUNTIF(role_data[role_id],role_course_map[[#This Row],[role_id]])=0, "INVALID","VALID")</f>
        <v>VALID</v>
      </c>
      <c r="N130" t="str">
        <f>IF(COUNTIF(course_data[course_id],role_course_map[[#This Row],[course_id]])=0, "INVALID","VALID")</f>
        <v>VALID</v>
      </c>
    </row>
    <row r="131" spans="1:14" x14ac:dyDescent="0.35">
      <c r="A131" t="s">
        <v>138</v>
      </c>
      <c r="B131" s="5" t="str">
        <f>_xlfn.XLOOKUP(role_course_map[[#This Row],[role_id]], role_data[role_id], role_data[Role],"")</f>
        <v>Dispatch Supervisor</v>
      </c>
      <c r="C131">
        <v>999075</v>
      </c>
      <c r="D131" s="5" t="str">
        <f>_xlfn.XLOOKUP(role_course_map[[#This Row],[course_id]],course_data[course_id],course_data[title],"")</f>
        <v>Multiagency local or bespoke Level 3 delivery training</v>
      </c>
      <c r="E131" s="5" t="str">
        <f>_xlfn.XLOOKUP(role_course_map[[#This Row],[course_id]],course_data[course_id],course_data[topic],"")</f>
        <v>SAS : Public Protection</v>
      </c>
      <c r="F131" s="5" t="str">
        <f>_xlfn.XLOOKUP(role_course_map[[#This Row],[course_id]],course_data[course_id],course_data[type],"")</f>
        <v>eLearning</v>
      </c>
      <c r="K131" t="str">
        <f>role_course_map[[#This Row],[role_id]] &amp; "|" &amp; role_course_map[[#This Row],[course_id]]</f>
        <v>R0063|999075</v>
      </c>
      <c r="L131" t="str">
        <f>IF(COUNTIF(role_course_map[mapping_key],role_course_map[[#This Row],[mapping_key]])&gt;1,"DUPLICATE","OK")</f>
        <v>OK</v>
      </c>
      <c r="M131" t="str">
        <f>IF(COUNTIF(role_data[role_id],role_course_map[[#This Row],[role_id]])=0, "INVALID","VALID")</f>
        <v>VALID</v>
      </c>
      <c r="N131" t="str">
        <f>IF(COUNTIF(course_data[course_id],role_course_map[[#This Row],[course_id]])=0, "INVALID","VALID")</f>
        <v>VALID</v>
      </c>
    </row>
    <row r="132" spans="1:14" x14ac:dyDescent="0.35">
      <c r="A132" t="s">
        <v>138</v>
      </c>
      <c r="B132" s="5" t="str">
        <f>_xlfn.XLOOKUP(role_course_map[[#This Row],[role_id]], role_data[role_id], role_data[Role],"")</f>
        <v>Dispatch Supervisor</v>
      </c>
      <c r="C132">
        <v>15249</v>
      </c>
      <c r="D132" s="5" t="str">
        <f>_xlfn.XLOOKUP(role_course_map[[#This Row],[course_id]],course_data[course_id],course_data[title],"")</f>
        <v>Human trafficking</v>
      </c>
      <c r="E132" s="5" t="str">
        <f>_xlfn.XLOOKUP(role_course_map[[#This Row],[course_id]],course_data[course_id],course_data[topic],"")</f>
        <v>SAS : Public Protection</v>
      </c>
      <c r="F132" s="5" t="str">
        <f>_xlfn.XLOOKUP(role_course_map[[#This Row],[course_id]],course_data[course_id],course_data[type],"")</f>
        <v>eLearning</v>
      </c>
      <c r="K132" t="str">
        <f>role_course_map[[#This Row],[role_id]] &amp; "|" &amp; role_course_map[[#This Row],[course_id]]</f>
        <v>R0063|15249</v>
      </c>
      <c r="L132" t="str">
        <f>IF(COUNTIF(role_course_map[mapping_key],role_course_map[[#This Row],[mapping_key]])&gt;1,"DUPLICATE","OK")</f>
        <v>OK</v>
      </c>
      <c r="M132" t="str">
        <f>IF(COUNTIF(role_data[role_id],role_course_map[[#This Row],[role_id]])=0, "INVALID","VALID")</f>
        <v>VALID</v>
      </c>
      <c r="N132" t="str">
        <f>IF(COUNTIF(course_data[course_id],role_course_map[[#This Row],[course_id]])=0, "INVALID","VALID")</f>
        <v>VALID</v>
      </c>
    </row>
    <row r="133" spans="1:14" x14ac:dyDescent="0.35">
      <c r="A133" t="s">
        <v>160</v>
      </c>
      <c r="B133" s="5" t="str">
        <f>_xlfn.XLOOKUP(role_course_map[[#This Row],[role_id]], role_data[role_id], role_data[Role],"")</f>
        <v>Performance Supervisor</v>
      </c>
      <c r="C133">
        <v>999092</v>
      </c>
      <c r="D133" s="5" t="str">
        <f>_xlfn.XLOOKUP(role_course_map[[#This Row],[course_id]],course_data[course_id],course_data[title],"")</f>
        <v>Health &amp; Wellbeing Awareness for Managers</v>
      </c>
      <c r="E133" s="5" t="str">
        <f>_xlfn.XLOOKUP(role_course_map[[#This Row],[course_id]],course_data[course_id],course_data[topic],"")</f>
        <v>SAS: Staff development and experience</v>
      </c>
      <c r="F133" s="5" t="str">
        <f>_xlfn.XLOOKUP(role_course_map[[#This Row],[course_id]],course_data[course_id],course_data[type],"")</f>
        <v>eLearning</v>
      </c>
      <c r="K133" t="str">
        <f>role_course_map[[#This Row],[role_id]] &amp; "|" &amp; role_course_map[[#This Row],[course_id]]</f>
        <v>R0074|999092</v>
      </c>
      <c r="L133" t="str">
        <f>IF(COUNTIF(role_course_map[mapping_key],role_course_map[[#This Row],[mapping_key]])&gt;1,"DUPLICATE","OK")</f>
        <v>OK</v>
      </c>
      <c r="M133" t="str">
        <f>IF(COUNTIF(role_data[role_id],role_course_map[[#This Row],[role_id]])=0, "INVALID","VALID")</f>
        <v>VALID</v>
      </c>
      <c r="N133" t="str">
        <f>IF(COUNTIF(course_data[course_id],role_course_map[[#This Row],[course_id]])=0, "INVALID","VALID")</f>
        <v>VALID</v>
      </c>
    </row>
    <row r="134" spans="1:14" x14ac:dyDescent="0.35">
      <c r="A134" t="s">
        <v>138</v>
      </c>
      <c r="B134" s="5" t="str">
        <f>_xlfn.XLOOKUP(role_course_map[[#This Row],[role_id]], role_data[role_id], role_data[Role],"")</f>
        <v>Dispatch Supervisor</v>
      </c>
      <c r="C134">
        <v>999093</v>
      </c>
      <c r="D134" s="5" t="str">
        <f>_xlfn.XLOOKUP(role_course_map[[#This Row],[course_id]],course_data[course_id],course_data[title],"")</f>
        <v>Managing Wellbeing Refresher for Managers</v>
      </c>
      <c r="E134" s="5" t="str">
        <f>_xlfn.XLOOKUP(role_course_map[[#This Row],[course_id]],course_data[course_id],course_data[topic],"")</f>
        <v>SAS: Staff development and experience</v>
      </c>
      <c r="F134" s="5" t="str">
        <f>_xlfn.XLOOKUP(role_course_map[[#This Row],[course_id]],course_data[course_id],course_data[type],"")</f>
        <v>eLearning</v>
      </c>
      <c r="K134" t="str">
        <f>role_course_map[[#This Row],[role_id]] &amp; "|" &amp; role_course_map[[#This Row],[course_id]]</f>
        <v>R0063|999093</v>
      </c>
      <c r="L134" t="str">
        <f>IF(COUNTIF(role_course_map[mapping_key],role_course_map[[#This Row],[mapping_key]])&gt;1,"DUPLICATE","OK")</f>
        <v>OK</v>
      </c>
      <c r="M134" t="str">
        <f>IF(COUNTIF(role_data[role_id],role_course_map[[#This Row],[role_id]])=0, "INVALID","VALID")</f>
        <v>VALID</v>
      </c>
      <c r="N134" t="str">
        <f>IF(COUNTIF(course_data[course_id],role_course_map[[#This Row],[course_id]])=0, "INVALID","VALID")</f>
        <v>VALID</v>
      </c>
    </row>
    <row r="135" spans="1:14" x14ac:dyDescent="0.35">
      <c r="A135" t="s">
        <v>160</v>
      </c>
      <c r="B135" s="5" t="str">
        <f>_xlfn.XLOOKUP(role_course_map[[#This Row],[role_id]], role_data[role_id], role_data[Role],"")</f>
        <v>Performance Supervisor</v>
      </c>
      <c r="C135">
        <v>999094</v>
      </c>
      <c r="D135" s="5" t="str">
        <f>_xlfn.XLOOKUP(role_course_map[[#This Row],[course_id]],course_data[course_id],course_data[title],"")</f>
        <v>Being well, Mind, Body &amp; Workplace</v>
      </c>
      <c r="E135" s="5" t="str">
        <f>_xlfn.XLOOKUP(role_course_map[[#This Row],[course_id]],course_data[course_id],course_data[topic],"")</f>
        <v>SAS: Staff development and experience</v>
      </c>
      <c r="F135" s="5" t="str">
        <f>_xlfn.XLOOKUP(role_course_map[[#This Row],[course_id]],course_data[course_id],course_data[type],"")</f>
        <v>eLearning</v>
      </c>
      <c r="K135" t="str">
        <f>role_course_map[[#This Row],[role_id]] &amp; "|" &amp; role_course_map[[#This Row],[course_id]]</f>
        <v>R0074|999094</v>
      </c>
      <c r="L135" t="str">
        <f>IF(COUNTIF(role_course_map[mapping_key],role_course_map[[#This Row],[mapping_key]])&gt;1,"DUPLICATE","OK")</f>
        <v>OK</v>
      </c>
      <c r="M135" t="str">
        <f>IF(COUNTIF(role_data[role_id],role_course_map[[#This Row],[role_id]])=0, "INVALID","VALID")</f>
        <v>VALID</v>
      </c>
      <c r="N135" t="str">
        <f>IF(COUNTIF(course_data[course_id],role_course_map[[#This Row],[course_id]])=0, "INVALID","VALID")</f>
        <v>VALID</v>
      </c>
    </row>
    <row r="136" spans="1:14" x14ac:dyDescent="0.35">
      <c r="A136" t="s">
        <v>140</v>
      </c>
      <c r="B136" s="5" t="str">
        <f>_xlfn.XLOOKUP(role_course_map[[#This Row],[role_id]], role_data[role_id], role_data[Role],"")</f>
        <v>Dispatcher</v>
      </c>
      <c r="C136">
        <v>999058</v>
      </c>
      <c r="D136" s="5" t="str">
        <f>_xlfn.XLOOKUP(role_course_map[[#This Row],[course_id]],course_data[course_id],course_data[title],"")</f>
        <v>Stress Identification &amp; Stress Management</v>
      </c>
      <c r="E136" s="5" t="str">
        <f>_xlfn.XLOOKUP(role_course_map[[#This Row],[course_id]],course_data[course_id],course_data[topic],"")</f>
        <v>SAS : Health and Safety</v>
      </c>
      <c r="F136" s="5" t="str">
        <f>_xlfn.XLOOKUP(role_course_map[[#This Row],[course_id]],course_data[course_id],course_data[type],"")</f>
        <v>eLearning</v>
      </c>
      <c r="K136" t="str">
        <f>role_course_map[[#This Row],[role_id]] &amp; "|" &amp; role_course_map[[#This Row],[course_id]]</f>
        <v>R0064|999058</v>
      </c>
      <c r="L136" t="str">
        <f>IF(COUNTIF(role_course_map[mapping_key],role_course_map[[#This Row],[mapping_key]])&gt;1,"DUPLICATE","OK")</f>
        <v>OK</v>
      </c>
      <c r="M136" t="str">
        <f>IF(COUNTIF(role_data[role_id],role_course_map[[#This Row],[role_id]])=0, "INVALID","VALID")</f>
        <v>VALID</v>
      </c>
      <c r="N136" t="str">
        <f>IF(COUNTIF(course_data[course_id],role_course_map[[#This Row],[course_id]])=0, "INVALID","VALID")</f>
        <v>VALID</v>
      </c>
    </row>
    <row r="137" spans="1:14" x14ac:dyDescent="0.35">
      <c r="A137" t="s">
        <v>140</v>
      </c>
      <c r="B137" s="5" t="str">
        <f>_xlfn.XLOOKUP(role_course_map[[#This Row],[role_id]], role_data[role_id], role_data[Role],"")</f>
        <v>Dispatcher</v>
      </c>
      <c r="C137">
        <v>79147</v>
      </c>
      <c r="D137" s="5" t="str">
        <f>_xlfn.XLOOKUP(role_course_map[[#This Row],[course_id]],course_data[course_id],course_data[title],"")</f>
        <v>Driving risks at work</v>
      </c>
      <c r="E137" s="5" t="str">
        <f>_xlfn.XLOOKUP(role_course_map[[#This Row],[course_id]],course_data[course_id],course_data[topic],"")</f>
        <v>SAS : Health and Safety</v>
      </c>
      <c r="F137" s="5" t="str">
        <f>_xlfn.XLOOKUP(role_course_map[[#This Row],[course_id]],course_data[course_id],course_data[type],"")</f>
        <v>eLearning</v>
      </c>
      <c r="K137" t="str">
        <f>role_course_map[[#This Row],[role_id]] &amp; "|" &amp; role_course_map[[#This Row],[course_id]]</f>
        <v>R0064|79147</v>
      </c>
      <c r="L137" t="str">
        <f>IF(COUNTIF(role_course_map[mapping_key],role_course_map[[#This Row],[mapping_key]])&gt;1,"DUPLICATE","OK")</f>
        <v>OK</v>
      </c>
      <c r="M137" t="str">
        <f>IF(COUNTIF(role_data[role_id],role_course_map[[#This Row],[role_id]])=0, "INVALID","VALID")</f>
        <v>VALID</v>
      </c>
      <c r="N137" t="str">
        <f>IF(COUNTIF(course_data[course_id],role_course_map[[#This Row],[course_id]])=0, "INVALID","VALID")</f>
        <v>VALID</v>
      </c>
    </row>
    <row r="138" spans="1:14" x14ac:dyDescent="0.35">
      <c r="A138" t="s">
        <v>138</v>
      </c>
      <c r="B138" s="5" t="str">
        <f>_xlfn.XLOOKUP(role_course_map[[#This Row],[role_id]], role_data[role_id], role_data[Role],"")</f>
        <v>Dispatch Supervisor</v>
      </c>
      <c r="C138">
        <v>999057</v>
      </c>
      <c r="D138" s="5" t="str">
        <f>_xlfn.XLOOKUP(role_course_map[[#This Row],[course_id]],course_data[course_id],course_data[title],"")</f>
        <v>Fatigue Awareness</v>
      </c>
      <c r="E138" s="5" t="str">
        <f>_xlfn.XLOOKUP(role_course_map[[#This Row],[course_id]],course_data[course_id],course_data[topic],"")</f>
        <v>SAS : Health and Safety</v>
      </c>
      <c r="F138" s="5" t="str">
        <f>_xlfn.XLOOKUP(role_course_map[[#This Row],[course_id]],course_data[course_id],course_data[type],"")</f>
        <v>eLearning</v>
      </c>
      <c r="K138" t="str">
        <f>role_course_map[[#This Row],[role_id]] &amp; "|" &amp; role_course_map[[#This Row],[course_id]]</f>
        <v>R0063|999057</v>
      </c>
      <c r="L138" t="str">
        <f>IF(COUNTIF(role_course_map[mapping_key],role_course_map[[#This Row],[mapping_key]])&gt;1,"DUPLICATE","OK")</f>
        <v>OK</v>
      </c>
      <c r="M138" t="str">
        <f>IF(COUNTIF(role_data[role_id],role_course_map[[#This Row],[role_id]])=0, "INVALID","VALID")</f>
        <v>VALID</v>
      </c>
      <c r="N138" t="str">
        <f>IF(COUNTIF(course_data[course_id],role_course_map[[#This Row],[course_id]])=0, "INVALID","VALID")</f>
        <v>VALID</v>
      </c>
    </row>
    <row r="139" spans="1:14" x14ac:dyDescent="0.35">
      <c r="A139" t="s">
        <v>140</v>
      </c>
      <c r="B139" s="5" t="str">
        <f>_xlfn.XLOOKUP(role_course_map[[#This Row],[role_id]], role_data[role_id], role_data[Role],"")</f>
        <v>Dispatcher</v>
      </c>
      <c r="C139">
        <v>64322</v>
      </c>
      <c r="D139" s="5" t="str">
        <f>_xlfn.XLOOKUP(role_course_map[[#This Row],[course_id]],course_data[course_id],course_data[title],"")</f>
        <v>Adult support and protection: practice level 2 [skilled]</v>
      </c>
      <c r="E139" s="5" t="str">
        <f>_xlfn.XLOOKUP(role_course_map[[#This Row],[course_id]],course_data[course_id],course_data[topic],"")</f>
        <v>SAS : Public Protection</v>
      </c>
      <c r="F139" s="5" t="str">
        <f>_xlfn.XLOOKUP(role_course_map[[#This Row],[course_id]],course_data[course_id],course_data[type],"")</f>
        <v>eLearning</v>
      </c>
      <c r="K139" t="str">
        <f>role_course_map[[#This Row],[role_id]] &amp; "|" &amp; role_course_map[[#This Row],[course_id]]</f>
        <v>R0064|64322</v>
      </c>
      <c r="L139" t="str">
        <f>IF(COUNTIF(role_course_map[mapping_key],role_course_map[[#This Row],[mapping_key]])&gt;1,"DUPLICATE","OK")</f>
        <v>OK</v>
      </c>
      <c r="M139" t="str">
        <f>IF(COUNTIF(role_data[role_id],role_course_map[[#This Row],[role_id]])=0, "INVALID","VALID")</f>
        <v>VALID</v>
      </c>
      <c r="N139" t="str">
        <f>IF(COUNTIF(course_data[course_id],role_course_map[[#This Row],[course_id]])=0, "INVALID","VALID")</f>
        <v>VALID</v>
      </c>
    </row>
    <row r="140" spans="1:14" x14ac:dyDescent="0.35">
      <c r="A140" t="s">
        <v>140</v>
      </c>
      <c r="B140" s="5" t="str">
        <f>_xlfn.XLOOKUP(role_course_map[[#This Row],[role_id]], role_data[role_id], role_data[Role],"")</f>
        <v>Dispatcher</v>
      </c>
      <c r="C140">
        <v>64324</v>
      </c>
      <c r="D140" s="5" t="str">
        <f>_xlfn.XLOOKUP(role_course_map[[#This Row],[course_id]],course_data[course_id],course_data[title],"")</f>
        <v>Child protection: practice level 2 [skilled]</v>
      </c>
      <c r="E140" s="5" t="str">
        <f>_xlfn.XLOOKUP(role_course_map[[#This Row],[course_id]],course_data[course_id],course_data[topic],"")</f>
        <v>SAS : Public Protection</v>
      </c>
      <c r="F140" s="5" t="str">
        <f>_xlfn.XLOOKUP(role_course_map[[#This Row],[course_id]],course_data[course_id],course_data[type],"")</f>
        <v>eLearning</v>
      </c>
      <c r="K140" t="str">
        <f>role_course_map[[#This Row],[role_id]] &amp; "|" &amp; role_course_map[[#This Row],[course_id]]</f>
        <v>R0064|64324</v>
      </c>
      <c r="L140" t="str">
        <f>IF(COUNTIF(role_course_map[mapping_key],role_course_map[[#This Row],[mapping_key]])&gt;1,"DUPLICATE","OK")</f>
        <v>OK</v>
      </c>
      <c r="M140" t="str">
        <f>IF(COUNTIF(role_data[role_id],role_course_map[[#This Row],[role_id]])=0, "INVALID","VALID")</f>
        <v>VALID</v>
      </c>
      <c r="N140" t="str">
        <f>IF(COUNTIF(course_data[course_id],role_course_map[[#This Row],[course_id]])=0, "INVALID","VALID")</f>
        <v>VALID</v>
      </c>
    </row>
    <row r="141" spans="1:14" x14ac:dyDescent="0.35">
      <c r="A141" t="s">
        <v>138</v>
      </c>
      <c r="B141" s="5" t="str">
        <f>_xlfn.XLOOKUP(role_course_map[[#This Row],[role_id]], role_data[role_id], role_data[Role],"")</f>
        <v>Dispatch Supervisor</v>
      </c>
      <c r="C141">
        <v>76716</v>
      </c>
      <c r="D141" s="5" t="str">
        <f>_xlfn.XLOOKUP(role_course_map[[#This Row],[course_id]],course_data[course_id],course_data[title],"")</f>
        <v>Domestic abuse awareness training tool (DAART)</v>
      </c>
      <c r="E141" s="5" t="str">
        <f>_xlfn.XLOOKUP(role_course_map[[#This Row],[course_id]],course_data[course_id],course_data[topic],"")</f>
        <v>SAS : Public Protection</v>
      </c>
      <c r="F141" s="5" t="str">
        <f>_xlfn.XLOOKUP(role_course_map[[#This Row],[course_id]],course_data[course_id],course_data[type],"")</f>
        <v>eLearning</v>
      </c>
      <c r="K141" t="str">
        <f>role_course_map[[#This Row],[role_id]] &amp; "|" &amp; role_course_map[[#This Row],[course_id]]</f>
        <v>R0063|76716</v>
      </c>
      <c r="L141" t="str">
        <f>IF(COUNTIF(role_course_map[mapping_key],role_course_map[[#This Row],[mapping_key]])&gt;1,"DUPLICATE","OK")</f>
        <v>OK</v>
      </c>
      <c r="M141" t="str">
        <f>IF(COUNTIF(role_data[role_id],role_course_map[[#This Row],[role_id]])=0, "INVALID","VALID")</f>
        <v>VALID</v>
      </c>
      <c r="N141" t="str">
        <f>IF(COUNTIF(course_data[course_id],role_course_map[[#This Row],[course_id]])=0, "INVALID","VALID")</f>
        <v>VALID</v>
      </c>
    </row>
    <row r="142" spans="1:14" x14ac:dyDescent="0.35">
      <c r="A142" t="s">
        <v>140</v>
      </c>
      <c r="B142" s="5" t="str">
        <f>_xlfn.XLOOKUP(role_course_map[[#This Row],[role_id]], role_data[role_id], role_data[Role],"")</f>
        <v>Dispatcher</v>
      </c>
      <c r="C142">
        <v>79666</v>
      </c>
      <c r="D142" s="5" t="str">
        <f>_xlfn.XLOOKUP(role_course_map[[#This Row],[course_id]],course_data[course_id],course_data[title],"")</f>
        <v>Getting it right for every child (GIRFEC): informed level</v>
      </c>
      <c r="E142" s="5" t="str">
        <f>_xlfn.XLOOKUP(role_course_map[[#This Row],[course_id]],course_data[course_id],course_data[topic],"")</f>
        <v>SAS : Public Protection</v>
      </c>
      <c r="F142" s="5" t="str">
        <f>_xlfn.XLOOKUP(role_course_map[[#This Row],[course_id]],course_data[course_id],course_data[type],"")</f>
        <v>eLearning</v>
      </c>
      <c r="K142" t="str">
        <f>role_course_map[[#This Row],[role_id]] &amp; "|" &amp; role_course_map[[#This Row],[course_id]]</f>
        <v>R0064|79666</v>
      </c>
      <c r="L142" t="str">
        <f>IF(COUNTIF(role_course_map[mapping_key],role_course_map[[#This Row],[mapping_key]])&gt;1,"DUPLICATE","OK")</f>
        <v>OK</v>
      </c>
      <c r="M142" t="str">
        <f>IF(COUNTIF(role_data[role_id],role_course_map[[#This Row],[role_id]])=0, "INVALID","VALID")</f>
        <v>VALID</v>
      </c>
      <c r="N142" t="str">
        <f>IF(COUNTIF(course_data[course_id],role_course_map[[#This Row],[course_id]])=0, "INVALID","VALID")</f>
        <v>VALID</v>
      </c>
    </row>
    <row r="143" spans="1:14" x14ac:dyDescent="0.35">
      <c r="A143" t="s">
        <v>140</v>
      </c>
      <c r="B143" s="5" t="str">
        <f>_xlfn.XLOOKUP(role_course_map[[#This Row],[role_id]], role_data[role_id], role_data[Role],"")</f>
        <v>Dispatcher</v>
      </c>
      <c r="C143">
        <v>999074</v>
      </c>
      <c r="D143" s="5" t="str">
        <f>_xlfn.XLOOKUP(role_course_map[[#This Row],[course_id]],course_data[course_id],course_data[title],"")</f>
        <v>SAS-specific Children’s rights</v>
      </c>
      <c r="E143" s="5" t="str">
        <f>_xlfn.XLOOKUP(role_course_map[[#This Row],[course_id]],course_data[course_id],course_data[topic],"")</f>
        <v>SAS : Public Protection</v>
      </c>
      <c r="F143" s="5" t="str">
        <f>_xlfn.XLOOKUP(role_course_map[[#This Row],[course_id]],course_data[course_id],course_data[type],"")</f>
        <v>eLearning</v>
      </c>
      <c r="K143" t="str">
        <f>role_course_map[[#This Row],[role_id]] &amp; "|" &amp; role_course_map[[#This Row],[course_id]]</f>
        <v>R0064|999074</v>
      </c>
      <c r="L143" t="str">
        <f>IF(COUNTIF(role_course_map[mapping_key],role_course_map[[#This Row],[mapping_key]])&gt;1,"DUPLICATE","OK")</f>
        <v>OK</v>
      </c>
      <c r="M143" t="str">
        <f>IF(COUNTIF(role_data[role_id],role_course_map[[#This Row],[role_id]])=0, "INVALID","VALID")</f>
        <v>VALID</v>
      </c>
      <c r="N143" t="str">
        <f>IF(COUNTIF(course_data[course_id],role_course_map[[#This Row],[course_id]])=0, "INVALID","VALID")</f>
        <v>VALID</v>
      </c>
    </row>
    <row r="144" spans="1:14" x14ac:dyDescent="0.35">
      <c r="A144" t="s">
        <v>140</v>
      </c>
      <c r="B144" s="5" t="str">
        <f>_xlfn.XLOOKUP(role_course_map[[#This Row],[role_id]], role_data[role_id], role_data[Role],"")</f>
        <v>Dispatcher</v>
      </c>
      <c r="C144">
        <v>999075</v>
      </c>
      <c r="D144" s="5" t="str">
        <f>_xlfn.XLOOKUP(role_course_map[[#This Row],[course_id]],course_data[course_id],course_data[title],"")</f>
        <v>Multiagency local or bespoke Level 3 delivery training</v>
      </c>
      <c r="E144" s="5" t="str">
        <f>_xlfn.XLOOKUP(role_course_map[[#This Row],[course_id]],course_data[course_id],course_data[topic],"")</f>
        <v>SAS : Public Protection</v>
      </c>
      <c r="F144" s="5" t="str">
        <f>_xlfn.XLOOKUP(role_course_map[[#This Row],[course_id]],course_data[course_id],course_data[type],"")</f>
        <v>eLearning</v>
      </c>
      <c r="K144" t="str">
        <f>role_course_map[[#This Row],[role_id]] &amp; "|" &amp; role_course_map[[#This Row],[course_id]]</f>
        <v>R0064|999075</v>
      </c>
      <c r="L144" t="str">
        <f>IF(COUNTIF(role_course_map[mapping_key],role_course_map[[#This Row],[mapping_key]])&gt;1,"DUPLICATE","OK")</f>
        <v>OK</v>
      </c>
      <c r="M144" t="str">
        <f>IF(COUNTIF(role_data[role_id],role_course_map[[#This Row],[role_id]])=0, "INVALID","VALID")</f>
        <v>VALID</v>
      </c>
      <c r="N144" t="str">
        <f>IF(COUNTIF(course_data[course_id],role_course_map[[#This Row],[course_id]])=0, "INVALID","VALID")</f>
        <v>VALID</v>
      </c>
    </row>
    <row r="145" spans="1:14" x14ac:dyDescent="0.35">
      <c r="A145" t="s">
        <v>140</v>
      </c>
      <c r="B145" s="5" t="str">
        <f>_xlfn.XLOOKUP(role_course_map[[#This Row],[role_id]], role_data[role_id], role_data[Role],"")</f>
        <v>Dispatcher</v>
      </c>
      <c r="C145">
        <v>15249</v>
      </c>
      <c r="D145" s="5" t="str">
        <f>_xlfn.XLOOKUP(role_course_map[[#This Row],[course_id]],course_data[course_id],course_data[title],"")</f>
        <v>Human trafficking</v>
      </c>
      <c r="E145" s="5" t="str">
        <f>_xlfn.XLOOKUP(role_course_map[[#This Row],[course_id]],course_data[course_id],course_data[topic],"")</f>
        <v>SAS : Public Protection</v>
      </c>
      <c r="F145" s="5" t="str">
        <f>_xlfn.XLOOKUP(role_course_map[[#This Row],[course_id]],course_data[course_id],course_data[type],"")</f>
        <v>eLearning</v>
      </c>
      <c r="K145" t="str">
        <f>role_course_map[[#This Row],[role_id]] &amp; "|" &amp; role_course_map[[#This Row],[course_id]]</f>
        <v>R0064|15249</v>
      </c>
      <c r="L145" t="str">
        <f>IF(COUNTIF(role_course_map[mapping_key],role_course_map[[#This Row],[mapping_key]])&gt;1,"DUPLICATE","OK")</f>
        <v>OK</v>
      </c>
      <c r="M145" t="str">
        <f>IF(COUNTIF(role_data[role_id],role_course_map[[#This Row],[role_id]])=0, "INVALID","VALID")</f>
        <v>VALID</v>
      </c>
      <c r="N145" t="str">
        <f>IF(COUNTIF(course_data[course_id],role_course_map[[#This Row],[course_id]])=0, "INVALID","VALID")</f>
        <v>VALID</v>
      </c>
    </row>
    <row r="146" spans="1:14" x14ac:dyDescent="0.35">
      <c r="A146" t="s">
        <v>138</v>
      </c>
      <c r="B146" s="5" t="str">
        <f>_xlfn.XLOOKUP(role_course_map[[#This Row],[role_id]], role_data[role_id], role_data[Role],"")</f>
        <v>Dispatch Supervisor</v>
      </c>
      <c r="C146">
        <v>999094</v>
      </c>
      <c r="D146" s="5" t="str">
        <f>_xlfn.XLOOKUP(role_course_map[[#This Row],[course_id]],course_data[course_id],course_data[title],"")</f>
        <v>Being well, Mind, Body &amp; Workplace</v>
      </c>
      <c r="E146" s="5" t="str">
        <f>_xlfn.XLOOKUP(role_course_map[[#This Row],[course_id]],course_data[course_id],course_data[topic],"")</f>
        <v>SAS: Staff development and experience</v>
      </c>
      <c r="F146" s="5" t="str">
        <f>_xlfn.XLOOKUP(role_course_map[[#This Row],[course_id]],course_data[course_id],course_data[type],"")</f>
        <v>eLearning</v>
      </c>
      <c r="K146" t="str">
        <f>role_course_map[[#This Row],[role_id]] &amp; "|" &amp; role_course_map[[#This Row],[course_id]]</f>
        <v>R0063|999094</v>
      </c>
      <c r="L146" t="str">
        <f>IF(COUNTIF(role_course_map[mapping_key],role_course_map[[#This Row],[mapping_key]])&gt;1,"DUPLICATE","OK")</f>
        <v>OK</v>
      </c>
      <c r="M146" t="str">
        <f>IF(COUNTIF(role_data[role_id],role_course_map[[#This Row],[role_id]])=0, "INVALID","VALID")</f>
        <v>VALID</v>
      </c>
      <c r="N146" t="str">
        <f>IF(COUNTIF(course_data[course_id],role_course_map[[#This Row],[course_id]])=0, "INVALID","VALID")</f>
        <v>VALID</v>
      </c>
    </row>
    <row r="147" spans="1:14" x14ac:dyDescent="0.35">
      <c r="A147" t="s">
        <v>142</v>
      </c>
      <c r="B147" s="5" t="str">
        <f>_xlfn.XLOOKUP(role_course_map[[#This Row],[role_id]], role_data[role_id], role_data[Role],"")</f>
        <v>Dual Supervisor</v>
      </c>
      <c r="C147">
        <v>89569</v>
      </c>
      <c r="D147" s="5" t="str">
        <f>_xlfn.XLOOKUP(role_course_map[[#This Row],[course_id]],course_data[course_id],course_data[title],"")</f>
        <v>LifeX for Supervisors</v>
      </c>
      <c r="E147" s="5" t="str">
        <f>_xlfn.XLOOKUP(role_course_map[[#This Row],[course_id]],course_data[course_id],course_data[topic],"")</f>
        <v>SAS: Systems Training</v>
      </c>
      <c r="F147" s="5" t="str">
        <f>_xlfn.XLOOKUP(role_course_map[[#This Row],[course_id]],course_data[course_id],course_data[type],"")</f>
        <v>Course</v>
      </c>
      <c r="K147" t="str">
        <f>role_course_map[[#This Row],[role_id]] &amp; "|" &amp; role_course_map[[#This Row],[course_id]]</f>
        <v>R0065|89569</v>
      </c>
      <c r="L147" t="str">
        <f>IF(COUNTIF(role_course_map[mapping_key],role_course_map[[#This Row],[mapping_key]])&gt;1,"DUPLICATE","OK")</f>
        <v>OK</v>
      </c>
      <c r="M147" t="str">
        <f>IF(COUNTIF(role_data[role_id],role_course_map[[#This Row],[role_id]])=0, "INVALID","VALID")</f>
        <v>VALID</v>
      </c>
      <c r="N147" t="str">
        <f>IF(COUNTIF(course_data[course_id],role_course_map[[#This Row],[course_id]])=0, "INVALID","VALID")</f>
        <v>VALID</v>
      </c>
    </row>
    <row r="148" spans="1:14" x14ac:dyDescent="0.35">
      <c r="A148" t="s">
        <v>158</v>
      </c>
      <c r="B148" s="5" t="str">
        <f>_xlfn.XLOOKUP(role_course_map[[#This Row],[role_id]], role_data[role_id], role_data[Role],"")</f>
        <v>National Dispatch Manager</v>
      </c>
      <c r="C148">
        <v>78368</v>
      </c>
      <c r="D148" s="5" t="str">
        <f>_xlfn.XLOOKUP(role_course_map[[#This Row],[course_id]],course_data[course_id],course_data[title],"")</f>
        <v>C3 Dispatch</v>
      </c>
      <c r="E148" s="5" t="str">
        <f>_xlfn.XLOOKUP(role_course_map[[#This Row],[course_id]],course_data[course_id],course_data[topic],"")</f>
        <v>SAS: Systems Training</v>
      </c>
      <c r="F148" s="5" t="str">
        <f>_xlfn.XLOOKUP(role_course_map[[#This Row],[course_id]],course_data[course_id],course_data[type],"")</f>
        <v>Course</v>
      </c>
      <c r="K148" t="str">
        <f>role_course_map[[#This Row],[role_id]] &amp; "|" &amp; role_course_map[[#This Row],[course_id]]</f>
        <v>R0073|78368</v>
      </c>
      <c r="L148" t="str">
        <f>IF(COUNTIF(role_course_map[mapping_key],role_course_map[[#This Row],[mapping_key]])&gt;1,"DUPLICATE","OK")</f>
        <v>OK</v>
      </c>
      <c r="M148" t="str">
        <f>IF(COUNTIF(role_data[role_id],role_course_map[[#This Row],[role_id]])=0, "INVALID","VALID")</f>
        <v>VALID</v>
      </c>
      <c r="N148" t="str">
        <f>IF(COUNTIF(course_data[course_id],role_course_map[[#This Row],[course_id]])=0, "INVALID","VALID")</f>
        <v>VALID</v>
      </c>
    </row>
    <row r="149" spans="1:14" x14ac:dyDescent="0.35">
      <c r="A149" t="s">
        <v>138</v>
      </c>
      <c r="B149" s="5" t="str">
        <f>_xlfn.XLOOKUP(role_course_map[[#This Row],[role_id]], role_data[role_id], role_data[Role],"")</f>
        <v>Dispatch Supervisor</v>
      </c>
      <c r="C149">
        <v>78368</v>
      </c>
      <c r="D149" s="5" t="str">
        <f>_xlfn.XLOOKUP(role_course_map[[#This Row],[course_id]],course_data[course_id],course_data[title],"")</f>
        <v>C3 Dispatch</v>
      </c>
      <c r="E149" s="5" t="str">
        <f>_xlfn.XLOOKUP(role_course_map[[#This Row],[course_id]],course_data[course_id],course_data[topic],"")</f>
        <v>SAS: Systems Training</v>
      </c>
      <c r="F149" s="5" t="str">
        <f>_xlfn.XLOOKUP(role_course_map[[#This Row],[course_id]],course_data[course_id],course_data[type],"")</f>
        <v>Course</v>
      </c>
      <c r="K149" t="str">
        <f>role_course_map[[#This Row],[role_id]] &amp; "|" &amp; role_course_map[[#This Row],[course_id]]</f>
        <v>R0063|78368</v>
      </c>
      <c r="L149" t="str">
        <f>IF(COUNTIF(role_course_map[mapping_key],role_course_map[[#This Row],[mapping_key]])&gt;1,"DUPLICATE","OK")</f>
        <v>OK</v>
      </c>
      <c r="M149" t="str">
        <f>IF(COUNTIF(role_data[role_id],role_course_map[[#This Row],[role_id]])=0, "INVALID","VALID")</f>
        <v>VALID</v>
      </c>
      <c r="N149" t="str">
        <f>IF(COUNTIF(course_data[course_id],role_course_map[[#This Row],[course_id]])=0, "INVALID","VALID")</f>
        <v>VALID</v>
      </c>
    </row>
    <row r="150" spans="1:14" x14ac:dyDescent="0.35">
      <c r="A150" t="s">
        <v>140</v>
      </c>
      <c r="B150" s="5" t="str">
        <f>_xlfn.XLOOKUP(role_course_map[[#This Row],[role_id]], role_data[role_id], role_data[Role],"")</f>
        <v>Dispatcher</v>
      </c>
      <c r="C150">
        <v>78368</v>
      </c>
      <c r="D150" s="5" t="str">
        <f>_xlfn.XLOOKUP(role_course_map[[#This Row],[course_id]],course_data[course_id],course_data[title],"")</f>
        <v>C3 Dispatch</v>
      </c>
      <c r="E150" s="5" t="str">
        <f>_xlfn.XLOOKUP(role_course_map[[#This Row],[course_id]],course_data[course_id],course_data[topic],"")</f>
        <v>SAS: Systems Training</v>
      </c>
      <c r="F150" s="5" t="str">
        <f>_xlfn.XLOOKUP(role_course_map[[#This Row],[course_id]],course_data[course_id],course_data[type],"")</f>
        <v>Course</v>
      </c>
      <c r="K150" t="str">
        <f>role_course_map[[#This Row],[role_id]] &amp; "|" &amp; role_course_map[[#This Row],[course_id]]</f>
        <v>R0064|78368</v>
      </c>
      <c r="L150" t="str">
        <f>IF(COUNTIF(role_course_map[mapping_key],role_course_map[[#This Row],[mapping_key]])&gt;1,"DUPLICATE","OK")</f>
        <v>OK</v>
      </c>
      <c r="M150" t="str">
        <f>IF(COUNTIF(role_data[role_id],role_course_map[[#This Row],[role_id]])=0, "INVALID","VALID")</f>
        <v>VALID</v>
      </c>
      <c r="N150" t="str">
        <f>IF(COUNTIF(course_data[course_id],role_course_map[[#This Row],[course_id]])=0, "INVALID","VALID")</f>
        <v>VALID</v>
      </c>
    </row>
    <row r="151" spans="1:14" x14ac:dyDescent="0.35">
      <c r="A151" t="s">
        <v>142</v>
      </c>
      <c r="B151" s="5" t="str">
        <f>_xlfn.XLOOKUP(role_course_map[[#This Row],[role_id]], role_data[role_id], role_data[Role],"")</f>
        <v>Dual Supervisor</v>
      </c>
      <c r="C151">
        <v>78368</v>
      </c>
      <c r="D151" s="5" t="str">
        <f>_xlfn.XLOOKUP(role_course_map[[#This Row],[course_id]],course_data[course_id],course_data[title],"")</f>
        <v>C3 Dispatch</v>
      </c>
      <c r="E151" s="5" t="str">
        <f>_xlfn.XLOOKUP(role_course_map[[#This Row],[course_id]],course_data[course_id],course_data[topic],"")</f>
        <v>SAS: Systems Training</v>
      </c>
      <c r="F151" s="5" t="str">
        <f>_xlfn.XLOOKUP(role_course_map[[#This Row],[course_id]],course_data[course_id],course_data[type],"")</f>
        <v>Course</v>
      </c>
      <c r="K151" t="str">
        <f>role_course_map[[#This Row],[role_id]] &amp; "|" &amp; role_course_map[[#This Row],[course_id]]</f>
        <v>R0065|78368</v>
      </c>
      <c r="L151" t="str">
        <f>IF(COUNTIF(role_course_map[mapping_key],role_course_map[[#This Row],[mapping_key]])&gt;1,"DUPLICATE","OK")</f>
        <v>OK</v>
      </c>
      <c r="M151" t="str">
        <f>IF(COUNTIF(role_data[role_id],role_course_map[[#This Row],[role_id]])=0, "INVALID","VALID")</f>
        <v>VALID</v>
      </c>
      <c r="N151" t="str">
        <f>IF(COUNTIF(course_data[course_id],role_course_map[[#This Row],[course_id]])=0, "INVALID","VALID")</f>
        <v>VALID</v>
      </c>
    </row>
    <row r="152" spans="1:14" x14ac:dyDescent="0.35">
      <c r="A152" t="s">
        <v>142</v>
      </c>
      <c r="B152" s="5" t="str">
        <f>_xlfn.XLOOKUP(role_course_map[[#This Row],[role_id]], role_data[role_id], role_data[Role],"")</f>
        <v>Dual Supervisor</v>
      </c>
      <c r="C152">
        <v>999001</v>
      </c>
      <c r="D152" s="5" t="str">
        <f>_xlfn.XLOOKUP(role_course_map[[#This Row],[course_id]],course_data[course_id],course_data[title],"")</f>
        <v>IAED - EMD</v>
      </c>
      <c r="E152" s="5" t="str">
        <f>_xlfn.XLOOKUP(role_course_map[[#This Row],[course_id]],course_data[course_id],course_data[topic],"")</f>
        <v>SAS : Ambulance Control Centre (ACC)</v>
      </c>
      <c r="F152" s="5" t="str">
        <f>_xlfn.XLOOKUP(role_course_map[[#This Row],[course_id]],course_data[course_id],course_data[type],"")</f>
        <v>Course</v>
      </c>
      <c r="K152" t="str">
        <f>role_course_map[[#This Row],[role_id]] &amp; "|" &amp; role_course_map[[#This Row],[course_id]]</f>
        <v>R0065|999001</v>
      </c>
      <c r="L152" t="str">
        <f>IF(COUNTIF(role_course_map[mapping_key],role_course_map[[#This Row],[mapping_key]])&gt;1,"DUPLICATE","OK")</f>
        <v>OK</v>
      </c>
      <c r="M152" t="str">
        <f>IF(COUNTIF(role_data[role_id],role_course_map[[#This Row],[role_id]])=0, "INVALID","VALID")</f>
        <v>VALID</v>
      </c>
      <c r="N152" t="str">
        <f>IF(COUNTIF(course_data[course_id],role_course_map[[#This Row],[course_id]])=0, "INVALID","VALID")</f>
        <v>VALID</v>
      </c>
    </row>
    <row r="153" spans="1:14" x14ac:dyDescent="0.35">
      <c r="A153" t="s">
        <v>142</v>
      </c>
      <c r="B153" s="5" t="str">
        <f>_xlfn.XLOOKUP(role_course_map[[#This Row],[role_id]], role_data[role_id], role_data[Role],"")</f>
        <v>Dual Supervisor</v>
      </c>
      <c r="C153">
        <v>999004</v>
      </c>
      <c r="D153" s="5" t="str">
        <f>_xlfn.XLOOKUP(role_course_map[[#This Row],[course_id]],course_data[course_id],course_data[title],"")</f>
        <v>IAED - QA</v>
      </c>
      <c r="E153" s="5" t="str">
        <f>_xlfn.XLOOKUP(role_course_map[[#This Row],[course_id]],course_data[course_id],course_data[topic],"")</f>
        <v>SAS : Ambulance Control Centre (ACC)</v>
      </c>
      <c r="F153" s="5" t="str">
        <f>_xlfn.XLOOKUP(role_course_map[[#This Row],[course_id]],course_data[course_id],course_data[type],"")</f>
        <v>Course</v>
      </c>
      <c r="K153" t="str">
        <f>role_course_map[[#This Row],[role_id]] &amp; "|" &amp; role_course_map[[#This Row],[course_id]]</f>
        <v>R0065|999004</v>
      </c>
      <c r="L153" t="str">
        <f>IF(COUNTIF(role_course_map[mapping_key],role_course_map[[#This Row],[mapping_key]])&gt;1,"DUPLICATE","OK")</f>
        <v>OK</v>
      </c>
      <c r="M153" t="str">
        <f>IF(COUNTIF(role_data[role_id],role_course_map[[#This Row],[role_id]])=0, "INVALID","VALID")</f>
        <v>VALID</v>
      </c>
      <c r="N153" t="str">
        <f>IF(COUNTIF(course_data[course_id],role_course_map[[#This Row],[course_id]])=0, "INVALID","VALID")</f>
        <v>VALID</v>
      </c>
    </row>
    <row r="154" spans="1:14" x14ac:dyDescent="0.35">
      <c r="A154" t="s">
        <v>142</v>
      </c>
      <c r="B154" s="5" t="str">
        <f>_xlfn.XLOOKUP(role_course_map[[#This Row],[role_id]], role_data[role_id], role_data[Role],"")</f>
        <v>Dual Supervisor</v>
      </c>
      <c r="C154">
        <v>999005</v>
      </c>
      <c r="D154" s="5" t="str">
        <f>_xlfn.XLOOKUP(role_course_map[[#This Row],[course_id]],course_data[course_id],course_data[title],"")</f>
        <v>IAED - Mentor</v>
      </c>
      <c r="E154" s="5" t="str">
        <f>_xlfn.XLOOKUP(role_course_map[[#This Row],[course_id]],course_data[course_id],course_data[topic],"")</f>
        <v>SAS : Ambulance Control Centre (ACC)</v>
      </c>
      <c r="F154" s="5" t="str">
        <f>_xlfn.XLOOKUP(role_course_map[[#This Row],[course_id]],course_data[course_id],course_data[type],"")</f>
        <v>Course</v>
      </c>
      <c r="K154" t="str">
        <f>role_course_map[[#This Row],[role_id]] &amp; "|" &amp; role_course_map[[#This Row],[course_id]]</f>
        <v>R0065|999005</v>
      </c>
      <c r="L154" t="str">
        <f>IF(COUNTIF(role_course_map[mapping_key],role_course_map[[#This Row],[mapping_key]])&gt;1,"DUPLICATE","OK")</f>
        <v>OK</v>
      </c>
      <c r="M154" t="str">
        <f>IF(COUNTIF(role_data[role_id],role_course_map[[#This Row],[role_id]])=0, "INVALID","VALID")</f>
        <v>VALID</v>
      </c>
      <c r="N154" t="str">
        <f>IF(COUNTIF(course_data[course_id],role_course_map[[#This Row],[course_id]])=0, "INVALID","VALID")</f>
        <v>VALID</v>
      </c>
    </row>
    <row r="155" spans="1:14" x14ac:dyDescent="0.35">
      <c r="A155" t="s">
        <v>142</v>
      </c>
      <c r="B155" s="5" t="str">
        <f>_xlfn.XLOOKUP(role_course_map[[#This Row],[role_id]], role_data[role_id], role_data[Role],"")</f>
        <v>Dual Supervisor</v>
      </c>
      <c r="C155">
        <v>999058</v>
      </c>
      <c r="D155" s="5" t="str">
        <f>_xlfn.XLOOKUP(role_course_map[[#This Row],[course_id]],course_data[course_id],course_data[title],"")</f>
        <v>Stress Identification &amp; Stress Management</v>
      </c>
      <c r="E155" s="5" t="str">
        <f>_xlfn.XLOOKUP(role_course_map[[#This Row],[course_id]],course_data[course_id],course_data[topic],"")</f>
        <v>SAS : Health and Safety</v>
      </c>
      <c r="F155" s="5" t="str">
        <f>_xlfn.XLOOKUP(role_course_map[[#This Row],[course_id]],course_data[course_id],course_data[type],"")</f>
        <v>eLearning</v>
      </c>
      <c r="K155" t="str">
        <f>role_course_map[[#This Row],[role_id]] &amp; "|" &amp; role_course_map[[#This Row],[course_id]]</f>
        <v>R0065|999058</v>
      </c>
      <c r="L155" t="str">
        <f>IF(COUNTIF(role_course_map[mapping_key],role_course_map[[#This Row],[mapping_key]])&gt;1,"DUPLICATE","OK")</f>
        <v>OK</v>
      </c>
      <c r="M155" t="str">
        <f>IF(COUNTIF(role_data[role_id],role_course_map[[#This Row],[role_id]])=0, "INVALID","VALID")</f>
        <v>VALID</v>
      </c>
      <c r="N155" t="str">
        <f>IF(COUNTIF(course_data[course_id],role_course_map[[#This Row],[course_id]])=0, "INVALID","VALID")</f>
        <v>VALID</v>
      </c>
    </row>
    <row r="156" spans="1:14" x14ac:dyDescent="0.35">
      <c r="A156" t="s">
        <v>142</v>
      </c>
      <c r="B156" s="5" t="str">
        <f>_xlfn.XLOOKUP(role_course_map[[#This Row],[role_id]], role_data[role_id], role_data[Role],"")</f>
        <v>Dual Supervisor</v>
      </c>
      <c r="C156">
        <v>79147</v>
      </c>
      <c r="D156" s="5" t="str">
        <f>_xlfn.XLOOKUP(role_course_map[[#This Row],[course_id]],course_data[course_id],course_data[title],"")</f>
        <v>Driving risks at work</v>
      </c>
      <c r="E156" s="5" t="str">
        <f>_xlfn.XLOOKUP(role_course_map[[#This Row],[course_id]],course_data[course_id],course_data[topic],"")</f>
        <v>SAS : Health and Safety</v>
      </c>
      <c r="F156" s="5" t="str">
        <f>_xlfn.XLOOKUP(role_course_map[[#This Row],[course_id]],course_data[course_id],course_data[type],"")</f>
        <v>eLearning</v>
      </c>
      <c r="K156" t="str">
        <f>role_course_map[[#This Row],[role_id]] &amp; "|" &amp; role_course_map[[#This Row],[course_id]]</f>
        <v>R0065|79147</v>
      </c>
      <c r="L156" t="str">
        <f>IF(COUNTIF(role_course_map[mapping_key],role_course_map[[#This Row],[mapping_key]])&gt;1,"DUPLICATE","OK")</f>
        <v>OK</v>
      </c>
      <c r="M156" t="str">
        <f>IF(COUNTIF(role_data[role_id],role_course_map[[#This Row],[role_id]])=0, "INVALID","VALID")</f>
        <v>VALID</v>
      </c>
      <c r="N156" t="str">
        <f>IF(COUNTIF(course_data[course_id],role_course_map[[#This Row],[course_id]])=0, "INVALID","VALID")</f>
        <v>VALID</v>
      </c>
    </row>
    <row r="157" spans="1:14" x14ac:dyDescent="0.35">
      <c r="A157" t="s">
        <v>140</v>
      </c>
      <c r="B157" s="5" t="str">
        <f>_xlfn.XLOOKUP(role_course_map[[#This Row],[role_id]], role_data[role_id], role_data[Role],"")</f>
        <v>Dispatcher</v>
      </c>
      <c r="C157">
        <v>999057</v>
      </c>
      <c r="D157" s="5" t="str">
        <f>_xlfn.XLOOKUP(role_course_map[[#This Row],[course_id]],course_data[course_id],course_data[title],"")</f>
        <v>Fatigue Awareness</v>
      </c>
      <c r="E157" s="5" t="str">
        <f>_xlfn.XLOOKUP(role_course_map[[#This Row],[course_id]],course_data[course_id],course_data[topic],"")</f>
        <v>SAS : Health and Safety</v>
      </c>
      <c r="F157" s="5" t="str">
        <f>_xlfn.XLOOKUP(role_course_map[[#This Row],[course_id]],course_data[course_id],course_data[type],"")</f>
        <v>eLearning</v>
      </c>
      <c r="K157" t="str">
        <f>role_course_map[[#This Row],[role_id]] &amp; "|" &amp; role_course_map[[#This Row],[course_id]]</f>
        <v>R0064|999057</v>
      </c>
      <c r="L157" t="str">
        <f>IF(COUNTIF(role_course_map[mapping_key],role_course_map[[#This Row],[mapping_key]])&gt;1,"DUPLICATE","OK")</f>
        <v>OK</v>
      </c>
      <c r="M157" t="str">
        <f>IF(COUNTIF(role_data[role_id],role_course_map[[#This Row],[role_id]])=0, "INVALID","VALID")</f>
        <v>VALID</v>
      </c>
      <c r="N157" t="str">
        <f>IF(COUNTIF(course_data[course_id],role_course_map[[#This Row],[course_id]])=0, "INVALID","VALID")</f>
        <v>VALID</v>
      </c>
    </row>
    <row r="158" spans="1:14" x14ac:dyDescent="0.35">
      <c r="A158" t="s">
        <v>142</v>
      </c>
      <c r="B158" s="5" t="str">
        <f>_xlfn.XLOOKUP(role_course_map[[#This Row],[role_id]], role_data[role_id], role_data[Role],"")</f>
        <v>Dual Supervisor</v>
      </c>
      <c r="C158">
        <v>64322</v>
      </c>
      <c r="D158" s="5" t="str">
        <f>_xlfn.XLOOKUP(role_course_map[[#This Row],[course_id]],course_data[course_id],course_data[title],"")</f>
        <v>Adult support and protection: practice level 2 [skilled]</v>
      </c>
      <c r="E158" s="5" t="str">
        <f>_xlfn.XLOOKUP(role_course_map[[#This Row],[course_id]],course_data[course_id],course_data[topic],"")</f>
        <v>SAS : Public Protection</v>
      </c>
      <c r="F158" s="5" t="str">
        <f>_xlfn.XLOOKUP(role_course_map[[#This Row],[course_id]],course_data[course_id],course_data[type],"")</f>
        <v>eLearning</v>
      </c>
      <c r="K158" t="str">
        <f>role_course_map[[#This Row],[role_id]] &amp; "|" &amp; role_course_map[[#This Row],[course_id]]</f>
        <v>R0065|64322</v>
      </c>
      <c r="L158" t="str">
        <f>IF(COUNTIF(role_course_map[mapping_key],role_course_map[[#This Row],[mapping_key]])&gt;1,"DUPLICATE","OK")</f>
        <v>OK</v>
      </c>
      <c r="M158" t="str">
        <f>IF(COUNTIF(role_data[role_id],role_course_map[[#This Row],[role_id]])=0, "INVALID","VALID")</f>
        <v>VALID</v>
      </c>
      <c r="N158" t="str">
        <f>IF(COUNTIF(course_data[course_id],role_course_map[[#This Row],[course_id]])=0, "INVALID","VALID")</f>
        <v>VALID</v>
      </c>
    </row>
    <row r="159" spans="1:14" x14ac:dyDescent="0.35">
      <c r="A159" t="s">
        <v>142</v>
      </c>
      <c r="B159" s="5" t="str">
        <f>_xlfn.XLOOKUP(role_course_map[[#This Row],[role_id]], role_data[role_id], role_data[Role],"")</f>
        <v>Dual Supervisor</v>
      </c>
      <c r="C159">
        <v>64324</v>
      </c>
      <c r="D159" s="5" t="str">
        <f>_xlfn.XLOOKUP(role_course_map[[#This Row],[course_id]],course_data[course_id],course_data[title],"")</f>
        <v>Child protection: practice level 2 [skilled]</v>
      </c>
      <c r="E159" s="5" t="str">
        <f>_xlfn.XLOOKUP(role_course_map[[#This Row],[course_id]],course_data[course_id],course_data[topic],"")</f>
        <v>SAS : Public Protection</v>
      </c>
      <c r="F159" s="5" t="str">
        <f>_xlfn.XLOOKUP(role_course_map[[#This Row],[course_id]],course_data[course_id],course_data[type],"")</f>
        <v>eLearning</v>
      </c>
      <c r="K159" t="str">
        <f>role_course_map[[#This Row],[role_id]] &amp; "|" &amp; role_course_map[[#This Row],[course_id]]</f>
        <v>R0065|64324</v>
      </c>
      <c r="L159" t="str">
        <f>IF(COUNTIF(role_course_map[mapping_key],role_course_map[[#This Row],[mapping_key]])&gt;1,"DUPLICATE","OK")</f>
        <v>OK</v>
      </c>
      <c r="M159" t="str">
        <f>IF(COUNTIF(role_data[role_id],role_course_map[[#This Row],[role_id]])=0, "INVALID","VALID")</f>
        <v>VALID</v>
      </c>
      <c r="N159" t="str">
        <f>IF(COUNTIF(course_data[course_id],role_course_map[[#This Row],[course_id]])=0, "INVALID","VALID")</f>
        <v>VALID</v>
      </c>
    </row>
    <row r="160" spans="1:14" x14ac:dyDescent="0.35">
      <c r="A160" t="s">
        <v>140</v>
      </c>
      <c r="B160" s="5" t="str">
        <f>_xlfn.XLOOKUP(role_course_map[[#This Row],[role_id]], role_data[role_id], role_data[Role],"")</f>
        <v>Dispatcher</v>
      </c>
      <c r="C160">
        <v>76716</v>
      </c>
      <c r="D160" s="5" t="str">
        <f>_xlfn.XLOOKUP(role_course_map[[#This Row],[course_id]],course_data[course_id],course_data[title],"")</f>
        <v>Domestic abuse awareness training tool (DAART)</v>
      </c>
      <c r="E160" s="5" t="str">
        <f>_xlfn.XLOOKUP(role_course_map[[#This Row],[course_id]],course_data[course_id],course_data[topic],"")</f>
        <v>SAS : Public Protection</v>
      </c>
      <c r="F160" s="5" t="str">
        <f>_xlfn.XLOOKUP(role_course_map[[#This Row],[course_id]],course_data[course_id],course_data[type],"")</f>
        <v>eLearning</v>
      </c>
      <c r="K160" t="str">
        <f>role_course_map[[#This Row],[role_id]] &amp; "|" &amp; role_course_map[[#This Row],[course_id]]</f>
        <v>R0064|76716</v>
      </c>
      <c r="L160" t="str">
        <f>IF(COUNTIF(role_course_map[mapping_key],role_course_map[[#This Row],[mapping_key]])&gt;1,"DUPLICATE","OK")</f>
        <v>OK</v>
      </c>
      <c r="M160" t="str">
        <f>IF(COUNTIF(role_data[role_id],role_course_map[[#This Row],[role_id]])=0, "INVALID","VALID")</f>
        <v>VALID</v>
      </c>
      <c r="N160" t="str">
        <f>IF(COUNTIF(course_data[course_id],role_course_map[[#This Row],[course_id]])=0, "INVALID","VALID")</f>
        <v>VALID</v>
      </c>
    </row>
    <row r="161" spans="1:14" x14ac:dyDescent="0.35">
      <c r="A161" t="s">
        <v>142</v>
      </c>
      <c r="B161" s="5" t="str">
        <f>_xlfn.XLOOKUP(role_course_map[[#This Row],[role_id]], role_data[role_id], role_data[Role],"")</f>
        <v>Dual Supervisor</v>
      </c>
      <c r="C161">
        <v>79666</v>
      </c>
      <c r="D161" s="5" t="str">
        <f>_xlfn.XLOOKUP(role_course_map[[#This Row],[course_id]],course_data[course_id],course_data[title],"")</f>
        <v>Getting it right for every child (GIRFEC): informed level</v>
      </c>
      <c r="E161" s="5" t="str">
        <f>_xlfn.XLOOKUP(role_course_map[[#This Row],[course_id]],course_data[course_id],course_data[topic],"")</f>
        <v>SAS : Public Protection</v>
      </c>
      <c r="F161" s="5" t="str">
        <f>_xlfn.XLOOKUP(role_course_map[[#This Row],[course_id]],course_data[course_id],course_data[type],"")</f>
        <v>eLearning</v>
      </c>
      <c r="K161" t="str">
        <f>role_course_map[[#This Row],[role_id]] &amp; "|" &amp; role_course_map[[#This Row],[course_id]]</f>
        <v>R0065|79666</v>
      </c>
      <c r="L161" t="str">
        <f>IF(COUNTIF(role_course_map[mapping_key],role_course_map[[#This Row],[mapping_key]])&gt;1,"DUPLICATE","OK")</f>
        <v>OK</v>
      </c>
      <c r="M161" t="str">
        <f>IF(COUNTIF(role_data[role_id],role_course_map[[#This Row],[role_id]])=0, "INVALID","VALID")</f>
        <v>VALID</v>
      </c>
      <c r="N161" t="str">
        <f>IF(COUNTIF(course_data[course_id],role_course_map[[#This Row],[course_id]])=0, "INVALID","VALID")</f>
        <v>VALID</v>
      </c>
    </row>
    <row r="162" spans="1:14" x14ac:dyDescent="0.35">
      <c r="A162" t="s">
        <v>142</v>
      </c>
      <c r="B162" s="5" t="str">
        <f>_xlfn.XLOOKUP(role_course_map[[#This Row],[role_id]], role_data[role_id], role_data[Role],"")</f>
        <v>Dual Supervisor</v>
      </c>
      <c r="C162">
        <v>999074</v>
      </c>
      <c r="D162" s="5" t="str">
        <f>_xlfn.XLOOKUP(role_course_map[[#This Row],[course_id]],course_data[course_id],course_data[title],"")</f>
        <v>SAS-specific Children’s rights</v>
      </c>
      <c r="E162" s="5" t="str">
        <f>_xlfn.XLOOKUP(role_course_map[[#This Row],[course_id]],course_data[course_id],course_data[topic],"")</f>
        <v>SAS : Public Protection</v>
      </c>
      <c r="F162" s="5" t="str">
        <f>_xlfn.XLOOKUP(role_course_map[[#This Row],[course_id]],course_data[course_id],course_data[type],"")</f>
        <v>eLearning</v>
      </c>
      <c r="K162" t="str">
        <f>role_course_map[[#This Row],[role_id]] &amp; "|" &amp; role_course_map[[#This Row],[course_id]]</f>
        <v>R0065|999074</v>
      </c>
      <c r="L162" t="str">
        <f>IF(COUNTIF(role_course_map[mapping_key],role_course_map[[#This Row],[mapping_key]])&gt;1,"DUPLICATE","OK")</f>
        <v>OK</v>
      </c>
      <c r="M162" t="str">
        <f>IF(COUNTIF(role_data[role_id],role_course_map[[#This Row],[role_id]])=0, "INVALID","VALID")</f>
        <v>VALID</v>
      </c>
      <c r="N162" t="str">
        <f>IF(COUNTIF(course_data[course_id],role_course_map[[#This Row],[course_id]])=0, "INVALID","VALID")</f>
        <v>VALID</v>
      </c>
    </row>
    <row r="163" spans="1:14" x14ac:dyDescent="0.35">
      <c r="A163" t="s">
        <v>142</v>
      </c>
      <c r="B163" s="5" t="str">
        <f>_xlfn.XLOOKUP(role_course_map[[#This Row],[role_id]], role_data[role_id], role_data[Role],"")</f>
        <v>Dual Supervisor</v>
      </c>
      <c r="C163">
        <v>999075</v>
      </c>
      <c r="D163" s="5" t="str">
        <f>_xlfn.XLOOKUP(role_course_map[[#This Row],[course_id]],course_data[course_id],course_data[title],"")</f>
        <v>Multiagency local or bespoke Level 3 delivery training</v>
      </c>
      <c r="E163" s="5" t="str">
        <f>_xlfn.XLOOKUP(role_course_map[[#This Row],[course_id]],course_data[course_id],course_data[topic],"")</f>
        <v>SAS : Public Protection</v>
      </c>
      <c r="F163" s="5" t="str">
        <f>_xlfn.XLOOKUP(role_course_map[[#This Row],[course_id]],course_data[course_id],course_data[type],"")</f>
        <v>eLearning</v>
      </c>
      <c r="K163" t="str">
        <f>role_course_map[[#This Row],[role_id]] &amp; "|" &amp; role_course_map[[#This Row],[course_id]]</f>
        <v>R0065|999075</v>
      </c>
      <c r="L163" t="str">
        <f>IF(COUNTIF(role_course_map[mapping_key],role_course_map[[#This Row],[mapping_key]])&gt;1,"DUPLICATE","OK")</f>
        <v>OK</v>
      </c>
      <c r="M163" t="str">
        <f>IF(COUNTIF(role_data[role_id],role_course_map[[#This Row],[role_id]])=0, "INVALID","VALID")</f>
        <v>VALID</v>
      </c>
      <c r="N163" t="str">
        <f>IF(COUNTIF(course_data[course_id],role_course_map[[#This Row],[course_id]])=0, "INVALID","VALID")</f>
        <v>VALID</v>
      </c>
    </row>
    <row r="164" spans="1:14" x14ac:dyDescent="0.35">
      <c r="A164" t="s">
        <v>142</v>
      </c>
      <c r="B164" s="5" t="str">
        <f>_xlfn.XLOOKUP(role_course_map[[#This Row],[role_id]], role_data[role_id], role_data[Role],"")</f>
        <v>Dual Supervisor</v>
      </c>
      <c r="C164">
        <v>15249</v>
      </c>
      <c r="D164" s="5" t="str">
        <f>_xlfn.XLOOKUP(role_course_map[[#This Row],[course_id]],course_data[course_id],course_data[title],"")</f>
        <v>Human trafficking</v>
      </c>
      <c r="E164" s="5" t="str">
        <f>_xlfn.XLOOKUP(role_course_map[[#This Row],[course_id]],course_data[course_id],course_data[topic],"")</f>
        <v>SAS : Public Protection</v>
      </c>
      <c r="F164" s="5" t="str">
        <f>_xlfn.XLOOKUP(role_course_map[[#This Row],[course_id]],course_data[course_id],course_data[type],"")</f>
        <v>eLearning</v>
      </c>
      <c r="K164" t="str">
        <f>role_course_map[[#This Row],[role_id]] &amp; "|" &amp; role_course_map[[#This Row],[course_id]]</f>
        <v>R0065|15249</v>
      </c>
      <c r="L164" t="str">
        <f>IF(COUNTIF(role_course_map[mapping_key],role_course_map[[#This Row],[mapping_key]])&gt;1,"DUPLICATE","OK")</f>
        <v>OK</v>
      </c>
      <c r="M164" t="str">
        <f>IF(COUNTIF(role_data[role_id],role_course_map[[#This Row],[role_id]])=0, "INVALID","VALID")</f>
        <v>VALID</v>
      </c>
      <c r="N164" t="str">
        <f>IF(COUNTIF(course_data[course_id],role_course_map[[#This Row],[course_id]])=0, "INVALID","VALID")</f>
        <v>VALID</v>
      </c>
    </row>
    <row r="165" spans="1:14" x14ac:dyDescent="0.35">
      <c r="A165" t="s">
        <v>138</v>
      </c>
      <c r="B165" s="5" t="str">
        <f>_xlfn.XLOOKUP(role_course_map[[#This Row],[role_id]], role_data[role_id], role_data[Role],"")</f>
        <v>Dispatch Supervisor</v>
      </c>
      <c r="C165">
        <v>999092</v>
      </c>
      <c r="D165" s="5" t="str">
        <f>_xlfn.XLOOKUP(role_course_map[[#This Row],[course_id]],course_data[course_id],course_data[title],"")</f>
        <v>Health &amp; Wellbeing Awareness for Managers</v>
      </c>
      <c r="E165" s="5" t="str">
        <f>_xlfn.XLOOKUP(role_course_map[[#This Row],[course_id]],course_data[course_id],course_data[topic],"")</f>
        <v>SAS: Staff development and experience</v>
      </c>
      <c r="F165" s="5" t="str">
        <f>_xlfn.XLOOKUP(role_course_map[[#This Row],[course_id]],course_data[course_id],course_data[type],"")</f>
        <v>eLearning</v>
      </c>
      <c r="K165" t="str">
        <f>role_course_map[[#This Row],[role_id]] &amp; "|" &amp; role_course_map[[#This Row],[course_id]]</f>
        <v>R0063|999092</v>
      </c>
      <c r="L165" t="str">
        <f>IF(COUNTIF(role_course_map[mapping_key],role_course_map[[#This Row],[mapping_key]])&gt;1,"DUPLICATE","OK")</f>
        <v>OK</v>
      </c>
      <c r="M165" t="str">
        <f>IF(COUNTIF(role_data[role_id],role_course_map[[#This Row],[role_id]])=0, "INVALID","VALID")</f>
        <v>VALID</v>
      </c>
      <c r="N165" t="str">
        <f>IF(COUNTIF(course_data[course_id],role_course_map[[#This Row],[course_id]])=0, "INVALID","VALID")</f>
        <v>VALID</v>
      </c>
    </row>
    <row r="166" spans="1:14" x14ac:dyDescent="0.35">
      <c r="A166" t="s">
        <v>142</v>
      </c>
      <c r="B166" s="5" t="str">
        <f>_xlfn.XLOOKUP(role_course_map[[#This Row],[role_id]], role_data[role_id], role_data[Role],"")</f>
        <v>Dual Supervisor</v>
      </c>
      <c r="C166">
        <v>999093</v>
      </c>
      <c r="D166" s="5" t="str">
        <f>_xlfn.XLOOKUP(role_course_map[[#This Row],[course_id]],course_data[course_id],course_data[title],"")</f>
        <v>Managing Wellbeing Refresher for Managers</v>
      </c>
      <c r="E166" s="5" t="str">
        <f>_xlfn.XLOOKUP(role_course_map[[#This Row],[course_id]],course_data[course_id],course_data[topic],"")</f>
        <v>SAS: Staff development and experience</v>
      </c>
      <c r="F166" s="5" t="str">
        <f>_xlfn.XLOOKUP(role_course_map[[#This Row],[course_id]],course_data[course_id],course_data[type],"")</f>
        <v>eLearning</v>
      </c>
      <c r="K166" t="str">
        <f>role_course_map[[#This Row],[role_id]] &amp; "|" &amp; role_course_map[[#This Row],[course_id]]</f>
        <v>R0065|999093</v>
      </c>
      <c r="L166" t="str">
        <f>IF(COUNTIF(role_course_map[mapping_key],role_course_map[[#This Row],[mapping_key]])&gt;1,"DUPLICATE","OK")</f>
        <v>OK</v>
      </c>
      <c r="M166" t="str">
        <f>IF(COUNTIF(role_data[role_id],role_course_map[[#This Row],[role_id]])=0, "INVALID","VALID")</f>
        <v>VALID</v>
      </c>
      <c r="N166" t="str">
        <f>IF(COUNTIF(course_data[course_id],role_course_map[[#This Row],[course_id]])=0, "INVALID","VALID")</f>
        <v>VALID</v>
      </c>
    </row>
    <row r="167" spans="1:14" x14ac:dyDescent="0.35">
      <c r="A167" t="s">
        <v>140</v>
      </c>
      <c r="B167" s="5" t="str">
        <f>_xlfn.XLOOKUP(role_course_map[[#This Row],[role_id]], role_data[role_id], role_data[Role],"")</f>
        <v>Dispatcher</v>
      </c>
      <c r="C167">
        <v>999094</v>
      </c>
      <c r="D167" s="5" t="str">
        <f>_xlfn.XLOOKUP(role_course_map[[#This Row],[course_id]],course_data[course_id],course_data[title],"")</f>
        <v>Being well, Mind, Body &amp; Workplace</v>
      </c>
      <c r="E167" s="5" t="str">
        <f>_xlfn.XLOOKUP(role_course_map[[#This Row],[course_id]],course_data[course_id],course_data[topic],"")</f>
        <v>SAS: Staff development and experience</v>
      </c>
      <c r="F167" s="5" t="str">
        <f>_xlfn.XLOOKUP(role_course_map[[#This Row],[course_id]],course_data[course_id],course_data[type],"")</f>
        <v>eLearning</v>
      </c>
      <c r="K167" t="str">
        <f>role_course_map[[#This Row],[role_id]] &amp; "|" &amp; role_course_map[[#This Row],[course_id]]</f>
        <v>R0064|999094</v>
      </c>
      <c r="L167" t="str">
        <f>IF(COUNTIF(role_course_map[mapping_key],role_course_map[[#This Row],[mapping_key]])&gt;1,"DUPLICATE","OK")</f>
        <v>OK</v>
      </c>
      <c r="M167" t="str">
        <f>IF(COUNTIF(role_data[role_id],role_course_map[[#This Row],[role_id]])=0, "INVALID","VALID")</f>
        <v>VALID</v>
      </c>
      <c r="N167" t="str">
        <f>IF(COUNTIF(course_data[course_id],role_course_map[[#This Row],[course_id]])=0, "INVALID","VALID")</f>
        <v>VALID</v>
      </c>
    </row>
    <row r="168" spans="1:14" x14ac:dyDescent="0.35">
      <c r="A168" t="s">
        <v>164</v>
      </c>
      <c r="B168" s="5" t="str">
        <f>_xlfn.XLOOKUP(role_course_map[[#This Row],[role_id]], role_data[role_id], role_data[Role],"")</f>
        <v>Real Time Analyst</v>
      </c>
      <c r="C168">
        <v>999058</v>
      </c>
      <c r="D168" s="5" t="str">
        <f>_xlfn.XLOOKUP(role_course_map[[#This Row],[course_id]],course_data[course_id],course_data[title],"")</f>
        <v>Stress Identification &amp; Stress Management</v>
      </c>
      <c r="E168" s="5" t="str">
        <f>_xlfn.XLOOKUP(role_course_map[[#This Row],[course_id]],course_data[course_id],course_data[topic],"")</f>
        <v>SAS : Health and Safety</v>
      </c>
      <c r="F168" s="5" t="str">
        <f>_xlfn.XLOOKUP(role_course_map[[#This Row],[course_id]],course_data[course_id],course_data[type],"")</f>
        <v>eLearning</v>
      </c>
      <c r="K168" t="str">
        <f>role_course_map[[#This Row],[role_id]] &amp; "|" &amp; role_course_map[[#This Row],[course_id]]</f>
        <v>R0076|999058</v>
      </c>
      <c r="L168" t="str">
        <f>IF(COUNTIF(role_course_map[mapping_key],role_course_map[[#This Row],[mapping_key]])&gt;1,"DUPLICATE","OK")</f>
        <v>OK</v>
      </c>
      <c r="M168" t="str">
        <f>IF(COUNTIF(role_data[role_id],role_course_map[[#This Row],[role_id]])=0, "INVALID","VALID")</f>
        <v>VALID</v>
      </c>
      <c r="N168" t="str">
        <f>IF(COUNTIF(course_data[course_id],role_course_map[[#This Row],[course_id]])=0, "INVALID","VALID")</f>
        <v>VALID</v>
      </c>
    </row>
    <row r="169" spans="1:14" x14ac:dyDescent="0.35">
      <c r="A169" t="s">
        <v>164</v>
      </c>
      <c r="B169" s="5" t="str">
        <f>_xlfn.XLOOKUP(role_course_map[[#This Row],[role_id]], role_data[role_id], role_data[Role],"")</f>
        <v>Real Time Analyst</v>
      </c>
      <c r="C169">
        <v>79147</v>
      </c>
      <c r="D169" s="5" t="str">
        <f>_xlfn.XLOOKUP(role_course_map[[#This Row],[course_id]],course_data[course_id],course_data[title],"")</f>
        <v>Driving risks at work</v>
      </c>
      <c r="E169" s="5" t="str">
        <f>_xlfn.XLOOKUP(role_course_map[[#This Row],[course_id]],course_data[course_id],course_data[topic],"")</f>
        <v>SAS : Health and Safety</v>
      </c>
      <c r="F169" s="5" t="str">
        <f>_xlfn.XLOOKUP(role_course_map[[#This Row],[course_id]],course_data[course_id],course_data[type],"")</f>
        <v>eLearning</v>
      </c>
      <c r="K169" t="str">
        <f>role_course_map[[#This Row],[role_id]] &amp; "|" &amp; role_course_map[[#This Row],[course_id]]</f>
        <v>R0076|79147</v>
      </c>
      <c r="L169" t="str">
        <f>IF(COUNTIF(role_course_map[mapping_key],role_course_map[[#This Row],[mapping_key]])&gt;1,"DUPLICATE","OK")</f>
        <v>OK</v>
      </c>
      <c r="M169" t="str">
        <f>IF(COUNTIF(role_data[role_id],role_course_map[[#This Row],[role_id]])=0, "INVALID","VALID")</f>
        <v>VALID</v>
      </c>
      <c r="N169" t="str">
        <f>IF(COUNTIF(course_data[course_id],role_course_map[[#This Row],[course_id]])=0, "INVALID","VALID")</f>
        <v>VALID</v>
      </c>
    </row>
    <row r="170" spans="1:14" x14ac:dyDescent="0.35">
      <c r="A170" t="s">
        <v>142</v>
      </c>
      <c r="B170" s="5" t="str">
        <f>_xlfn.XLOOKUP(role_course_map[[#This Row],[role_id]], role_data[role_id], role_data[Role],"")</f>
        <v>Dual Supervisor</v>
      </c>
      <c r="C170">
        <v>999057</v>
      </c>
      <c r="D170" s="5" t="str">
        <f>_xlfn.XLOOKUP(role_course_map[[#This Row],[course_id]],course_data[course_id],course_data[title],"")</f>
        <v>Fatigue Awareness</v>
      </c>
      <c r="E170" s="5" t="str">
        <f>_xlfn.XLOOKUP(role_course_map[[#This Row],[course_id]],course_data[course_id],course_data[topic],"")</f>
        <v>SAS : Health and Safety</v>
      </c>
      <c r="F170" s="5" t="str">
        <f>_xlfn.XLOOKUP(role_course_map[[#This Row],[course_id]],course_data[course_id],course_data[type],"")</f>
        <v>eLearning</v>
      </c>
      <c r="K170" t="str">
        <f>role_course_map[[#This Row],[role_id]] &amp; "|" &amp; role_course_map[[#This Row],[course_id]]</f>
        <v>R0065|999057</v>
      </c>
      <c r="L170" t="str">
        <f>IF(COUNTIF(role_course_map[mapping_key],role_course_map[[#This Row],[mapping_key]])&gt;1,"DUPLICATE","OK")</f>
        <v>OK</v>
      </c>
      <c r="M170" t="str">
        <f>IF(COUNTIF(role_data[role_id],role_course_map[[#This Row],[role_id]])=0, "INVALID","VALID")</f>
        <v>VALID</v>
      </c>
      <c r="N170" t="str">
        <f>IF(COUNTIF(course_data[course_id],role_course_map[[#This Row],[course_id]])=0, "INVALID","VALID")</f>
        <v>VALID</v>
      </c>
    </row>
    <row r="171" spans="1:14" x14ac:dyDescent="0.35">
      <c r="A171" t="s">
        <v>142</v>
      </c>
      <c r="B171" s="5" t="str">
        <f>_xlfn.XLOOKUP(role_course_map[[#This Row],[role_id]], role_data[role_id], role_data[Role],"")</f>
        <v>Dual Supervisor</v>
      </c>
      <c r="C171">
        <v>999094</v>
      </c>
      <c r="D171" s="5" t="str">
        <f>_xlfn.XLOOKUP(role_course_map[[#This Row],[course_id]],course_data[course_id],course_data[title],"")</f>
        <v>Being well, Mind, Body &amp; Workplace</v>
      </c>
      <c r="E171" s="5" t="str">
        <f>_xlfn.XLOOKUP(role_course_map[[#This Row],[course_id]],course_data[course_id],course_data[topic],"")</f>
        <v>SAS: Staff development and experience</v>
      </c>
      <c r="F171" s="5" t="str">
        <f>_xlfn.XLOOKUP(role_course_map[[#This Row],[course_id]],course_data[course_id],course_data[type],"")</f>
        <v>eLearning</v>
      </c>
      <c r="K171" t="str">
        <f>role_course_map[[#This Row],[role_id]] &amp; "|" &amp; role_course_map[[#This Row],[course_id]]</f>
        <v>R0065|999094</v>
      </c>
      <c r="L171" t="str">
        <f>IF(COUNTIF(role_course_map[mapping_key],role_course_map[[#This Row],[mapping_key]])&gt;1,"DUPLICATE","OK")</f>
        <v>OK</v>
      </c>
      <c r="M171" t="str">
        <f>IF(COUNTIF(role_data[role_id],role_course_map[[#This Row],[role_id]])=0, "INVALID","VALID")</f>
        <v>VALID</v>
      </c>
      <c r="N171" t="str">
        <f>IF(COUNTIF(course_data[course_id],role_course_map[[#This Row],[course_id]])=0, "INVALID","VALID")</f>
        <v>VALID</v>
      </c>
    </row>
    <row r="172" spans="1:14" x14ac:dyDescent="0.35">
      <c r="A172" t="s">
        <v>164</v>
      </c>
      <c r="B172" s="5" t="str">
        <f>_xlfn.XLOOKUP(role_course_map[[#This Row],[role_id]], role_data[role_id], role_data[Role],"")</f>
        <v>Real Time Analyst</v>
      </c>
      <c r="C172">
        <v>64322</v>
      </c>
      <c r="D172" s="5" t="str">
        <f>_xlfn.XLOOKUP(role_course_map[[#This Row],[course_id]],course_data[course_id],course_data[title],"")</f>
        <v>Adult support and protection: practice level 2 [skilled]</v>
      </c>
      <c r="E172" s="5" t="str">
        <f>_xlfn.XLOOKUP(role_course_map[[#This Row],[course_id]],course_data[course_id],course_data[topic],"")</f>
        <v>SAS : Public Protection</v>
      </c>
      <c r="F172" s="5" t="str">
        <f>_xlfn.XLOOKUP(role_course_map[[#This Row],[course_id]],course_data[course_id],course_data[type],"")</f>
        <v>eLearning</v>
      </c>
      <c r="K172" t="str">
        <f>role_course_map[[#This Row],[role_id]] &amp; "|" &amp; role_course_map[[#This Row],[course_id]]</f>
        <v>R0076|64322</v>
      </c>
      <c r="L172" t="str">
        <f>IF(COUNTIF(role_course_map[mapping_key],role_course_map[[#This Row],[mapping_key]])&gt;1,"DUPLICATE","OK")</f>
        <v>OK</v>
      </c>
      <c r="M172" t="str">
        <f>IF(COUNTIF(role_data[role_id],role_course_map[[#This Row],[role_id]])=0, "INVALID","VALID")</f>
        <v>VALID</v>
      </c>
      <c r="N172" t="str">
        <f>IF(COUNTIF(course_data[course_id],role_course_map[[#This Row],[course_id]])=0, "INVALID","VALID")</f>
        <v>VALID</v>
      </c>
    </row>
    <row r="173" spans="1:14" x14ac:dyDescent="0.35">
      <c r="A173" t="s">
        <v>164</v>
      </c>
      <c r="B173" s="5" t="str">
        <f>_xlfn.XLOOKUP(role_course_map[[#This Row],[role_id]], role_data[role_id], role_data[Role],"")</f>
        <v>Real Time Analyst</v>
      </c>
      <c r="C173">
        <v>64324</v>
      </c>
      <c r="D173" s="5" t="str">
        <f>_xlfn.XLOOKUP(role_course_map[[#This Row],[course_id]],course_data[course_id],course_data[title],"")</f>
        <v>Child protection: practice level 2 [skilled]</v>
      </c>
      <c r="E173" s="5" t="str">
        <f>_xlfn.XLOOKUP(role_course_map[[#This Row],[course_id]],course_data[course_id],course_data[topic],"")</f>
        <v>SAS : Public Protection</v>
      </c>
      <c r="F173" s="5" t="str">
        <f>_xlfn.XLOOKUP(role_course_map[[#This Row],[course_id]],course_data[course_id],course_data[type],"")</f>
        <v>eLearning</v>
      </c>
      <c r="K173" t="str">
        <f>role_course_map[[#This Row],[role_id]] &amp; "|" &amp; role_course_map[[#This Row],[course_id]]</f>
        <v>R0076|64324</v>
      </c>
      <c r="L173" t="str">
        <f>IF(COUNTIF(role_course_map[mapping_key],role_course_map[[#This Row],[mapping_key]])&gt;1,"DUPLICATE","OK")</f>
        <v>OK</v>
      </c>
      <c r="M173" t="str">
        <f>IF(COUNTIF(role_data[role_id],role_course_map[[#This Row],[role_id]])=0, "INVALID","VALID")</f>
        <v>VALID</v>
      </c>
      <c r="N173" t="str">
        <f>IF(COUNTIF(course_data[course_id],role_course_map[[#This Row],[course_id]])=0, "INVALID","VALID")</f>
        <v>VALID</v>
      </c>
    </row>
    <row r="174" spans="1:14" x14ac:dyDescent="0.35">
      <c r="A174" t="s">
        <v>142</v>
      </c>
      <c r="B174" s="5" t="str">
        <f>_xlfn.XLOOKUP(role_course_map[[#This Row],[role_id]], role_data[role_id], role_data[Role],"")</f>
        <v>Dual Supervisor</v>
      </c>
      <c r="C174">
        <v>76716</v>
      </c>
      <c r="D174" s="5" t="str">
        <f>_xlfn.XLOOKUP(role_course_map[[#This Row],[course_id]],course_data[course_id],course_data[title],"")</f>
        <v>Domestic abuse awareness training tool (DAART)</v>
      </c>
      <c r="E174" s="5" t="str">
        <f>_xlfn.XLOOKUP(role_course_map[[#This Row],[course_id]],course_data[course_id],course_data[topic],"")</f>
        <v>SAS : Public Protection</v>
      </c>
      <c r="F174" s="5" t="str">
        <f>_xlfn.XLOOKUP(role_course_map[[#This Row],[course_id]],course_data[course_id],course_data[type],"")</f>
        <v>eLearning</v>
      </c>
      <c r="K174" t="str">
        <f>role_course_map[[#This Row],[role_id]] &amp; "|" &amp; role_course_map[[#This Row],[course_id]]</f>
        <v>R0065|76716</v>
      </c>
      <c r="L174" t="str">
        <f>IF(COUNTIF(role_course_map[mapping_key],role_course_map[[#This Row],[mapping_key]])&gt;1,"DUPLICATE","OK")</f>
        <v>OK</v>
      </c>
      <c r="M174" t="str">
        <f>IF(COUNTIF(role_data[role_id],role_course_map[[#This Row],[role_id]])=0, "INVALID","VALID")</f>
        <v>VALID</v>
      </c>
      <c r="N174" t="str">
        <f>IF(COUNTIF(course_data[course_id],role_course_map[[#This Row],[course_id]])=0, "INVALID","VALID")</f>
        <v>VALID</v>
      </c>
    </row>
    <row r="175" spans="1:14" x14ac:dyDescent="0.35">
      <c r="A175" t="s">
        <v>164</v>
      </c>
      <c r="B175" s="5" t="str">
        <f>_xlfn.XLOOKUP(role_course_map[[#This Row],[role_id]], role_data[role_id], role_data[Role],"")</f>
        <v>Real Time Analyst</v>
      </c>
      <c r="C175">
        <v>79666</v>
      </c>
      <c r="D175" s="5" t="str">
        <f>_xlfn.XLOOKUP(role_course_map[[#This Row],[course_id]],course_data[course_id],course_data[title],"")</f>
        <v>Getting it right for every child (GIRFEC): informed level</v>
      </c>
      <c r="E175" s="5" t="str">
        <f>_xlfn.XLOOKUP(role_course_map[[#This Row],[course_id]],course_data[course_id],course_data[topic],"")</f>
        <v>SAS : Public Protection</v>
      </c>
      <c r="F175" s="5" t="str">
        <f>_xlfn.XLOOKUP(role_course_map[[#This Row],[course_id]],course_data[course_id],course_data[type],"")</f>
        <v>eLearning</v>
      </c>
      <c r="K175" t="str">
        <f>role_course_map[[#This Row],[role_id]] &amp; "|" &amp; role_course_map[[#This Row],[course_id]]</f>
        <v>R0076|79666</v>
      </c>
      <c r="L175" t="str">
        <f>IF(COUNTIF(role_course_map[mapping_key],role_course_map[[#This Row],[mapping_key]])&gt;1,"DUPLICATE","OK")</f>
        <v>OK</v>
      </c>
      <c r="M175" t="str">
        <f>IF(COUNTIF(role_data[role_id],role_course_map[[#This Row],[role_id]])=0, "INVALID","VALID")</f>
        <v>VALID</v>
      </c>
      <c r="N175" t="str">
        <f>IF(COUNTIF(course_data[course_id],role_course_map[[#This Row],[course_id]])=0, "INVALID","VALID")</f>
        <v>VALID</v>
      </c>
    </row>
    <row r="176" spans="1:14" x14ac:dyDescent="0.35">
      <c r="A176" t="s">
        <v>164</v>
      </c>
      <c r="B176" s="5" t="str">
        <f>_xlfn.XLOOKUP(role_course_map[[#This Row],[role_id]], role_data[role_id], role_data[Role],"")</f>
        <v>Real Time Analyst</v>
      </c>
      <c r="C176">
        <v>999074</v>
      </c>
      <c r="D176" s="5" t="str">
        <f>_xlfn.XLOOKUP(role_course_map[[#This Row],[course_id]],course_data[course_id],course_data[title],"")</f>
        <v>SAS-specific Children’s rights</v>
      </c>
      <c r="E176" s="5" t="str">
        <f>_xlfn.XLOOKUP(role_course_map[[#This Row],[course_id]],course_data[course_id],course_data[topic],"")</f>
        <v>SAS : Public Protection</v>
      </c>
      <c r="F176" s="5" t="str">
        <f>_xlfn.XLOOKUP(role_course_map[[#This Row],[course_id]],course_data[course_id],course_data[type],"")</f>
        <v>eLearning</v>
      </c>
      <c r="K176" t="str">
        <f>role_course_map[[#This Row],[role_id]] &amp; "|" &amp; role_course_map[[#This Row],[course_id]]</f>
        <v>R0076|999074</v>
      </c>
      <c r="L176" t="str">
        <f>IF(COUNTIF(role_course_map[mapping_key],role_course_map[[#This Row],[mapping_key]])&gt;1,"DUPLICATE","OK")</f>
        <v>OK</v>
      </c>
      <c r="M176" t="str">
        <f>IF(COUNTIF(role_data[role_id],role_course_map[[#This Row],[role_id]])=0, "INVALID","VALID")</f>
        <v>VALID</v>
      </c>
      <c r="N176" t="str">
        <f>IF(COUNTIF(course_data[course_id],role_course_map[[#This Row],[course_id]])=0, "INVALID","VALID")</f>
        <v>VALID</v>
      </c>
    </row>
    <row r="177" spans="1:14" x14ac:dyDescent="0.35">
      <c r="A177" t="s">
        <v>164</v>
      </c>
      <c r="B177" s="5" t="str">
        <f>_xlfn.XLOOKUP(role_course_map[[#This Row],[role_id]], role_data[role_id], role_data[Role],"")</f>
        <v>Real Time Analyst</v>
      </c>
      <c r="C177">
        <v>999075</v>
      </c>
      <c r="D177" s="5" t="str">
        <f>_xlfn.XLOOKUP(role_course_map[[#This Row],[course_id]],course_data[course_id],course_data[title],"")</f>
        <v>Multiagency local or bespoke Level 3 delivery training</v>
      </c>
      <c r="E177" s="5" t="str">
        <f>_xlfn.XLOOKUP(role_course_map[[#This Row],[course_id]],course_data[course_id],course_data[topic],"")</f>
        <v>SAS : Public Protection</v>
      </c>
      <c r="F177" s="5" t="str">
        <f>_xlfn.XLOOKUP(role_course_map[[#This Row],[course_id]],course_data[course_id],course_data[type],"")</f>
        <v>eLearning</v>
      </c>
      <c r="K177" t="str">
        <f>role_course_map[[#This Row],[role_id]] &amp; "|" &amp; role_course_map[[#This Row],[course_id]]</f>
        <v>R0076|999075</v>
      </c>
      <c r="L177" t="str">
        <f>IF(COUNTIF(role_course_map[mapping_key],role_course_map[[#This Row],[mapping_key]])&gt;1,"DUPLICATE","OK")</f>
        <v>OK</v>
      </c>
      <c r="M177" t="str">
        <f>IF(COUNTIF(role_data[role_id],role_course_map[[#This Row],[role_id]])=0, "INVALID","VALID")</f>
        <v>VALID</v>
      </c>
      <c r="N177" t="str">
        <f>IF(COUNTIF(course_data[course_id],role_course_map[[#This Row],[course_id]])=0, "INVALID","VALID")</f>
        <v>VALID</v>
      </c>
    </row>
    <row r="178" spans="1:14" x14ac:dyDescent="0.35">
      <c r="A178" t="s">
        <v>164</v>
      </c>
      <c r="B178" s="5" t="str">
        <f>_xlfn.XLOOKUP(role_course_map[[#This Row],[role_id]], role_data[role_id], role_data[Role],"")</f>
        <v>Real Time Analyst</v>
      </c>
      <c r="C178">
        <v>15249</v>
      </c>
      <c r="D178" s="5" t="str">
        <f>_xlfn.XLOOKUP(role_course_map[[#This Row],[course_id]],course_data[course_id],course_data[title],"")</f>
        <v>Human trafficking</v>
      </c>
      <c r="E178" s="5" t="str">
        <f>_xlfn.XLOOKUP(role_course_map[[#This Row],[course_id]],course_data[course_id],course_data[topic],"")</f>
        <v>SAS : Public Protection</v>
      </c>
      <c r="F178" s="5" t="str">
        <f>_xlfn.XLOOKUP(role_course_map[[#This Row],[course_id]],course_data[course_id],course_data[type],"")</f>
        <v>eLearning</v>
      </c>
      <c r="K178" t="str">
        <f>role_course_map[[#This Row],[role_id]] &amp; "|" &amp; role_course_map[[#This Row],[course_id]]</f>
        <v>R0076|15249</v>
      </c>
      <c r="L178" t="str">
        <f>IF(COUNTIF(role_course_map[mapping_key],role_course_map[[#This Row],[mapping_key]])&gt;1,"DUPLICATE","OK")</f>
        <v>OK</v>
      </c>
      <c r="M178" t="str">
        <f>IF(COUNTIF(role_data[role_id],role_course_map[[#This Row],[role_id]])=0, "INVALID","VALID")</f>
        <v>VALID</v>
      </c>
      <c r="N178" t="str">
        <f>IF(COUNTIF(course_data[course_id],role_course_map[[#This Row],[course_id]])=0, "INVALID","VALID")</f>
        <v>VALID</v>
      </c>
    </row>
    <row r="179" spans="1:14" x14ac:dyDescent="0.35">
      <c r="A179" t="s">
        <v>178</v>
      </c>
      <c r="B179" s="5" t="str">
        <f>_xlfn.XLOOKUP(role_course_map[[#This Row],[role_id]], role_data[role_id], role_data[Role],"")</f>
        <v>Specialist Services Desk Supervisor</v>
      </c>
      <c r="C179">
        <v>89569</v>
      </c>
      <c r="D179" s="5" t="str">
        <f>_xlfn.XLOOKUP(role_course_map[[#This Row],[course_id]],course_data[course_id],course_data[title],"")</f>
        <v>LifeX for Supervisors</v>
      </c>
      <c r="E179" s="5" t="str">
        <f>_xlfn.XLOOKUP(role_course_map[[#This Row],[course_id]],course_data[course_id],course_data[topic],"")</f>
        <v>SAS: Systems Training</v>
      </c>
      <c r="F179" s="5" t="str">
        <f>_xlfn.XLOOKUP(role_course_map[[#This Row],[course_id]],course_data[course_id],course_data[type],"")</f>
        <v>Course</v>
      </c>
      <c r="K179" t="str">
        <f>role_course_map[[#This Row],[role_id]] &amp; "|" &amp; role_course_map[[#This Row],[course_id]]</f>
        <v>R0083|89569</v>
      </c>
      <c r="L179" t="str">
        <f>IF(COUNTIF(role_course_map[mapping_key],role_course_map[[#This Row],[mapping_key]])&gt;1,"DUPLICATE","OK")</f>
        <v>OK</v>
      </c>
      <c r="M179" t="str">
        <f>IF(COUNTIF(role_data[role_id],role_course_map[[#This Row],[role_id]])=0, "INVALID","VALID")</f>
        <v>VALID</v>
      </c>
      <c r="N179" t="str">
        <f>IF(COUNTIF(course_data[course_id],role_course_map[[#This Row],[course_id]])=0, "INVALID","VALID")</f>
        <v>VALID</v>
      </c>
    </row>
    <row r="180" spans="1:14" x14ac:dyDescent="0.35">
      <c r="A180" t="s">
        <v>178</v>
      </c>
      <c r="B180" s="5" t="str">
        <f>_xlfn.XLOOKUP(role_course_map[[#This Row],[role_id]], role_data[role_id], role_data[Role],"")</f>
        <v>Specialist Services Desk Supervisor</v>
      </c>
      <c r="C180">
        <v>999058</v>
      </c>
      <c r="D180" s="5" t="str">
        <f>_xlfn.XLOOKUP(role_course_map[[#This Row],[course_id]],course_data[course_id],course_data[title],"")</f>
        <v>Stress Identification &amp; Stress Management</v>
      </c>
      <c r="E180" s="5" t="str">
        <f>_xlfn.XLOOKUP(role_course_map[[#This Row],[course_id]],course_data[course_id],course_data[topic],"")</f>
        <v>SAS : Health and Safety</v>
      </c>
      <c r="F180" s="5" t="str">
        <f>_xlfn.XLOOKUP(role_course_map[[#This Row],[course_id]],course_data[course_id],course_data[type],"")</f>
        <v>eLearning</v>
      </c>
      <c r="K180" t="str">
        <f>role_course_map[[#This Row],[role_id]] &amp; "|" &amp; role_course_map[[#This Row],[course_id]]</f>
        <v>R0083|999058</v>
      </c>
      <c r="L180" t="str">
        <f>IF(COUNTIF(role_course_map[mapping_key],role_course_map[[#This Row],[mapping_key]])&gt;1,"DUPLICATE","OK")</f>
        <v>OK</v>
      </c>
      <c r="M180" t="str">
        <f>IF(COUNTIF(role_data[role_id],role_course_map[[#This Row],[role_id]])=0, "INVALID","VALID")</f>
        <v>VALID</v>
      </c>
      <c r="N180" t="str">
        <f>IF(COUNTIF(course_data[course_id],role_course_map[[#This Row],[course_id]])=0, "INVALID","VALID")</f>
        <v>VALID</v>
      </c>
    </row>
    <row r="181" spans="1:14" x14ac:dyDescent="0.35">
      <c r="A181" t="s">
        <v>178</v>
      </c>
      <c r="B181" s="5" t="str">
        <f>_xlfn.XLOOKUP(role_course_map[[#This Row],[role_id]], role_data[role_id], role_data[Role],"")</f>
        <v>Specialist Services Desk Supervisor</v>
      </c>
      <c r="C181">
        <v>79147</v>
      </c>
      <c r="D181" s="5" t="str">
        <f>_xlfn.XLOOKUP(role_course_map[[#This Row],[course_id]],course_data[course_id],course_data[title],"")</f>
        <v>Driving risks at work</v>
      </c>
      <c r="E181" s="5" t="str">
        <f>_xlfn.XLOOKUP(role_course_map[[#This Row],[course_id]],course_data[course_id],course_data[topic],"")</f>
        <v>SAS : Health and Safety</v>
      </c>
      <c r="F181" s="5" t="str">
        <f>_xlfn.XLOOKUP(role_course_map[[#This Row],[course_id]],course_data[course_id],course_data[type],"")</f>
        <v>eLearning</v>
      </c>
      <c r="K181" t="str">
        <f>role_course_map[[#This Row],[role_id]] &amp; "|" &amp; role_course_map[[#This Row],[course_id]]</f>
        <v>R0083|79147</v>
      </c>
      <c r="L181" t="str">
        <f>IF(COUNTIF(role_course_map[mapping_key],role_course_map[[#This Row],[mapping_key]])&gt;1,"DUPLICATE","OK")</f>
        <v>OK</v>
      </c>
      <c r="M181" t="str">
        <f>IF(COUNTIF(role_data[role_id],role_course_map[[#This Row],[role_id]])=0, "INVALID","VALID")</f>
        <v>VALID</v>
      </c>
      <c r="N181" t="str">
        <f>IF(COUNTIF(course_data[course_id],role_course_map[[#This Row],[course_id]])=0, "INVALID","VALID")</f>
        <v>VALID</v>
      </c>
    </row>
    <row r="182" spans="1:14" x14ac:dyDescent="0.35">
      <c r="A182" t="s">
        <v>164</v>
      </c>
      <c r="B182" s="5" t="str">
        <f>_xlfn.XLOOKUP(role_course_map[[#This Row],[role_id]], role_data[role_id], role_data[Role],"")</f>
        <v>Real Time Analyst</v>
      </c>
      <c r="C182">
        <v>999057</v>
      </c>
      <c r="D182" s="5" t="str">
        <f>_xlfn.XLOOKUP(role_course_map[[#This Row],[course_id]],course_data[course_id],course_data[title],"")</f>
        <v>Fatigue Awareness</v>
      </c>
      <c r="E182" s="5" t="str">
        <f>_xlfn.XLOOKUP(role_course_map[[#This Row],[course_id]],course_data[course_id],course_data[topic],"")</f>
        <v>SAS : Health and Safety</v>
      </c>
      <c r="F182" s="5" t="str">
        <f>_xlfn.XLOOKUP(role_course_map[[#This Row],[course_id]],course_data[course_id],course_data[type],"")</f>
        <v>eLearning</v>
      </c>
      <c r="K182" t="str">
        <f>role_course_map[[#This Row],[role_id]] &amp; "|" &amp; role_course_map[[#This Row],[course_id]]</f>
        <v>R0076|999057</v>
      </c>
      <c r="L182" t="str">
        <f>IF(COUNTIF(role_course_map[mapping_key],role_course_map[[#This Row],[mapping_key]])&gt;1,"DUPLICATE","OK")</f>
        <v>OK</v>
      </c>
      <c r="M182" t="str">
        <f>IF(COUNTIF(role_data[role_id],role_course_map[[#This Row],[role_id]])=0, "INVALID","VALID")</f>
        <v>VALID</v>
      </c>
      <c r="N182" t="str">
        <f>IF(COUNTIF(course_data[course_id],role_course_map[[#This Row],[course_id]])=0, "INVALID","VALID")</f>
        <v>VALID</v>
      </c>
    </row>
    <row r="183" spans="1:14" x14ac:dyDescent="0.35">
      <c r="A183" t="s">
        <v>178</v>
      </c>
      <c r="B183" s="5" t="str">
        <f>_xlfn.XLOOKUP(role_course_map[[#This Row],[role_id]], role_data[role_id], role_data[Role],"")</f>
        <v>Specialist Services Desk Supervisor</v>
      </c>
      <c r="C183">
        <v>64322</v>
      </c>
      <c r="D183" s="5" t="str">
        <f>_xlfn.XLOOKUP(role_course_map[[#This Row],[course_id]],course_data[course_id],course_data[title],"")</f>
        <v>Adult support and protection: practice level 2 [skilled]</v>
      </c>
      <c r="E183" s="5" t="str">
        <f>_xlfn.XLOOKUP(role_course_map[[#This Row],[course_id]],course_data[course_id],course_data[topic],"")</f>
        <v>SAS : Public Protection</v>
      </c>
      <c r="F183" s="5" t="str">
        <f>_xlfn.XLOOKUP(role_course_map[[#This Row],[course_id]],course_data[course_id],course_data[type],"")</f>
        <v>eLearning</v>
      </c>
      <c r="K183" t="str">
        <f>role_course_map[[#This Row],[role_id]] &amp; "|" &amp; role_course_map[[#This Row],[course_id]]</f>
        <v>R0083|64322</v>
      </c>
      <c r="L183" t="str">
        <f>IF(COUNTIF(role_course_map[mapping_key],role_course_map[[#This Row],[mapping_key]])&gt;1,"DUPLICATE","OK")</f>
        <v>OK</v>
      </c>
      <c r="M183" t="str">
        <f>IF(COUNTIF(role_data[role_id],role_course_map[[#This Row],[role_id]])=0, "INVALID","VALID")</f>
        <v>VALID</v>
      </c>
      <c r="N183" t="str">
        <f>IF(COUNTIF(course_data[course_id],role_course_map[[#This Row],[course_id]])=0, "INVALID","VALID")</f>
        <v>VALID</v>
      </c>
    </row>
    <row r="184" spans="1:14" x14ac:dyDescent="0.35">
      <c r="A184" t="s">
        <v>178</v>
      </c>
      <c r="B184" s="5" t="str">
        <f>_xlfn.XLOOKUP(role_course_map[[#This Row],[role_id]], role_data[role_id], role_data[Role],"")</f>
        <v>Specialist Services Desk Supervisor</v>
      </c>
      <c r="C184">
        <v>64324</v>
      </c>
      <c r="D184" s="5" t="str">
        <f>_xlfn.XLOOKUP(role_course_map[[#This Row],[course_id]],course_data[course_id],course_data[title],"")</f>
        <v>Child protection: practice level 2 [skilled]</v>
      </c>
      <c r="E184" s="5" t="str">
        <f>_xlfn.XLOOKUP(role_course_map[[#This Row],[course_id]],course_data[course_id],course_data[topic],"")</f>
        <v>SAS : Public Protection</v>
      </c>
      <c r="F184" s="5" t="str">
        <f>_xlfn.XLOOKUP(role_course_map[[#This Row],[course_id]],course_data[course_id],course_data[type],"")</f>
        <v>eLearning</v>
      </c>
      <c r="K184" t="str">
        <f>role_course_map[[#This Row],[role_id]] &amp; "|" &amp; role_course_map[[#This Row],[course_id]]</f>
        <v>R0083|64324</v>
      </c>
      <c r="L184" t="str">
        <f>IF(COUNTIF(role_course_map[mapping_key],role_course_map[[#This Row],[mapping_key]])&gt;1,"DUPLICATE","OK")</f>
        <v>OK</v>
      </c>
      <c r="M184" t="str">
        <f>IF(COUNTIF(role_data[role_id],role_course_map[[#This Row],[role_id]])=0, "INVALID","VALID")</f>
        <v>VALID</v>
      </c>
      <c r="N184" t="str">
        <f>IF(COUNTIF(course_data[course_id],role_course_map[[#This Row],[course_id]])=0, "INVALID","VALID")</f>
        <v>VALID</v>
      </c>
    </row>
    <row r="185" spans="1:14" x14ac:dyDescent="0.35">
      <c r="A185" t="s">
        <v>164</v>
      </c>
      <c r="B185" s="5" t="str">
        <f>_xlfn.XLOOKUP(role_course_map[[#This Row],[role_id]], role_data[role_id], role_data[Role],"")</f>
        <v>Real Time Analyst</v>
      </c>
      <c r="C185">
        <v>76716</v>
      </c>
      <c r="D185" s="5" t="str">
        <f>_xlfn.XLOOKUP(role_course_map[[#This Row],[course_id]],course_data[course_id],course_data[title],"")</f>
        <v>Domestic abuse awareness training tool (DAART)</v>
      </c>
      <c r="E185" s="5" t="str">
        <f>_xlfn.XLOOKUP(role_course_map[[#This Row],[course_id]],course_data[course_id],course_data[topic],"")</f>
        <v>SAS : Public Protection</v>
      </c>
      <c r="F185" s="5" t="str">
        <f>_xlfn.XLOOKUP(role_course_map[[#This Row],[course_id]],course_data[course_id],course_data[type],"")</f>
        <v>eLearning</v>
      </c>
      <c r="K185" t="str">
        <f>role_course_map[[#This Row],[role_id]] &amp; "|" &amp; role_course_map[[#This Row],[course_id]]</f>
        <v>R0076|76716</v>
      </c>
      <c r="L185" t="str">
        <f>IF(COUNTIF(role_course_map[mapping_key],role_course_map[[#This Row],[mapping_key]])&gt;1,"DUPLICATE","OK")</f>
        <v>OK</v>
      </c>
      <c r="M185" t="str">
        <f>IF(COUNTIF(role_data[role_id],role_course_map[[#This Row],[role_id]])=0, "INVALID","VALID")</f>
        <v>VALID</v>
      </c>
      <c r="N185" t="str">
        <f>IF(COUNTIF(course_data[course_id],role_course_map[[#This Row],[course_id]])=0, "INVALID","VALID")</f>
        <v>VALID</v>
      </c>
    </row>
    <row r="186" spans="1:14" x14ac:dyDescent="0.35">
      <c r="A186" t="s">
        <v>178</v>
      </c>
      <c r="B186" s="5" t="str">
        <f>_xlfn.XLOOKUP(role_course_map[[#This Row],[role_id]], role_data[role_id], role_data[Role],"")</f>
        <v>Specialist Services Desk Supervisor</v>
      </c>
      <c r="C186">
        <v>79666</v>
      </c>
      <c r="D186" s="5" t="str">
        <f>_xlfn.XLOOKUP(role_course_map[[#This Row],[course_id]],course_data[course_id],course_data[title],"")</f>
        <v>Getting it right for every child (GIRFEC): informed level</v>
      </c>
      <c r="E186" s="5" t="str">
        <f>_xlfn.XLOOKUP(role_course_map[[#This Row],[course_id]],course_data[course_id],course_data[topic],"")</f>
        <v>SAS : Public Protection</v>
      </c>
      <c r="F186" s="5" t="str">
        <f>_xlfn.XLOOKUP(role_course_map[[#This Row],[course_id]],course_data[course_id],course_data[type],"")</f>
        <v>eLearning</v>
      </c>
      <c r="K186" t="str">
        <f>role_course_map[[#This Row],[role_id]] &amp; "|" &amp; role_course_map[[#This Row],[course_id]]</f>
        <v>R0083|79666</v>
      </c>
      <c r="L186" t="str">
        <f>IF(COUNTIF(role_course_map[mapping_key],role_course_map[[#This Row],[mapping_key]])&gt;1,"DUPLICATE","OK")</f>
        <v>OK</v>
      </c>
      <c r="M186" t="str">
        <f>IF(COUNTIF(role_data[role_id],role_course_map[[#This Row],[role_id]])=0, "INVALID","VALID")</f>
        <v>VALID</v>
      </c>
      <c r="N186" t="str">
        <f>IF(COUNTIF(course_data[course_id],role_course_map[[#This Row],[course_id]])=0, "INVALID","VALID")</f>
        <v>VALID</v>
      </c>
    </row>
    <row r="187" spans="1:14" x14ac:dyDescent="0.35">
      <c r="A187" t="s">
        <v>178</v>
      </c>
      <c r="B187" s="5" t="str">
        <f>_xlfn.XLOOKUP(role_course_map[[#This Row],[role_id]], role_data[role_id], role_data[Role],"")</f>
        <v>Specialist Services Desk Supervisor</v>
      </c>
      <c r="C187">
        <v>999074</v>
      </c>
      <c r="D187" s="5" t="str">
        <f>_xlfn.XLOOKUP(role_course_map[[#This Row],[course_id]],course_data[course_id],course_data[title],"")</f>
        <v>SAS-specific Children’s rights</v>
      </c>
      <c r="E187" s="5" t="str">
        <f>_xlfn.XLOOKUP(role_course_map[[#This Row],[course_id]],course_data[course_id],course_data[topic],"")</f>
        <v>SAS : Public Protection</v>
      </c>
      <c r="F187" s="5" t="str">
        <f>_xlfn.XLOOKUP(role_course_map[[#This Row],[course_id]],course_data[course_id],course_data[type],"")</f>
        <v>eLearning</v>
      </c>
      <c r="K187" t="str">
        <f>role_course_map[[#This Row],[role_id]] &amp; "|" &amp; role_course_map[[#This Row],[course_id]]</f>
        <v>R0083|999074</v>
      </c>
      <c r="L187" t="str">
        <f>IF(COUNTIF(role_course_map[mapping_key],role_course_map[[#This Row],[mapping_key]])&gt;1,"DUPLICATE","OK")</f>
        <v>OK</v>
      </c>
      <c r="M187" t="str">
        <f>IF(COUNTIF(role_data[role_id],role_course_map[[#This Row],[role_id]])=0, "INVALID","VALID")</f>
        <v>VALID</v>
      </c>
      <c r="N187" t="str">
        <f>IF(COUNTIF(course_data[course_id],role_course_map[[#This Row],[course_id]])=0, "INVALID","VALID")</f>
        <v>VALID</v>
      </c>
    </row>
    <row r="188" spans="1:14" x14ac:dyDescent="0.35">
      <c r="A188" t="s">
        <v>178</v>
      </c>
      <c r="B188" s="5" t="str">
        <f>_xlfn.XLOOKUP(role_course_map[[#This Row],[role_id]], role_data[role_id], role_data[Role],"")</f>
        <v>Specialist Services Desk Supervisor</v>
      </c>
      <c r="C188">
        <v>999075</v>
      </c>
      <c r="D188" s="5" t="str">
        <f>_xlfn.XLOOKUP(role_course_map[[#This Row],[course_id]],course_data[course_id],course_data[title],"")</f>
        <v>Multiagency local or bespoke Level 3 delivery training</v>
      </c>
      <c r="E188" s="5" t="str">
        <f>_xlfn.XLOOKUP(role_course_map[[#This Row],[course_id]],course_data[course_id],course_data[topic],"")</f>
        <v>SAS : Public Protection</v>
      </c>
      <c r="F188" s="5" t="str">
        <f>_xlfn.XLOOKUP(role_course_map[[#This Row],[course_id]],course_data[course_id],course_data[type],"")</f>
        <v>eLearning</v>
      </c>
      <c r="K188" t="str">
        <f>role_course_map[[#This Row],[role_id]] &amp; "|" &amp; role_course_map[[#This Row],[course_id]]</f>
        <v>R0083|999075</v>
      </c>
      <c r="L188" t="str">
        <f>IF(COUNTIF(role_course_map[mapping_key],role_course_map[[#This Row],[mapping_key]])&gt;1,"DUPLICATE","OK")</f>
        <v>OK</v>
      </c>
      <c r="M188" t="str">
        <f>IF(COUNTIF(role_data[role_id],role_course_map[[#This Row],[role_id]])=0, "INVALID","VALID")</f>
        <v>VALID</v>
      </c>
      <c r="N188" t="str">
        <f>IF(COUNTIF(course_data[course_id],role_course_map[[#This Row],[course_id]])=0, "INVALID","VALID")</f>
        <v>VALID</v>
      </c>
    </row>
    <row r="189" spans="1:14" x14ac:dyDescent="0.35">
      <c r="A189" t="s">
        <v>178</v>
      </c>
      <c r="B189" s="5" t="str">
        <f>_xlfn.XLOOKUP(role_course_map[[#This Row],[role_id]], role_data[role_id], role_data[Role],"")</f>
        <v>Specialist Services Desk Supervisor</v>
      </c>
      <c r="C189">
        <v>15249</v>
      </c>
      <c r="D189" s="5" t="str">
        <f>_xlfn.XLOOKUP(role_course_map[[#This Row],[course_id]],course_data[course_id],course_data[title],"")</f>
        <v>Human trafficking</v>
      </c>
      <c r="E189" s="5" t="str">
        <f>_xlfn.XLOOKUP(role_course_map[[#This Row],[course_id]],course_data[course_id],course_data[topic],"")</f>
        <v>SAS : Public Protection</v>
      </c>
      <c r="F189" s="5" t="str">
        <f>_xlfn.XLOOKUP(role_course_map[[#This Row],[course_id]],course_data[course_id],course_data[type],"")</f>
        <v>eLearning</v>
      </c>
      <c r="K189" t="str">
        <f>role_course_map[[#This Row],[role_id]] &amp; "|" &amp; role_course_map[[#This Row],[course_id]]</f>
        <v>R0083|15249</v>
      </c>
      <c r="L189" t="str">
        <f>IF(COUNTIF(role_course_map[mapping_key],role_course_map[[#This Row],[mapping_key]])&gt;1,"DUPLICATE","OK")</f>
        <v>OK</v>
      </c>
      <c r="M189" t="str">
        <f>IF(COUNTIF(role_data[role_id],role_course_map[[#This Row],[role_id]])=0, "INVALID","VALID")</f>
        <v>VALID</v>
      </c>
      <c r="N189" t="str">
        <f>IF(COUNTIF(course_data[course_id],role_course_map[[#This Row],[course_id]])=0, "INVALID","VALID")</f>
        <v>VALID</v>
      </c>
    </row>
    <row r="190" spans="1:14" x14ac:dyDescent="0.35">
      <c r="A190" t="s">
        <v>142</v>
      </c>
      <c r="B190" s="5" t="str">
        <f>_xlfn.XLOOKUP(role_course_map[[#This Row],[role_id]], role_data[role_id], role_data[Role],"")</f>
        <v>Dual Supervisor</v>
      </c>
      <c r="C190">
        <v>999092</v>
      </c>
      <c r="D190" s="5" t="str">
        <f>_xlfn.XLOOKUP(role_course_map[[#This Row],[course_id]],course_data[course_id],course_data[title],"")</f>
        <v>Health &amp; Wellbeing Awareness for Managers</v>
      </c>
      <c r="E190" s="5" t="str">
        <f>_xlfn.XLOOKUP(role_course_map[[#This Row],[course_id]],course_data[course_id],course_data[topic],"")</f>
        <v>SAS: Staff development and experience</v>
      </c>
      <c r="F190" s="5" t="str">
        <f>_xlfn.XLOOKUP(role_course_map[[#This Row],[course_id]],course_data[course_id],course_data[type],"")</f>
        <v>eLearning</v>
      </c>
      <c r="K190" t="str">
        <f>role_course_map[[#This Row],[role_id]] &amp; "|" &amp; role_course_map[[#This Row],[course_id]]</f>
        <v>R0065|999092</v>
      </c>
      <c r="L190" t="str">
        <f>IF(COUNTIF(role_course_map[mapping_key],role_course_map[[#This Row],[mapping_key]])&gt;1,"DUPLICATE","OK")</f>
        <v>OK</v>
      </c>
      <c r="M190" t="str">
        <f>IF(COUNTIF(role_data[role_id],role_course_map[[#This Row],[role_id]])=0, "INVALID","VALID")</f>
        <v>VALID</v>
      </c>
      <c r="N190" t="str">
        <f>IF(COUNTIF(course_data[course_id],role_course_map[[#This Row],[course_id]])=0, "INVALID","VALID")</f>
        <v>VALID</v>
      </c>
    </row>
    <row r="191" spans="1:14" x14ac:dyDescent="0.35">
      <c r="A191" t="s">
        <v>178</v>
      </c>
      <c r="B191" s="5" t="str">
        <f>_xlfn.XLOOKUP(role_course_map[[#This Row],[role_id]], role_data[role_id], role_data[Role],"")</f>
        <v>Specialist Services Desk Supervisor</v>
      </c>
      <c r="C191">
        <v>999093</v>
      </c>
      <c r="D191" s="5" t="str">
        <f>_xlfn.XLOOKUP(role_course_map[[#This Row],[course_id]],course_data[course_id],course_data[title],"")</f>
        <v>Managing Wellbeing Refresher for Managers</v>
      </c>
      <c r="E191" s="5" t="str">
        <f>_xlfn.XLOOKUP(role_course_map[[#This Row],[course_id]],course_data[course_id],course_data[topic],"")</f>
        <v>SAS: Staff development and experience</v>
      </c>
      <c r="F191" s="5" t="str">
        <f>_xlfn.XLOOKUP(role_course_map[[#This Row],[course_id]],course_data[course_id],course_data[type],"")</f>
        <v>eLearning</v>
      </c>
      <c r="K191" t="str">
        <f>role_course_map[[#This Row],[role_id]] &amp; "|" &amp; role_course_map[[#This Row],[course_id]]</f>
        <v>R0083|999093</v>
      </c>
      <c r="L191" t="str">
        <f>IF(COUNTIF(role_course_map[mapping_key],role_course_map[[#This Row],[mapping_key]])&gt;1,"DUPLICATE","OK")</f>
        <v>OK</v>
      </c>
      <c r="M191" t="str">
        <f>IF(COUNTIF(role_data[role_id],role_course_map[[#This Row],[role_id]])=0, "INVALID","VALID")</f>
        <v>VALID</v>
      </c>
      <c r="N191" t="str">
        <f>IF(COUNTIF(course_data[course_id],role_course_map[[#This Row],[course_id]])=0, "INVALID","VALID")</f>
        <v>VALID</v>
      </c>
    </row>
    <row r="192" spans="1:14" x14ac:dyDescent="0.35">
      <c r="A192" t="s">
        <v>164</v>
      </c>
      <c r="B192" s="5" t="str">
        <f>_xlfn.XLOOKUP(role_course_map[[#This Row],[role_id]], role_data[role_id], role_data[Role],"")</f>
        <v>Real Time Analyst</v>
      </c>
      <c r="C192">
        <v>999094</v>
      </c>
      <c r="D192" s="5" t="str">
        <f>_xlfn.XLOOKUP(role_course_map[[#This Row],[course_id]],course_data[course_id],course_data[title],"")</f>
        <v>Being well, Mind, Body &amp; Workplace</v>
      </c>
      <c r="E192" s="5" t="str">
        <f>_xlfn.XLOOKUP(role_course_map[[#This Row],[course_id]],course_data[course_id],course_data[topic],"")</f>
        <v>SAS: Staff development and experience</v>
      </c>
      <c r="F192" s="5" t="str">
        <f>_xlfn.XLOOKUP(role_course_map[[#This Row],[course_id]],course_data[course_id],course_data[type],"")</f>
        <v>eLearning</v>
      </c>
      <c r="K192" t="str">
        <f>role_course_map[[#This Row],[role_id]] &amp; "|" &amp; role_course_map[[#This Row],[course_id]]</f>
        <v>R0076|999094</v>
      </c>
      <c r="L192" t="str">
        <f>IF(COUNTIF(role_course_map[mapping_key],role_course_map[[#This Row],[mapping_key]])&gt;1,"DUPLICATE","OK")</f>
        <v>OK</v>
      </c>
      <c r="M192" t="str">
        <f>IF(COUNTIF(role_data[role_id],role_course_map[[#This Row],[role_id]])=0, "INVALID","VALID")</f>
        <v>VALID</v>
      </c>
      <c r="N192" t="str">
        <f>IF(COUNTIF(course_data[course_id],role_course_map[[#This Row],[course_id]])=0, "INVALID","VALID")</f>
        <v>VALID</v>
      </c>
    </row>
    <row r="193" spans="1:14" x14ac:dyDescent="0.35">
      <c r="A193" t="s">
        <v>138</v>
      </c>
      <c r="B193" s="5" t="str">
        <f>_xlfn.XLOOKUP(role_course_map[[#This Row],[role_id]], role_data[role_id], role_data[Role],"")</f>
        <v>Dispatch Supervisor</v>
      </c>
      <c r="C193">
        <v>78310</v>
      </c>
      <c r="D193" s="5" t="str">
        <f>_xlfn.XLOOKUP(role_course_map[[#This Row],[course_id]],course_data[course_id],course_data[title],"")</f>
        <v>LifeX</v>
      </c>
      <c r="E193" s="5" t="str">
        <f>_xlfn.XLOOKUP(role_course_map[[#This Row],[course_id]],course_data[course_id],course_data[topic],"")</f>
        <v>SAS: Systems Training</v>
      </c>
      <c r="F193" s="5" t="str">
        <f>_xlfn.XLOOKUP(role_course_map[[#This Row],[course_id]],course_data[course_id],course_data[type],"")</f>
        <v>Course</v>
      </c>
      <c r="K193" t="str">
        <f>role_course_map[[#This Row],[role_id]] &amp; "|" &amp; role_course_map[[#This Row],[course_id]]</f>
        <v>R0063|78310</v>
      </c>
      <c r="L193" t="str">
        <f>IF(COUNTIF(role_course_map[mapping_key],role_course_map[[#This Row],[mapping_key]])&gt;1,"DUPLICATE","OK")</f>
        <v>OK</v>
      </c>
      <c r="M193" t="str">
        <f>IF(COUNTIF(role_data[role_id],role_course_map[[#This Row],[role_id]])=0, "INVALID","VALID")</f>
        <v>VALID</v>
      </c>
      <c r="N193" t="str">
        <f>IF(COUNTIF(course_data[course_id],role_course_map[[#This Row],[course_id]])=0, "INVALID","VALID")</f>
        <v>VALID</v>
      </c>
    </row>
    <row r="194" spans="1:14" x14ac:dyDescent="0.35">
      <c r="A194" t="s">
        <v>140</v>
      </c>
      <c r="B194" s="5" t="str">
        <f>_xlfn.XLOOKUP(role_course_map[[#This Row],[role_id]], role_data[role_id], role_data[Role],"")</f>
        <v>Dispatcher</v>
      </c>
      <c r="C194">
        <v>78310</v>
      </c>
      <c r="D194" s="5" t="str">
        <f>_xlfn.XLOOKUP(role_course_map[[#This Row],[course_id]],course_data[course_id],course_data[title],"")</f>
        <v>LifeX</v>
      </c>
      <c r="E194" s="5" t="str">
        <f>_xlfn.XLOOKUP(role_course_map[[#This Row],[course_id]],course_data[course_id],course_data[topic],"")</f>
        <v>SAS: Systems Training</v>
      </c>
      <c r="F194" s="5" t="str">
        <f>_xlfn.XLOOKUP(role_course_map[[#This Row],[course_id]],course_data[course_id],course_data[type],"")</f>
        <v>Course</v>
      </c>
      <c r="K194" t="str">
        <f>role_course_map[[#This Row],[role_id]] &amp; "|" &amp; role_course_map[[#This Row],[course_id]]</f>
        <v>R0064|78310</v>
      </c>
      <c r="L194" t="str">
        <f>IF(COUNTIF(role_course_map[mapping_key],role_course_map[[#This Row],[mapping_key]])&gt;1,"DUPLICATE","OK")</f>
        <v>OK</v>
      </c>
      <c r="M194" t="str">
        <f>IF(COUNTIF(role_data[role_id],role_course_map[[#This Row],[role_id]])=0, "INVALID","VALID")</f>
        <v>VALID</v>
      </c>
      <c r="N194" t="str">
        <f>IF(COUNTIF(course_data[course_id],role_course_map[[#This Row],[course_id]])=0, "INVALID","VALID")</f>
        <v>VALID</v>
      </c>
    </row>
    <row r="195" spans="1:14" x14ac:dyDescent="0.35">
      <c r="A195" t="s">
        <v>184</v>
      </c>
      <c r="B195" s="5" t="str">
        <f>_xlfn.XLOOKUP(role_course_map[[#This Row],[role_id]], role_data[role_id], role_data[Role],"")</f>
        <v>Workforce Planning Supervisor</v>
      </c>
      <c r="C195">
        <v>78310</v>
      </c>
      <c r="D195" s="5" t="str">
        <f>_xlfn.XLOOKUP(role_course_map[[#This Row],[course_id]],course_data[course_id],course_data[title],"")</f>
        <v>LifeX</v>
      </c>
      <c r="E195" s="5" t="str">
        <f>_xlfn.XLOOKUP(role_course_map[[#This Row],[course_id]],course_data[course_id],course_data[topic],"")</f>
        <v>SAS: Systems Training</v>
      </c>
      <c r="F195" s="5" t="str">
        <f>_xlfn.XLOOKUP(role_course_map[[#This Row],[course_id]],course_data[course_id],course_data[type],"")</f>
        <v>Course</v>
      </c>
      <c r="K195" t="str">
        <f>role_course_map[[#This Row],[role_id]] &amp; "|" &amp; role_course_map[[#This Row],[course_id]]</f>
        <v>R0086|78310</v>
      </c>
      <c r="L195" t="str">
        <f>IF(COUNTIF(role_course_map[mapping_key],role_course_map[[#This Row],[mapping_key]])&gt;1,"DUPLICATE","OK")</f>
        <v>OK</v>
      </c>
      <c r="M195" t="str">
        <f>IF(COUNTIF(role_data[role_id],role_course_map[[#This Row],[role_id]])=0, "INVALID","VALID")</f>
        <v>VALID</v>
      </c>
      <c r="N195" t="str">
        <f>IF(COUNTIF(course_data[course_id],role_course_map[[#This Row],[course_id]])=0, "INVALID","VALID")</f>
        <v>VALID</v>
      </c>
    </row>
    <row r="196" spans="1:14" x14ac:dyDescent="0.35">
      <c r="A196" t="s">
        <v>184</v>
      </c>
      <c r="B196" s="5" t="str">
        <f>_xlfn.XLOOKUP(role_course_map[[#This Row],[role_id]], role_data[role_id], role_data[Role],"")</f>
        <v>Workforce Planning Supervisor</v>
      </c>
      <c r="C196">
        <v>89569</v>
      </c>
      <c r="D196" s="5" t="str">
        <f>_xlfn.XLOOKUP(role_course_map[[#This Row],[course_id]],course_data[course_id],course_data[title],"")</f>
        <v>LifeX for Supervisors</v>
      </c>
      <c r="E196" s="5" t="str">
        <f>_xlfn.XLOOKUP(role_course_map[[#This Row],[course_id]],course_data[course_id],course_data[topic],"")</f>
        <v>SAS: Systems Training</v>
      </c>
      <c r="F196" s="5" t="str">
        <f>_xlfn.XLOOKUP(role_course_map[[#This Row],[course_id]],course_data[course_id],course_data[type],"")</f>
        <v>Course</v>
      </c>
      <c r="K196" t="str">
        <f>role_course_map[[#This Row],[role_id]] &amp; "|" &amp; role_course_map[[#This Row],[course_id]]</f>
        <v>R0086|89569</v>
      </c>
      <c r="L196" t="str">
        <f>IF(COUNTIF(role_course_map[mapping_key],role_course_map[[#This Row],[mapping_key]])&gt;1,"DUPLICATE","OK")</f>
        <v>OK</v>
      </c>
      <c r="M196" t="str">
        <f>IF(COUNTIF(role_data[role_id],role_course_map[[#This Row],[role_id]])=0, "INVALID","VALID")</f>
        <v>VALID</v>
      </c>
      <c r="N196" t="str">
        <f>IF(COUNTIF(course_data[course_id],role_course_map[[#This Row],[course_id]])=0, "INVALID","VALID")</f>
        <v>VALID</v>
      </c>
    </row>
    <row r="197" spans="1:14" x14ac:dyDescent="0.35">
      <c r="A197" t="s">
        <v>184</v>
      </c>
      <c r="B197" s="5" t="str">
        <f>_xlfn.XLOOKUP(role_course_map[[#This Row],[role_id]], role_data[role_id], role_data[Role],"")</f>
        <v>Workforce Planning Supervisor</v>
      </c>
      <c r="C197">
        <v>999058</v>
      </c>
      <c r="D197" s="5" t="str">
        <f>_xlfn.XLOOKUP(role_course_map[[#This Row],[course_id]],course_data[course_id],course_data[title],"")</f>
        <v>Stress Identification &amp; Stress Management</v>
      </c>
      <c r="E197" s="5" t="str">
        <f>_xlfn.XLOOKUP(role_course_map[[#This Row],[course_id]],course_data[course_id],course_data[topic],"")</f>
        <v>SAS : Health and Safety</v>
      </c>
      <c r="F197" s="5" t="str">
        <f>_xlfn.XLOOKUP(role_course_map[[#This Row],[course_id]],course_data[course_id],course_data[type],"")</f>
        <v>eLearning</v>
      </c>
      <c r="K197" t="str">
        <f>role_course_map[[#This Row],[role_id]] &amp; "|" &amp; role_course_map[[#This Row],[course_id]]</f>
        <v>R0086|999058</v>
      </c>
      <c r="L197" t="str">
        <f>IF(COUNTIF(role_course_map[mapping_key],role_course_map[[#This Row],[mapping_key]])&gt;1,"DUPLICATE","OK")</f>
        <v>OK</v>
      </c>
      <c r="M197" t="str">
        <f>IF(COUNTIF(role_data[role_id],role_course_map[[#This Row],[role_id]])=0, "INVALID","VALID")</f>
        <v>VALID</v>
      </c>
      <c r="N197" t="str">
        <f>IF(COUNTIF(course_data[course_id],role_course_map[[#This Row],[course_id]])=0, "INVALID","VALID")</f>
        <v>VALID</v>
      </c>
    </row>
    <row r="198" spans="1:14" x14ac:dyDescent="0.35">
      <c r="A198" t="s">
        <v>184</v>
      </c>
      <c r="B198" s="5" t="str">
        <f>_xlfn.XLOOKUP(role_course_map[[#This Row],[role_id]], role_data[role_id], role_data[Role],"")</f>
        <v>Workforce Planning Supervisor</v>
      </c>
      <c r="C198">
        <v>79147</v>
      </c>
      <c r="D198" s="5" t="str">
        <f>_xlfn.XLOOKUP(role_course_map[[#This Row],[course_id]],course_data[course_id],course_data[title],"")</f>
        <v>Driving risks at work</v>
      </c>
      <c r="E198" s="5" t="str">
        <f>_xlfn.XLOOKUP(role_course_map[[#This Row],[course_id]],course_data[course_id],course_data[topic],"")</f>
        <v>SAS : Health and Safety</v>
      </c>
      <c r="F198" s="5" t="str">
        <f>_xlfn.XLOOKUP(role_course_map[[#This Row],[course_id]],course_data[course_id],course_data[type],"")</f>
        <v>eLearning</v>
      </c>
      <c r="K198" t="str">
        <f>role_course_map[[#This Row],[role_id]] &amp; "|" &amp; role_course_map[[#This Row],[course_id]]</f>
        <v>R0086|79147</v>
      </c>
      <c r="L198" t="str">
        <f>IF(COUNTIF(role_course_map[mapping_key],role_course_map[[#This Row],[mapping_key]])&gt;1,"DUPLICATE","OK")</f>
        <v>OK</v>
      </c>
      <c r="M198" t="str">
        <f>IF(COUNTIF(role_data[role_id],role_course_map[[#This Row],[role_id]])=0, "INVALID","VALID")</f>
        <v>VALID</v>
      </c>
      <c r="N198" t="str">
        <f>IF(COUNTIF(course_data[course_id],role_course_map[[#This Row],[course_id]])=0, "INVALID","VALID")</f>
        <v>VALID</v>
      </c>
    </row>
    <row r="199" spans="1:14" x14ac:dyDescent="0.35">
      <c r="A199" t="s">
        <v>178</v>
      </c>
      <c r="B199" s="5" t="str">
        <f>_xlfn.XLOOKUP(role_course_map[[#This Row],[role_id]], role_data[role_id], role_data[Role],"")</f>
        <v>Specialist Services Desk Supervisor</v>
      </c>
      <c r="C199">
        <v>999057</v>
      </c>
      <c r="D199" s="5" t="str">
        <f>_xlfn.XLOOKUP(role_course_map[[#This Row],[course_id]],course_data[course_id],course_data[title],"")</f>
        <v>Fatigue Awareness</v>
      </c>
      <c r="E199" s="5" t="str">
        <f>_xlfn.XLOOKUP(role_course_map[[#This Row],[course_id]],course_data[course_id],course_data[topic],"")</f>
        <v>SAS : Health and Safety</v>
      </c>
      <c r="F199" s="5" t="str">
        <f>_xlfn.XLOOKUP(role_course_map[[#This Row],[course_id]],course_data[course_id],course_data[type],"")</f>
        <v>eLearning</v>
      </c>
      <c r="K199" t="str">
        <f>role_course_map[[#This Row],[role_id]] &amp; "|" &amp; role_course_map[[#This Row],[course_id]]</f>
        <v>R0083|999057</v>
      </c>
      <c r="L199" t="str">
        <f>IF(COUNTIF(role_course_map[mapping_key],role_course_map[[#This Row],[mapping_key]])&gt;1,"DUPLICATE","OK")</f>
        <v>OK</v>
      </c>
      <c r="M199" t="str">
        <f>IF(COUNTIF(role_data[role_id],role_course_map[[#This Row],[role_id]])=0, "INVALID","VALID")</f>
        <v>VALID</v>
      </c>
      <c r="N199" t="str">
        <f>IF(COUNTIF(course_data[course_id],role_course_map[[#This Row],[course_id]])=0, "INVALID","VALID")</f>
        <v>VALID</v>
      </c>
    </row>
    <row r="200" spans="1:14" x14ac:dyDescent="0.35">
      <c r="A200" t="s">
        <v>184</v>
      </c>
      <c r="B200" s="5" t="str">
        <f>_xlfn.XLOOKUP(role_course_map[[#This Row],[role_id]], role_data[role_id], role_data[Role],"")</f>
        <v>Workforce Planning Supervisor</v>
      </c>
      <c r="C200">
        <v>64322</v>
      </c>
      <c r="D200" s="5" t="str">
        <f>_xlfn.XLOOKUP(role_course_map[[#This Row],[course_id]],course_data[course_id],course_data[title],"")</f>
        <v>Adult support and protection: practice level 2 [skilled]</v>
      </c>
      <c r="E200" s="5" t="str">
        <f>_xlfn.XLOOKUP(role_course_map[[#This Row],[course_id]],course_data[course_id],course_data[topic],"")</f>
        <v>SAS : Public Protection</v>
      </c>
      <c r="F200" s="5" t="str">
        <f>_xlfn.XLOOKUP(role_course_map[[#This Row],[course_id]],course_data[course_id],course_data[type],"")</f>
        <v>eLearning</v>
      </c>
      <c r="K200" t="str">
        <f>role_course_map[[#This Row],[role_id]] &amp; "|" &amp; role_course_map[[#This Row],[course_id]]</f>
        <v>R0086|64322</v>
      </c>
      <c r="L200" t="str">
        <f>IF(COUNTIF(role_course_map[mapping_key],role_course_map[[#This Row],[mapping_key]])&gt;1,"DUPLICATE","OK")</f>
        <v>OK</v>
      </c>
      <c r="M200" t="str">
        <f>IF(COUNTIF(role_data[role_id],role_course_map[[#This Row],[role_id]])=0, "INVALID","VALID")</f>
        <v>VALID</v>
      </c>
      <c r="N200" t="str">
        <f>IF(COUNTIF(course_data[course_id],role_course_map[[#This Row],[course_id]])=0, "INVALID","VALID")</f>
        <v>VALID</v>
      </c>
    </row>
    <row r="201" spans="1:14" x14ac:dyDescent="0.35">
      <c r="A201" t="s">
        <v>184</v>
      </c>
      <c r="B201" s="5" t="str">
        <f>_xlfn.XLOOKUP(role_course_map[[#This Row],[role_id]], role_data[role_id], role_data[Role],"")</f>
        <v>Workforce Planning Supervisor</v>
      </c>
      <c r="C201">
        <v>64324</v>
      </c>
      <c r="D201" s="5" t="str">
        <f>_xlfn.XLOOKUP(role_course_map[[#This Row],[course_id]],course_data[course_id],course_data[title],"")</f>
        <v>Child protection: practice level 2 [skilled]</v>
      </c>
      <c r="E201" s="5" t="str">
        <f>_xlfn.XLOOKUP(role_course_map[[#This Row],[course_id]],course_data[course_id],course_data[topic],"")</f>
        <v>SAS : Public Protection</v>
      </c>
      <c r="F201" s="5" t="str">
        <f>_xlfn.XLOOKUP(role_course_map[[#This Row],[course_id]],course_data[course_id],course_data[type],"")</f>
        <v>eLearning</v>
      </c>
      <c r="K201" t="str">
        <f>role_course_map[[#This Row],[role_id]] &amp; "|" &amp; role_course_map[[#This Row],[course_id]]</f>
        <v>R0086|64324</v>
      </c>
      <c r="L201" t="str">
        <f>IF(COUNTIF(role_course_map[mapping_key],role_course_map[[#This Row],[mapping_key]])&gt;1,"DUPLICATE","OK")</f>
        <v>OK</v>
      </c>
      <c r="M201" t="str">
        <f>IF(COUNTIF(role_data[role_id],role_course_map[[#This Row],[role_id]])=0, "INVALID","VALID")</f>
        <v>VALID</v>
      </c>
      <c r="N201" t="str">
        <f>IF(COUNTIF(course_data[course_id],role_course_map[[#This Row],[course_id]])=0, "INVALID","VALID")</f>
        <v>VALID</v>
      </c>
    </row>
    <row r="202" spans="1:14" x14ac:dyDescent="0.35">
      <c r="A202" t="s">
        <v>178</v>
      </c>
      <c r="B202" s="5" t="str">
        <f>_xlfn.XLOOKUP(role_course_map[[#This Row],[role_id]], role_data[role_id], role_data[Role],"")</f>
        <v>Specialist Services Desk Supervisor</v>
      </c>
      <c r="C202">
        <v>76716</v>
      </c>
      <c r="D202" s="5" t="str">
        <f>_xlfn.XLOOKUP(role_course_map[[#This Row],[course_id]],course_data[course_id],course_data[title],"")</f>
        <v>Domestic abuse awareness training tool (DAART)</v>
      </c>
      <c r="E202" s="5" t="str">
        <f>_xlfn.XLOOKUP(role_course_map[[#This Row],[course_id]],course_data[course_id],course_data[topic],"")</f>
        <v>SAS : Public Protection</v>
      </c>
      <c r="F202" s="5" t="str">
        <f>_xlfn.XLOOKUP(role_course_map[[#This Row],[course_id]],course_data[course_id],course_data[type],"")</f>
        <v>eLearning</v>
      </c>
      <c r="K202" t="str">
        <f>role_course_map[[#This Row],[role_id]] &amp; "|" &amp; role_course_map[[#This Row],[course_id]]</f>
        <v>R0083|76716</v>
      </c>
      <c r="L202" t="str">
        <f>IF(COUNTIF(role_course_map[mapping_key],role_course_map[[#This Row],[mapping_key]])&gt;1,"DUPLICATE","OK")</f>
        <v>OK</v>
      </c>
      <c r="M202" t="str">
        <f>IF(COUNTIF(role_data[role_id],role_course_map[[#This Row],[role_id]])=0, "INVALID","VALID")</f>
        <v>VALID</v>
      </c>
      <c r="N202" t="str">
        <f>IF(COUNTIF(course_data[course_id],role_course_map[[#This Row],[course_id]])=0, "INVALID","VALID")</f>
        <v>VALID</v>
      </c>
    </row>
    <row r="203" spans="1:14" x14ac:dyDescent="0.35">
      <c r="A203" t="s">
        <v>184</v>
      </c>
      <c r="B203" s="5" t="str">
        <f>_xlfn.XLOOKUP(role_course_map[[#This Row],[role_id]], role_data[role_id], role_data[Role],"")</f>
        <v>Workforce Planning Supervisor</v>
      </c>
      <c r="C203">
        <v>79666</v>
      </c>
      <c r="D203" s="5" t="str">
        <f>_xlfn.XLOOKUP(role_course_map[[#This Row],[course_id]],course_data[course_id],course_data[title],"")</f>
        <v>Getting it right for every child (GIRFEC): informed level</v>
      </c>
      <c r="E203" s="5" t="str">
        <f>_xlfn.XLOOKUP(role_course_map[[#This Row],[course_id]],course_data[course_id],course_data[topic],"")</f>
        <v>SAS : Public Protection</v>
      </c>
      <c r="F203" s="5" t="str">
        <f>_xlfn.XLOOKUP(role_course_map[[#This Row],[course_id]],course_data[course_id],course_data[type],"")</f>
        <v>eLearning</v>
      </c>
      <c r="K203" t="str">
        <f>role_course_map[[#This Row],[role_id]] &amp; "|" &amp; role_course_map[[#This Row],[course_id]]</f>
        <v>R0086|79666</v>
      </c>
      <c r="L203" t="str">
        <f>IF(COUNTIF(role_course_map[mapping_key],role_course_map[[#This Row],[mapping_key]])&gt;1,"DUPLICATE","OK")</f>
        <v>OK</v>
      </c>
      <c r="M203" t="str">
        <f>IF(COUNTIF(role_data[role_id],role_course_map[[#This Row],[role_id]])=0, "INVALID","VALID")</f>
        <v>VALID</v>
      </c>
      <c r="N203" t="str">
        <f>IF(COUNTIF(course_data[course_id],role_course_map[[#This Row],[course_id]])=0, "INVALID","VALID")</f>
        <v>VALID</v>
      </c>
    </row>
    <row r="204" spans="1:14" x14ac:dyDescent="0.35">
      <c r="A204" t="s">
        <v>184</v>
      </c>
      <c r="B204" s="5" t="str">
        <f>_xlfn.XLOOKUP(role_course_map[[#This Row],[role_id]], role_data[role_id], role_data[Role],"")</f>
        <v>Workforce Planning Supervisor</v>
      </c>
      <c r="C204">
        <v>999074</v>
      </c>
      <c r="D204" s="5" t="str">
        <f>_xlfn.XLOOKUP(role_course_map[[#This Row],[course_id]],course_data[course_id],course_data[title],"")</f>
        <v>SAS-specific Children’s rights</v>
      </c>
      <c r="E204" s="5" t="str">
        <f>_xlfn.XLOOKUP(role_course_map[[#This Row],[course_id]],course_data[course_id],course_data[topic],"")</f>
        <v>SAS : Public Protection</v>
      </c>
      <c r="F204" s="5" t="str">
        <f>_xlfn.XLOOKUP(role_course_map[[#This Row],[course_id]],course_data[course_id],course_data[type],"")</f>
        <v>eLearning</v>
      </c>
      <c r="K204" t="str">
        <f>role_course_map[[#This Row],[role_id]] &amp; "|" &amp; role_course_map[[#This Row],[course_id]]</f>
        <v>R0086|999074</v>
      </c>
      <c r="L204" t="str">
        <f>IF(COUNTIF(role_course_map[mapping_key],role_course_map[[#This Row],[mapping_key]])&gt;1,"DUPLICATE","OK")</f>
        <v>OK</v>
      </c>
      <c r="M204" t="str">
        <f>IF(COUNTIF(role_data[role_id],role_course_map[[#This Row],[role_id]])=0, "INVALID","VALID")</f>
        <v>VALID</v>
      </c>
      <c r="N204" t="str">
        <f>IF(COUNTIF(course_data[course_id],role_course_map[[#This Row],[course_id]])=0, "INVALID","VALID")</f>
        <v>VALID</v>
      </c>
    </row>
    <row r="205" spans="1:14" x14ac:dyDescent="0.35">
      <c r="A205" t="s">
        <v>184</v>
      </c>
      <c r="B205" s="5" t="str">
        <f>_xlfn.XLOOKUP(role_course_map[[#This Row],[role_id]], role_data[role_id], role_data[Role],"")</f>
        <v>Workforce Planning Supervisor</v>
      </c>
      <c r="C205">
        <v>999075</v>
      </c>
      <c r="D205" s="5" t="str">
        <f>_xlfn.XLOOKUP(role_course_map[[#This Row],[course_id]],course_data[course_id],course_data[title],"")</f>
        <v>Multiagency local or bespoke Level 3 delivery training</v>
      </c>
      <c r="E205" s="5" t="str">
        <f>_xlfn.XLOOKUP(role_course_map[[#This Row],[course_id]],course_data[course_id],course_data[topic],"")</f>
        <v>SAS : Public Protection</v>
      </c>
      <c r="F205" s="5" t="str">
        <f>_xlfn.XLOOKUP(role_course_map[[#This Row],[course_id]],course_data[course_id],course_data[type],"")</f>
        <v>eLearning</v>
      </c>
      <c r="K205" t="str">
        <f>role_course_map[[#This Row],[role_id]] &amp; "|" &amp; role_course_map[[#This Row],[course_id]]</f>
        <v>R0086|999075</v>
      </c>
      <c r="L205" t="str">
        <f>IF(COUNTIF(role_course_map[mapping_key],role_course_map[[#This Row],[mapping_key]])&gt;1,"DUPLICATE","OK")</f>
        <v>OK</v>
      </c>
      <c r="M205" t="str">
        <f>IF(COUNTIF(role_data[role_id],role_course_map[[#This Row],[role_id]])=0, "INVALID","VALID")</f>
        <v>VALID</v>
      </c>
      <c r="N205" t="str">
        <f>IF(COUNTIF(course_data[course_id],role_course_map[[#This Row],[course_id]])=0, "INVALID","VALID")</f>
        <v>VALID</v>
      </c>
    </row>
    <row r="206" spans="1:14" x14ac:dyDescent="0.35">
      <c r="A206" t="s">
        <v>184</v>
      </c>
      <c r="B206" s="5" t="str">
        <f>_xlfn.XLOOKUP(role_course_map[[#This Row],[role_id]], role_data[role_id], role_data[Role],"")</f>
        <v>Workforce Planning Supervisor</v>
      </c>
      <c r="C206">
        <v>15249</v>
      </c>
      <c r="D206" s="5" t="str">
        <f>_xlfn.XLOOKUP(role_course_map[[#This Row],[course_id]],course_data[course_id],course_data[title],"")</f>
        <v>Human trafficking</v>
      </c>
      <c r="E206" s="5" t="str">
        <f>_xlfn.XLOOKUP(role_course_map[[#This Row],[course_id]],course_data[course_id],course_data[topic],"")</f>
        <v>SAS : Public Protection</v>
      </c>
      <c r="F206" s="5" t="str">
        <f>_xlfn.XLOOKUP(role_course_map[[#This Row],[course_id]],course_data[course_id],course_data[type],"")</f>
        <v>eLearning</v>
      </c>
      <c r="K206" t="str">
        <f>role_course_map[[#This Row],[role_id]] &amp; "|" &amp; role_course_map[[#This Row],[course_id]]</f>
        <v>R0086|15249</v>
      </c>
      <c r="L206" t="str">
        <f>IF(COUNTIF(role_course_map[mapping_key],role_course_map[[#This Row],[mapping_key]])&gt;1,"DUPLICATE","OK")</f>
        <v>OK</v>
      </c>
      <c r="M206" t="str">
        <f>IF(COUNTIF(role_data[role_id],role_course_map[[#This Row],[role_id]])=0, "INVALID","VALID")</f>
        <v>VALID</v>
      </c>
      <c r="N206" t="str">
        <f>IF(COUNTIF(course_data[course_id],role_course_map[[#This Row],[course_id]])=0, "INVALID","VALID")</f>
        <v>VALID</v>
      </c>
    </row>
    <row r="207" spans="1:14" x14ac:dyDescent="0.35">
      <c r="A207" t="s">
        <v>178</v>
      </c>
      <c r="B207" s="5" t="str">
        <f>_xlfn.XLOOKUP(role_course_map[[#This Row],[role_id]], role_data[role_id], role_data[Role],"")</f>
        <v>Specialist Services Desk Supervisor</v>
      </c>
      <c r="C207">
        <v>999092</v>
      </c>
      <c r="D207" s="5" t="str">
        <f>_xlfn.XLOOKUP(role_course_map[[#This Row],[course_id]],course_data[course_id],course_data[title],"")</f>
        <v>Health &amp; Wellbeing Awareness for Managers</v>
      </c>
      <c r="E207" s="5" t="str">
        <f>_xlfn.XLOOKUP(role_course_map[[#This Row],[course_id]],course_data[course_id],course_data[topic],"")</f>
        <v>SAS: Staff development and experience</v>
      </c>
      <c r="F207" s="5" t="str">
        <f>_xlfn.XLOOKUP(role_course_map[[#This Row],[course_id]],course_data[course_id],course_data[type],"")</f>
        <v>eLearning</v>
      </c>
      <c r="K207" t="str">
        <f>role_course_map[[#This Row],[role_id]] &amp; "|" &amp; role_course_map[[#This Row],[course_id]]</f>
        <v>R0083|999092</v>
      </c>
      <c r="L207" t="str">
        <f>IF(COUNTIF(role_course_map[mapping_key],role_course_map[[#This Row],[mapping_key]])&gt;1,"DUPLICATE","OK")</f>
        <v>OK</v>
      </c>
      <c r="M207" t="str">
        <f>IF(COUNTIF(role_data[role_id],role_course_map[[#This Row],[role_id]])=0, "INVALID","VALID")</f>
        <v>VALID</v>
      </c>
      <c r="N207" t="str">
        <f>IF(COUNTIF(course_data[course_id],role_course_map[[#This Row],[course_id]])=0, "INVALID","VALID")</f>
        <v>VALID</v>
      </c>
    </row>
    <row r="208" spans="1:14" x14ac:dyDescent="0.35">
      <c r="A208" t="s">
        <v>184</v>
      </c>
      <c r="B208" s="5" t="str">
        <f>_xlfn.XLOOKUP(role_course_map[[#This Row],[role_id]], role_data[role_id], role_data[Role],"")</f>
        <v>Workforce Planning Supervisor</v>
      </c>
      <c r="C208">
        <v>999093</v>
      </c>
      <c r="D208" s="5" t="str">
        <f>_xlfn.XLOOKUP(role_course_map[[#This Row],[course_id]],course_data[course_id],course_data[title],"")</f>
        <v>Managing Wellbeing Refresher for Managers</v>
      </c>
      <c r="E208" s="5" t="str">
        <f>_xlfn.XLOOKUP(role_course_map[[#This Row],[course_id]],course_data[course_id],course_data[topic],"")</f>
        <v>SAS: Staff development and experience</v>
      </c>
      <c r="F208" s="5" t="str">
        <f>_xlfn.XLOOKUP(role_course_map[[#This Row],[course_id]],course_data[course_id],course_data[type],"")</f>
        <v>eLearning</v>
      </c>
      <c r="K208" t="str">
        <f>role_course_map[[#This Row],[role_id]] &amp; "|" &amp; role_course_map[[#This Row],[course_id]]</f>
        <v>R0086|999093</v>
      </c>
      <c r="L208" t="str">
        <f>IF(COUNTIF(role_course_map[mapping_key],role_course_map[[#This Row],[mapping_key]])&gt;1,"DUPLICATE","OK")</f>
        <v>OK</v>
      </c>
      <c r="M208" t="str">
        <f>IF(COUNTIF(role_data[role_id],role_course_map[[#This Row],[role_id]])=0, "INVALID","VALID")</f>
        <v>VALID</v>
      </c>
      <c r="N208" t="str">
        <f>IF(COUNTIF(course_data[course_id],role_course_map[[#This Row],[course_id]])=0, "INVALID","VALID")</f>
        <v>VALID</v>
      </c>
    </row>
    <row r="209" spans="1:14" x14ac:dyDescent="0.35">
      <c r="A209" t="s">
        <v>178</v>
      </c>
      <c r="B209" s="5" t="str">
        <f>_xlfn.XLOOKUP(role_course_map[[#This Row],[role_id]], role_data[role_id], role_data[Role],"")</f>
        <v>Specialist Services Desk Supervisor</v>
      </c>
      <c r="C209">
        <v>999094</v>
      </c>
      <c r="D209" s="5" t="str">
        <f>_xlfn.XLOOKUP(role_course_map[[#This Row],[course_id]],course_data[course_id],course_data[title],"")</f>
        <v>Being well, Mind, Body &amp; Workplace</v>
      </c>
      <c r="E209" s="5" t="str">
        <f>_xlfn.XLOOKUP(role_course_map[[#This Row],[course_id]],course_data[course_id],course_data[topic],"")</f>
        <v>SAS: Staff development and experience</v>
      </c>
      <c r="F209" s="5" t="str">
        <f>_xlfn.XLOOKUP(role_course_map[[#This Row],[course_id]],course_data[course_id],course_data[type],"")</f>
        <v>eLearning</v>
      </c>
      <c r="K209" t="str">
        <f>role_course_map[[#This Row],[role_id]] &amp; "|" &amp; role_course_map[[#This Row],[course_id]]</f>
        <v>R0083|999094</v>
      </c>
      <c r="L209" t="str">
        <f>IF(COUNTIF(role_course_map[mapping_key],role_course_map[[#This Row],[mapping_key]])&gt;1,"DUPLICATE","OK")</f>
        <v>OK</v>
      </c>
      <c r="M209" t="str">
        <f>IF(COUNTIF(role_data[role_id],role_course_map[[#This Row],[role_id]])=0, "INVALID","VALID")</f>
        <v>VALID</v>
      </c>
      <c r="N209" t="str">
        <f>IF(COUNTIF(course_data[course_id],role_course_map[[#This Row],[course_id]])=0, "INVALID","VALID")</f>
        <v>VALID</v>
      </c>
    </row>
    <row r="210" spans="1:14" x14ac:dyDescent="0.35">
      <c r="A210" t="s">
        <v>172</v>
      </c>
      <c r="B210" s="5" t="str">
        <f>_xlfn.XLOOKUP(role_course_map[[#This Row],[role_id]], role_data[role_id], role_data[Role],"")</f>
        <v>Scheduled Care Supervisor</v>
      </c>
      <c r="C210">
        <v>89569</v>
      </c>
      <c r="D210" s="5" t="str">
        <f>_xlfn.XLOOKUP(role_course_map[[#This Row],[course_id]],course_data[course_id],course_data[title],"")</f>
        <v>LifeX for Supervisors</v>
      </c>
      <c r="E210" s="5" t="str">
        <f>_xlfn.XLOOKUP(role_course_map[[#This Row],[course_id]],course_data[course_id],course_data[topic],"")</f>
        <v>SAS: Systems Training</v>
      </c>
      <c r="F210" s="5" t="str">
        <f>_xlfn.XLOOKUP(role_course_map[[#This Row],[course_id]],course_data[course_id],course_data[type],"")</f>
        <v>Course</v>
      </c>
      <c r="K210" t="str">
        <f>role_course_map[[#This Row],[role_id]] &amp; "|" &amp; role_course_map[[#This Row],[course_id]]</f>
        <v>R0080|89569</v>
      </c>
      <c r="L210" t="str">
        <f>IF(COUNTIF(role_course_map[mapping_key],role_course_map[[#This Row],[mapping_key]])&gt;1,"DUPLICATE","OK")</f>
        <v>OK</v>
      </c>
      <c r="M210" t="str">
        <f>IF(COUNTIF(role_data[role_id],role_course_map[[#This Row],[role_id]])=0, "INVALID","VALID")</f>
        <v>VALID</v>
      </c>
      <c r="N210" t="str">
        <f>IF(COUNTIF(course_data[course_id],role_course_map[[#This Row],[course_id]])=0, "INVALID","VALID")</f>
        <v>VALID</v>
      </c>
    </row>
    <row r="211" spans="1:14" x14ac:dyDescent="0.35">
      <c r="A211" t="s">
        <v>134</v>
      </c>
      <c r="B211" s="5" t="str">
        <f>_xlfn.XLOOKUP(role_course_map[[#This Row],[role_id]], role_data[role_id], role_data[Role],"")</f>
        <v>Critical Care Clinicians</v>
      </c>
      <c r="C211">
        <v>999058</v>
      </c>
      <c r="D211" s="5" t="str">
        <f>_xlfn.XLOOKUP(role_course_map[[#This Row],[course_id]],course_data[course_id],course_data[title],"")</f>
        <v>Stress Identification &amp; Stress Management</v>
      </c>
      <c r="E211" s="5" t="str">
        <f>_xlfn.XLOOKUP(role_course_map[[#This Row],[course_id]],course_data[course_id],course_data[topic],"")</f>
        <v>SAS : Health and Safety</v>
      </c>
      <c r="F211" s="5" t="str">
        <f>_xlfn.XLOOKUP(role_course_map[[#This Row],[course_id]],course_data[course_id],course_data[type],"")</f>
        <v>eLearning</v>
      </c>
      <c r="K211" t="str">
        <f>role_course_map[[#This Row],[role_id]] &amp; "|" &amp; role_course_map[[#This Row],[course_id]]</f>
        <v>R0061|999058</v>
      </c>
      <c r="L211" t="str">
        <f>IF(COUNTIF(role_course_map[mapping_key],role_course_map[[#This Row],[mapping_key]])&gt;1,"DUPLICATE","OK")</f>
        <v>OK</v>
      </c>
      <c r="M211" t="str">
        <f>IF(COUNTIF(role_data[role_id],role_course_map[[#This Row],[role_id]])=0, "INVALID","VALID")</f>
        <v>VALID</v>
      </c>
      <c r="N211" t="str">
        <f>IF(COUNTIF(course_data[course_id],role_course_map[[#This Row],[course_id]])=0, "INVALID","VALID")</f>
        <v>VALID</v>
      </c>
    </row>
    <row r="212" spans="1:14" x14ac:dyDescent="0.35">
      <c r="A212" t="s">
        <v>134</v>
      </c>
      <c r="B212" s="5" t="str">
        <f>_xlfn.XLOOKUP(role_course_map[[#This Row],[role_id]], role_data[role_id], role_data[Role],"")</f>
        <v>Critical Care Clinicians</v>
      </c>
      <c r="C212">
        <v>79147</v>
      </c>
      <c r="D212" s="5" t="str">
        <f>_xlfn.XLOOKUP(role_course_map[[#This Row],[course_id]],course_data[course_id],course_data[title],"")</f>
        <v>Driving risks at work</v>
      </c>
      <c r="E212" s="5" t="str">
        <f>_xlfn.XLOOKUP(role_course_map[[#This Row],[course_id]],course_data[course_id],course_data[topic],"")</f>
        <v>SAS : Health and Safety</v>
      </c>
      <c r="F212" s="5" t="str">
        <f>_xlfn.XLOOKUP(role_course_map[[#This Row],[course_id]],course_data[course_id],course_data[type],"")</f>
        <v>eLearning</v>
      </c>
      <c r="K212" t="str">
        <f>role_course_map[[#This Row],[role_id]] &amp; "|" &amp; role_course_map[[#This Row],[course_id]]</f>
        <v>R0061|79147</v>
      </c>
      <c r="L212" t="str">
        <f>IF(COUNTIF(role_course_map[mapping_key],role_course_map[[#This Row],[mapping_key]])&gt;1,"DUPLICATE","OK")</f>
        <v>OK</v>
      </c>
      <c r="M212" t="str">
        <f>IF(COUNTIF(role_data[role_id],role_course_map[[#This Row],[role_id]])=0, "INVALID","VALID")</f>
        <v>VALID</v>
      </c>
      <c r="N212" t="str">
        <f>IF(COUNTIF(course_data[course_id],role_course_map[[#This Row],[course_id]])=0, "INVALID","VALID")</f>
        <v>VALID</v>
      </c>
    </row>
    <row r="213" spans="1:14" x14ac:dyDescent="0.35">
      <c r="A213" t="s">
        <v>184</v>
      </c>
      <c r="B213" s="5" t="str">
        <f>_xlfn.XLOOKUP(role_course_map[[#This Row],[role_id]], role_data[role_id], role_data[Role],"")</f>
        <v>Workforce Planning Supervisor</v>
      </c>
      <c r="C213">
        <v>999057</v>
      </c>
      <c r="D213" s="5" t="str">
        <f>_xlfn.XLOOKUP(role_course_map[[#This Row],[course_id]],course_data[course_id],course_data[title],"")</f>
        <v>Fatigue Awareness</v>
      </c>
      <c r="E213" s="5" t="str">
        <f>_xlfn.XLOOKUP(role_course_map[[#This Row],[course_id]],course_data[course_id],course_data[topic],"")</f>
        <v>SAS : Health and Safety</v>
      </c>
      <c r="F213" s="5" t="str">
        <f>_xlfn.XLOOKUP(role_course_map[[#This Row],[course_id]],course_data[course_id],course_data[type],"")</f>
        <v>eLearning</v>
      </c>
      <c r="K213" t="str">
        <f>role_course_map[[#This Row],[role_id]] &amp; "|" &amp; role_course_map[[#This Row],[course_id]]</f>
        <v>R0086|999057</v>
      </c>
      <c r="L213" t="str">
        <f>IF(COUNTIF(role_course_map[mapping_key],role_course_map[[#This Row],[mapping_key]])&gt;1,"DUPLICATE","OK")</f>
        <v>OK</v>
      </c>
      <c r="M213" t="str">
        <f>IF(COUNTIF(role_data[role_id],role_course_map[[#This Row],[role_id]])=0, "INVALID","VALID")</f>
        <v>VALID</v>
      </c>
      <c r="N213" t="str">
        <f>IF(COUNTIF(course_data[course_id],role_course_map[[#This Row],[course_id]])=0, "INVALID","VALID")</f>
        <v>VALID</v>
      </c>
    </row>
    <row r="214" spans="1:14" x14ac:dyDescent="0.35">
      <c r="A214" t="s">
        <v>134</v>
      </c>
      <c r="B214" s="5" t="str">
        <f>_xlfn.XLOOKUP(role_course_map[[#This Row],[role_id]], role_data[role_id], role_data[Role],"")</f>
        <v>Critical Care Clinicians</v>
      </c>
      <c r="C214">
        <v>64322</v>
      </c>
      <c r="D214" s="5" t="str">
        <f>_xlfn.XLOOKUP(role_course_map[[#This Row],[course_id]],course_data[course_id],course_data[title],"")</f>
        <v>Adult support and protection: practice level 2 [skilled]</v>
      </c>
      <c r="E214" s="5" t="str">
        <f>_xlfn.XLOOKUP(role_course_map[[#This Row],[course_id]],course_data[course_id],course_data[topic],"")</f>
        <v>SAS : Public Protection</v>
      </c>
      <c r="F214" s="5" t="str">
        <f>_xlfn.XLOOKUP(role_course_map[[#This Row],[course_id]],course_data[course_id],course_data[type],"")</f>
        <v>eLearning</v>
      </c>
      <c r="K214" t="str">
        <f>role_course_map[[#This Row],[role_id]] &amp; "|" &amp; role_course_map[[#This Row],[course_id]]</f>
        <v>R0061|64322</v>
      </c>
      <c r="L214" t="str">
        <f>IF(COUNTIF(role_course_map[mapping_key],role_course_map[[#This Row],[mapping_key]])&gt;1,"DUPLICATE","OK")</f>
        <v>OK</v>
      </c>
      <c r="M214" t="str">
        <f>IF(COUNTIF(role_data[role_id],role_course_map[[#This Row],[role_id]])=0, "INVALID","VALID")</f>
        <v>VALID</v>
      </c>
      <c r="N214" t="str">
        <f>IF(COUNTIF(course_data[course_id],role_course_map[[#This Row],[course_id]])=0, "INVALID","VALID")</f>
        <v>VALID</v>
      </c>
    </row>
    <row r="215" spans="1:14" x14ac:dyDescent="0.35">
      <c r="A215" t="s">
        <v>134</v>
      </c>
      <c r="B215" s="5" t="str">
        <f>_xlfn.XLOOKUP(role_course_map[[#This Row],[role_id]], role_data[role_id], role_data[Role],"")</f>
        <v>Critical Care Clinicians</v>
      </c>
      <c r="C215">
        <v>64324</v>
      </c>
      <c r="D215" s="5" t="str">
        <f>_xlfn.XLOOKUP(role_course_map[[#This Row],[course_id]],course_data[course_id],course_data[title],"")</f>
        <v>Child protection: practice level 2 [skilled]</v>
      </c>
      <c r="E215" s="5" t="str">
        <f>_xlfn.XLOOKUP(role_course_map[[#This Row],[course_id]],course_data[course_id],course_data[topic],"")</f>
        <v>SAS : Public Protection</v>
      </c>
      <c r="F215" s="5" t="str">
        <f>_xlfn.XLOOKUP(role_course_map[[#This Row],[course_id]],course_data[course_id],course_data[type],"")</f>
        <v>eLearning</v>
      </c>
      <c r="K215" t="str">
        <f>role_course_map[[#This Row],[role_id]] &amp; "|" &amp; role_course_map[[#This Row],[course_id]]</f>
        <v>R0061|64324</v>
      </c>
      <c r="L215" t="str">
        <f>IF(COUNTIF(role_course_map[mapping_key],role_course_map[[#This Row],[mapping_key]])&gt;1,"DUPLICATE","OK")</f>
        <v>OK</v>
      </c>
      <c r="M215" t="str">
        <f>IF(COUNTIF(role_data[role_id],role_course_map[[#This Row],[role_id]])=0, "INVALID","VALID")</f>
        <v>VALID</v>
      </c>
      <c r="N215" t="str">
        <f>IF(COUNTIF(course_data[course_id],role_course_map[[#This Row],[course_id]])=0, "INVALID","VALID")</f>
        <v>VALID</v>
      </c>
    </row>
    <row r="216" spans="1:14" x14ac:dyDescent="0.35">
      <c r="A216" t="s">
        <v>184</v>
      </c>
      <c r="B216" s="5" t="str">
        <f>_xlfn.XLOOKUP(role_course_map[[#This Row],[role_id]], role_data[role_id], role_data[Role],"")</f>
        <v>Workforce Planning Supervisor</v>
      </c>
      <c r="C216">
        <v>76716</v>
      </c>
      <c r="D216" s="5" t="str">
        <f>_xlfn.XLOOKUP(role_course_map[[#This Row],[course_id]],course_data[course_id],course_data[title],"")</f>
        <v>Domestic abuse awareness training tool (DAART)</v>
      </c>
      <c r="E216" s="5" t="str">
        <f>_xlfn.XLOOKUP(role_course_map[[#This Row],[course_id]],course_data[course_id],course_data[topic],"")</f>
        <v>SAS : Public Protection</v>
      </c>
      <c r="F216" s="5" t="str">
        <f>_xlfn.XLOOKUP(role_course_map[[#This Row],[course_id]],course_data[course_id],course_data[type],"")</f>
        <v>eLearning</v>
      </c>
      <c r="K216" t="str">
        <f>role_course_map[[#This Row],[role_id]] &amp; "|" &amp; role_course_map[[#This Row],[course_id]]</f>
        <v>R0086|76716</v>
      </c>
      <c r="L216" t="str">
        <f>IF(COUNTIF(role_course_map[mapping_key],role_course_map[[#This Row],[mapping_key]])&gt;1,"DUPLICATE","OK")</f>
        <v>OK</v>
      </c>
      <c r="M216" t="str">
        <f>IF(COUNTIF(role_data[role_id],role_course_map[[#This Row],[role_id]])=0, "INVALID","VALID")</f>
        <v>VALID</v>
      </c>
      <c r="N216" t="str">
        <f>IF(COUNTIF(course_data[course_id],role_course_map[[#This Row],[course_id]])=0, "INVALID","VALID")</f>
        <v>VALID</v>
      </c>
    </row>
    <row r="217" spans="1:14" x14ac:dyDescent="0.35">
      <c r="A217" t="s">
        <v>134</v>
      </c>
      <c r="B217" s="5" t="str">
        <f>_xlfn.XLOOKUP(role_course_map[[#This Row],[role_id]], role_data[role_id], role_data[Role],"")</f>
        <v>Critical Care Clinicians</v>
      </c>
      <c r="C217">
        <v>79666</v>
      </c>
      <c r="D217" s="5" t="str">
        <f>_xlfn.XLOOKUP(role_course_map[[#This Row],[course_id]],course_data[course_id],course_data[title],"")</f>
        <v>Getting it right for every child (GIRFEC): informed level</v>
      </c>
      <c r="E217" s="5" t="str">
        <f>_xlfn.XLOOKUP(role_course_map[[#This Row],[course_id]],course_data[course_id],course_data[topic],"")</f>
        <v>SAS : Public Protection</v>
      </c>
      <c r="F217" s="5" t="str">
        <f>_xlfn.XLOOKUP(role_course_map[[#This Row],[course_id]],course_data[course_id],course_data[type],"")</f>
        <v>eLearning</v>
      </c>
      <c r="K217" t="str">
        <f>role_course_map[[#This Row],[role_id]] &amp; "|" &amp; role_course_map[[#This Row],[course_id]]</f>
        <v>R0061|79666</v>
      </c>
      <c r="L217" t="str">
        <f>IF(COUNTIF(role_course_map[mapping_key],role_course_map[[#This Row],[mapping_key]])&gt;1,"DUPLICATE","OK")</f>
        <v>OK</v>
      </c>
      <c r="M217" t="str">
        <f>IF(COUNTIF(role_data[role_id],role_course_map[[#This Row],[role_id]])=0, "INVALID","VALID")</f>
        <v>VALID</v>
      </c>
      <c r="N217" t="str">
        <f>IF(COUNTIF(course_data[course_id],role_course_map[[#This Row],[course_id]])=0, "INVALID","VALID")</f>
        <v>VALID</v>
      </c>
    </row>
    <row r="218" spans="1:14" x14ac:dyDescent="0.35">
      <c r="A218" t="s">
        <v>134</v>
      </c>
      <c r="B218" s="5" t="str">
        <f>_xlfn.XLOOKUP(role_course_map[[#This Row],[role_id]], role_data[role_id], role_data[Role],"")</f>
        <v>Critical Care Clinicians</v>
      </c>
      <c r="C218">
        <v>999074</v>
      </c>
      <c r="D218" s="5" t="str">
        <f>_xlfn.XLOOKUP(role_course_map[[#This Row],[course_id]],course_data[course_id],course_data[title],"")</f>
        <v>SAS-specific Children’s rights</v>
      </c>
      <c r="E218" s="5" t="str">
        <f>_xlfn.XLOOKUP(role_course_map[[#This Row],[course_id]],course_data[course_id],course_data[topic],"")</f>
        <v>SAS : Public Protection</v>
      </c>
      <c r="F218" s="5" t="str">
        <f>_xlfn.XLOOKUP(role_course_map[[#This Row],[course_id]],course_data[course_id],course_data[type],"")</f>
        <v>eLearning</v>
      </c>
      <c r="K218" t="str">
        <f>role_course_map[[#This Row],[role_id]] &amp; "|" &amp; role_course_map[[#This Row],[course_id]]</f>
        <v>R0061|999074</v>
      </c>
      <c r="L218" t="str">
        <f>IF(COUNTIF(role_course_map[mapping_key],role_course_map[[#This Row],[mapping_key]])&gt;1,"DUPLICATE","OK")</f>
        <v>OK</v>
      </c>
      <c r="M218" t="str">
        <f>IF(COUNTIF(role_data[role_id],role_course_map[[#This Row],[role_id]])=0, "INVALID","VALID")</f>
        <v>VALID</v>
      </c>
      <c r="N218" t="str">
        <f>IF(COUNTIF(course_data[course_id],role_course_map[[#This Row],[course_id]])=0, "INVALID","VALID")</f>
        <v>VALID</v>
      </c>
    </row>
    <row r="219" spans="1:14" x14ac:dyDescent="0.35">
      <c r="A219" t="s">
        <v>134</v>
      </c>
      <c r="B219" s="5" t="str">
        <f>_xlfn.XLOOKUP(role_course_map[[#This Row],[role_id]], role_data[role_id], role_data[Role],"")</f>
        <v>Critical Care Clinicians</v>
      </c>
      <c r="C219">
        <v>999075</v>
      </c>
      <c r="D219" s="5" t="str">
        <f>_xlfn.XLOOKUP(role_course_map[[#This Row],[course_id]],course_data[course_id],course_data[title],"")</f>
        <v>Multiagency local or bespoke Level 3 delivery training</v>
      </c>
      <c r="E219" s="5" t="str">
        <f>_xlfn.XLOOKUP(role_course_map[[#This Row],[course_id]],course_data[course_id],course_data[topic],"")</f>
        <v>SAS : Public Protection</v>
      </c>
      <c r="F219" s="5" t="str">
        <f>_xlfn.XLOOKUP(role_course_map[[#This Row],[course_id]],course_data[course_id],course_data[type],"")</f>
        <v>eLearning</v>
      </c>
      <c r="K219" t="str">
        <f>role_course_map[[#This Row],[role_id]] &amp; "|" &amp; role_course_map[[#This Row],[course_id]]</f>
        <v>R0061|999075</v>
      </c>
      <c r="L219" t="str">
        <f>IF(COUNTIF(role_course_map[mapping_key],role_course_map[[#This Row],[mapping_key]])&gt;1,"DUPLICATE","OK")</f>
        <v>OK</v>
      </c>
      <c r="M219" t="str">
        <f>IF(COUNTIF(role_data[role_id],role_course_map[[#This Row],[role_id]])=0, "INVALID","VALID")</f>
        <v>VALID</v>
      </c>
      <c r="N219" t="str">
        <f>IF(COUNTIF(course_data[course_id],role_course_map[[#This Row],[course_id]])=0, "INVALID","VALID")</f>
        <v>VALID</v>
      </c>
    </row>
    <row r="220" spans="1:14" x14ac:dyDescent="0.35">
      <c r="A220" t="s">
        <v>134</v>
      </c>
      <c r="B220" s="5" t="str">
        <f>_xlfn.XLOOKUP(role_course_map[[#This Row],[role_id]], role_data[role_id], role_data[Role],"")</f>
        <v>Critical Care Clinicians</v>
      </c>
      <c r="C220">
        <v>15249</v>
      </c>
      <c r="D220" s="5" t="str">
        <f>_xlfn.XLOOKUP(role_course_map[[#This Row],[course_id]],course_data[course_id],course_data[title],"")</f>
        <v>Human trafficking</v>
      </c>
      <c r="E220" s="5" t="str">
        <f>_xlfn.XLOOKUP(role_course_map[[#This Row],[course_id]],course_data[course_id],course_data[topic],"")</f>
        <v>SAS : Public Protection</v>
      </c>
      <c r="F220" s="5" t="str">
        <f>_xlfn.XLOOKUP(role_course_map[[#This Row],[course_id]],course_data[course_id],course_data[type],"")</f>
        <v>eLearning</v>
      </c>
      <c r="K220" t="str">
        <f>role_course_map[[#This Row],[role_id]] &amp; "|" &amp; role_course_map[[#This Row],[course_id]]</f>
        <v>R0061|15249</v>
      </c>
      <c r="L220" t="str">
        <f>IF(COUNTIF(role_course_map[mapping_key],role_course_map[[#This Row],[mapping_key]])&gt;1,"DUPLICATE","OK")</f>
        <v>OK</v>
      </c>
      <c r="M220" t="str">
        <f>IF(COUNTIF(role_data[role_id],role_course_map[[#This Row],[role_id]])=0, "INVALID","VALID")</f>
        <v>VALID</v>
      </c>
      <c r="N220" t="str">
        <f>IF(COUNTIF(course_data[course_id],role_course_map[[#This Row],[course_id]])=0, "INVALID","VALID")</f>
        <v>VALID</v>
      </c>
    </row>
    <row r="221" spans="1:14" x14ac:dyDescent="0.35">
      <c r="A221" t="s">
        <v>184</v>
      </c>
      <c r="B221" s="5" t="str">
        <f>_xlfn.XLOOKUP(role_course_map[[#This Row],[role_id]], role_data[role_id], role_data[Role],"")</f>
        <v>Workforce Planning Supervisor</v>
      </c>
      <c r="C221">
        <v>999094</v>
      </c>
      <c r="D221" s="5" t="str">
        <f>_xlfn.XLOOKUP(role_course_map[[#This Row],[course_id]],course_data[course_id],course_data[title],"")</f>
        <v>Being well, Mind, Body &amp; Workplace</v>
      </c>
      <c r="E221" s="5" t="str">
        <f>_xlfn.XLOOKUP(role_course_map[[#This Row],[course_id]],course_data[course_id],course_data[topic],"")</f>
        <v>SAS: Staff development and experience</v>
      </c>
      <c r="F221" s="5" t="str">
        <f>_xlfn.XLOOKUP(role_course_map[[#This Row],[course_id]],course_data[course_id],course_data[type],"")</f>
        <v>eLearning</v>
      </c>
      <c r="K221" t="str">
        <f>role_course_map[[#This Row],[role_id]] &amp; "|" &amp; role_course_map[[#This Row],[course_id]]</f>
        <v>R0086|999094</v>
      </c>
      <c r="L221" t="str">
        <f>IF(COUNTIF(role_course_map[mapping_key],role_course_map[[#This Row],[mapping_key]])&gt;1,"DUPLICATE","OK")</f>
        <v>OK</v>
      </c>
      <c r="M221" t="str">
        <f>IF(COUNTIF(role_data[role_id],role_course_map[[#This Row],[role_id]])=0, "INVALID","VALID")</f>
        <v>VALID</v>
      </c>
      <c r="N221" t="str">
        <f>IF(COUNTIF(course_data[course_id],role_course_map[[#This Row],[course_id]])=0, "INVALID","VALID")</f>
        <v>VALID</v>
      </c>
    </row>
    <row r="222" spans="1:14" x14ac:dyDescent="0.35">
      <c r="A222" t="s">
        <v>124</v>
      </c>
      <c r="B222" s="5" t="str">
        <f>_xlfn.XLOOKUP(role_course_map[[#This Row],[role_id]], role_data[role_id], role_data[Role],"")</f>
        <v>Call Handler</v>
      </c>
      <c r="C222">
        <v>78279</v>
      </c>
      <c r="D222" s="5" t="str">
        <f>_xlfn.XLOOKUP(role_course_map[[#This Row],[course_id]],course_data[course_id],course_data[title],"")</f>
        <v>Airwave Terminal</v>
      </c>
      <c r="E222" s="5" t="str">
        <f>_xlfn.XLOOKUP(role_course_map[[#This Row],[course_id]],course_data[course_id],course_data[topic],"")</f>
        <v>SAS: Systems Training</v>
      </c>
      <c r="F222" s="5" t="str">
        <f>_xlfn.XLOOKUP(role_course_map[[#This Row],[course_id]],course_data[course_id],course_data[type],"")</f>
        <v>Course</v>
      </c>
      <c r="K222" t="str">
        <f>role_course_map[[#This Row],[role_id]] &amp; "|" &amp; role_course_map[[#This Row],[course_id]]</f>
        <v>R0056|78279</v>
      </c>
      <c r="L222" t="str">
        <f>IF(COUNTIF(role_course_map[mapping_key],role_course_map[[#This Row],[mapping_key]])&gt;1,"DUPLICATE","OK")</f>
        <v>OK</v>
      </c>
      <c r="M222" t="str">
        <f>IF(COUNTIF(role_data[role_id],role_course_map[[#This Row],[role_id]])=0, "INVALID","VALID")</f>
        <v>VALID</v>
      </c>
      <c r="N222" t="str">
        <f>IF(COUNTIF(course_data[course_id],role_course_map[[#This Row],[course_id]])=0, "INVALID","VALID")</f>
        <v>VALID</v>
      </c>
    </row>
    <row r="223" spans="1:14" x14ac:dyDescent="0.35">
      <c r="A223" t="s">
        <v>134</v>
      </c>
      <c r="B223" s="5" t="str">
        <f>_xlfn.XLOOKUP(role_course_map[[#This Row],[role_id]], role_data[role_id], role_data[Role],"")</f>
        <v>Critical Care Clinicians</v>
      </c>
      <c r="C223">
        <v>78279</v>
      </c>
      <c r="D223" s="5" t="str">
        <f>_xlfn.XLOOKUP(role_course_map[[#This Row],[course_id]],course_data[course_id],course_data[title],"")</f>
        <v>Airwave Terminal</v>
      </c>
      <c r="E223" s="5" t="str">
        <f>_xlfn.XLOOKUP(role_course_map[[#This Row],[course_id]],course_data[course_id],course_data[topic],"")</f>
        <v>SAS: Systems Training</v>
      </c>
      <c r="F223" s="5" t="str">
        <f>_xlfn.XLOOKUP(role_course_map[[#This Row],[course_id]],course_data[course_id],course_data[type],"")</f>
        <v>Course</v>
      </c>
      <c r="K223" t="str">
        <f>role_course_map[[#This Row],[role_id]] &amp; "|" &amp; role_course_map[[#This Row],[course_id]]</f>
        <v>R0061|78279</v>
      </c>
      <c r="L223" t="str">
        <f>IF(COUNTIF(role_course_map[mapping_key],role_course_map[[#This Row],[mapping_key]])&gt;1,"DUPLICATE","OK")</f>
        <v>OK</v>
      </c>
      <c r="M223" t="str">
        <f>IF(COUNTIF(role_data[role_id],role_course_map[[#This Row],[role_id]])=0, "INVALID","VALID")</f>
        <v>VALID</v>
      </c>
      <c r="N223" t="str">
        <f>IF(COUNTIF(course_data[course_id],role_course_map[[#This Row],[course_id]])=0, "INVALID","VALID")</f>
        <v>VALID</v>
      </c>
    </row>
    <row r="224" spans="1:14" x14ac:dyDescent="0.35">
      <c r="A224" t="s">
        <v>168</v>
      </c>
      <c r="B224" s="5" t="str">
        <f>_xlfn.XLOOKUP(role_course_map[[#This Row],[role_id]], role_data[role_id], role_data[Role],"")</f>
        <v>Scheduled Care Coordinator</v>
      </c>
      <c r="C224">
        <v>78279</v>
      </c>
      <c r="D224" s="5" t="str">
        <f>_xlfn.XLOOKUP(role_course_map[[#This Row],[course_id]],course_data[course_id],course_data[title],"")</f>
        <v>Airwave Terminal</v>
      </c>
      <c r="E224" s="5" t="str">
        <f>_xlfn.XLOOKUP(role_course_map[[#This Row],[course_id]],course_data[course_id],course_data[topic],"")</f>
        <v>SAS: Systems Training</v>
      </c>
      <c r="F224" s="5" t="str">
        <f>_xlfn.XLOOKUP(role_course_map[[#This Row],[course_id]],course_data[course_id],course_data[type],"")</f>
        <v>Course</v>
      </c>
      <c r="K224" t="str">
        <f>role_course_map[[#This Row],[role_id]] &amp; "|" &amp; role_course_map[[#This Row],[course_id]]</f>
        <v>R0078|78279</v>
      </c>
      <c r="L224" t="str">
        <f>IF(COUNTIF(role_course_map[mapping_key],role_course_map[[#This Row],[mapping_key]])&gt;1,"DUPLICATE","OK")</f>
        <v>OK</v>
      </c>
      <c r="M224" t="str">
        <f>IF(COUNTIF(role_data[role_id],role_course_map[[#This Row],[role_id]])=0, "INVALID","VALID")</f>
        <v>VALID</v>
      </c>
      <c r="N224" t="str">
        <f>IF(COUNTIF(course_data[course_id],role_course_map[[#This Row],[course_id]])=0, "INVALID","VALID")</f>
        <v>VALID</v>
      </c>
    </row>
    <row r="225" spans="1:14" x14ac:dyDescent="0.35">
      <c r="A225" t="s">
        <v>138</v>
      </c>
      <c r="B225" s="5" t="str">
        <f>_xlfn.XLOOKUP(role_course_map[[#This Row],[role_id]], role_data[role_id], role_data[Role],"")</f>
        <v>Dispatch Supervisor</v>
      </c>
      <c r="C225">
        <v>78279</v>
      </c>
      <c r="D225" s="5" t="str">
        <f>_xlfn.XLOOKUP(role_course_map[[#This Row],[course_id]],course_data[course_id],course_data[title],"")</f>
        <v>Airwave Terminal</v>
      </c>
      <c r="E225" s="5" t="str">
        <f>_xlfn.XLOOKUP(role_course_map[[#This Row],[course_id]],course_data[course_id],course_data[topic],"")</f>
        <v>SAS: Systems Training</v>
      </c>
      <c r="F225" s="5" t="str">
        <f>_xlfn.XLOOKUP(role_course_map[[#This Row],[course_id]],course_data[course_id],course_data[type],"")</f>
        <v>Course</v>
      </c>
      <c r="K225" t="str">
        <f>role_course_map[[#This Row],[role_id]] &amp; "|" &amp; role_course_map[[#This Row],[course_id]]</f>
        <v>R0063|78279</v>
      </c>
      <c r="L225" t="str">
        <f>IF(COUNTIF(role_course_map[mapping_key],role_course_map[[#This Row],[mapping_key]])&gt;1,"DUPLICATE","OK")</f>
        <v>OK</v>
      </c>
      <c r="M225" t="str">
        <f>IF(COUNTIF(role_data[role_id],role_course_map[[#This Row],[role_id]])=0, "INVALID","VALID")</f>
        <v>VALID</v>
      </c>
      <c r="N225" t="str">
        <f>IF(COUNTIF(course_data[course_id],role_course_map[[#This Row],[course_id]])=0, "INVALID","VALID")</f>
        <v>VALID</v>
      </c>
    </row>
    <row r="226" spans="1:14" x14ac:dyDescent="0.35">
      <c r="A226" t="s">
        <v>140</v>
      </c>
      <c r="B226" s="5" t="str">
        <f>_xlfn.XLOOKUP(role_course_map[[#This Row],[role_id]], role_data[role_id], role_data[Role],"")</f>
        <v>Dispatcher</v>
      </c>
      <c r="C226">
        <v>78279</v>
      </c>
      <c r="D226" s="5" t="str">
        <f>_xlfn.XLOOKUP(role_course_map[[#This Row],[course_id]],course_data[course_id],course_data[title],"")</f>
        <v>Airwave Terminal</v>
      </c>
      <c r="E226" s="5" t="str">
        <f>_xlfn.XLOOKUP(role_course_map[[#This Row],[course_id]],course_data[course_id],course_data[topic],"")</f>
        <v>SAS: Systems Training</v>
      </c>
      <c r="F226" s="5" t="str">
        <f>_xlfn.XLOOKUP(role_course_map[[#This Row],[course_id]],course_data[course_id],course_data[type],"")</f>
        <v>Course</v>
      </c>
      <c r="K226" t="str">
        <f>role_course_map[[#This Row],[role_id]] &amp; "|" &amp; role_course_map[[#This Row],[course_id]]</f>
        <v>R0064|78279</v>
      </c>
      <c r="L226" t="str">
        <f>IF(COUNTIF(role_course_map[mapping_key],role_course_map[[#This Row],[mapping_key]])&gt;1,"DUPLICATE","OK")</f>
        <v>OK</v>
      </c>
      <c r="M226" t="str">
        <f>IF(COUNTIF(role_data[role_id],role_course_map[[#This Row],[role_id]])=0, "INVALID","VALID")</f>
        <v>VALID</v>
      </c>
      <c r="N226" t="str">
        <f>IF(COUNTIF(course_data[course_id],role_course_map[[#This Row],[course_id]])=0, "INVALID","VALID")</f>
        <v>VALID</v>
      </c>
    </row>
    <row r="227" spans="1:14" x14ac:dyDescent="0.35">
      <c r="A227" t="s">
        <v>142</v>
      </c>
      <c r="B227" s="5" t="str">
        <f>_xlfn.XLOOKUP(role_course_map[[#This Row],[role_id]], role_data[role_id], role_data[Role],"")</f>
        <v>Dual Supervisor</v>
      </c>
      <c r="C227">
        <v>78279</v>
      </c>
      <c r="D227" s="5" t="str">
        <f>_xlfn.XLOOKUP(role_course_map[[#This Row],[course_id]],course_data[course_id],course_data[title],"")</f>
        <v>Airwave Terminal</v>
      </c>
      <c r="E227" s="5" t="str">
        <f>_xlfn.XLOOKUP(role_course_map[[#This Row],[course_id]],course_data[course_id],course_data[topic],"")</f>
        <v>SAS: Systems Training</v>
      </c>
      <c r="F227" s="5" t="str">
        <f>_xlfn.XLOOKUP(role_course_map[[#This Row],[course_id]],course_data[course_id],course_data[type],"")</f>
        <v>Course</v>
      </c>
      <c r="K227" t="str">
        <f>role_course_map[[#This Row],[role_id]] &amp; "|" &amp; role_course_map[[#This Row],[course_id]]</f>
        <v>R0065|78279</v>
      </c>
      <c r="L227" t="str">
        <f>IF(COUNTIF(role_course_map[mapping_key],role_course_map[[#This Row],[mapping_key]])&gt;1,"DUPLICATE","OK")</f>
        <v>OK</v>
      </c>
      <c r="M227" t="str">
        <f>IF(COUNTIF(role_data[role_id],role_course_map[[#This Row],[role_id]])=0, "INVALID","VALID")</f>
        <v>VALID</v>
      </c>
      <c r="N227" t="str">
        <f>IF(COUNTIF(course_data[course_id],role_course_map[[#This Row],[course_id]])=0, "INVALID","VALID")</f>
        <v>VALID</v>
      </c>
    </row>
    <row r="228" spans="1:14" x14ac:dyDescent="0.35">
      <c r="A228" t="s">
        <v>164</v>
      </c>
      <c r="B228" s="5" t="str">
        <f>_xlfn.XLOOKUP(role_course_map[[#This Row],[role_id]], role_data[role_id], role_data[Role],"")</f>
        <v>Real Time Analyst</v>
      </c>
      <c r="C228">
        <v>78279</v>
      </c>
      <c r="D228" s="5" t="str">
        <f>_xlfn.XLOOKUP(role_course_map[[#This Row],[course_id]],course_data[course_id],course_data[title],"")</f>
        <v>Airwave Terminal</v>
      </c>
      <c r="E228" s="5" t="str">
        <f>_xlfn.XLOOKUP(role_course_map[[#This Row],[course_id]],course_data[course_id],course_data[topic],"")</f>
        <v>SAS: Systems Training</v>
      </c>
      <c r="F228" s="5" t="str">
        <f>_xlfn.XLOOKUP(role_course_map[[#This Row],[course_id]],course_data[course_id],course_data[type],"")</f>
        <v>Course</v>
      </c>
      <c r="K228" t="str">
        <f>role_course_map[[#This Row],[role_id]] &amp; "|" &amp; role_course_map[[#This Row],[course_id]]</f>
        <v>R0076|78279</v>
      </c>
      <c r="L228" t="str">
        <f>IF(COUNTIF(role_course_map[mapping_key],role_course_map[[#This Row],[mapping_key]])&gt;1,"DUPLICATE","OK")</f>
        <v>OK</v>
      </c>
      <c r="M228" t="str">
        <f>IF(COUNTIF(role_data[role_id],role_course_map[[#This Row],[role_id]])=0, "INVALID","VALID")</f>
        <v>VALID</v>
      </c>
      <c r="N228" t="str">
        <f>IF(COUNTIF(course_data[course_id],role_course_map[[#This Row],[course_id]])=0, "INVALID","VALID")</f>
        <v>VALID</v>
      </c>
    </row>
    <row r="229" spans="1:14" x14ac:dyDescent="0.35">
      <c r="A229" t="s">
        <v>178</v>
      </c>
      <c r="B229" s="5" t="str">
        <f>_xlfn.XLOOKUP(role_course_map[[#This Row],[role_id]], role_data[role_id], role_data[Role],"")</f>
        <v>Specialist Services Desk Supervisor</v>
      </c>
      <c r="C229">
        <v>78279</v>
      </c>
      <c r="D229" s="5" t="str">
        <f>_xlfn.XLOOKUP(role_course_map[[#This Row],[course_id]],course_data[course_id],course_data[title],"")</f>
        <v>Airwave Terminal</v>
      </c>
      <c r="E229" s="5" t="str">
        <f>_xlfn.XLOOKUP(role_course_map[[#This Row],[course_id]],course_data[course_id],course_data[topic],"")</f>
        <v>SAS: Systems Training</v>
      </c>
      <c r="F229" s="5" t="str">
        <f>_xlfn.XLOOKUP(role_course_map[[#This Row],[course_id]],course_data[course_id],course_data[type],"")</f>
        <v>Course</v>
      </c>
      <c r="K229" t="str">
        <f>role_course_map[[#This Row],[role_id]] &amp; "|" &amp; role_course_map[[#This Row],[course_id]]</f>
        <v>R0083|78279</v>
      </c>
      <c r="L229" t="str">
        <f>IF(COUNTIF(role_course_map[mapping_key],role_course_map[[#This Row],[mapping_key]])&gt;1,"DUPLICATE","OK")</f>
        <v>OK</v>
      </c>
      <c r="M229" t="str">
        <f>IF(COUNTIF(role_data[role_id],role_course_map[[#This Row],[role_id]])=0, "INVALID","VALID")</f>
        <v>VALID</v>
      </c>
      <c r="N229" t="str">
        <f>IF(COUNTIF(course_data[course_id],role_course_map[[#This Row],[course_id]])=0, "INVALID","VALID")</f>
        <v>VALID</v>
      </c>
    </row>
    <row r="230" spans="1:14" x14ac:dyDescent="0.35">
      <c r="A230" t="s">
        <v>172</v>
      </c>
      <c r="B230" s="5" t="str">
        <f>_xlfn.XLOOKUP(role_course_map[[#This Row],[role_id]], role_data[role_id], role_data[Role],"")</f>
        <v>Scheduled Care Supervisor</v>
      </c>
      <c r="C230">
        <v>78279</v>
      </c>
      <c r="D230" s="5" t="str">
        <f>_xlfn.XLOOKUP(role_course_map[[#This Row],[course_id]],course_data[course_id],course_data[title],"")</f>
        <v>Airwave Terminal</v>
      </c>
      <c r="E230" s="5" t="str">
        <f>_xlfn.XLOOKUP(role_course_map[[#This Row],[course_id]],course_data[course_id],course_data[topic],"")</f>
        <v>SAS: Systems Training</v>
      </c>
      <c r="F230" s="5" t="str">
        <f>_xlfn.XLOOKUP(role_course_map[[#This Row],[course_id]],course_data[course_id],course_data[type],"")</f>
        <v>Course</v>
      </c>
      <c r="K230" t="str">
        <f>role_course_map[[#This Row],[role_id]] &amp; "|" &amp; role_course_map[[#This Row],[course_id]]</f>
        <v>R0080|78279</v>
      </c>
      <c r="L230" t="str">
        <f>IF(COUNTIF(role_course_map[mapping_key],role_course_map[[#This Row],[mapping_key]])&gt;1,"DUPLICATE","OK")</f>
        <v>OK</v>
      </c>
      <c r="M230" t="str">
        <f>IF(COUNTIF(role_data[role_id],role_course_map[[#This Row],[role_id]])=0, "INVALID","VALID")</f>
        <v>VALID</v>
      </c>
      <c r="N230" t="str">
        <f>IF(COUNTIF(course_data[course_id],role_course_map[[#This Row],[course_id]])=0, "INVALID","VALID")</f>
        <v>VALID</v>
      </c>
    </row>
    <row r="231" spans="1:14" x14ac:dyDescent="0.35">
      <c r="A231" t="s">
        <v>124</v>
      </c>
      <c r="B231" s="5" t="str">
        <f>_xlfn.XLOOKUP(role_course_map[[#This Row],[role_id]], role_data[role_id], role_data[Role],"")</f>
        <v>Call Handler</v>
      </c>
      <c r="C231">
        <v>999058</v>
      </c>
      <c r="D231" s="5" t="str">
        <f>_xlfn.XLOOKUP(role_course_map[[#This Row],[course_id]],course_data[course_id],course_data[title],"")</f>
        <v>Stress Identification &amp; Stress Management</v>
      </c>
      <c r="E231" s="5" t="str">
        <f>_xlfn.XLOOKUP(role_course_map[[#This Row],[course_id]],course_data[course_id],course_data[topic],"")</f>
        <v>SAS : Health and Safety</v>
      </c>
      <c r="F231" s="5" t="str">
        <f>_xlfn.XLOOKUP(role_course_map[[#This Row],[course_id]],course_data[course_id],course_data[type],"")</f>
        <v>eLearning</v>
      </c>
      <c r="K231" t="str">
        <f>role_course_map[[#This Row],[role_id]] &amp; "|" &amp; role_course_map[[#This Row],[course_id]]</f>
        <v>R0056|999058</v>
      </c>
      <c r="L231" t="str">
        <f>IF(COUNTIF(role_course_map[mapping_key],role_course_map[[#This Row],[mapping_key]])&gt;1,"DUPLICATE","OK")</f>
        <v>OK</v>
      </c>
      <c r="M231" t="str">
        <f>IF(COUNTIF(role_data[role_id],role_course_map[[#This Row],[role_id]])=0, "INVALID","VALID")</f>
        <v>VALID</v>
      </c>
      <c r="N231" t="str">
        <f>IF(COUNTIF(course_data[course_id],role_course_map[[#This Row],[course_id]])=0, "INVALID","VALID")</f>
        <v>VALID</v>
      </c>
    </row>
    <row r="232" spans="1:14" x14ac:dyDescent="0.35">
      <c r="A232" t="s">
        <v>124</v>
      </c>
      <c r="B232" s="5" t="str">
        <f>_xlfn.XLOOKUP(role_course_map[[#This Row],[role_id]], role_data[role_id], role_data[Role],"")</f>
        <v>Call Handler</v>
      </c>
      <c r="C232">
        <v>79147</v>
      </c>
      <c r="D232" s="5" t="str">
        <f>_xlfn.XLOOKUP(role_course_map[[#This Row],[course_id]],course_data[course_id],course_data[title],"")</f>
        <v>Driving risks at work</v>
      </c>
      <c r="E232" s="5" t="str">
        <f>_xlfn.XLOOKUP(role_course_map[[#This Row],[course_id]],course_data[course_id],course_data[topic],"")</f>
        <v>SAS : Health and Safety</v>
      </c>
      <c r="F232" s="5" t="str">
        <f>_xlfn.XLOOKUP(role_course_map[[#This Row],[course_id]],course_data[course_id],course_data[type],"")</f>
        <v>eLearning</v>
      </c>
      <c r="K232" t="str">
        <f>role_course_map[[#This Row],[role_id]] &amp; "|" &amp; role_course_map[[#This Row],[course_id]]</f>
        <v>R0056|79147</v>
      </c>
      <c r="L232" t="str">
        <f>IF(COUNTIF(role_course_map[mapping_key],role_course_map[[#This Row],[mapping_key]])&gt;1,"DUPLICATE","OK")</f>
        <v>OK</v>
      </c>
      <c r="M232" t="str">
        <f>IF(COUNTIF(role_data[role_id],role_course_map[[#This Row],[role_id]])=0, "INVALID","VALID")</f>
        <v>VALID</v>
      </c>
      <c r="N232" t="str">
        <f>IF(COUNTIF(course_data[course_id],role_course_map[[#This Row],[course_id]])=0, "INVALID","VALID")</f>
        <v>VALID</v>
      </c>
    </row>
    <row r="233" spans="1:14" x14ac:dyDescent="0.35">
      <c r="A233" t="s">
        <v>134</v>
      </c>
      <c r="B233" s="5" t="str">
        <f>_xlfn.XLOOKUP(role_course_map[[#This Row],[role_id]], role_data[role_id], role_data[Role],"")</f>
        <v>Critical Care Clinicians</v>
      </c>
      <c r="C233">
        <v>999057</v>
      </c>
      <c r="D233" s="5" t="str">
        <f>_xlfn.XLOOKUP(role_course_map[[#This Row],[course_id]],course_data[course_id],course_data[title],"")</f>
        <v>Fatigue Awareness</v>
      </c>
      <c r="E233" s="5" t="str">
        <f>_xlfn.XLOOKUP(role_course_map[[#This Row],[course_id]],course_data[course_id],course_data[topic],"")</f>
        <v>SAS : Health and Safety</v>
      </c>
      <c r="F233" s="5" t="str">
        <f>_xlfn.XLOOKUP(role_course_map[[#This Row],[course_id]],course_data[course_id],course_data[type],"")</f>
        <v>eLearning</v>
      </c>
      <c r="K233" t="str">
        <f>role_course_map[[#This Row],[role_id]] &amp; "|" &amp; role_course_map[[#This Row],[course_id]]</f>
        <v>R0061|999057</v>
      </c>
      <c r="L233" t="str">
        <f>IF(COUNTIF(role_course_map[mapping_key],role_course_map[[#This Row],[mapping_key]])&gt;1,"DUPLICATE","OK")</f>
        <v>OK</v>
      </c>
      <c r="M233" t="str">
        <f>IF(COUNTIF(role_data[role_id],role_course_map[[#This Row],[role_id]])=0, "INVALID","VALID")</f>
        <v>VALID</v>
      </c>
      <c r="N233" t="str">
        <f>IF(COUNTIF(course_data[course_id],role_course_map[[#This Row],[course_id]])=0, "INVALID","VALID")</f>
        <v>VALID</v>
      </c>
    </row>
    <row r="234" spans="1:14" x14ac:dyDescent="0.35">
      <c r="A234" t="s">
        <v>124</v>
      </c>
      <c r="B234" s="5" t="str">
        <f>_xlfn.XLOOKUP(role_course_map[[#This Row],[role_id]], role_data[role_id], role_data[Role],"")</f>
        <v>Call Handler</v>
      </c>
      <c r="C234">
        <v>64322</v>
      </c>
      <c r="D234" s="5" t="str">
        <f>_xlfn.XLOOKUP(role_course_map[[#This Row],[course_id]],course_data[course_id],course_data[title],"")</f>
        <v>Adult support and protection: practice level 2 [skilled]</v>
      </c>
      <c r="E234" s="5" t="str">
        <f>_xlfn.XLOOKUP(role_course_map[[#This Row],[course_id]],course_data[course_id],course_data[topic],"")</f>
        <v>SAS : Public Protection</v>
      </c>
      <c r="F234" s="5" t="str">
        <f>_xlfn.XLOOKUP(role_course_map[[#This Row],[course_id]],course_data[course_id],course_data[type],"")</f>
        <v>eLearning</v>
      </c>
      <c r="K234" t="str">
        <f>role_course_map[[#This Row],[role_id]] &amp; "|" &amp; role_course_map[[#This Row],[course_id]]</f>
        <v>R0056|64322</v>
      </c>
      <c r="L234" t="str">
        <f>IF(COUNTIF(role_course_map[mapping_key],role_course_map[[#This Row],[mapping_key]])&gt;1,"DUPLICATE","OK")</f>
        <v>OK</v>
      </c>
      <c r="M234" t="str">
        <f>IF(COUNTIF(role_data[role_id],role_course_map[[#This Row],[role_id]])=0, "INVALID","VALID")</f>
        <v>VALID</v>
      </c>
      <c r="N234" t="str">
        <f>IF(COUNTIF(course_data[course_id],role_course_map[[#This Row],[course_id]])=0, "INVALID","VALID")</f>
        <v>VALID</v>
      </c>
    </row>
    <row r="235" spans="1:14" x14ac:dyDescent="0.35">
      <c r="A235" t="s">
        <v>124</v>
      </c>
      <c r="B235" s="5" t="str">
        <f>_xlfn.XLOOKUP(role_course_map[[#This Row],[role_id]], role_data[role_id], role_data[Role],"")</f>
        <v>Call Handler</v>
      </c>
      <c r="C235">
        <v>64324</v>
      </c>
      <c r="D235" s="5" t="str">
        <f>_xlfn.XLOOKUP(role_course_map[[#This Row],[course_id]],course_data[course_id],course_data[title],"")</f>
        <v>Child protection: practice level 2 [skilled]</v>
      </c>
      <c r="E235" s="5" t="str">
        <f>_xlfn.XLOOKUP(role_course_map[[#This Row],[course_id]],course_data[course_id],course_data[topic],"")</f>
        <v>SAS : Public Protection</v>
      </c>
      <c r="F235" s="5" t="str">
        <f>_xlfn.XLOOKUP(role_course_map[[#This Row],[course_id]],course_data[course_id],course_data[type],"")</f>
        <v>eLearning</v>
      </c>
      <c r="K235" t="str">
        <f>role_course_map[[#This Row],[role_id]] &amp; "|" &amp; role_course_map[[#This Row],[course_id]]</f>
        <v>R0056|64324</v>
      </c>
      <c r="L235" t="str">
        <f>IF(COUNTIF(role_course_map[mapping_key],role_course_map[[#This Row],[mapping_key]])&gt;1,"DUPLICATE","OK")</f>
        <v>OK</v>
      </c>
      <c r="M235" t="str">
        <f>IF(COUNTIF(role_data[role_id],role_course_map[[#This Row],[role_id]])=0, "INVALID","VALID")</f>
        <v>VALID</v>
      </c>
      <c r="N235" t="str">
        <f>IF(COUNTIF(course_data[course_id],role_course_map[[#This Row],[course_id]])=0, "INVALID","VALID")</f>
        <v>VALID</v>
      </c>
    </row>
    <row r="236" spans="1:14" x14ac:dyDescent="0.35">
      <c r="A236" t="s">
        <v>134</v>
      </c>
      <c r="B236" s="5" t="str">
        <f>_xlfn.XLOOKUP(role_course_map[[#This Row],[role_id]], role_data[role_id], role_data[Role],"")</f>
        <v>Critical Care Clinicians</v>
      </c>
      <c r="C236">
        <v>76716</v>
      </c>
      <c r="D236" s="5" t="str">
        <f>_xlfn.XLOOKUP(role_course_map[[#This Row],[course_id]],course_data[course_id],course_data[title],"")</f>
        <v>Domestic abuse awareness training tool (DAART)</v>
      </c>
      <c r="E236" s="5" t="str">
        <f>_xlfn.XLOOKUP(role_course_map[[#This Row],[course_id]],course_data[course_id],course_data[topic],"")</f>
        <v>SAS : Public Protection</v>
      </c>
      <c r="F236" s="5" t="str">
        <f>_xlfn.XLOOKUP(role_course_map[[#This Row],[course_id]],course_data[course_id],course_data[type],"")</f>
        <v>eLearning</v>
      </c>
      <c r="K236" t="str">
        <f>role_course_map[[#This Row],[role_id]] &amp; "|" &amp; role_course_map[[#This Row],[course_id]]</f>
        <v>R0061|76716</v>
      </c>
      <c r="L236" t="str">
        <f>IF(COUNTIF(role_course_map[mapping_key],role_course_map[[#This Row],[mapping_key]])&gt;1,"DUPLICATE","OK")</f>
        <v>OK</v>
      </c>
      <c r="M236" t="str">
        <f>IF(COUNTIF(role_data[role_id],role_course_map[[#This Row],[role_id]])=0, "INVALID","VALID")</f>
        <v>VALID</v>
      </c>
      <c r="N236" t="str">
        <f>IF(COUNTIF(course_data[course_id],role_course_map[[#This Row],[course_id]])=0, "INVALID","VALID")</f>
        <v>VALID</v>
      </c>
    </row>
    <row r="237" spans="1:14" x14ac:dyDescent="0.35">
      <c r="A237" t="s">
        <v>124</v>
      </c>
      <c r="B237" s="5" t="str">
        <f>_xlfn.XLOOKUP(role_course_map[[#This Row],[role_id]], role_data[role_id], role_data[Role],"")</f>
        <v>Call Handler</v>
      </c>
      <c r="C237">
        <v>79666</v>
      </c>
      <c r="D237" s="5" t="str">
        <f>_xlfn.XLOOKUP(role_course_map[[#This Row],[course_id]],course_data[course_id],course_data[title],"")</f>
        <v>Getting it right for every child (GIRFEC): informed level</v>
      </c>
      <c r="E237" s="5" t="str">
        <f>_xlfn.XLOOKUP(role_course_map[[#This Row],[course_id]],course_data[course_id],course_data[topic],"")</f>
        <v>SAS : Public Protection</v>
      </c>
      <c r="F237" s="5" t="str">
        <f>_xlfn.XLOOKUP(role_course_map[[#This Row],[course_id]],course_data[course_id],course_data[type],"")</f>
        <v>eLearning</v>
      </c>
      <c r="K237" t="str">
        <f>role_course_map[[#This Row],[role_id]] &amp; "|" &amp; role_course_map[[#This Row],[course_id]]</f>
        <v>R0056|79666</v>
      </c>
      <c r="L237" t="str">
        <f>IF(COUNTIF(role_course_map[mapping_key],role_course_map[[#This Row],[mapping_key]])&gt;1,"DUPLICATE","OK")</f>
        <v>OK</v>
      </c>
      <c r="M237" t="str">
        <f>IF(COUNTIF(role_data[role_id],role_course_map[[#This Row],[role_id]])=0, "INVALID","VALID")</f>
        <v>VALID</v>
      </c>
      <c r="N237" t="str">
        <f>IF(COUNTIF(course_data[course_id],role_course_map[[#This Row],[course_id]])=0, "INVALID","VALID")</f>
        <v>VALID</v>
      </c>
    </row>
    <row r="238" spans="1:14" x14ac:dyDescent="0.35">
      <c r="A238" t="s">
        <v>124</v>
      </c>
      <c r="B238" s="5" t="str">
        <f>_xlfn.XLOOKUP(role_course_map[[#This Row],[role_id]], role_data[role_id], role_data[Role],"")</f>
        <v>Call Handler</v>
      </c>
      <c r="C238">
        <v>999074</v>
      </c>
      <c r="D238" s="5" t="str">
        <f>_xlfn.XLOOKUP(role_course_map[[#This Row],[course_id]],course_data[course_id],course_data[title],"")</f>
        <v>SAS-specific Children’s rights</v>
      </c>
      <c r="E238" s="5" t="str">
        <f>_xlfn.XLOOKUP(role_course_map[[#This Row],[course_id]],course_data[course_id],course_data[topic],"")</f>
        <v>SAS : Public Protection</v>
      </c>
      <c r="F238" s="5" t="str">
        <f>_xlfn.XLOOKUP(role_course_map[[#This Row],[course_id]],course_data[course_id],course_data[type],"")</f>
        <v>eLearning</v>
      </c>
      <c r="K238" t="str">
        <f>role_course_map[[#This Row],[role_id]] &amp; "|" &amp; role_course_map[[#This Row],[course_id]]</f>
        <v>R0056|999074</v>
      </c>
      <c r="L238" t="str">
        <f>IF(COUNTIF(role_course_map[mapping_key],role_course_map[[#This Row],[mapping_key]])&gt;1,"DUPLICATE","OK")</f>
        <v>OK</v>
      </c>
      <c r="M238" t="str">
        <f>IF(COUNTIF(role_data[role_id],role_course_map[[#This Row],[role_id]])=0, "INVALID","VALID")</f>
        <v>VALID</v>
      </c>
      <c r="N238" t="str">
        <f>IF(COUNTIF(course_data[course_id],role_course_map[[#This Row],[course_id]])=0, "INVALID","VALID")</f>
        <v>VALID</v>
      </c>
    </row>
    <row r="239" spans="1:14" x14ac:dyDescent="0.35">
      <c r="A239" t="s">
        <v>124</v>
      </c>
      <c r="B239" s="5" t="str">
        <f>_xlfn.XLOOKUP(role_course_map[[#This Row],[role_id]], role_data[role_id], role_data[Role],"")</f>
        <v>Call Handler</v>
      </c>
      <c r="C239">
        <v>999075</v>
      </c>
      <c r="D239" s="5" t="str">
        <f>_xlfn.XLOOKUP(role_course_map[[#This Row],[course_id]],course_data[course_id],course_data[title],"")</f>
        <v>Multiagency local or bespoke Level 3 delivery training</v>
      </c>
      <c r="E239" s="5" t="str">
        <f>_xlfn.XLOOKUP(role_course_map[[#This Row],[course_id]],course_data[course_id],course_data[topic],"")</f>
        <v>SAS : Public Protection</v>
      </c>
      <c r="F239" s="5" t="str">
        <f>_xlfn.XLOOKUP(role_course_map[[#This Row],[course_id]],course_data[course_id],course_data[type],"")</f>
        <v>eLearning</v>
      </c>
      <c r="K239" t="str">
        <f>role_course_map[[#This Row],[role_id]] &amp; "|" &amp; role_course_map[[#This Row],[course_id]]</f>
        <v>R0056|999075</v>
      </c>
      <c r="L239" t="str">
        <f>IF(COUNTIF(role_course_map[mapping_key],role_course_map[[#This Row],[mapping_key]])&gt;1,"DUPLICATE","OK")</f>
        <v>OK</v>
      </c>
      <c r="M239" t="str">
        <f>IF(COUNTIF(role_data[role_id],role_course_map[[#This Row],[role_id]])=0, "INVALID","VALID")</f>
        <v>VALID</v>
      </c>
      <c r="N239" t="str">
        <f>IF(COUNTIF(course_data[course_id],role_course_map[[#This Row],[course_id]])=0, "INVALID","VALID")</f>
        <v>VALID</v>
      </c>
    </row>
    <row r="240" spans="1:14" x14ac:dyDescent="0.35">
      <c r="A240" t="s">
        <v>124</v>
      </c>
      <c r="B240" s="5" t="str">
        <f>_xlfn.XLOOKUP(role_course_map[[#This Row],[role_id]], role_data[role_id], role_data[Role],"")</f>
        <v>Call Handler</v>
      </c>
      <c r="C240">
        <v>15249</v>
      </c>
      <c r="D240" s="5" t="str">
        <f>_xlfn.XLOOKUP(role_course_map[[#This Row],[course_id]],course_data[course_id],course_data[title],"")</f>
        <v>Human trafficking</v>
      </c>
      <c r="E240" s="5" t="str">
        <f>_xlfn.XLOOKUP(role_course_map[[#This Row],[course_id]],course_data[course_id],course_data[topic],"")</f>
        <v>SAS : Public Protection</v>
      </c>
      <c r="F240" s="5" t="str">
        <f>_xlfn.XLOOKUP(role_course_map[[#This Row],[course_id]],course_data[course_id],course_data[type],"")</f>
        <v>eLearning</v>
      </c>
      <c r="K240" t="str">
        <f>role_course_map[[#This Row],[role_id]] &amp; "|" &amp; role_course_map[[#This Row],[course_id]]</f>
        <v>R0056|15249</v>
      </c>
      <c r="L240" t="str">
        <f>IF(COUNTIF(role_course_map[mapping_key],role_course_map[[#This Row],[mapping_key]])&gt;1,"DUPLICATE","OK")</f>
        <v>OK</v>
      </c>
      <c r="M240" t="str">
        <f>IF(COUNTIF(role_data[role_id],role_course_map[[#This Row],[role_id]])=0, "INVALID","VALID")</f>
        <v>VALID</v>
      </c>
      <c r="N240" t="str">
        <f>IF(COUNTIF(course_data[course_id],role_course_map[[#This Row],[course_id]])=0, "INVALID","VALID")</f>
        <v>VALID</v>
      </c>
    </row>
    <row r="241" spans="1:14" x14ac:dyDescent="0.35">
      <c r="A241" t="s">
        <v>134</v>
      </c>
      <c r="B241" s="5" t="str">
        <f>_xlfn.XLOOKUP(role_course_map[[#This Row],[role_id]], role_data[role_id], role_data[Role],"")</f>
        <v>Critical Care Clinicians</v>
      </c>
      <c r="C241">
        <v>999094</v>
      </c>
      <c r="D241" s="5" t="str">
        <f>_xlfn.XLOOKUP(role_course_map[[#This Row],[course_id]],course_data[course_id],course_data[title],"")</f>
        <v>Being well, Mind, Body &amp; Workplace</v>
      </c>
      <c r="E241" s="5" t="str">
        <f>_xlfn.XLOOKUP(role_course_map[[#This Row],[course_id]],course_data[course_id],course_data[topic],"")</f>
        <v>SAS: Staff development and experience</v>
      </c>
      <c r="F241" s="5" t="str">
        <f>_xlfn.XLOOKUP(role_course_map[[#This Row],[course_id]],course_data[course_id],course_data[type],"")</f>
        <v>eLearning</v>
      </c>
      <c r="K241" t="str">
        <f>role_course_map[[#This Row],[role_id]] &amp; "|" &amp; role_course_map[[#This Row],[course_id]]</f>
        <v>R0061|999094</v>
      </c>
      <c r="L241" t="str">
        <f>IF(COUNTIF(role_course_map[mapping_key],role_course_map[[#This Row],[mapping_key]])&gt;1,"DUPLICATE","OK")</f>
        <v>OK</v>
      </c>
      <c r="M241" t="str">
        <f>IF(COUNTIF(role_data[role_id],role_course_map[[#This Row],[role_id]])=0, "INVALID","VALID")</f>
        <v>VALID</v>
      </c>
      <c r="N241" t="str">
        <f>IF(COUNTIF(course_data[course_id],role_course_map[[#This Row],[course_id]])=0, "INVALID","VALID")</f>
        <v>VALID</v>
      </c>
    </row>
    <row r="242" spans="1:14" x14ac:dyDescent="0.35">
      <c r="A242" t="s">
        <v>162</v>
      </c>
      <c r="B242" s="5" t="str">
        <f>_xlfn.XLOOKUP(role_course_map[[#This Row],[role_id]], role_data[role_id], role_data[Role],"")</f>
        <v>Practice Developer</v>
      </c>
      <c r="C242">
        <v>999001</v>
      </c>
      <c r="D242" s="5" t="str">
        <f>_xlfn.XLOOKUP(role_course_map[[#This Row],[course_id]],course_data[course_id],course_data[title],"")</f>
        <v>IAED - EMD</v>
      </c>
      <c r="E242" s="5" t="str">
        <f>_xlfn.XLOOKUP(role_course_map[[#This Row],[course_id]],course_data[course_id],course_data[topic],"")</f>
        <v>SAS : Ambulance Control Centre (ACC)</v>
      </c>
      <c r="F242" s="5" t="str">
        <f>_xlfn.XLOOKUP(role_course_map[[#This Row],[course_id]],course_data[course_id],course_data[type],"")</f>
        <v>Course</v>
      </c>
      <c r="K242" t="str">
        <f>role_course_map[[#This Row],[role_id]] &amp; "|" &amp; role_course_map[[#This Row],[course_id]]</f>
        <v>R0075|999001</v>
      </c>
      <c r="L242" t="str">
        <f>IF(COUNTIF(role_course_map[mapping_key],role_course_map[[#This Row],[mapping_key]])&gt;1,"DUPLICATE","OK")</f>
        <v>OK</v>
      </c>
      <c r="M242" t="str">
        <f>IF(COUNTIF(role_data[role_id],role_course_map[[#This Row],[role_id]])=0, "INVALID","VALID")</f>
        <v>VALID</v>
      </c>
      <c r="N242" t="str">
        <f>IF(COUNTIF(course_data[course_id],role_course_map[[#This Row],[course_id]])=0, "INVALID","VALID")</f>
        <v>VALID</v>
      </c>
    </row>
    <row r="243" spans="1:14" x14ac:dyDescent="0.35">
      <c r="A243" t="s">
        <v>162</v>
      </c>
      <c r="B243" s="5" t="str">
        <f>_xlfn.XLOOKUP(role_course_map[[#This Row],[role_id]], role_data[role_id], role_data[Role],"")</f>
        <v>Practice Developer</v>
      </c>
      <c r="C243">
        <v>999004</v>
      </c>
      <c r="D243" s="5" t="str">
        <f>_xlfn.XLOOKUP(role_course_map[[#This Row],[course_id]],course_data[course_id],course_data[title],"")</f>
        <v>IAED - QA</v>
      </c>
      <c r="E243" s="5" t="str">
        <f>_xlfn.XLOOKUP(role_course_map[[#This Row],[course_id]],course_data[course_id],course_data[topic],"")</f>
        <v>SAS : Ambulance Control Centre (ACC)</v>
      </c>
      <c r="F243" s="5" t="str">
        <f>_xlfn.XLOOKUP(role_course_map[[#This Row],[course_id]],course_data[course_id],course_data[type],"")</f>
        <v>Course</v>
      </c>
      <c r="K243" t="str">
        <f>role_course_map[[#This Row],[role_id]] &amp; "|" &amp; role_course_map[[#This Row],[course_id]]</f>
        <v>R0075|999004</v>
      </c>
      <c r="L243" t="str">
        <f>IF(COUNTIF(role_course_map[mapping_key],role_course_map[[#This Row],[mapping_key]])&gt;1,"DUPLICATE","OK")</f>
        <v>OK</v>
      </c>
      <c r="M243" t="str">
        <f>IF(COUNTIF(role_data[role_id],role_course_map[[#This Row],[role_id]])=0, "INVALID","VALID")</f>
        <v>VALID</v>
      </c>
      <c r="N243" t="str">
        <f>IF(COUNTIF(course_data[course_id],role_course_map[[#This Row],[course_id]])=0, "INVALID","VALID")</f>
        <v>VALID</v>
      </c>
    </row>
    <row r="244" spans="1:14" x14ac:dyDescent="0.35">
      <c r="A244" t="s">
        <v>162</v>
      </c>
      <c r="B244" s="5" t="str">
        <f>_xlfn.XLOOKUP(role_course_map[[#This Row],[role_id]], role_data[role_id], role_data[Role],"")</f>
        <v>Practice Developer</v>
      </c>
      <c r="C244">
        <v>999005</v>
      </c>
      <c r="D244" s="5" t="str">
        <f>_xlfn.XLOOKUP(role_course_map[[#This Row],[course_id]],course_data[course_id],course_data[title],"")</f>
        <v>IAED - Mentor</v>
      </c>
      <c r="E244" s="5" t="str">
        <f>_xlfn.XLOOKUP(role_course_map[[#This Row],[course_id]],course_data[course_id],course_data[topic],"")</f>
        <v>SAS : Ambulance Control Centre (ACC)</v>
      </c>
      <c r="F244" s="5" t="str">
        <f>_xlfn.XLOOKUP(role_course_map[[#This Row],[course_id]],course_data[course_id],course_data[type],"")</f>
        <v>Course</v>
      </c>
      <c r="K244" t="str">
        <f>role_course_map[[#This Row],[role_id]] &amp; "|" &amp; role_course_map[[#This Row],[course_id]]</f>
        <v>R0075|999005</v>
      </c>
      <c r="L244" t="str">
        <f>IF(COUNTIF(role_course_map[mapping_key],role_course_map[[#This Row],[mapping_key]])&gt;1,"DUPLICATE","OK")</f>
        <v>OK</v>
      </c>
      <c r="M244" t="str">
        <f>IF(COUNTIF(role_data[role_id],role_course_map[[#This Row],[role_id]])=0, "INVALID","VALID")</f>
        <v>VALID</v>
      </c>
      <c r="N244" t="str">
        <f>IF(COUNTIF(course_data[course_id],role_course_map[[#This Row],[course_id]])=0, "INVALID","VALID")</f>
        <v>VALID</v>
      </c>
    </row>
    <row r="245" spans="1:14" x14ac:dyDescent="0.35">
      <c r="A245" t="s">
        <v>162</v>
      </c>
      <c r="B245" s="5" t="str">
        <f>_xlfn.XLOOKUP(role_course_map[[#This Row],[role_id]], role_data[role_id], role_data[Role],"")</f>
        <v>Practice Developer</v>
      </c>
      <c r="C245">
        <v>999058</v>
      </c>
      <c r="D245" s="5" t="str">
        <f>_xlfn.XLOOKUP(role_course_map[[#This Row],[course_id]],course_data[course_id],course_data[title],"")</f>
        <v>Stress Identification &amp; Stress Management</v>
      </c>
      <c r="E245" s="5" t="str">
        <f>_xlfn.XLOOKUP(role_course_map[[#This Row],[course_id]],course_data[course_id],course_data[topic],"")</f>
        <v>SAS : Health and Safety</v>
      </c>
      <c r="F245" s="5" t="str">
        <f>_xlfn.XLOOKUP(role_course_map[[#This Row],[course_id]],course_data[course_id],course_data[type],"")</f>
        <v>eLearning</v>
      </c>
      <c r="K245" t="str">
        <f>role_course_map[[#This Row],[role_id]] &amp; "|" &amp; role_course_map[[#This Row],[course_id]]</f>
        <v>R0075|999058</v>
      </c>
      <c r="L245" t="str">
        <f>IF(COUNTIF(role_course_map[mapping_key],role_course_map[[#This Row],[mapping_key]])&gt;1,"DUPLICATE","OK")</f>
        <v>OK</v>
      </c>
      <c r="M245" t="str">
        <f>IF(COUNTIF(role_data[role_id],role_course_map[[#This Row],[role_id]])=0, "INVALID","VALID")</f>
        <v>VALID</v>
      </c>
      <c r="N245" t="str">
        <f>IF(COUNTIF(course_data[course_id],role_course_map[[#This Row],[course_id]])=0, "INVALID","VALID")</f>
        <v>VALID</v>
      </c>
    </row>
    <row r="246" spans="1:14" x14ac:dyDescent="0.35">
      <c r="A246" t="s">
        <v>162</v>
      </c>
      <c r="B246" s="5" t="str">
        <f>_xlfn.XLOOKUP(role_course_map[[#This Row],[role_id]], role_data[role_id], role_data[Role],"")</f>
        <v>Practice Developer</v>
      </c>
      <c r="C246">
        <v>79147</v>
      </c>
      <c r="D246" s="5" t="str">
        <f>_xlfn.XLOOKUP(role_course_map[[#This Row],[course_id]],course_data[course_id],course_data[title],"")</f>
        <v>Driving risks at work</v>
      </c>
      <c r="E246" s="5" t="str">
        <f>_xlfn.XLOOKUP(role_course_map[[#This Row],[course_id]],course_data[course_id],course_data[topic],"")</f>
        <v>SAS : Health and Safety</v>
      </c>
      <c r="F246" s="5" t="str">
        <f>_xlfn.XLOOKUP(role_course_map[[#This Row],[course_id]],course_data[course_id],course_data[type],"")</f>
        <v>eLearning</v>
      </c>
      <c r="K246" t="str">
        <f>role_course_map[[#This Row],[role_id]] &amp; "|" &amp; role_course_map[[#This Row],[course_id]]</f>
        <v>R0075|79147</v>
      </c>
      <c r="L246" t="str">
        <f>IF(COUNTIF(role_course_map[mapping_key],role_course_map[[#This Row],[mapping_key]])&gt;1,"DUPLICATE","OK")</f>
        <v>OK</v>
      </c>
      <c r="M246" t="str">
        <f>IF(COUNTIF(role_data[role_id],role_course_map[[#This Row],[role_id]])=0, "INVALID","VALID")</f>
        <v>VALID</v>
      </c>
      <c r="N246" t="str">
        <f>IF(COUNTIF(course_data[course_id],role_course_map[[#This Row],[course_id]])=0, "INVALID","VALID")</f>
        <v>VALID</v>
      </c>
    </row>
    <row r="247" spans="1:14" x14ac:dyDescent="0.35">
      <c r="A247" t="s">
        <v>124</v>
      </c>
      <c r="B247" s="5" t="str">
        <f>_xlfn.XLOOKUP(role_course_map[[#This Row],[role_id]], role_data[role_id], role_data[Role],"")</f>
        <v>Call Handler</v>
      </c>
      <c r="C247">
        <v>999057</v>
      </c>
      <c r="D247" s="5" t="str">
        <f>_xlfn.XLOOKUP(role_course_map[[#This Row],[course_id]],course_data[course_id],course_data[title],"")</f>
        <v>Fatigue Awareness</v>
      </c>
      <c r="E247" s="5" t="str">
        <f>_xlfn.XLOOKUP(role_course_map[[#This Row],[course_id]],course_data[course_id],course_data[topic],"")</f>
        <v>SAS : Health and Safety</v>
      </c>
      <c r="F247" s="5" t="str">
        <f>_xlfn.XLOOKUP(role_course_map[[#This Row],[course_id]],course_data[course_id],course_data[type],"")</f>
        <v>eLearning</v>
      </c>
      <c r="K247" t="str">
        <f>role_course_map[[#This Row],[role_id]] &amp; "|" &amp; role_course_map[[#This Row],[course_id]]</f>
        <v>R0056|999057</v>
      </c>
      <c r="L247" t="str">
        <f>IF(COUNTIF(role_course_map[mapping_key],role_course_map[[#This Row],[mapping_key]])&gt;1,"DUPLICATE","OK")</f>
        <v>OK</v>
      </c>
      <c r="M247" t="str">
        <f>IF(COUNTIF(role_data[role_id],role_course_map[[#This Row],[role_id]])=0, "INVALID","VALID")</f>
        <v>VALID</v>
      </c>
      <c r="N247" t="str">
        <f>IF(COUNTIF(course_data[course_id],role_course_map[[#This Row],[course_id]])=0, "INVALID","VALID")</f>
        <v>VALID</v>
      </c>
    </row>
    <row r="248" spans="1:14" x14ac:dyDescent="0.35">
      <c r="A248" t="s">
        <v>162</v>
      </c>
      <c r="B248" s="5" t="str">
        <f>_xlfn.XLOOKUP(role_course_map[[#This Row],[role_id]], role_data[role_id], role_data[Role],"")</f>
        <v>Practice Developer</v>
      </c>
      <c r="C248">
        <v>64322</v>
      </c>
      <c r="D248" s="5" t="str">
        <f>_xlfn.XLOOKUP(role_course_map[[#This Row],[course_id]],course_data[course_id],course_data[title],"")</f>
        <v>Adult support and protection: practice level 2 [skilled]</v>
      </c>
      <c r="E248" s="5" t="str">
        <f>_xlfn.XLOOKUP(role_course_map[[#This Row],[course_id]],course_data[course_id],course_data[topic],"")</f>
        <v>SAS : Public Protection</v>
      </c>
      <c r="F248" s="5" t="str">
        <f>_xlfn.XLOOKUP(role_course_map[[#This Row],[course_id]],course_data[course_id],course_data[type],"")</f>
        <v>eLearning</v>
      </c>
      <c r="K248" t="str">
        <f>role_course_map[[#This Row],[role_id]] &amp; "|" &amp; role_course_map[[#This Row],[course_id]]</f>
        <v>R0075|64322</v>
      </c>
      <c r="L248" t="str">
        <f>IF(COUNTIF(role_course_map[mapping_key],role_course_map[[#This Row],[mapping_key]])&gt;1,"DUPLICATE","OK")</f>
        <v>OK</v>
      </c>
      <c r="M248" t="str">
        <f>IF(COUNTIF(role_data[role_id],role_course_map[[#This Row],[role_id]])=0, "INVALID","VALID")</f>
        <v>VALID</v>
      </c>
      <c r="N248" t="str">
        <f>IF(COUNTIF(course_data[course_id],role_course_map[[#This Row],[course_id]])=0, "INVALID","VALID")</f>
        <v>VALID</v>
      </c>
    </row>
    <row r="249" spans="1:14" x14ac:dyDescent="0.35">
      <c r="A249" t="s">
        <v>162</v>
      </c>
      <c r="B249" s="5" t="str">
        <f>_xlfn.XLOOKUP(role_course_map[[#This Row],[role_id]], role_data[role_id], role_data[Role],"")</f>
        <v>Practice Developer</v>
      </c>
      <c r="C249">
        <v>64324</v>
      </c>
      <c r="D249" s="5" t="str">
        <f>_xlfn.XLOOKUP(role_course_map[[#This Row],[course_id]],course_data[course_id],course_data[title],"")</f>
        <v>Child protection: practice level 2 [skilled]</v>
      </c>
      <c r="E249" s="5" t="str">
        <f>_xlfn.XLOOKUP(role_course_map[[#This Row],[course_id]],course_data[course_id],course_data[topic],"")</f>
        <v>SAS : Public Protection</v>
      </c>
      <c r="F249" s="5" t="str">
        <f>_xlfn.XLOOKUP(role_course_map[[#This Row],[course_id]],course_data[course_id],course_data[type],"")</f>
        <v>eLearning</v>
      </c>
      <c r="K249" t="str">
        <f>role_course_map[[#This Row],[role_id]] &amp; "|" &amp; role_course_map[[#This Row],[course_id]]</f>
        <v>R0075|64324</v>
      </c>
      <c r="L249" t="str">
        <f>IF(COUNTIF(role_course_map[mapping_key],role_course_map[[#This Row],[mapping_key]])&gt;1,"DUPLICATE","OK")</f>
        <v>OK</v>
      </c>
      <c r="M249" t="str">
        <f>IF(COUNTIF(role_data[role_id],role_course_map[[#This Row],[role_id]])=0, "INVALID","VALID")</f>
        <v>VALID</v>
      </c>
      <c r="N249" t="str">
        <f>IF(COUNTIF(course_data[course_id],role_course_map[[#This Row],[course_id]])=0, "INVALID","VALID")</f>
        <v>VALID</v>
      </c>
    </row>
    <row r="250" spans="1:14" x14ac:dyDescent="0.35">
      <c r="A250" t="s">
        <v>124</v>
      </c>
      <c r="B250" s="5" t="str">
        <f>_xlfn.XLOOKUP(role_course_map[[#This Row],[role_id]], role_data[role_id], role_data[Role],"")</f>
        <v>Call Handler</v>
      </c>
      <c r="C250">
        <v>76716</v>
      </c>
      <c r="D250" s="5" t="str">
        <f>_xlfn.XLOOKUP(role_course_map[[#This Row],[course_id]],course_data[course_id],course_data[title],"")</f>
        <v>Domestic abuse awareness training tool (DAART)</v>
      </c>
      <c r="E250" s="5" t="str">
        <f>_xlfn.XLOOKUP(role_course_map[[#This Row],[course_id]],course_data[course_id],course_data[topic],"")</f>
        <v>SAS : Public Protection</v>
      </c>
      <c r="F250" s="5" t="str">
        <f>_xlfn.XLOOKUP(role_course_map[[#This Row],[course_id]],course_data[course_id],course_data[type],"")</f>
        <v>eLearning</v>
      </c>
      <c r="K250" t="str">
        <f>role_course_map[[#This Row],[role_id]] &amp; "|" &amp; role_course_map[[#This Row],[course_id]]</f>
        <v>R0056|76716</v>
      </c>
      <c r="L250" t="str">
        <f>IF(COUNTIF(role_course_map[mapping_key],role_course_map[[#This Row],[mapping_key]])&gt;1,"DUPLICATE","OK")</f>
        <v>OK</v>
      </c>
      <c r="M250" t="str">
        <f>IF(COUNTIF(role_data[role_id],role_course_map[[#This Row],[role_id]])=0, "INVALID","VALID")</f>
        <v>VALID</v>
      </c>
      <c r="N250" t="str">
        <f>IF(COUNTIF(course_data[course_id],role_course_map[[#This Row],[course_id]])=0, "INVALID","VALID")</f>
        <v>VALID</v>
      </c>
    </row>
    <row r="251" spans="1:14" x14ac:dyDescent="0.35">
      <c r="A251" t="s">
        <v>162</v>
      </c>
      <c r="B251" s="5" t="str">
        <f>_xlfn.XLOOKUP(role_course_map[[#This Row],[role_id]], role_data[role_id], role_data[Role],"")</f>
        <v>Practice Developer</v>
      </c>
      <c r="C251">
        <v>79666</v>
      </c>
      <c r="D251" s="5" t="str">
        <f>_xlfn.XLOOKUP(role_course_map[[#This Row],[course_id]],course_data[course_id],course_data[title],"")</f>
        <v>Getting it right for every child (GIRFEC): informed level</v>
      </c>
      <c r="E251" s="5" t="str">
        <f>_xlfn.XLOOKUP(role_course_map[[#This Row],[course_id]],course_data[course_id],course_data[topic],"")</f>
        <v>SAS : Public Protection</v>
      </c>
      <c r="F251" s="5" t="str">
        <f>_xlfn.XLOOKUP(role_course_map[[#This Row],[course_id]],course_data[course_id],course_data[type],"")</f>
        <v>eLearning</v>
      </c>
      <c r="K251" t="str">
        <f>role_course_map[[#This Row],[role_id]] &amp; "|" &amp; role_course_map[[#This Row],[course_id]]</f>
        <v>R0075|79666</v>
      </c>
      <c r="L251" t="str">
        <f>IF(COUNTIF(role_course_map[mapping_key],role_course_map[[#This Row],[mapping_key]])&gt;1,"DUPLICATE","OK")</f>
        <v>OK</v>
      </c>
      <c r="M251" t="str">
        <f>IF(COUNTIF(role_data[role_id],role_course_map[[#This Row],[role_id]])=0, "INVALID","VALID")</f>
        <v>VALID</v>
      </c>
      <c r="N251" t="str">
        <f>IF(COUNTIF(course_data[course_id],role_course_map[[#This Row],[course_id]])=0, "INVALID","VALID")</f>
        <v>VALID</v>
      </c>
    </row>
    <row r="252" spans="1:14" x14ac:dyDescent="0.35">
      <c r="A252" t="s">
        <v>162</v>
      </c>
      <c r="B252" s="5" t="str">
        <f>_xlfn.XLOOKUP(role_course_map[[#This Row],[role_id]], role_data[role_id], role_data[Role],"")</f>
        <v>Practice Developer</v>
      </c>
      <c r="C252">
        <v>999074</v>
      </c>
      <c r="D252" s="5" t="str">
        <f>_xlfn.XLOOKUP(role_course_map[[#This Row],[course_id]],course_data[course_id],course_data[title],"")</f>
        <v>SAS-specific Children’s rights</v>
      </c>
      <c r="E252" s="5" t="str">
        <f>_xlfn.XLOOKUP(role_course_map[[#This Row],[course_id]],course_data[course_id],course_data[topic],"")</f>
        <v>SAS : Public Protection</v>
      </c>
      <c r="F252" s="5" t="str">
        <f>_xlfn.XLOOKUP(role_course_map[[#This Row],[course_id]],course_data[course_id],course_data[type],"")</f>
        <v>eLearning</v>
      </c>
      <c r="K252" t="str">
        <f>role_course_map[[#This Row],[role_id]] &amp; "|" &amp; role_course_map[[#This Row],[course_id]]</f>
        <v>R0075|999074</v>
      </c>
      <c r="L252" t="str">
        <f>IF(COUNTIF(role_course_map[mapping_key],role_course_map[[#This Row],[mapping_key]])&gt;1,"DUPLICATE","OK")</f>
        <v>OK</v>
      </c>
      <c r="M252" t="str">
        <f>IF(COUNTIF(role_data[role_id],role_course_map[[#This Row],[role_id]])=0, "INVALID","VALID")</f>
        <v>VALID</v>
      </c>
      <c r="N252" t="str">
        <f>IF(COUNTIF(course_data[course_id],role_course_map[[#This Row],[course_id]])=0, "INVALID","VALID")</f>
        <v>VALID</v>
      </c>
    </row>
    <row r="253" spans="1:14" x14ac:dyDescent="0.35">
      <c r="A253" t="s">
        <v>162</v>
      </c>
      <c r="B253" s="5" t="str">
        <f>_xlfn.XLOOKUP(role_course_map[[#This Row],[role_id]], role_data[role_id], role_data[Role],"")</f>
        <v>Practice Developer</v>
      </c>
      <c r="C253">
        <v>999075</v>
      </c>
      <c r="D253" s="5" t="str">
        <f>_xlfn.XLOOKUP(role_course_map[[#This Row],[course_id]],course_data[course_id],course_data[title],"")</f>
        <v>Multiagency local or bespoke Level 3 delivery training</v>
      </c>
      <c r="E253" s="5" t="str">
        <f>_xlfn.XLOOKUP(role_course_map[[#This Row],[course_id]],course_data[course_id],course_data[topic],"")</f>
        <v>SAS : Public Protection</v>
      </c>
      <c r="F253" s="5" t="str">
        <f>_xlfn.XLOOKUP(role_course_map[[#This Row],[course_id]],course_data[course_id],course_data[type],"")</f>
        <v>eLearning</v>
      </c>
      <c r="K253" t="str">
        <f>role_course_map[[#This Row],[role_id]] &amp; "|" &amp; role_course_map[[#This Row],[course_id]]</f>
        <v>R0075|999075</v>
      </c>
      <c r="L253" t="str">
        <f>IF(COUNTIF(role_course_map[mapping_key],role_course_map[[#This Row],[mapping_key]])&gt;1,"DUPLICATE","OK")</f>
        <v>OK</v>
      </c>
      <c r="M253" t="str">
        <f>IF(COUNTIF(role_data[role_id],role_course_map[[#This Row],[role_id]])=0, "INVALID","VALID")</f>
        <v>VALID</v>
      </c>
      <c r="N253" t="str">
        <f>IF(COUNTIF(course_data[course_id],role_course_map[[#This Row],[course_id]])=0, "INVALID","VALID")</f>
        <v>VALID</v>
      </c>
    </row>
    <row r="254" spans="1:14" x14ac:dyDescent="0.35">
      <c r="A254" t="s">
        <v>162</v>
      </c>
      <c r="B254" s="5" t="str">
        <f>_xlfn.XLOOKUP(role_course_map[[#This Row],[role_id]], role_data[role_id], role_data[Role],"")</f>
        <v>Practice Developer</v>
      </c>
      <c r="C254">
        <v>15249</v>
      </c>
      <c r="D254" s="5" t="str">
        <f>_xlfn.XLOOKUP(role_course_map[[#This Row],[course_id]],course_data[course_id],course_data[title],"")</f>
        <v>Human trafficking</v>
      </c>
      <c r="E254" s="5" t="str">
        <f>_xlfn.XLOOKUP(role_course_map[[#This Row],[course_id]],course_data[course_id],course_data[topic],"")</f>
        <v>SAS : Public Protection</v>
      </c>
      <c r="F254" s="5" t="str">
        <f>_xlfn.XLOOKUP(role_course_map[[#This Row],[course_id]],course_data[course_id],course_data[type],"")</f>
        <v>eLearning</v>
      </c>
      <c r="K254" t="str">
        <f>role_course_map[[#This Row],[role_id]] &amp; "|" &amp; role_course_map[[#This Row],[course_id]]</f>
        <v>R0075|15249</v>
      </c>
      <c r="L254" t="str">
        <f>IF(COUNTIF(role_course_map[mapping_key],role_course_map[[#This Row],[mapping_key]])&gt;1,"DUPLICATE","OK")</f>
        <v>OK</v>
      </c>
      <c r="M254" t="str">
        <f>IF(COUNTIF(role_data[role_id],role_course_map[[#This Row],[role_id]])=0, "INVALID","VALID")</f>
        <v>VALID</v>
      </c>
      <c r="N254" t="str">
        <f>IF(COUNTIF(course_data[course_id],role_course_map[[#This Row],[course_id]])=0, "INVALID","VALID")</f>
        <v>VALID</v>
      </c>
    </row>
    <row r="255" spans="1:14" x14ac:dyDescent="0.35">
      <c r="A255" t="s">
        <v>124</v>
      </c>
      <c r="B255" s="5" t="str">
        <f>_xlfn.XLOOKUP(role_course_map[[#This Row],[role_id]], role_data[role_id], role_data[Role],"")</f>
        <v>Call Handler</v>
      </c>
      <c r="C255">
        <v>999094</v>
      </c>
      <c r="D255" s="5" t="str">
        <f>_xlfn.XLOOKUP(role_course_map[[#This Row],[course_id]],course_data[course_id],course_data[title],"")</f>
        <v>Being well, Mind, Body &amp; Workplace</v>
      </c>
      <c r="E255" s="5" t="str">
        <f>_xlfn.XLOOKUP(role_course_map[[#This Row],[course_id]],course_data[course_id],course_data[topic],"")</f>
        <v>SAS: Staff development and experience</v>
      </c>
      <c r="F255" s="5" t="str">
        <f>_xlfn.XLOOKUP(role_course_map[[#This Row],[course_id]],course_data[course_id],course_data[type],"")</f>
        <v>eLearning</v>
      </c>
      <c r="K255" t="str">
        <f>role_course_map[[#This Row],[role_id]] &amp; "|" &amp; role_course_map[[#This Row],[course_id]]</f>
        <v>R0056|999094</v>
      </c>
      <c r="L255" t="str">
        <f>IF(COUNTIF(role_course_map[mapping_key],role_course_map[[#This Row],[mapping_key]])&gt;1,"DUPLICATE","OK")</f>
        <v>OK</v>
      </c>
      <c r="M255" t="str">
        <f>IF(COUNTIF(role_data[role_id],role_course_map[[#This Row],[role_id]])=0, "INVALID","VALID")</f>
        <v>VALID</v>
      </c>
      <c r="N255" t="str">
        <f>IF(COUNTIF(course_data[course_id],role_course_map[[#This Row],[course_id]])=0, "INVALID","VALID")</f>
        <v>VALID</v>
      </c>
    </row>
    <row r="256" spans="1:14" x14ac:dyDescent="0.35">
      <c r="A256" t="s">
        <v>130</v>
      </c>
      <c r="B256" s="5" t="str">
        <f>_xlfn.XLOOKUP(role_course_map[[#This Row],[role_id]], role_data[role_id], role_data[Role],"")</f>
        <v>Complaint Resolution Manager</v>
      </c>
      <c r="C256">
        <v>75406</v>
      </c>
      <c r="D256" s="5" t="str">
        <f>_xlfn.XLOOKUP(role_course_map[[#This Row],[course_id]],course_data[course_id],course_data[title],"")</f>
        <v>Foundation Leadership and Management Programme (FLMP)</v>
      </c>
      <c r="E256" s="5" t="str">
        <f>_xlfn.XLOOKUP(role_course_map[[#This Row],[course_id]],course_data[course_id],course_data[topic],"")</f>
        <v>SAS: Staff development and experience</v>
      </c>
      <c r="F256" s="5" t="str">
        <f>_xlfn.XLOOKUP(role_course_map[[#This Row],[course_id]],course_data[course_id],course_data[type],"")</f>
        <v>Page</v>
      </c>
      <c r="K256" t="str">
        <f>role_course_map[[#This Row],[role_id]] &amp; "|" &amp; role_course_map[[#This Row],[course_id]]</f>
        <v>R0059|75406</v>
      </c>
      <c r="L256" t="str">
        <f>IF(COUNTIF(role_course_map[mapping_key],role_course_map[[#This Row],[mapping_key]])&gt;1,"DUPLICATE","OK")</f>
        <v>OK</v>
      </c>
      <c r="M256" t="str">
        <f>IF(COUNTIF(role_data[role_id],role_course_map[[#This Row],[role_id]])=0, "INVALID","VALID")</f>
        <v>VALID</v>
      </c>
      <c r="N256" t="str">
        <f>IF(COUNTIF(course_data[course_id],role_course_map[[#This Row],[course_id]])=0, "INVALID","VALID")</f>
        <v>VALID</v>
      </c>
    </row>
    <row r="257" spans="1:14" x14ac:dyDescent="0.35">
      <c r="A257" t="s">
        <v>130</v>
      </c>
      <c r="B257" s="5" t="str">
        <f>_xlfn.XLOOKUP(role_course_map[[#This Row],[role_id]], role_data[role_id], role_data[Role],"")</f>
        <v>Complaint Resolution Manager</v>
      </c>
      <c r="C257">
        <v>999058</v>
      </c>
      <c r="D257" s="5" t="str">
        <f>_xlfn.XLOOKUP(role_course_map[[#This Row],[course_id]],course_data[course_id],course_data[title],"")</f>
        <v>Stress Identification &amp; Stress Management</v>
      </c>
      <c r="E257" s="5" t="str">
        <f>_xlfn.XLOOKUP(role_course_map[[#This Row],[course_id]],course_data[course_id],course_data[topic],"")</f>
        <v>SAS : Health and Safety</v>
      </c>
      <c r="F257" s="5" t="str">
        <f>_xlfn.XLOOKUP(role_course_map[[#This Row],[course_id]],course_data[course_id],course_data[type],"")</f>
        <v>eLearning</v>
      </c>
      <c r="K257" t="str">
        <f>role_course_map[[#This Row],[role_id]] &amp; "|" &amp; role_course_map[[#This Row],[course_id]]</f>
        <v>R0059|999058</v>
      </c>
      <c r="L257" t="str">
        <f>IF(COUNTIF(role_course_map[mapping_key],role_course_map[[#This Row],[mapping_key]])&gt;1,"DUPLICATE","OK")</f>
        <v>OK</v>
      </c>
      <c r="M257" t="str">
        <f>IF(COUNTIF(role_data[role_id],role_course_map[[#This Row],[role_id]])=0, "INVALID","VALID")</f>
        <v>VALID</v>
      </c>
      <c r="N257" t="str">
        <f>IF(COUNTIF(course_data[course_id],role_course_map[[#This Row],[course_id]])=0, "INVALID","VALID")</f>
        <v>VALID</v>
      </c>
    </row>
    <row r="258" spans="1:14" x14ac:dyDescent="0.35">
      <c r="A258" t="s">
        <v>130</v>
      </c>
      <c r="B258" s="5" t="str">
        <f>_xlfn.XLOOKUP(role_course_map[[#This Row],[role_id]], role_data[role_id], role_data[Role],"")</f>
        <v>Complaint Resolution Manager</v>
      </c>
      <c r="C258">
        <v>79147</v>
      </c>
      <c r="D258" s="5" t="str">
        <f>_xlfn.XLOOKUP(role_course_map[[#This Row],[course_id]],course_data[course_id],course_data[title],"")</f>
        <v>Driving risks at work</v>
      </c>
      <c r="E258" s="5" t="str">
        <f>_xlfn.XLOOKUP(role_course_map[[#This Row],[course_id]],course_data[course_id],course_data[topic],"")</f>
        <v>SAS : Health and Safety</v>
      </c>
      <c r="F258" s="5" t="str">
        <f>_xlfn.XLOOKUP(role_course_map[[#This Row],[course_id]],course_data[course_id],course_data[type],"")</f>
        <v>eLearning</v>
      </c>
      <c r="K258" t="str">
        <f>role_course_map[[#This Row],[role_id]] &amp; "|" &amp; role_course_map[[#This Row],[course_id]]</f>
        <v>R0059|79147</v>
      </c>
      <c r="L258" t="str">
        <f>IF(COUNTIF(role_course_map[mapping_key],role_course_map[[#This Row],[mapping_key]])&gt;1,"DUPLICATE","OK")</f>
        <v>OK</v>
      </c>
      <c r="M258" t="str">
        <f>IF(COUNTIF(role_data[role_id],role_course_map[[#This Row],[role_id]])=0, "INVALID","VALID")</f>
        <v>VALID</v>
      </c>
      <c r="N258" t="str">
        <f>IF(COUNTIF(course_data[course_id],role_course_map[[#This Row],[course_id]])=0, "INVALID","VALID")</f>
        <v>VALID</v>
      </c>
    </row>
    <row r="259" spans="1:14" x14ac:dyDescent="0.35">
      <c r="A259" t="s">
        <v>162</v>
      </c>
      <c r="B259" s="5" t="str">
        <f>_xlfn.XLOOKUP(role_course_map[[#This Row],[role_id]], role_data[role_id], role_data[Role],"")</f>
        <v>Practice Developer</v>
      </c>
      <c r="C259">
        <v>999057</v>
      </c>
      <c r="D259" s="5" t="str">
        <f>_xlfn.XLOOKUP(role_course_map[[#This Row],[course_id]],course_data[course_id],course_data[title],"")</f>
        <v>Fatigue Awareness</v>
      </c>
      <c r="E259" s="5" t="str">
        <f>_xlfn.XLOOKUP(role_course_map[[#This Row],[course_id]],course_data[course_id],course_data[topic],"")</f>
        <v>SAS : Health and Safety</v>
      </c>
      <c r="F259" s="5" t="str">
        <f>_xlfn.XLOOKUP(role_course_map[[#This Row],[course_id]],course_data[course_id],course_data[type],"")</f>
        <v>eLearning</v>
      </c>
      <c r="K259" t="str">
        <f>role_course_map[[#This Row],[role_id]] &amp; "|" &amp; role_course_map[[#This Row],[course_id]]</f>
        <v>R0075|999057</v>
      </c>
      <c r="L259" t="str">
        <f>IF(COUNTIF(role_course_map[mapping_key],role_course_map[[#This Row],[mapping_key]])&gt;1,"DUPLICATE","OK")</f>
        <v>OK</v>
      </c>
      <c r="M259" t="str">
        <f>IF(COUNTIF(role_data[role_id],role_course_map[[#This Row],[role_id]])=0, "INVALID","VALID")</f>
        <v>VALID</v>
      </c>
      <c r="N259" t="str">
        <f>IF(COUNTIF(course_data[course_id],role_course_map[[#This Row],[course_id]])=0, "INVALID","VALID")</f>
        <v>VALID</v>
      </c>
    </row>
    <row r="260" spans="1:14" x14ac:dyDescent="0.35">
      <c r="A260" t="s">
        <v>130</v>
      </c>
      <c r="B260" s="5" t="str">
        <f>_xlfn.XLOOKUP(role_course_map[[#This Row],[role_id]], role_data[role_id], role_data[Role],"")</f>
        <v>Complaint Resolution Manager</v>
      </c>
      <c r="C260">
        <v>64322</v>
      </c>
      <c r="D260" s="5" t="str">
        <f>_xlfn.XLOOKUP(role_course_map[[#This Row],[course_id]],course_data[course_id],course_data[title],"")</f>
        <v>Adult support and protection: practice level 2 [skilled]</v>
      </c>
      <c r="E260" s="5" t="str">
        <f>_xlfn.XLOOKUP(role_course_map[[#This Row],[course_id]],course_data[course_id],course_data[topic],"")</f>
        <v>SAS : Public Protection</v>
      </c>
      <c r="F260" s="5" t="str">
        <f>_xlfn.XLOOKUP(role_course_map[[#This Row],[course_id]],course_data[course_id],course_data[type],"")</f>
        <v>eLearning</v>
      </c>
      <c r="K260" t="str">
        <f>role_course_map[[#This Row],[role_id]] &amp; "|" &amp; role_course_map[[#This Row],[course_id]]</f>
        <v>R0059|64322</v>
      </c>
      <c r="L260" t="str">
        <f>IF(COUNTIF(role_course_map[mapping_key],role_course_map[[#This Row],[mapping_key]])&gt;1,"DUPLICATE","OK")</f>
        <v>OK</v>
      </c>
      <c r="M260" t="str">
        <f>IF(COUNTIF(role_data[role_id],role_course_map[[#This Row],[role_id]])=0, "INVALID","VALID")</f>
        <v>VALID</v>
      </c>
      <c r="N260" t="str">
        <f>IF(COUNTIF(course_data[course_id],role_course_map[[#This Row],[course_id]])=0, "INVALID","VALID")</f>
        <v>VALID</v>
      </c>
    </row>
    <row r="261" spans="1:14" x14ac:dyDescent="0.35">
      <c r="A261" t="s">
        <v>130</v>
      </c>
      <c r="B261" s="5" t="str">
        <f>_xlfn.XLOOKUP(role_course_map[[#This Row],[role_id]], role_data[role_id], role_data[Role],"")</f>
        <v>Complaint Resolution Manager</v>
      </c>
      <c r="C261">
        <v>64324</v>
      </c>
      <c r="D261" s="5" t="str">
        <f>_xlfn.XLOOKUP(role_course_map[[#This Row],[course_id]],course_data[course_id],course_data[title],"")</f>
        <v>Child protection: practice level 2 [skilled]</v>
      </c>
      <c r="E261" s="5" t="str">
        <f>_xlfn.XLOOKUP(role_course_map[[#This Row],[course_id]],course_data[course_id],course_data[topic],"")</f>
        <v>SAS : Public Protection</v>
      </c>
      <c r="F261" s="5" t="str">
        <f>_xlfn.XLOOKUP(role_course_map[[#This Row],[course_id]],course_data[course_id],course_data[type],"")</f>
        <v>eLearning</v>
      </c>
      <c r="K261" t="str">
        <f>role_course_map[[#This Row],[role_id]] &amp; "|" &amp; role_course_map[[#This Row],[course_id]]</f>
        <v>R0059|64324</v>
      </c>
      <c r="L261" t="str">
        <f>IF(COUNTIF(role_course_map[mapping_key],role_course_map[[#This Row],[mapping_key]])&gt;1,"DUPLICATE","OK")</f>
        <v>OK</v>
      </c>
      <c r="M261" t="str">
        <f>IF(COUNTIF(role_data[role_id],role_course_map[[#This Row],[role_id]])=0, "INVALID","VALID")</f>
        <v>VALID</v>
      </c>
      <c r="N261" t="str">
        <f>IF(COUNTIF(course_data[course_id],role_course_map[[#This Row],[course_id]])=0, "INVALID","VALID")</f>
        <v>VALID</v>
      </c>
    </row>
    <row r="262" spans="1:14" x14ac:dyDescent="0.35">
      <c r="A262" t="s">
        <v>162</v>
      </c>
      <c r="B262" s="5" t="str">
        <f>_xlfn.XLOOKUP(role_course_map[[#This Row],[role_id]], role_data[role_id], role_data[Role],"")</f>
        <v>Practice Developer</v>
      </c>
      <c r="C262">
        <v>76716</v>
      </c>
      <c r="D262" s="5" t="str">
        <f>_xlfn.XLOOKUP(role_course_map[[#This Row],[course_id]],course_data[course_id],course_data[title],"")</f>
        <v>Domestic abuse awareness training tool (DAART)</v>
      </c>
      <c r="E262" s="5" t="str">
        <f>_xlfn.XLOOKUP(role_course_map[[#This Row],[course_id]],course_data[course_id],course_data[topic],"")</f>
        <v>SAS : Public Protection</v>
      </c>
      <c r="F262" s="5" t="str">
        <f>_xlfn.XLOOKUP(role_course_map[[#This Row],[course_id]],course_data[course_id],course_data[type],"")</f>
        <v>eLearning</v>
      </c>
      <c r="K262" t="str">
        <f>role_course_map[[#This Row],[role_id]] &amp; "|" &amp; role_course_map[[#This Row],[course_id]]</f>
        <v>R0075|76716</v>
      </c>
      <c r="L262" t="str">
        <f>IF(COUNTIF(role_course_map[mapping_key],role_course_map[[#This Row],[mapping_key]])&gt;1,"DUPLICATE","OK")</f>
        <v>OK</v>
      </c>
      <c r="M262" t="str">
        <f>IF(COUNTIF(role_data[role_id],role_course_map[[#This Row],[role_id]])=0, "INVALID","VALID")</f>
        <v>VALID</v>
      </c>
      <c r="N262" t="str">
        <f>IF(COUNTIF(course_data[course_id],role_course_map[[#This Row],[course_id]])=0, "INVALID","VALID")</f>
        <v>VALID</v>
      </c>
    </row>
    <row r="263" spans="1:14" x14ac:dyDescent="0.35">
      <c r="A263" t="s">
        <v>130</v>
      </c>
      <c r="B263" s="5" t="str">
        <f>_xlfn.XLOOKUP(role_course_map[[#This Row],[role_id]], role_data[role_id], role_data[Role],"")</f>
        <v>Complaint Resolution Manager</v>
      </c>
      <c r="C263">
        <v>79666</v>
      </c>
      <c r="D263" s="5" t="str">
        <f>_xlfn.XLOOKUP(role_course_map[[#This Row],[course_id]],course_data[course_id],course_data[title],"")</f>
        <v>Getting it right for every child (GIRFEC): informed level</v>
      </c>
      <c r="E263" s="5" t="str">
        <f>_xlfn.XLOOKUP(role_course_map[[#This Row],[course_id]],course_data[course_id],course_data[topic],"")</f>
        <v>SAS : Public Protection</v>
      </c>
      <c r="F263" s="5" t="str">
        <f>_xlfn.XLOOKUP(role_course_map[[#This Row],[course_id]],course_data[course_id],course_data[type],"")</f>
        <v>eLearning</v>
      </c>
      <c r="K263" t="str">
        <f>role_course_map[[#This Row],[role_id]] &amp; "|" &amp; role_course_map[[#This Row],[course_id]]</f>
        <v>R0059|79666</v>
      </c>
      <c r="L263" t="str">
        <f>IF(COUNTIF(role_course_map[mapping_key],role_course_map[[#This Row],[mapping_key]])&gt;1,"DUPLICATE","OK")</f>
        <v>OK</v>
      </c>
      <c r="M263" t="str">
        <f>IF(COUNTIF(role_data[role_id],role_course_map[[#This Row],[role_id]])=0, "INVALID","VALID")</f>
        <v>VALID</v>
      </c>
      <c r="N263" t="str">
        <f>IF(COUNTIF(course_data[course_id],role_course_map[[#This Row],[course_id]])=0, "INVALID","VALID")</f>
        <v>VALID</v>
      </c>
    </row>
    <row r="264" spans="1:14" x14ac:dyDescent="0.35">
      <c r="A264" t="s">
        <v>130</v>
      </c>
      <c r="B264" s="5" t="str">
        <f>_xlfn.XLOOKUP(role_course_map[[#This Row],[role_id]], role_data[role_id], role_data[Role],"")</f>
        <v>Complaint Resolution Manager</v>
      </c>
      <c r="C264">
        <v>999074</v>
      </c>
      <c r="D264" s="5" t="str">
        <f>_xlfn.XLOOKUP(role_course_map[[#This Row],[course_id]],course_data[course_id],course_data[title],"")</f>
        <v>SAS-specific Children’s rights</v>
      </c>
      <c r="E264" s="5" t="str">
        <f>_xlfn.XLOOKUP(role_course_map[[#This Row],[course_id]],course_data[course_id],course_data[topic],"")</f>
        <v>SAS : Public Protection</v>
      </c>
      <c r="F264" s="5" t="str">
        <f>_xlfn.XLOOKUP(role_course_map[[#This Row],[course_id]],course_data[course_id],course_data[type],"")</f>
        <v>eLearning</v>
      </c>
      <c r="K264" t="str">
        <f>role_course_map[[#This Row],[role_id]] &amp; "|" &amp; role_course_map[[#This Row],[course_id]]</f>
        <v>R0059|999074</v>
      </c>
      <c r="L264" t="str">
        <f>IF(COUNTIF(role_course_map[mapping_key],role_course_map[[#This Row],[mapping_key]])&gt;1,"DUPLICATE","OK")</f>
        <v>OK</v>
      </c>
      <c r="M264" t="str">
        <f>IF(COUNTIF(role_data[role_id],role_course_map[[#This Row],[role_id]])=0, "INVALID","VALID")</f>
        <v>VALID</v>
      </c>
      <c r="N264" t="str">
        <f>IF(COUNTIF(course_data[course_id],role_course_map[[#This Row],[course_id]])=0, "INVALID","VALID")</f>
        <v>VALID</v>
      </c>
    </row>
    <row r="265" spans="1:14" x14ac:dyDescent="0.35">
      <c r="A265" t="s">
        <v>130</v>
      </c>
      <c r="B265" s="5" t="str">
        <f>_xlfn.XLOOKUP(role_course_map[[#This Row],[role_id]], role_data[role_id], role_data[Role],"")</f>
        <v>Complaint Resolution Manager</v>
      </c>
      <c r="C265">
        <v>999075</v>
      </c>
      <c r="D265" s="5" t="str">
        <f>_xlfn.XLOOKUP(role_course_map[[#This Row],[course_id]],course_data[course_id],course_data[title],"")</f>
        <v>Multiagency local or bespoke Level 3 delivery training</v>
      </c>
      <c r="E265" s="5" t="str">
        <f>_xlfn.XLOOKUP(role_course_map[[#This Row],[course_id]],course_data[course_id],course_data[topic],"")</f>
        <v>SAS : Public Protection</v>
      </c>
      <c r="F265" s="5" t="str">
        <f>_xlfn.XLOOKUP(role_course_map[[#This Row],[course_id]],course_data[course_id],course_data[type],"")</f>
        <v>eLearning</v>
      </c>
      <c r="K265" t="str">
        <f>role_course_map[[#This Row],[role_id]] &amp; "|" &amp; role_course_map[[#This Row],[course_id]]</f>
        <v>R0059|999075</v>
      </c>
      <c r="L265" t="str">
        <f>IF(COUNTIF(role_course_map[mapping_key],role_course_map[[#This Row],[mapping_key]])&gt;1,"DUPLICATE","OK")</f>
        <v>OK</v>
      </c>
      <c r="M265" t="str">
        <f>IF(COUNTIF(role_data[role_id],role_course_map[[#This Row],[role_id]])=0, "INVALID","VALID")</f>
        <v>VALID</v>
      </c>
      <c r="N265" t="str">
        <f>IF(COUNTIF(course_data[course_id],role_course_map[[#This Row],[course_id]])=0, "INVALID","VALID")</f>
        <v>VALID</v>
      </c>
    </row>
    <row r="266" spans="1:14" x14ac:dyDescent="0.35">
      <c r="A266" t="s">
        <v>130</v>
      </c>
      <c r="B266" s="5" t="str">
        <f>_xlfn.XLOOKUP(role_course_map[[#This Row],[role_id]], role_data[role_id], role_data[Role],"")</f>
        <v>Complaint Resolution Manager</v>
      </c>
      <c r="C266">
        <v>15249</v>
      </c>
      <c r="D266" s="5" t="str">
        <f>_xlfn.XLOOKUP(role_course_map[[#This Row],[course_id]],course_data[course_id],course_data[title],"")</f>
        <v>Human trafficking</v>
      </c>
      <c r="E266" s="5" t="str">
        <f>_xlfn.XLOOKUP(role_course_map[[#This Row],[course_id]],course_data[course_id],course_data[topic],"")</f>
        <v>SAS : Public Protection</v>
      </c>
      <c r="F266" s="5" t="str">
        <f>_xlfn.XLOOKUP(role_course_map[[#This Row],[course_id]],course_data[course_id],course_data[type],"")</f>
        <v>eLearning</v>
      </c>
      <c r="K266" t="str">
        <f>role_course_map[[#This Row],[role_id]] &amp; "|" &amp; role_course_map[[#This Row],[course_id]]</f>
        <v>R0059|15249</v>
      </c>
      <c r="L266" t="str">
        <f>IF(COUNTIF(role_course_map[mapping_key],role_course_map[[#This Row],[mapping_key]])&gt;1,"DUPLICATE","OK")</f>
        <v>OK</v>
      </c>
      <c r="M266" t="str">
        <f>IF(COUNTIF(role_data[role_id],role_course_map[[#This Row],[role_id]])=0, "INVALID","VALID")</f>
        <v>VALID</v>
      </c>
      <c r="N266" t="str">
        <f>IF(COUNTIF(course_data[course_id],role_course_map[[#This Row],[course_id]])=0, "INVALID","VALID")</f>
        <v>VALID</v>
      </c>
    </row>
    <row r="267" spans="1:14" x14ac:dyDescent="0.35">
      <c r="A267" t="s">
        <v>162</v>
      </c>
      <c r="B267" s="5" t="str">
        <f>_xlfn.XLOOKUP(role_course_map[[#This Row],[role_id]], role_data[role_id], role_data[Role],"")</f>
        <v>Practice Developer</v>
      </c>
      <c r="C267">
        <v>999094</v>
      </c>
      <c r="D267" s="5" t="str">
        <f>_xlfn.XLOOKUP(role_course_map[[#This Row],[course_id]],course_data[course_id],course_data[title],"")</f>
        <v>Being well, Mind, Body &amp; Workplace</v>
      </c>
      <c r="E267" s="5" t="str">
        <f>_xlfn.XLOOKUP(role_course_map[[#This Row],[course_id]],course_data[course_id],course_data[topic],"")</f>
        <v>SAS: Staff development and experience</v>
      </c>
      <c r="F267" s="5" t="str">
        <f>_xlfn.XLOOKUP(role_course_map[[#This Row],[course_id]],course_data[course_id],course_data[type],"")</f>
        <v>eLearning</v>
      </c>
      <c r="K267" t="str">
        <f>role_course_map[[#This Row],[role_id]] &amp; "|" &amp; role_course_map[[#This Row],[course_id]]</f>
        <v>R0075|999094</v>
      </c>
      <c r="L267" t="str">
        <f>IF(COUNTIF(role_course_map[mapping_key],role_course_map[[#This Row],[mapping_key]])&gt;1,"DUPLICATE","OK")</f>
        <v>OK</v>
      </c>
      <c r="M267" t="str">
        <f>IF(COUNTIF(role_data[role_id],role_course_map[[#This Row],[role_id]])=0, "INVALID","VALID")</f>
        <v>VALID</v>
      </c>
      <c r="N267" t="str">
        <f>IF(COUNTIF(course_data[course_id],role_course_map[[#This Row],[course_id]])=0, "INVALID","VALID")</f>
        <v>VALID</v>
      </c>
    </row>
    <row r="268" spans="1:14" x14ac:dyDescent="0.35">
      <c r="A268" t="s">
        <v>168</v>
      </c>
      <c r="B268" s="5" t="str">
        <f>_xlfn.XLOOKUP(role_course_map[[#This Row],[role_id]], role_data[role_id], role_data[Role],"")</f>
        <v>Scheduled Care Coordinator</v>
      </c>
      <c r="C268">
        <v>77409</v>
      </c>
      <c r="D268" s="5" t="str">
        <f>_xlfn.XLOOKUP(role_course_map[[#This Row],[course_id]],course_data[course_id],course_data[title],"")</f>
        <v>APTS Call Handling</v>
      </c>
      <c r="E268" s="5" t="str">
        <f>_xlfn.XLOOKUP(role_course_map[[#This Row],[course_id]],course_data[course_id],course_data[topic],"")</f>
        <v>SAS: Systems Training</v>
      </c>
      <c r="F268" s="5" t="str">
        <f>_xlfn.XLOOKUP(role_course_map[[#This Row],[course_id]],course_data[course_id],course_data[type],"")</f>
        <v>Course</v>
      </c>
      <c r="K268" t="str">
        <f>role_course_map[[#This Row],[role_id]] &amp; "|" &amp; role_course_map[[#This Row],[course_id]]</f>
        <v>R0078|77409</v>
      </c>
      <c r="L268" t="str">
        <f>IF(COUNTIF(role_course_map[mapping_key],role_course_map[[#This Row],[mapping_key]])&gt;1,"DUPLICATE","OK")</f>
        <v>OK</v>
      </c>
      <c r="M268" t="str">
        <f>IF(COUNTIF(role_data[role_id],role_course_map[[#This Row],[role_id]])=0, "INVALID","VALID")</f>
        <v>VALID</v>
      </c>
      <c r="N268" t="str">
        <f>IF(COUNTIF(course_data[course_id],role_course_map[[#This Row],[course_id]])=0, "INVALID","VALID")</f>
        <v>VALID</v>
      </c>
    </row>
    <row r="269" spans="1:14" x14ac:dyDescent="0.35">
      <c r="A269" t="s">
        <v>172</v>
      </c>
      <c r="B269" s="5" t="str">
        <f>_xlfn.XLOOKUP(role_course_map[[#This Row],[role_id]], role_data[role_id], role_data[Role],"")</f>
        <v>Scheduled Care Supervisor</v>
      </c>
      <c r="C269">
        <v>77409</v>
      </c>
      <c r="D269" s="5" t="str">
        <f>_xlfn.XLOOKUP(role_course_map[[#This Row],[course_id]],course_data[course_id],course_data[title],"")</f>
        <v>APTS Call Handling</v>
      </c>
      <c r="E269" s="5" t="str">
        <f>_xlfn.XLOOKUP(role_course_map[[#This Row],[course_id]],course_data[course_id],course_data[topic],"")</f>
        <v>SAS: Systems Training</v>
      </c>
      <c r="F269" s="5" t="str">
        <f>_xlfn.XLOOKUP(role_course_map[[#This Row],[course_id]],course_data[course_id],course_data[type],"")</f>
        <v>Course</v>
      </c>
      <c r="K269" t="str">
        <f>role_course_map[[#This Row],[role_id]] &amp; "|" &amp; role_course_map[[#This Row],[course_id]]</f>
        <v>R0080|77409</v>
      </c>
      <c r="L269" t="str">
        <f>IF(COUNTIF(role_course_map[mapping_key],role_course_map[[#This Row],[mapping_key]])&gt;1,"DUPLICATE","OK")</f>
        <v>OK</v>
      </c>
      <c r="M269" t="str">
        <f>IF(COUNTIF(role_data[role_id],role_course_map[[#This Row],[role_id]])=0, "INVALID","VALID")</f>
        <v>VALID</v>
      </c>
      <c r="N269" t="str">
        <f>IF(COUNTIF(course_data[course_id],role_course_map[[#This Row],[course_id]])=0, "INVALID","VALID")</f>
        <v>VALID</v>
      </c>
    </row>
    <row r="270" spans="1:14" x14ac:dyDescent="0.35">
      <c r="A270" t="s">
        <v>168</v>
      </c>
      <c r="B270" s="5" t="str">
        <f>_xlfn.XLOOKUP(role_course_map[[#This Row],[role_id]], role_data[role_id], role_data[Role],"")</f>
        <v>Scheduled Care Coordinator</v>
      </c>
      <c r="C270">
        <v>78369</v>
      </c>
      <c r="D270" s="5" t="str">
        <f>_xlfn.XLOOKUP(role_course_map[[#This Row],[course_id]],course_data[course_id],course_data[title],"")</f>
        <v>APTS Day Control</v>
      </c>
      <c r="E270" s="5" t="str">
        <f>_xlfn.XLOOKUP(role_course_map[[#This Row],[course_id]],course_data[course_id],course_data[topic],"")</f>
        <v>SAS: Systems Training</v>
      </c>
      <c r="F270" s="5" t="str">
        <f>_xlfn.XLOOKUP(role_course_map[[#This Row],[course_id]],course_data[course_id],course_data[type],"")</f>
        <v>Course</v>
      </c>
      <c r="K270" t="str">
        <f>role_course_map[[#This Row],[role_id]] &amp; "|" &amp; role_course_map[[#This Row],[course_id]]</f>
        <v>R0078|78369</v>
      </c>
      <c r="L270" t="str">
        <f>IF(COUNTIF(role_course_map[mapping_key],role_course_map[[#This Row],[mapping_key]])&gt;1,"DUPLICATE","OK")</f>
        <v>OK</v>
      </c>
      <c r="M270" t="str">
        <f>IF(COUNTIF(role_data[role_id],role_course_map[[#This Row],[role_id]])=0, "INVALID","VALID")</f>
        <v>VALID</v>
      </c>
      <c r="N270" t="str">
        <f>IF(COUNTIF(course_data[course_id],role_course_map[[#This Row],[course_id]])=0, "INVALID","VALID")</f>
        <v>VALID</v>
      </c>
    </row>
    <row r="271" spans="1:14" x14ac:dyDescent="0.35">
      <c r="A271" t="s">
        <v>172</v>
      </c>
      <c r="B271" s="5" t="str">
        <f>_xlfn.XLOOKUP(role_course_map[[#This Row],[role_id]], role_data[role_id], role_data[Role],"")</f>
        <v>Scheduled Care Supervisor</v>
      </c>
      <c r="C271">
        <v>78369</v>
      </c>
      <c r="D271" s="5" t="str">
        <f>_xlfn.XLOOKUP(role_course_map[[#This Row],[course_id]],course_data[course_id],course_data[title],"")</f>
        <v>APTS Day Control</v>
      </c>
      <c r="E271" s="5" t="str">
        <f>_xlfn.XLOOKUP(role_course_map[[#This Row],[course_id]],course_data[course_id],course_data[topic],"")</f>
        <v>SAS: Systems Training</v>
      </c>
      <c r="F271" s="5" t="str">
        <f>_xlfn.XLOOKUP(role_course_map[[#This Row],[course_id]],course_data[course_id],course_data[type],"")</f>
        <v>Course</v>
      </c>
      <c r="K271" t="str">
        <f>role_course_map[[#This Row],[role_id]] &amp; "|" &amp; role_course_map[[#This Row],[course_id]]</f>
        <v>R0080|78369</v>
      </c>
      <c r="L271" t="str">
        <f>IF(COUNTIF(role_course_map[mapping_key],role_course_map[[#This Row],[mapping_key]])&gt;1,"DUPLICATE","OK")</f>
        <v>OK</v>
      </c>
      <c r="M271" t="str">
        <f>IF(COUNTIF(role_data[role_id],role_course_map[[#This Row],[role_id]])=0, "INVALID","VALID")</f>
        <v>VALID</v>
      </c>
      <c r="N271" t="str">
        <f>IF(COUNTIF(course_data[course_id],role_course_map[[#This Row],[course_id]])=0, "INVALID","VALID")</f>
        <v>VALID</v>
      </c>
    </row>
    <row r="272" spans="1:14" x14ac:dyDescent="0.35">
      <c r="A272" t="s">
        <v>172</v>
      </c>
      <c r="B272" s="5" t="str">
        <f>_xlfn.XLOOKUP(role_course_map[[#This Row],[role_id]], role_data[role_id], role_data[Role],"")</f>
        <v>Scheduled Care Supervisor</v>
      </c>
      <c r="C272">
        <v>999058</v>
      </c>
      <c r="D272" s="5" t="str">
        <f>_xlfn.XLOOKUP(role_course_map[[#This Row],[course_id]],course_data[course_id],course_data[title],"")</f>
        <v>Stress Identification &amp; Stress Management</v>
      </c>
      <c r="E272" s="5" t="str">
        <f>_xlfn.XLOOKUP(role_course_map[[#This Row],[course_id]],course_data[course_id],course_data[topic],"")</f>
        <v>SAS : Health and Safety</v>
      </c>
      <c r="F272" s="5" t="str">
        <f>_xlfn.XLOOKUP(role_course_map[[#This Row],[course_id]],course_data[course_id],course_data[type],"")</f>
        <v>eLearning</v>
      </c>
      <c r="K272" t="str">
        <f>role_course_map[[#This Row],[role_id]] &amp; "|" &amp; role_course_map[[#This Row],[course_id]]</f>
        <v>R0080|999058</v>
      </c>
      <c r="L272" t="str">
        <f>IF(COUNTIF(role_course_map[mapping_key],role_course_map[[#This Row],[mapping_key]])&gt;1,"DUPLICATE","OK")</f>
        <v>OK</v>
      </c>
      <c r="M272" t="str">
        <f>IF(COUNTIF(role_data[role_id],role_course_map[[#This Row],[role_id]])=0, "INVALID","VALID")</f>
        <v>VALID</v>
      </c>
      <c r="N272" t="str">
        <f>IF(COUNTIF(course_data[course_id],role_course_map[[#This Row],[course_id]])=0, "INVALID","VALID")</f>
        <v>VALID</v>
      </c>
    </row>
    <row r="273" spans="1:14" x14ac:dyDescent="0.35">
      <c r="A273" t="s">
        <v>172</v>
      </c>
      <c r="B273" s="5" t="str">
        <f>_xlfn.XLOOKUP(role_course_map[[#This Row],[role_id]], role_data[role_id], role_data[Role],"")</f>
        <v>Scheduled Care Supervisor</v>
      </c>
      <c r="C273">
        <v>79147</v>
      </c>
      <c r="D273" s="5" t="str">
        <f>_xlfn.XLOOKUP(role_course_map[[#This Row],[course_id]],course_data[course_id],course_data[title],"")</f>
        <v>Driving risks at work</v>
      </c>
      <c r="E273" s="5" t="str">
        <f>_xlfn.XLOOKUP(role_course_map[[#This Row],[course_id]],course_data[course_id],course_data[topic],"")</f>
        <v>SAS : Health and Safety</v>
      </c>
      <c r="F273" s="5" t="str">
        <f>_xlfn.XLOOKUP(role_course_map[[#This Row],[course_id]],course_data[course_id],course_data[type],"")</f>
        <v>eLearning</v>
      </c>
      <c r="K273" t="str">
        <f>role_course_map[[#This Row],[role_id]] &amp; "|" &amp; role_course_map[[#This Row],[course_id]]</f>
        <v>R0080|79147</v>
      </c>
      <c r="L273" t="str">
        <f>IF(COUNTIF(role_course_map[mapping_key],role_course_map[[#This Row],[mapping_key]])&gt;1,"DUPLICATE","OK")</f>
        <v>OK</v>
      </c>
      <c r="M273" t="str">
        <f>IF(COUNTIF(role_data[role_id],role_course_map[[#This Row],[role_id]])=0, "INVALID","VALID")</f>
        <v>VALID</v>
      </c>
      <c r="N273" t="str">
        <f>IF(COUNTIF(course_data[course_id],role_course_map[[#This Row],[course_id]])=0, "INVALID","VALID")</f>
        <v>VALID</v>
      </c>
    </row>
    <row r="274" spans="1:14" x14ac:dyDescent="0.35">
      <c r="A274" t="s">
        <v>130</v>
      </c>
      <c r="B274" s="5" t="str">
        <f>_xlfn.XLOOKUP(role_course_map[[#This Row],[role_id]], role_data[role_id], role_data[Role],"")</f>
        <v>Complaint Resolution Manager</v>
      </c>
      <c r="C274">
        <v>999057</v>
      </c>
      <c r="D274" s="5" t="str">
        <f>_xlfn.XLOOKUP(role_course_map[[#This Row],[course_id]],course_data[course_id],course_data[title],"")</f>
        <v>Fatigue Awareness</v>
      </c>
      <c r="E274" s="5" t="str">
        <f>_xlfn.XLOOKUP(role_course_map[[#This Row],[course_id]],course_data[course_id],course_data[topic],"")</f>
        <v>SAS : Health and Safety</v>
      </c>
      <c r="F274" s="5" t="str">
        <f>_xlfn.XLOOKUP(role_course_map[[#This Row],[course_id]],course_data[course_id],course_data[type],"")</f>
        <v>eLearning</v>
      </c>
      <c r="K274" t="str">
        <f>role_course_map[[#This Row],[role_id]] &amp; "|" &amp; role_course_map[[#This Row],[course_id]]</f>
        <v>R0059|999057</v>
      </c>
      <c r="L274" t="str">
        <f>IF(COUNTIF(role_course_map[mapping_key],role_course_map[[#This Row],[mapping_key]])&gt;1,"DUPLICATE","OK")</f>
        <v>OK</v>
      </c>
      <c r="M274" t="str">
        <f>IF(COUNTIF(role_data[role_id],role_course_map[[#This Row],[role_id]])=0, "INVALID","VALID")</f>
        <v>VALID</v>
      </c>
      <c r="N274" t="str">
        <f>IF(COUNTIF(course_data[course_id],role_course_map[[#This Row],[course_id]])=0, "INVALID","VALID")</f>
        <v>VALID</v>
      </c>
    </row>
    <row r="275" spans="1:14" x14ac:dyDescent="0.35">
      <c r="A275" t="s">
        <v>172</v>
      </c>
      <c r="B275" s="5" t="str">
        <f>_xlfn.XLOOKUP(role_course_map[[#This Row],[role_id]], role_data[role_id], role_data[Role],"")</f>
        <v>Scheduled Care Supervisor</v>
      </c>
      <c r="C275">
        <v>64322</v>
      </c>
      <c r="D275" s="5" t="str">
        <f>_xlfn.XLOOKUP(role_course_map[[#This Row],[course_id]],course_data[course_id],course_data[title],"")</f>
        <v>Adult support and protection: practice level 2 [skilled]</v>
      </c>
      <c r="E275" s="5" t="str">
        <f>_xlfn.XLOOKUP(role_course_map[[#This Row],[course_id]],course_data[course_id],course_data[topic],"")</f>
        <v>SAS : Public Protection</v>
      </c>
      <c r="F275" s="5" t="str">
        <f>_xlfn.XLOOKUP(role_course_map[[#This Row],[course_id]],course_data[course_id],course_data[type],"")</f>
        <v>eLearning</v>
      </c>
      <c r="K275" t="str">
        <f>role_course_map[[#This Row],[role_id]] &amp; "|" &amp; role_course_map[[#This Row],[course_id]]</f>
        <v>R0080|64322</v>
      </c>
      <c r="L275" t="str">
        <f>IF(COUNTIF(role_course_map[mapping_key],role_course_map[[#This Row],[mapping_key]])&gt;1,"DUPLICATE","OK")</f>
        <v>OK</v>
      </c>
      <c r="M275" t="str">
        <f>IF(COUNTIF(role_data[role_id],role_course_map[[#This Row],[role_id]])=0, "INVALID","VALID")</f>
        <v>VALID</v>
      </c>
      <c r="N275" t="str">
        <f>IF(COUNTIF(course_data[course_id],role_course_map[[#This Row],[course_id]])=0, "INVALID","VALID")</f>
        <v>VALID</v>
      </c>
    </row>
    <row r="276" spans="1:14" x14ac:dyDescent="0.35">
      <c r="A276" t="s">
        <v>172</v>
      </c>
      <c r="B276" s="5" t="str">
        <f>_xlfn.XLOOKUP(role_course_map[[#This Row],[role_id]], role_data[role_id], role_data[Role],"")</f>
        <v>Scheduled Care Supervisor</v>
      </c>
      <c r="C276">
        <v>64324</v>
      </c>
      <c r="D276" s="5" t="str">
        <f>_xlfn.XLOOKUP(role_course_map[[#This Row],[course_id]],course_data[course_id],course_data[title],"")</f>
        <v>Child protection: practice level 2 [skilled]</v>
      </c>
      <c r="E276" s="5" t="str">
        <f>_xlfn.XLOOKUP(role_course_map[[#This Row],[course_id]],course_data[course_id],course_data[topic],"")</f>
        <v>SAS : Public Protection</v>
      </c>
      <c r="F276" s="5" t="str">
        <f>_xlfn.XLOOKUP(role_course_map[[#This Row],[course_id]],course_data[course_id],course_data[type],"")</f>
        <v>eLearning</v>
      </c>
      <c r="K276" t="str">
        <f>role_course_map[[#This Row],[role_id]] &amp; "|" &amp; role_course_map[[#This Row],[course_id]]</f>
        <v>R0080|64324</v>
      </c>
      <c r="L276" t="str">
        <f>IF(COUNTIF(role_course_map[mapping_key],role_course_map[[#This Row],[mapping_key]])&gt;1,"DUPLICATE","OK")</f>
        <v>OK</v>
      </c>
      <c r="M276" t="str">
        <f>IF(COUNTIF(role_data[role_id],role_course_map[[#This Row],[role_id]])=0, "INVALID","VALID")</f>
        <v>VALID</v>
      </c>
      <c r="N276" t="str">
        <f>IF(COUNTIF(course_data[course_id],role_course_map[[#This Row],[course_id]])=0, "INVALID","VALID")</f>
        <v>VALID</v>
      </c>
    </row>
    <row r="277" spans="1:14" x14ac:dyDescent="0.35">
      <c r="A277" t="s">
        <v>130</v>
      </c>
      <c r="B277" s="5" t="str">
        <f>_xlfn.XLOOKUP(role_course_map[[#This Row],[role_id]], role_data[role_id], role_data[Role],"")</f>
        <v>Complaint Resolution Manager</v>
      </c>
      <c r="C277">
        <v>76716</v>
      </c>
      <c r="D277" s="5" t="str">
        <f>_xlfn.XLOOKUP(role_course_map[[#This Row],[course_id]],course_data[course_id],course_data[title],"")</f>
        <v>Domestic abuse awareness training tool (DAART)</v>
      </c>
      <c r="E277" s="5" t="str">
        <f>_xlfn.XLOOKUP(role_course_map[[#This Row],[course_id]],course_data[course_id],course_data[topic],"")</f>
        <v>SAS : Public Protection</v>
      </c>
      <c r="F277" s="5" t="str">
        <f>_xlfn.XLOOKUP(role_course_map[[#This Row],[course_id]],course_data[course_id],course_data[type],"")</f>
        <v>eLearning</v>
      </c>
      <c r="K277" t="str">
        <f>role_course_map[[#This Row],[role_id]] &amp; "|" &amp; role_course_map[[#This Row],[course_id]]</f>
        <v>R0059|76716</v>
      </c>
      <c r="L277" t="str">
        <f>IF(COUNTIF(role_course_map[mapping_key],role_course_map[[#This Row],[mapping_key]])&gt;1,"DUPLICATE","OK")</f>
        <v>OK</v>
      </c>
      <c r="M277" t="str">
        <f>IF(COUNTIF(role_data[role_id],role_course_map[[#This Row],[role_id]])=0, "INVALID","VALID")</f>
        <v>VALID</v>
      </c>
      <c r="N277" t="str">
        <f>IF(COUNTIF(course_data[course_id],role_course_map[[#This Row],[course_id]])=0, "INVALID","VALID")</f>
        <v>VALID</v>
      </c>
    </row>
    <row r="278" spans="1:14" x14ac:dyDescent="0.35">
      <c r="A278" t="s">
        <v>172</v>
      </c>
      <c r="B278" s="5" t="str">
        <f>_xlfn.XLOOKUP(role_course_map[[#This Row],[role_id]], role_data[role_id], role_data[Role],"")</f>
        <v>Scheduled Care Supervisor</v>
      </c>
      <c r="C278">
        <v>79666</v>
      </c>
      <c r="D278" s="5" t="str">
        <f>_xlfn.XLOOKUP(role_course_map[[#This Row],[course_id]],course_data[course_id],course_data[title],"")</f>
        <v>Getting it right for every child (GIRFEC): informed level</v>
      </c>
      <c r="E278" s="5" t="str">
        <f>_xlfn.XLOOKUP(role_course_map[[#This Row],[course_id]],course_data[course_id],course_data[topic],"")</f>
        <v>SAS : Public Protection</v>
      </c>
      <c r="F278" s="5" t="str">
        <f>_xlfn.XLOOKUP(role_course_map[[#This Row],[course_id]],course_data[course_id],course_data[type],"")</f>
        <v>eLearning</v>
      </c>
      <c r="K278" t="str">
        <f>role_course_map[[#This Row],[role_id]] &amp; "|" &amp; role_course_map[[#This Row],[course_id]]</f>
        <v>R0080|79666</v>
      </c>
      <c r="L278" t="str">
        <f>IF(COUNTIF(role_course_map[mapping_key],role_course_map[[#This Row],[mapping_key]])&gt;1,"DUPLICATE","OK")</f>
        <v>OK</v>
      </c>
      <c r="M278" t="str">
        <f>IF(COUNTIF(role_data[role_id],role_course_map[[#This Row],[role_id]])=0, "INVALID","VALID")</f>
        <v>VALID</v>
      </c>
      <c r="N278" t="str">
        <f>IF(COUNTIF(course_data[course_id],role_course_map[[#This Row],[course_id]])=0, "INVALID","VALID")</f>
        <v>VALID</v>
      </c>
    </row>
    <row r="279" spans="1:14" x14ac:dyDescent="0.35">
      <c r="A279" t="s">
        <v>172</v>
      </c>
      <c r="B279" s="5" t="str">
        <f>_xlfn.XLOOKUP(role_course_map[[#This Row],[role_id]], role_data[role_id], role_data[Role],"")</f>
        <v>Scheduled Care Supervisor</v>
      </c>
      <c r="C279">
        <v>999074</v>
      </c>
      <c r="D279" s="5" t="str">
        <f>_xlfn.XLOOKUP(role_course_map[[#This Row],[course_id]],course_data[course_id],course_data[title],"")</f>
        <v>SAS-specific Children’s rights</v>
      </c>
      <c r="E279" s="5" t="str">
        <f>_xlfn.XLOOKUP(role_course_map[[#This Row],[course_id]],course_data[course_id],course_data[topic],"")</f>
        <v>SAS : Public Protection</v>
      </c>
      <c r="F279" s="5" t="str">
        <f>_xlfn.XLOOKUP(role_course_map[[#This Row],[course_id]],course_data[course_id],course_data[type],"")</f>
        <v>eLearning</v>
      </c>
      <c r="K279" t="str">
        <f>role_course_map[[#This Row],[role_id]] &amp; "|" &amp; role_course_map[[#This Row],[course_id]]</f>
        <v>R0080|999074</v>
      </c>
      <c r="L279" t="str">
        <f>IF(COUNTIF(role_course_map[mapping_key],role_course_map[[#This Row],[mapping_key]])&gt;1,"DUPLICATE","OK")</f>
        <v>OK</v>
      </c>
      <c r="M279" t="str">
        <f>IF(COUNTIF(role_data[role_id],role_course_map[[#This Row],[role_id]])=0, "INVALID","VALID")</f>
        <v>VALID</v>
      </c>
      <c r="N279" t="str">
        <f>IF(COUNTIF(course_data[course_id],role_course_map[[#This Row],[course_id]])=0, "INVALID","VALID")</f>
        <v>VALID</v>
      </c>
    </row>
    <row r="280" spans="1:14" x14ac:dyDescent="0.35">
      <c r="A280" t="s">
        <v>172</v>
      </c>
      <c r="B280" s="5" t="str">
        <f>_xlfn.XLOOKUP(role_course_map[[#This Row],[role_id]], role_data[role_id], role_data[Role],"")</f>
        <v>Scheduled Care Supervisor</v>
      </c>
      <c r="C280">
        <v>999075</v>
      </c>
      <c r="D280" s="5" t="str">
        <f>_xlfn.XLOOKUP(role_course_map[[#This Row],[course_id]],course_data[course_id],course_data[title],"")</f>
        <v>Multiagency local or bespoke Level 3 delivery training</v>
      </c>
      <c r="E280" s="5" t="str">
        <f>_xlfn.XLOOKUP(role_course_map[[#This Row],[course_id]],course_data[course_id],course_data[topic],"")</f>
        <v>SAS : Public Protection</v>
      </c>
      <c r="F280" s="5" t="str">
        <f>_xlfn.XLOOKUP(role_course_map[[#This Row],[course_id]],course_data[course_id],course_data[type],"")</f>
        <v>eLearning</v>
      </c>
      <c r="K280" t="str">
        <f>role_course_map[[#This Row],[role_id]] &amp; "|" &amp; role_course_map[[#This Row],[course_id]]</f>
        <v>R0080|999075</v>
      </c>
      <c r="L280" t="str">
        <f>IF(COUNTIF(role_course_map[mapping_key],role_course_map[[#This Row],[mapping_key]])&gt;1,"DUPLICATE","OK")</f>
        <v>OK</v>
      </c>
      <c r="M280" t="str">
        <f>IF(COUNTIF(role_data[role_id],role_course_map[[#This Row],[role_id]])=0, "INVALID","VALID")</f>
        <v>VALID</v>
      </c>
      <c r="N280" t="str">
        <f>IF(COUNTIF(course_data[course_id],role_course_map[[#This Row],[course_id]])=0, "INVALID","VALID")</f>
        <v>VALID</v>
      </c>
    </row>
    <row r="281" spans="1:14" x14ac:dyDescent="0.35">
      <c r="A281" t="s">
        <v>172</v>
      </c>
      <c r="B281" s="5" t="str">
        <f>_xlfn.XLOOKUP(role_course_map[[#This Row],[role_id]], role_data[role_id], role_data[Role],"")</f>
        <v>Scheduled Care Supervisor</v>
      </c>
      <c r="C281">
        <v>15249</v>
      </c>
      <c r="D281" s="5" t="str">
        <f>_xlfn.XLOOKUP(role_course_map[[#This Row],[course_id]],course_data[course_id],course_data[title],"")</f>
        <v>Human trafficking</v>
      </c>
      <c r="E281" s="5" t="str">
        <f>_xlfn.XLOOKUP(role_course_map[[#This Row],[course_id]],course_data[course_id],course_data[topic],"")</f>
        <v>SAS : Public Protection</v>
      </c>
      <c r="F281" s="5" t="str">
        <f>_xlfn.XLOOKUP(role_course_map[[#This Row],[course_id]],course_data[course_id],course_data[type],"")</f>
        <v>eLearning</v>
      </c>
      <c r="K281" t="str">
        <f>role_course_map[[#This Row],[role_id]] &amp; "|" &amp; role_course_map[[#This Row],[course_id]]</f>
        <v>R0080|15249</v>
      </c>
      <c r="L281" t="str">
        <f>IF(COUNTIF(role_course_map[mapping_key],role_course_map[[#This Row],[mapping_key]])&gt;1,"DUPLICATE","OK")</f>
        <v>OK</v>
      </c>
      <c r="M281" t="str">
        <f>IF(COUNTIF(role_data[role_id],role_course_map[[#This Row],[role_id]])=0, "INVALID","VALID")</f>
        <v>VALID</v>
      </c>
      <c r="N281" t="str">
        <f>IF(COUNTIF(course_data[course_id],role_course_map[[#This Row],[course_id]])=0, "INVALID","VALID")</f>
        <v>VALID</v>
      </c>
    </row>
    <row r="282" spans="1:14" x14ac:dyDescent="0.35">
      <c r="A282" t="s">
        <v>184</v>
      </c>
      <c r="B282" s="5" t="str">
        <f>_xlfn.XLOOKUP(role_course_map[[#This Row],[role_id]], role_data[role_id], role_data[Role],"")</f>
        <v>Workforce Planning Supervisor</v>
      </c>
      <c r="C282">
        <v>999092</v>
      </c>
      <c r="D282" s="5" t="str">
        <f>_xlfn.XLOOKUP(role_course_map[[#This Row],[course_id]],course_data[course_id],course_data[title],"")</f>
        <v>Health &amp; Wellbeing Awareness for Managers</v>
      </c>
      <c r="E282" s="5" t="str">
        <f>_xlfn.XLOOKUP(role_course_map[[#This Row],[course_id]],course_data[course_id],course_data[topic],"")</f>
        <v>SAS: Staff development and experience</v>
      </c>
      <c r="F282" s="5" t="str">
        <f>_xlfn.XLOOKUP(role_course_map[[#This Row],[course_id]],course_data[course_id],course_data[type],"")</f>
        <v>eLearning</v>
      </c>
      <c r="K282" t="str">
        <f>role_course_map[[#This Row],[role_id]] &amp; "|" &amp; role_course_map[[#This Row],[course_id]]</f>
        <v>R0086|999092</v>
      </c>
      <c r="L282" t="str">
        <f>IF(COUNTIF(role_course_map[mapping_key],role_course_map[[#This Row],[mapping_key]])&gt;1,"DUPLICATE","OK")</f>
        <v>OK</v>
      </c>
      <c r="M282" t="str">
        <f>IF(COUNTIF(role_data[role_id],role_course_map[[#This Row],[role_id]])=0, "INVALID","VALID")</f>
        <v>VALID</v>
      </c>
      <c r="N282" t="str">
        <f>IF(COUNTIF(course_data[course_id],role_course_map[[#This Row],[course_id]])=0, "INVALID","VALID")</f>
        <v>VALID</v>
      </c>
    </row>
    <row r="283" spans="1:14" x14ac:dyDescent="0.35">
      <c r="A283" t="s">
        <v>172</v>
      </c>
      <c r="B283" s="5" t="str">
        <f>_xlfn.XLOOKUP(role_course_map[[#This Row],[role_id]], role_data[role_id], role_data[Role],"")</f>
        <v>Scheduled Care Supervisor</v>
      </c>
      <c r="C283">
        <v>999093</v>
      </c>
      <c r="D283" s="5" t="str">
        <f>_xlfn.XLOOKUP(role_course_map[[#This Row],[course_id]],course_data[course_id],course_data[title],"")</f>
        <v>Managing Wellbeing Refresher for Managers</v>
      </c>
      <c r="E283" s="5" t="str">
        <f>_xlfn.XLOOKUP(role_course_map[[#This Row],[course_id]],course_data[course_id],course_data[topic],"")</f>
        <v>SAS: Staff development and experience</v>
      </c>
      <c r="F283" s="5" t="str">
        <f>_xlfn.XLOOKUP(role_course_map[[#This Row],[course_id]],course_data[course_id],course_data[type],"")</f>
        <v>eLearning</v>
      </c>
      <c r="K283" t="str">
        <f>role_course_map[[#This Row],[role_id]] &amp; "|" &amp; role_course_map[[#This Row],[course_id]]</f>
        <v>R0080|999093</v>
      </c>
      <c r="L283" t="str">
        <f>IF(COUNTIF(role_course_map[mapping_key],role_course_map[[#This Row],[mapping_key]])&gt;1,"DUPLICATE","OK")</f>
        <v>OK</v>
      </c>
      <c r="M283" t="str">
        <f>IF(COUNTIF(role_data[role_id],role_course_map[[#This Row],[role_id]])=0, "INVALID","VALID")</f>
        <v>VALID</v>
      </c>
      <c r="N283" t="str">
        <f>IF(COUNTIF(course_data[course_id],role_course_map[[#This Row],[course_id]])=0, "INVALID","VALID")</f>
        <v>VALID</v>
      </c>
    </row>
    <row r="284" spans="1:14" x14ac:dyDescent="0.35">
      <c r="A284" t="s">
        <v>130</v>
      </c>
      <c r="B284" s="5" t="str">
        <f>_xlfn.XLOOKUP(role_course_map[[#This Row],[role_id]], role_data[role_id], role_data[Role],"")</f>
        <v>Complaint Resolution Manager</v>
      </c>
      <c r="C284">
        <v>999094</v>
      </c>
      <c r="D284" s="5" t="str">
        <f>_xlfn.XLOOKUP(role_course_map[[#This Row],[course_id]],course_data[course_id],course_data[title],"")</f>
        <v>Being well, Mind, Body &amp; Workplace</v>
      </c>
      <c r="E284" s="5" t="str">
        <f>_xlfn.XLOOKUP(role_course_map[[#This Row],[course_id]],course_data[course_id],course_data[topic],"")</f>
        <v>SAS: Staff development and experience</v>
      </c>
      <c r="F284" s="5" t="str">
        <f>_xlfn.XLOOKUP(role_course_map[[#This Row],[course_id]],course_data[course_id],course_data[type],"")</f>
        <v>eLearning</v>
      </c>
      <c r="K284" t="str">
        <f>role_course_map[[#This Row],[role_id]] &amp; "|" &amp; role_course_map[[#This Row],[course_id]]</f>
        <v>R0059|999094</v>
      </c>
      <c r="L284" t="str">
        <f>IF(COUNTIF(role_course_map[mapping_key],role_course_map[[#This Row],[mapping_key]])&gt;1,"DUPLICATE","OK")</f>
        <v>OK</v>
      </c>
      <c r="M284" t="str">
        <f>IF(COUNTIF(role_data[role_id],role_course_map[[#This Row],[role_id]])=0, "INVALID","VALID")</f>
        <v>VALID</v>
      </c>
      <c r="N284" t="str">
        <f>IF(COUNTIF(course_data[course_id],role_course_map[[#This Row],[course_id]])=0, "INVALID","VALID")</f>
        <v>VALID</v>
      </c>
    </row>
    <row r="285" spans="1:14" x14ac:dyDescent="0.35">
      <c r="A285" t="s">
        <v>264</v>
      </c>
      <c r="B285" s="5" t="str">
        <f>_xlfn.XLOOKUP(role_course_map[[#This Row],[role_id]], role_data[role_id], role_data[Role],"")</f>
        <v>Advanced Neonatal Nurse Practitioner</v>
      </c>
      <c r="C285">
        <v>999009</v>
      </c>
      <c r="D285" s="5" t="str">
        <f>_xlfn.XLOOKUP(role_course_map[[#This Row],[course_id]],course_data[course_id],course_data[title],"")</f>
        <v>Life Support</v>
      </c>
      <c r="E285" s="5" t="str">
        <f>_xlfn.XLOOKUP(role_course_map[[#This Row],[course_id]],course_data[course_id],course_data[topic],"")</f>
        <v>SAS : Clinical Practice</v>
      </c>
      <c r="F285" s="5" t="str">
        <f>_xlfn.XLOOKUP(role_course_map[[#This Row],[course_id]],course_data[course_id],course_data[type],"")</f>
        <v>Course</v>
      </c>
      <c r="K285" t="str">
        <f>role_course_map[[#This Row],[role_id]] &amp; "|" &amp; role_course_map[[#This Row],[course_id]]</f>
        <v>R0126|999009</v>
      </c>
      <c r="L285" t="str">
        <f>IF(COUNTIF(role_course_map[mapping_key],role_course_map[[#This Row],[mapping_key]])&gt;1,"DUPLICATE","OK")</f>
        <v>OK</v>
      </c>
      <c r="M285" t="str">
        <f>IF(COUNTIF(role_data[role_id],role_course_map[[#This Row],[role_id]])=0, "INVALID","VALID")</f>
        <v>VALID</v>
      </c>
      <c r="N285" t="str">
        <f>IF(COUNTIF(course_data[course_id],role_course_map[[#This Row],[course_id]])=0, "INVALID","VALID")</f>
        <v>VALID</v>
      </c>
    </row>
    <row r="286" spans="1:14" x14ac:dyDescent="0.35">
      <c r="A286" t="s">
        <v>264</v>
      </c>
      <c r="B286" s="5" t="str">
        <f>_xlfn.XLOOKUP(role_course_map[[#This Row],[role_id]], role_data[role_id], role_data[Role],"")</f>
        <v>Advanced Neonatal Nurse Practitioner</v>
      </c>
      <c r="C286">
        <v>999007</v>
      </c>
      <c r="D286" s="5" t="str">
        <f>_xlfn.XLOOKUP(role_course_map[[#This Row],[course_id]],course_data[course_id],course_data[title],"")</f>
        <v>Obstetrics</v>
      </c>
      <c r="E286" s="5" t="str">
        <f>_xlfn.XLOOKUP(role_course_map[[#This Row],[course_id]],course_data[course_id],course_data[topic],"")</f>
        <v>SAS : Clinical Practice</v>
      </c>
      <c r="F286" s="5" t="str">
        <f>_xlfn.XLOOKUP(role_course_map[[#This Row],[course_id]],course_data[course_id],course_data[type],"")</f>
        <v>Course</v>
      </c>
      <c r="K286" t="str">
        <f>role_course_map[[#This Row],[role_id]] &amp; "|" &amp; role_course_map[[#This Row],[course_id]]</f>
        <v>R0126|999007</v>
      </c>
      <c r="L286" t="str">
        <f>IF(COUNTIF(role_course_map[mapping_key],role_course_map[[#This Row],[mapping_key]])&gt;1,"DUPLICATE","OK")</f>
        <v>OK</v>
      </c>
      <c r="M286" t="str">
        <f>IF(COUNTIF(role_data[role_id],role_course_map[[#This Row],[role_id]])=0, "INVALID","VALID")</f>
        <v>VALID</v>
      </c>
      <c r="N286" t="str">
        <f>IF(COUNTIF(course_data[course_id],role_course_map[[#This Row],[course_id]])=0, "INVALID","VALID")</f>
        <v>VALID</v>
      </c>
    </row>
    <row r="287" spans="1:14" x14ac:dyDescent="0.35">
      <c r="A287" t="s">
        <v>264</v>
      </c>
      <c r="B287" s="5" t="str">
        <f>_xlfn.XLOOKUP(role_course_map[[#This Row],[role_id]], role_data[role_id], role_data[Role],"")</f>
        <v>Advanced Neonatal Nurse Practitioner</v>
      </c>
      <c r="C287">
        <v>999008</v>
      </c>
      <c r="D287" s="5" t="str">
        <f>_xlfn.XLOOKUP(role_course_map[[#This Row],[course_id]],course_data[course_id],course_data[title],"")</f>
        <v>Obstetrics</v>
      </c>
      <c r="E287" s="5" t="str">
        <f>_xlfn.XLOOKUP(role_course_map[[#This Row],[course_id]],course_data[course_id],course_data[topic],"")</f>
        <v>SAS : Clinical Practice</v>
      </c>
      <c r="F287" s="5" t="str">
        <f>_xlfn.XLOOKUP(role_course_map[[#This Row],[course_id]],course_data[course_id],course_data[type],"")</f>
        <v>eLearning</v>
      </c>
      <c r="K287" t="str">
        <f>role_course_map[[#This Row],[role_id]] &amp; "|" &amp; role_course_map[[#This Row],[course_id]]</f>
        <v>R0126|999008</v>
      </c>
      <c r="L287" t="str">
        <f>IF(COUNTIF(role_course_map[mapping_key],role_course_map[[#This Row],[mapping_key]])&gt;1,"DUPLICATE","OK")</f>
        <v>OK</v>
      </c>
      <c r="M287" t="str">
        <f>IF(COUNTIF(role_data[role_id],role_course_map[[#This Row],[role_id]])=0, "INVALID","VALID")</f>
        <v>VALID</v>
      </c>
      <c r="N287" t="str">
        <f>IF(COUNTIF(course_data[course_id],role_course_map[[#This Row],[course_id]])=0, "INVALID","VALID")</f>
        <v>VALID</v>
      </c>
    </row>
    <row r="288" spans="1:14" x14ac:dyDescent="0.35">
      <c r="A288" t="s">
        <v>264</v>
      </c>
      <c r="B288" s="5" t="str">
        <f>_xlfn.XLOOKUP(role_course_map[[#This Row],[role_id]], role_data[role_id], role_data[Role],"")</f>
        <v>Advanced Neonatal Nurse Practitioner</v>
      </c>
      <c r="C288">
        <v>999010</v>
      </c>
      <c r="D288" s="5" t="str">
        <f>_xlfn.XLOOKUP(role_course_map[[#This Row],[course_id]],course_data[course_id],course_data[title],"")</f>
        <v>Paediatrics</v>
      </c>
      <c r="E288" s="5" t="str">
        <f>_xlfn.XLOOKUP(role_course_map[[#This Row],[course_id]],course_data[course_id],course_data[topic],"")</f>
        <v>SAS : Clinical Practice</v>
      </c>
      <c r="F288" s="5" t="str">
        <f>_xlfn.XLOOKUP(role_course_map[[#This Row],[course_id]],course_data[course_id],course_data[type],"")</f>
        <v>Course</v>
      </c>
      <c r="K288" t="str">
        <f>role_course_map[[#This Row],[role_id]] &amp; "|" &amp; role_course_map[[#This Row],[course_id]]</f>
        <v>R0126|999010</v>
      </c>
      <c r="L288" t="str">
        <f>IF(COUNTIF(role_course_map[mapping_key],role_course_map[[#This Row],[mapping_key]])&gt;1,"DUPLICATE","OK")</f>
        <v>OK</v>
      </c>
      <c r="M288" t="str">
        <f>IF(COUNTIF(role_data[role_id],role_course_map[[#This Row],[role_id]])=0, "INVALID","VALID")</f>
        <v>VALID</v>
      </c>
      <c r="N288" t="str">
        <f>IF(COUNTIF(course_data[course_id],role_course_map[[#This Row],[course_id]])=0, "INVALID","VALID")</f>
        <v>VALID</v>
      </c>
    </row>
    <row r="289" spans="1:14" x14ac:dyDescent="0.35">
      <c r="A289" t="s">
        <v>264</v>
      </c>
      <c r="B289" s="5" t="str">
        <f>_xlfn.XLOOKUP(role_course_map[[#This Row],[role_id]], role_data[role_id], role_data[Role],"")</f>
        <v>Advanced Neonatal Nurse Practitioner</v>
      </c>
      <c r="C289">
        <v>999011</v>
      </c>
      <c r="D289" s="5" t="str">
        <f>_xlfn.XLOOKUP(role_course_map[[#This Row],[course_id]],course_data[course_id],course_data[title],"")</f>
        <v>Paediatrics</v>
      </c>
      <c r="E289" s="5" t="str">
        <f>_xlfn.XLOOKUP(role_course_map[[#This Row],[course_id]],course_data[course_id],course_data[topic],"")</f>
        <v>SAS : Clinical Practice</v>
      </c>
      <c r="F289" s="5" t="str">
        <f>_xlfn.XLOOKUP(role_course_map[[#This Row],[course_id]],course_data[course_id],course_data[type],"")</f>
        <v>eLearning</v>
      </c>
      <c r="K289" t="str">
        <f>role_course_map[[#This Row],[role_id]] &amp; "|" &amp; role_course_map[[#This Row],[course_id]]</f>
        <v>R0126|999011</v>
      </c>
      <c r="L289" t="str">
        <f>IF(COUNTIF(role_course_map[mapping_key],role_course_map[[#This Row],[mapping_key]])&gt;1,"DUPLICATE","OK")</f>
        <v>OK</v>
      </c>
      <c r="M289" t="str">
        <f>IF(COUNTIF(role_data[role_id],role_course_map[[#This Row],[role_id]])=0, "INVALID","VALID")</f>
        <v>VALID</v>
      </c>
      <c r="N289" t="str">
        <f>IF(COUNTIF(course_data[course_id],role_course_map[[#This Row],[course_id]])=0, "INVALID","VALID")</f>
        <v>VALID</v>
      </c>
    </row>
    <row r="290" spans="1:14" x14ac:dyDescent="0.35">
      <c r="A290" t="s">
        <v>264</v>
      </c>
      <c r="B290" s="5" t="str">
        <f>_xlfn.XLOOKUP(role_course_map[[#This Row],[role_id]], role_data[role_id], role_data[Role],"")</f>
        <v>Advanced Neonatal Nurse Practitioner</v>
      </c>
      <c r="C290">
        <v>999012</v>
      </c>
      <c r="D290" s="5" t="str">
        <f>_xlfn.XLOOKUP(role_course_map[[#This Row],[course_id]],course_data[course_id],course_data[title],"")</f>
        <v>Trauma</v>
      </c>
      <c r="E290" s="5" t="str">
        <f>_xlfn.XLOOKUP(role_course_map[[#This Row],[course_id]],course_data[course_id],course_data[topic],"")</f>
        <v>SAS : Clinical Practice</v>
      </c>
      <c r="F290" s="5" t="str">
        <f>_xlfn.XLOOKUP(role_course_map[[#This Row],[course_id]],course_data[course_id],course_data[type],"")</f>
        <v>Course</v>
      </c>
      <c r="K290" t="str">
        <f>role_course_map[[#This Row],[role_id]] &amp; "|" &amp; role_course_map[[#This Row],[course_id]]</f>
        <v>R0126|999012</v>
      </c>
      <c r="L290" t="str">
        <f>IF(COUNTIF(role_course_map[mapping_key],role_course_map[[#This Row],[mapping_key]])&gt;1,"DUPLICATE","OK")</f>
        <v>OK</v>
      </c>
      <c r="M290" t="str">
        <f>IF(COUNTIF(role_data[role_id],role_course_map[[#This Row],[role_id]])=0, "INVALID","VALID")</f>
        <v>VALID</v>
      </c>
      <c r="N290" t="str">
        <f>IF(COUNTIF(course_data[course_id],role_course_map[[#This Row],[course_id]])=0, "INVALID","VALID")</f>
        <v>VALID</v>
      </c>
    </row>
    <row r="291" spans="1:14" x14ac:dyDescent="0.35">
      <c r="A291" t="s">
        <v>264</v>
      </c>
      <c r="B291" s="5" t="str">
        <f>_xlfn.XLOOKUP(role_course_map[[#This Row],[role_id]], role_data[role_id], role_data[Role],"")</f>
        <v>Advanced Neonatal Nurse Practitioner</v>
      </c>
      <c r="C291">
        <v>999013</v>
      </c>
      <c r="D291" s="5" t="str">
        <f>_xlfn.XLOOKUP(role_course_map[[#This Row],[course_id]],course_data[course_id],course_data[title],"")</f>
        <v>Trauma</v>
      </c>
      <c r="E291" s="5" t="str">
        <f>_xlfn.XLOOKUP(role_course_map[[#This Row],[course_id]],course_data[course_id],course_data[topic],"")</f>
        <v>SAS : Clinical Practice</v>
      </c>
      <c r="F291" s="5" t="str">
        <f>_xlfn.XLOOKUP(role_course_map[[#This Row],[course_id]],course_data[course_id],course_data[type],"")</f>
        <v>eLearning</v>
      </c>
      <c r="K291" t="str">
        <f>role_course_map[[#This Row],[role_id]] &amp; "|" &amp; role_course_map[[#This Row],[course_id]]</f>
        <v>R0126|999013</v>
      </c>
      <c r="L291" t="str">
        <f>IF(COUNTIF(role_course_map[mapping_key],role_course_map[[#This Row],[mapping_key]])&gt;1,"DUPLICATE","OK")</f>
        <v>OK</v>
      </c>
      <c r="M291" t="str">
        <f>IF(COUNTIF(role_data[role_id],role_course_map[[#This Row],[role_id]])=0, "INVALID","VALID")</f>
        <v>VALID</v>
      </c>
      <c r="N291" t="str">
        <f>IF(COUNTIF(course_data[course_id],role_course_map[[#This Row],[course_id]])=0, "INVALID","VALID")</f>
        <v>VALID</v>
      </c>
    </row>
    <row r="292" spans="1:14" x14ac:dyDescent="0.35">
      <c r="A292" t="s">
        <v>264</v>
      </c>
      <c r="B292" s="5" t="str">
        <f>_xlfn.XLOOKUP(role_course_map[[#This Row],[role_id]], role_data[role_id], role_data[Role],"")</f>
        <v>Advanced Neonatal Nurse Practitioner</v>
      </c>
      <c r="C292">
        <v>999014</v>
      </c>
      <c r="D292" s="5" t="str">
        <f>_xlfn.XLOOKUP(role_course_map[[#This Row],[course_id]],course_data[course_id],course_data[title],"")</f>
        <v>Patient Assessment</v>
      </c>
      <c r="E292" s="5" t="str">
        <f>_xlfn.XLOOKUP(role_course_map[[#This Row],[course_id]],course_data[course_id],course_data[topic],"")</f>
        <v>SAS : Clinical Practice</v>
      </c>
      <c r="F292" s="5" t="str">
        <f>_xlfn.XLOOKUP(role_course_map[[#This Row],[course_id]],course_data[course_id],course_data[type],"")</f>
        <v>Course</v>
      </c>
      <c r="K292" t="str">
        <f>role_course_map[[#This Row],[role_id]] &amp; "|" &amp; role_course_map[[#This Row],[course_id]]</f>
        <v>R0126|999014</v>
      </c>
      <c r="L292" t="str">
        <f>IF(COUNTIF(role_course_map[mapping_key],role_course_map[[#This Row],[mapping_key]])&gt;1,"DUPLICATE","OK")</f>
        <v>OK</v>
      </c>
      <c r="M292" t="str">
        <f>IF(COUNTIF(role_data[role_id],role_course_map[[#This Row],[role_id]])=0, "INVALID","VALID")</f>
        <v>VALID</v>
      </c>
      <c r="N292" t="str">
        <f>IF(COUNTIF(course_data[course_id],role_course_map[[#This Row],[course_id]])=0, "INVALID","VALID")</f>
        <v>VALID</v>
      </c>
    </row>
    <row r="293" spans="1:14" x14ac:dyDescent="0.35">
      <c r="A293" t="s">
        <v>264</v>
      </c>
      <c r="B293" s="5" t="str">
        <f>_xlfn.XLOOKUP(role_course_map[[#This Row],[role_id]], role_data[role_id], role_data[Role],"")</f>
        <v>Advanced Neonatal Nurse Practitioner</v>
      </c>
      <c r="C293">
        <v>999015</v>
      </c>
      <c r="D293" s="5" t="str">
        <f>_xlfn.XLOOKUP(role_course_map[[#This Row],[course_id]],course_data[course_id],course_data[title],"")</f>
        <v>Patient Assessment</v>
      </c>
      <c r="E293" s="5" t="str">
        <f>_xlfn.XLOOKUP(role_course_map[[#This Row],[course_id]],course_data[course_id],course_data[topic],"")</f>
        <v>SAS : Clinical Practice</v>
      </c>
      <c r="F293" s="5" t="str">
        <f>_xlfn.XLOOKUP(role_course_map[[#This Row],[course_id]],course_data[course_id],course_data[type],"")</f>
        <v>eLearning</v>
      </c>
      <c r="K293" t="str">
        <f>role_course_map[[#This Row],[role_id]] &amp; "|" &amp; role_course_map[[#This Row],[course_id]]</f>
        <v>R0126|999015</v>
      </c>
      <c r="L293" t="str">
        <f>IF(COUNTIF(role_course_map[mapping_key],role_course_map[[#This Row],[mapping_key]])&gt;1,"DUPLICATE","OK")</f>
        <v>OK</v>
      </c>
      <c r="M293" t="str">
        <f>IF(COUNTIF(role_data[role_id],role_course_map[[#This Row],[role_id]])=0, "INVALID","VALID")</f>
        <v>VALID</v>
      </c>
      <c r="N293" t="str">
        <f>IF(COUNTIF(course_data[course_id],role_course_map[[#This Row],[course_id]])=0, "INVALID","VALID")</f>
        <v>VALID</v>
      </c>
    </row>
    <row r="294" spans="1:14" x14ac:dyDescent="0.35">
      <c r="A294" t="s">
        <v>264</v>
      </c>
      <c r="B294" s="5" t="str">
        <f>_xlfn.XLOOKUP(role_course_map[[#This Row],[role_id]], role_data[role_id], role_data[Role],"")</f>
        <v>Advanced Neonatal Nurse Practitioner</v>
      </c>
      <c r="C294">
        <v>999016</v>
      </c>
      <c r="D294" s="5" t="str">
        <f>_xlfn.XLOOKUP(role_course_map[[#This Row],[course_id]],course_data[course_id],course_data[title],"")</f>
        <v>Clinical Skills</v>
      </c>
      <c r="E294" s="5" t="str">
        <f>_xlfn.XLOOKUP(role_course_map[[#This Row],[course_id]],course_data[course_id],course_data[topic],"")</f>
        <v>SAS : Clinical Practice</v>
      </c>
      <c r="F294" s="5" t="str">
        <f>_xlfn.XLOOKUP(role_course_map[[#This Row],[course_id]],course_data[course_id],course_data[type],"")</f>
        <v>Course</v>
      </c>
      <c r="K294" t="str">
        <f>role_course_map[[#This Row],[role_id]] &amp; "|" &amp; role_course_map[[#This Row],[course_id]]</f>
        <v>R0126|999016</v>
      </c>
      <c r="L294" t="str">
        <f>IF(COUNTIF(role_course_map[mapping_key],role_course_map[[#This Row],[mapping_key]])&gt;1,"DUPLICATE","OK")</f>
        <v>OK</v>
      </c>
      <c r="M294" t="str">
        <f>IF(COUNTIF(role_data[role_id],role_course_map[[#This Row],[role_id]])=0, "INVALID","VALID")</f>
        <v>VALID</v>
      </c>
      <c r="N294" t="str">
        <f>IF(COUNTIF(course_data[course_id],role_course_map[[#This Row],[course_id]])=0, "INVALID","VALID")</f>
        <v>VALID</v>
      </c>
    </row>
    <row r="295" spans="1:14" x14ac:dyDescent="0.35">
      <c r="A295" t="s">
        <v>264</v>
      </c>
      <c r="B295" s="5" t="str">
        <f>_xlfn.XLOOKUP(role_course_map[[#This Row],[role_id]], role_data[role_id], role_data[Role],"")</f>
        <v>Advanced Neonatal Nurse Practitioner</v>
      </c>
      <c r="C295">
        <v>999017</v>
      </c>
      <c r="D295" s="5" t="str">
        <f>_xlfn.XLOOKUP(role_course_map[[#This Row],[course_id]],course_data[course_id],course_data[title],"")</f>
        <v>Clinical Skills</v>
      </c>
      <c r="E295" s="5" t="str">
        <f>_xlfn.XLOOKUP(role_course_map[[#This Row],[course_id]],course_data[course_id],course_data[topic],"")</f>
        <v>SAS : Clinical Practice</v>
      </c>
      <c r="F295" s="5" t="str">
        <f>_xlfn.XLOOKUP(role_course_map[[#This Row],[course_id]],course_data[course_id],course_data[type],"")</f>
        <v>eLearning</v>
      </c>
      <c r="K295" t="str">
        <f>role_course_map[[#This Row],[role_id]] &amp; "|" &amp; role_course_map[[#This Row],[course_id]]</f>
        <v>R0126|999017</v>
      </c>
      <c r="L295" t="str">
        <f>IF(COUNTIF(role_course_map[mapping_key],role_course_map[[#This Row],[mapping_key]])&gt;1,"DUPLICATE","OK")</f>
        <v>OK</v>
      </c>
      <c r="M295" t="str">
        <f>IF(COUNTIF(role_data[role_id],role_course_map[[#This Row],[role_id]])=0, "INVALID","VALID")</f>
        <v>VALID</v>
      </c>
      <c r="N295" t="str">
        <f>IF(COUNTIF(course_data[course_id],role_course_map[[#This Row],[course_id]])=0, "INVALID","VALID")</f>
        <v>VALID</v>
      </c>
    </row>
    <row r="296" spans="1:14" x14ac:dyDescent="0.35">
      <c r="A296" t="s">
        <v>264</v>
      </c>
      <c r="B296" s="5" t="str">
        <f>_xlfn.XLOOKUP(role_course_map[[#This Row],[role_id]], role_data[role_id], role_data[Role],"")</f>
        <v>Advanced Neonatal Nurse Practitioner</v>
      </c>
      <c r="C296">
        <v>999018</v>
      </c>
      <c r="D296" s="5" t="str">
        <f>_xlfn.XLOOKUP(role_course_map[[#This Row],[course_id]],course_data[course_id],course_data[title],"")</f>
        <v>Learning from Events</v>
      </c>
      <c r="E296" s="5" t="str">
        <f>_xlfn.XLOOKUP(role_course_map[[#This Row],[course_id]],course_data[course_id],course_data[topic],"")</f>
        <v>SAS : Clinical Practice</v>
      </c>
      <c r="F296" s="5" t="str">
        <f>_xlfn.XLOOKUP(role_course_map[[#This Row],[course_id]],course_data[course_id],course_data[type],"")</f>
        <v>eLearning</v>
      </c>
      <c r="K296" t="str">
        <f>role_course_map[[#This Row],[role_id]] &amp; "|" &amp; role_course_map[[#This Row],[course_id]]</f>
        <v>R0126|999018</v>
      </c>
      <c r="L296" t="str">
        <f>IF(COUNTIF(role_course_map[mapping_key],role_course_map[[#This Row],[mapping_key]])&gt;1,"DUPLICATE","OK")</f>
        <v>OK</v>
      </c>
      <c r="M296" t="str">
        <f>IF(COUNTIF(role_data[role_id],role_course_map[[#This Row],[role_id]])=0, "INVALID","VALID")</f>
        <v>VALID</v>
      </c>
      <c r="N296" t="str">
        <f>IF(COUNTIF(course_data[course_id],role_course_map[[#This Row],[course_id]])=0, "INVALID","VALID")</f>
        <v>VALID</v>
      </c>
    </row>
    <row r="297" spans="1:14" x14ac:dyDescent="0.35">
      <c r="A297" t="s">
        <v>264</v>
      </c>
      <c r="B297" s="5" t="str">
        <f>_xlfn.XLOOKUP(role_course_map[[#This Row],[role_id]], role_data[role_id], role_data[Role],"")</f>
        <v>Advanced Neonatal Nurse Practitioner</v>
      </c>
      <c r="C297">
        <v>999019</v>
      </c>
      <c r="D297" s="5" t="str">
        <f>_xlfn.XLOOKUP(role_course_map[[#This Row],[course_id]],course_data[course_id],course_data[title],"")</f>
        <v>Medicines Management</v>
      </c>
      <c r="E297" s="5" t="str">
        <f>_xlfn.XLOOKUP(role_course_map[[#This Row],[course_id]],course_data[course_id],course_data[topic],"")</f>
        <v>SAS : Clinical Practice</v>
      </c>
      <c r="F297" s="5" t="str">
        <f>_xlfn.XLOOKUP(role_course_map[[#This Row],[course_id]],course_data[course_id],course_data[type],"")</f>
        <v>eLearning</v>
      </c>
      <c r="K297" t="str">
        <f>role_course_map[[#This Row],[role_id]] &amp; "|" &amp; role_course_map[[#This Row],[course_id]]</f>
        <v>R0126|999019</v>
      </c>
      <c r="L297" t="str">
        <f>IF(COUNTIF(role_course_map[mapping_key],role_course_map[[#This Row],[mapping_key]])&gt;1,"DUPLICATE","OK")</f>
        <v>OK</v>
      </c>
      <c r="M297" t="str">
        <f>IF(COUNTIF(role_data[role_id],role_course_map[[#This Row],[role_id]])=0, "INVALID","VALID")</f>
        <v>VALID</v>
      </c>
      <c r="N297" t="str">
        <f>IF(COUNTIF(course_data[course_id],role_course_map[[#This Row],[course_id]])=0, "INVALID","VALID")</f>
        <v>VALID</v>
      </c>
    </row>
    <row r="298" spans="1:14" x14ac:dyDescent="0.35">
      <c r="A298" t="s">
        <v>264</v>
      </c>
      <c r="B298" s="5" t="str">
        <f>_xlfn.XLOOKUP(role_course_map[[#This Row],[role_id]], role_data[role_id], role_data[Role],"")</f>
        <v>Advanced Neonatal Nurse Practitioner</v>
      </c>
      <c r="C298">
        <v>999020</v>
      </c>
      <c r="D298" s="5" t="str">
        <f>_xlfn.XLOOKUP(role_course_map[[#This Row],[course_id]],course_data[course_id],course_data[title],"")</f>
        <v>JRCALC Update</v>
      </c>
      <c r="E298" s="5" t="str">
        <f>_xlfn.XLOOKUP(role_course_map[[#This Row],[course_id]],course_data[course_id],course_data[topic],"")</f>
        <v>SAS : Clinical Practice</v>
      </c>
      <c r="F298" s="5" t="str">
        <f>_xlfn.XLOOKUP(role_course_map[[#This Row],[course_id]],course_data[course_id],course_data[type],"")</f>
        <v>eLearning</v>
      </c>
      <c r="K298" t="str">
        <f>role_course_map[[#This Row],[role_id]] &amp; "|" &amp; role_course_map[[#This Row],[course_id]]</f>
        <v>R0126|999020</v>
      </c>
      <c r="L298" t="str">
        <f>IF(COUNTIF(role_course_map[mapping_key],role_course_map[[#This Row],[mapping_key]])&gt;1,"DUPLICATE","OK")</f>
        <v>OK</v>
      </c>
      <c r="M298" t="str">
        <f>IF(COUNTIF(role_data[role_id],role_course_map[[#This Row],[role_id]])=0, "INVALID","VALID")</f>
        <v>VALID</v>
      </c>
      <c r="N298" t="str">
        <f>IF(COUNTIF(course_data[course_id],role_course_map[[#This Row],[course_id]])=0, "INVALID","VALID")</f>
        <v>VALID</v>
      </c>
    </row>
    <row r="299" spans="1:14" x14ac:dyDescent="0.35">
      <c r="A299" t="s">
        <v>264</v>
      </c>
      <c r="B299" s="5" t="str">
        <f>_xlfn.XLOOKUP(role_course_map[[#This Row],[role_id]], role_data[role_id], role_data[Role],"")</f>
        <v>Advanced Neonatal Nurse Practitioner</v>
      </c>
      <c r="C299">
        <v>999021</v>
      </c>
      <c r="D299" s="5" t="str">
        <f>_xlfn.XLOOKUP(role_course_map[[#This Row],[course_id]],course_data[course_id],course_data[title],"")</f>
        <v>Mental Health</v>
      </c>
      <c r="E299" s="5" t="str">
        <f>_xlfn.XLOOKUP(role_course_map[[#This Row],[course_id]],course_data[course_id],course_data[topic],"")</f>
        <v>SAS : Clinical Practice</v>
      </c>
      <c r="F299" s="5" t="str">
        <f>_xlfn.XLOOKUP(role_course_map[[#This Row],[course_id]],course_data[course_id],course_data[type],"")</f>
        <v>eLearning</v>
      </c>
      <c r="K299" t="str">
        <f>role_course_map[[#This Row],[role_id]] &amp; "|" &amp; role_course_map[[#This Row],[course_id]]</f>
        <v>R0126|999021</v>
      </c>
      <c r="L299" t="str">
        <f>IF(COUNTIF(role_course_map[mapping_key],role_course_map[[#This Row],[mapping_key]])&gt;1,"DUPLICATE","OK")</f>
        <v>OK</v>
      </c>
      <c r="M299" t="str">
        <f>IF(COUNTIF(role_data[role_id],role_course_map[[#This Row],[role_id]])=0, "INVALID","VALID")</f>
        <v>VALID</v>
      </c>
      <c r="N299" t="str">
        <f>IF(COUNTIF(course_data[course_id],role_course_map[[#This Row],[course_id]])=0, "INVALID","VALID")</f>
        <v>VALID</v>
      </c>
    </row>
    <row r="300" spans="1:14" x14ac:dyDescent="0.35">
      <c r="A300" t="s">
        <v>264</v>
      </c>
      <c r="B300" s="5" t="str">
        <f>_xlfn.XLOOKUP(role_course_map[[#This Row],[role_id]], role_data[role_id], role_data[Role],"")</f>
        <v>Advanced Neonatal Nurse Practitioner</v>
      </c>
      <c r="C300">
        <v>999022</v>
      </c>
      <c r="D300" s="5" t="str">
        <f>_xlfn.XLOOKUP(role_course_map[[#This Row],[course_id]],course_data[course_id],course_data[title],"")</f>
        <v>Learning Disabilities</v>
      </c>
      <c r="E300" s="5" t="str">
        <f>_xlfn.XLOOKUP(role_course_map[[#This Row],[course_id]],course_data[course_id],course_data[topic],"")</f>
        <v>SAS : Clinical Practice</v>
      </c>
      <c r="F300" s="5" t="str">
        <f>_xlfn.XLOOKUP(role_course_map[[#This Row],[course_id]],course_data[course_id],course_data[type],"")</f>
        <v>eLearning</v>
      </c>
      <c r="K300" t="str">
        <f>role_course_map[[#This Row],[role_id]] &amp; "|" &amp; role_course_map[[#This Row],[course_id]]</f>
        <v>R0126|999022</v>
      </c>
      <c r="L300" t="str">
        <f>IF(COUNTIF(role_course_map[mapping_key],role_course_map[[#This Row],[mapping_key]])&gt;1,"DUPLICATE","OK")</f>
        <v>OK</v>
      </c>
      <c r="M300" t="str">
        <f>IF(COUNTIF(role_data[role_id],role_course_map[[#This Row],[role_id]])=0, "INVALID","VALID")</f>
        <v>VALID</v>
      </c>
      <c r="N300" t="str">
        <f>IF(COUNTIF(course_data[course_id],role_course_map[[#This Row],[course_id]])=0, "INVALID","VALID")</f>
        <v>VALID</v>
      </c>
    </row>
    <row r="301" spans="1:14" x14ac:dyDescent="0.35">
      <c r="A301" t="s">
        <v>264</v>
      </c>
      <c r="B301" s="5" t="str">
        <f>_xlfn.XLOOKUP(role_course_map[[#This Row],[role_id]], role_data[role_id], role_data[Role],"")</f>
        <v>Advanced Neonatal Nurse Practitioner</v>
      </c>
      <c r="C301">
        <v>75202</v>
      </c>
      <c r="D301" s="5" t="str">
        <f>_xlfn.XLOOKUP(role_course_map[[#This Row],[course_id]],course_data[course_id],course_data[title],"")</f>
        <v>SAS : Clinical Practice</v>
      </c>
      <c r="E301" s="5" t="str">
        <f>_xlfn.XLOOKUP(role_course_map[[#This Row],[course_id]],course_data[course_id],course_data[topic],"")</f>
        <v>SAS : Clinical Practice</v>
      </c>
      <c r="F301" s="5" t="str">
        <f>_xlfn.XLOOKUP(role_course_map[[#This Row],[course_id]],course_data[course_id],course_data[type],"")</f>
        <v>Page</v>
      </c>
      <c r="K301" t="str">
        <f>role_course_map[[#This Row],[role_id]] &amp; "|" &amp; role_course_map[[#This Row],[course_id]]</f>
        <v>R0126|75202</v>
      </c>
      <c r="L301" t="str">
        <f>IF(COUNTIF(role_course_map[mapping_key],role_course_map[[#This Row],[mapping_key]])&gt;1,"DUPLICATE","OK")</f>
        <v>OK</v>
      </c>
      <c r="M301" t="str">
        <f>IF(COUNTIF(role_data[role_id],role_course_map[[#This Row],[role_id]])=0, "INVALID","VALID")</f>
        <v>VALID</v>
      </c>
      <c r="N301" t="str">
        <f>IF(COUNTIF(course_data[course_id],role_course_map[[#This Row],[course_id]])=0, "INVALID","VALID")</f>
        <v>VALID</v>
      </c>
    </row>
    <row r="302" spans="1:14" x14ac:dyDescent="0.35">
      <c r="A302" t="s">
        <v>264</v>
      </c>
      <c r="B302" s="5" t="str">
        <f>_xlfn.XLOOKUP(role_course_map[[#This Row],[role_id]], role_data[role_id], role_data[Role],"")</f>
        <v>Advanced Neonatal Nurse Practitioner</v>
      </c>
      <c r="C302">
        <v>999023</v>
      </c>
      <c r="D302" s="5" t="str">
        <f>_xlfn.XLOOKUP(role_course_map[[#This Row],[course_id]],course_data[course_id],course_data[title],"")</f>
        <v>Dementia</v>
      </c>
      <c r="E302" s="5" t="str">
        <f>_xlfn.XLOOKUP(role_course_map[[#This Row],[course_id]],course_data[course_id],course_data[topic],"")</f>
        <v>SAS : Clinical Practice</v>
      </c>
      <c r="F302" s="5" t="str">
        <f>_xlfn.XLOOKUP(role_course_map[[#This Row],[course_id]],course_data[course_id],course_data[type],"")</f>
        <v>eLearning</v>
      </c>
      <c r="K302" t="str">
        <f>role_course_map[[#This Row],[role_id]] &amp; "|" &amp; role_course_map[[#This Row],[course_id]]</f>
        <v>R0126|999023</v>
      </c>
      <c r="L302" t="str">
        <f>IF(COUNTIF(role_course_map[mapping_key],role_course_map[[#This Row],[mapping_key]])&gt;1,"DUPLICATE","OK")</f>
        <v>OK</v>
      </c>
      <c r="M302" t="str">
        <f>IF(COUNTIF(role_data[role_id],role_course_map[[#This Row],[role_id]])=0, "INVALID","VALID")</f>
        <v>VALID</v>
      </c>
      <c r="N302" t="str">
        <f>IF(COUNTIF(course_data[course_id],role_course_map[[#This Row],[course_id]])=0, "INVALID","VALID")</f>
        <v>VALID</v>
      </c>
    </row>
    <row r="303" spans="1:14" x14ac:dyDescent="0.35">
      <c r="A303" t="s">
        <v>264</v>
      </c>
      <c r="B303" s="5" t="str">
        <f>_xlfn.XLOOKUP(role_course_map[[#This Row],[role_id]], role_data[role_id], role_data[Role],"")</f>
        <v>Advanced Neonatal Nurse Practitioner</v>
      </c>
      <c r="C303">
        <v>999024</v>
      </c>
      <c r="D303" s="5" t="str">
        <f>_xlfn.XLOOKUP(role_course_map[[#This Row],[course_id]],course_data[course_id],course_data[title],"")</f>
        <v>Conditions requiring specific hospital management. I.e. Parkinsons</v>
      </c>
      <c r="E303" s="5" t="str">
        <f>_xlfn.XLOOKUP(role_course_map[[#This Row],[course_id]],course_data[course_id],course_data[topic],"")</f>
        <v>SAS : Clinical Practice</v>
      </c>
      <c r="F303" s="5" t="str">
        <f>_xlfn.XLOOKUP(role_course_map[[#This Row],[course_id]],course_data[course_id],course_data[type],"")</f>
        <v>eLearning</v>
      </c>
      <c r="K303" t="str">
        <f>role_course_map[[#This Row],[role_id]] &amp; "|" &amp; role_course_map[[#This Row],[course_id]]</f>
        <v>R0126|999024</v>
      </c>
      <c r="L303" t="str">
        <f>IF(COUNTIF(role_course_map[mapping_key],role_course_map[[#This Row],[mapping_key]])&gt;1,"DUPLICATE","OK")</f>
        <v>OK</v>
      </c>
      <c r="M303" t="str">
        <f>IF(COUNTIF(role_data[role_id],role_course_map[[#This Row],[role_id]])=0, "INVALID","VALID")</f>
        <v>VALID</v>
      </c>
      <c r="N303" t="str">
        <f>IF(COUNTIF(course_data[course_id],role_course_map[[#This Row],[course_id]])=0, "INVALID","VALID")</f>
        <v>VALID</v>
      </c>
    </row>
    <row r="304" spans="1:14" x14ac:dyDescent="0.35">
      <c r="A304" t="s">
        <v>264</v>
      </c>
      <c r="B304" s="5" t="str">
        <f>_xlfn.XLOOKUP(role_course_map[[#This Row],[role_id]], role_data[role_id], role_data[Role],"")</f>
        <v>Advanced Neonatal Nurse Practitioner</v>
      </c>
      <c r="C304">
        <v>999095</v>
      </c>
      <c r="D304" s="5" t="str">
        <f>_xlfn.XLOOKUP(role_course_map[[#This Row],[course_id]],course_data[course_id],course_data[title],"")</f>
        <v>Mentoring</v>
      </c>
      <c r="E304" s="5" t="str">
        <f>_xlfn.XLOOKUP(role_course_map[[#This Row],[course_id]],course_data[course_id],course_data[topic],"")</f>
        <v>SAS: Staff development and experience</v>
      </c>
      <c r="F304" s="5" t="str">
        <f>_xlfn.XLOOKUP(role_course_map[[#This Row],[course_id]],course_data[course_id],course_data[type],"")</f>
        <v>eLearning</v>
      </c>
      <c r="K304" t="str">
        <f>role_course_map[[#This Row],[role_id]] &amp; "|" &amp; role_course_map[[#This Row],[course_id]]</f>
        <v>R0126|999095</v>
      </c>
      <c r="L304" t="str">
        <f>IF(COUNTIF(role_course_map[mapping_key],role_course_map[[#This Row],[mapping_key]])&gt;1,"DUPLICATE","OK")</f>
        <v>OK</v>
      </c>
      <c r="M304" t="str">
        <f>IF(COUNTIF(role_data[role_id],role_course_map[[#This Row],[role_id]])=0, "INVALID","VALID")</f>
        <v>VALID</v>
      </c>
      <c r="N304" t="str">
        <f>IF(COUNTIF(course_data[course_id],role_course_map[[#This Row],[course_id]])=0, "INVALID","VALID")</f>
        <v>VALID</v>
      </c>
    </row>
    <row r="305" spans="1:14" x14ac:dyDescent="0.35">
      <c r="A305" t="s">
        <v>264</v>
      </c>
      <c r="B305" s="5" t="str">
        <f>_xlfn.XLOOKUP(role_course_map[[#This Row],[role_id]], role_data[role_id], role_data[Role],"")</f>
        <v>Advanced Neonatal Nurse Practitioner</v>
      </c>
      <c r="C305">
        <v>999096</v>
      </c>
      <c r="D305" s="5" t="str">
        <f>_xlfn.XLOOKUP(role_course_map[[#This Row],[course_id]],course_data[course_id],course_data[title],"")</f>
        <v>Supporting others in practice (Supervision)</v>
      </c>
      <c r="E305" s="5" t="str">
        <f>_xlfn.XLOOKUP(role_course_map[[#This Row],[course_id]],course_data[course_id],course_data[topic],"")</f>
        <v>SAS: Staff development and experience</v>
      </c>
      <c r="F305" s="5" t="str">
        <f>_xlfn.XLOOKUP(role_course_map[[#This Row],[course_id]],course_data[course_id],course_data[type],"")</f>
        <v>Course</v>
      </c>
      <c r="K305" t="str">
        <f>role_course_map[[#This Row],[role_id]] &amp; "|" &amp; role_course_map[[#This Row],[course_id]]</f>
        <v>R0126|999096</v>
      </c>
      <c r="L305" t="str">
        <f>IF(COUNTIF(role_course_map[mapping_key],role_course_map[[#This Row],[mapping_key]])&gt;1,"DUPLICATE","OK")</f>
        <v>OK</v>
      </c>
      <c r="M305" t="str">
        <f>IF(COUNTIF(role_data[role_id],role_course_map[[#This Row],[role_id]])=0, "INVALID","VALID")</f>
        <v>VALID</v>
      </c>
      <c r="N305" t="str">
        <f>IF(COUNTIF(course_data[course_id],role_course_map[[#This Row],[course_id]])=0, "INVALID","VALID")</f>
        <v>VALID</v>
      </c>
    </row>
    <row r="306" spans="1:14" x14ac:dyDescent="0.35">
      <c r="A306" t="s">
        <v>264</v>
      </c>
      <c r="B306" s="5" t="str">
        <f>_xlfn.XLOOKUP(role_course_map[[#This Row],[role_id]], role_data[role_id], role_data[Role],"")</f>
        <v>Advanced Neonatal Nurse Practitioner</v>
      </c>
      <c r="C306">
        <v>999097</v>
      </c>
      <c r="D306" s="5" t="str">
        <f>_xlfn.XLOOKUP(role_course_map[[#This Row],[course_id]],course_data[course_id],course_data[title],"")</f>
        <v>Personal Wellbeing</v>
      </c>
      <c r="E306" s="5" t="str">
        <f>_xlfn.XLOOKUP(role_course_map[[#This Row],[course_id]],course_data[course_id],course_data[topic],"")</f>
        <v>SAS: Staff development and experience</v>
      </c>
      <c r="F306" s="5" t="str">
        <f>_xlfn.XLOOKUP(role_course_map[[#This Row],[course_id]],course_data[course_id],course_data[type],"")</f>
        <v>eLearning</v>
      </c>
      <c r="K306" t="str">
        <f>role_course_map[[#This Row],[role_id]] &amp; "|" &amp; role_course_map[[#This Row],[course_id]]</f>
        <v>R0126|999097</v>
      </c>
      <c r="L306" t="str">
        <f>IF(COUNTIF(role_course_map[mapping_key],role_course_map[[#This Row],[mapping_key]])&gt;1,"DUPLICATE","OK")</f>
        <v>OK</v>
      </c>
      <c r="M306" t="str">
        <f>IF(COUNTIF(role_data[role_id],role_course_map[[#This Row],[role_id]])=0, "INVALID","VALID")</f>
        <v>VALID</v>
      </c>
      <c r="N306" t="str">
        <f>IF(COUNTIF(course_data[course_id],role_course_map[[#This Row],[course_id]])=0, "INVALID","VALID")</f>
        <v>VALID</v>
      </c>
    </row>
    <row r="307" spans="1:14" x14ac:dyDescent="0.35">
      <c r="A307" t="s">
        <v>264</v>
      </c>
      <c r="B307" s="5" t="str">
        <f>_xlfn.XLOOKUP(role_course_map[[#This Row],[role_id]], role_data[role_id], role_data[Role],"")</f>
        <v>Advanced Neonatal Nurse Practitioner</v>
      </c>
      <c r="C307">
        <v>999059</v>
      </c>
      <c r="D307" s="5" t="str">
        <f>_xlfn.XLOOKUP(role_course_map[[#This Row],[course_id]],course_data[course_id],course_data[title],"")</f>
        <v>Driving update (practical)</v>
      </c>
      <c r="E307" s="5" t="str">
        <f>_xlfn.XLOOKUP(role_course_map[[#This Row],[course_id]],course_data[course_id],course_data[topic],"")</f>
        <v>SAS : Health and Safety</v>
      </c>
      <c r="F307" s="5" t="str">
        <f>_xlfn.XLOOKUP(role_course_map[[#This Row],[course_id]],course_data[course_id],course_data[type],"")</f>
        <v>Course</v>
      </c>
      <c r="K307" t="str">
        <f>role_course_map[[#This Row],[role_id]] &amp; "|" &amp; role_course_map[[#This Row],[course_id]]</f>
        <v>R0126|999059</v>
      </c>
      <c r="L307" t="str">
        <f>IF(COUNTIF(role_course_map[mapping_key],role_course_map[[#This Row],[mapping_key]])&gt;1,"DUPLICATE","OK")</f>
        <v>OK</v>
      </c>
      <c r="M307" t="str">
        <f>IF(COUNTIF(role_data[role_id],role_course_map[[#This Row],[role_id]])=0, "INVALID","VALID")</f>
        <v>VALID</v>
      </c>
      <c r="N307" t="str">
        <f>IF(COUNTIF(course_data[course_id],role_course_map[[#This Row],[course_id]])=0, "INVALID","VALID")</f>
        <v>VALID</v>
      </c>
    </row>
    <row r="308" spans="1:14" x14ac:dyDescent="0.35">
      <c r="A308" t="s">
        <v>264</v>
      </c>
      <c r="B308" s="5" t="str">
        <f>_xlfn.XLOOKUP(role_course_map[[#This Row],[role_id]], role_data[role_id], role_data[Role],"")</f>
        <v>Advanced Neonatal Nurse Practitioner</v>
      </c>
      <c r="C308">
        <v>999060</v>
      </c>
      <c r="D308" s="5" t="str">
        <f>_xlfn.XLOOKUP(role_course_map[[#This Row],[course_id]],course_data[course_id],course_data[title],"")</f>
        <v>COSHH</v>
      </c>
      <c r="E308" s="5" t="str">
        <f>_xlfn.XLOOKUP(role_course_map[[#This Row],[course_id]],course_data[course_id],course_data[topic],"")</f>
        <v>SAS : Health and Safety</v>
      </c>
      <c r="F308" s="5" t="str">
        <f>_xlfn.XLOOKUP(role_course_map[[#This Row],[course_id]],course_data[course_id],course_data[type],"")</f>
        <v>eLearning</v>
      </c>
      <c r="K308" t="str">
        <f>role_course_map[[#This Row],[role_id]] &amp; "|" &amp; role_course_map[[#This Row],[course_id]]</f>
        <v>R0126|999060</v>
      </c>
      <c r="L308" t="str">
        <f>IF(COUNTIF(role_course_map[mapping_key],role_course_map[[#This Row],[mapping_key]])&gt;1,"DUPLICATE","OK")</f>
        <v>OK</v>
      </c>
      <c r="M308" t="str">
        <f>IF(COUNTIF(role_data[role_id],role_course_map[[#This Row],[role_id]])=0, "INVALID","VALID")</f>
        <v>VALID</v>
      </c>
      <c r="N308" t="str">
        <f>IF(COUNTIF(course_data[course_id],role_course_map[[#This Row],[course_id]])=0, "INVALID","VALID")</f>
        <v>VALID</v>
      </c>
    </row>
    <row r="309" spans="1:14" x14ac:dyDescent="0.35">
      <c r="A309" t="s">
        <v>264</v>
      </c>
      <c r="B309" s="5" t="str">
        <f>_xlfn.XLOOKUP(role_course_map[[#This Row],[role_id]], role_data[role_id], role_data[Role],"")</f>
        <v>Advanced Neonatal Nurse Practitioner</v>
      </c>
      <c r="C309">
        <v>999066</v>
      </c>
      <c r="D309" s="5" t="str">
        <f>_xlfn.XLOOKUP(role_course_map[[#This Row],[course_id]],course_data[course_id],course_data[title],"")</f>
        <v>NRRD Update i.e. Major Incidents/Methane/ Multiple Casualities</v>
      </c>
      <c r="E309" s="5" t="str">
        <f>_xlfn.XLOOKUP(role_course_map[[#This Row],[course_id]],course_data[course_id],course_data[topic],"")</f>
        <v>SAS : National Risk and Resilience Department (NRRD)</v>
      </c>
      <c r="F309" s="5" t="str">
        <f>_xlfn.XLOOKUP(role_course_map[[#This Row],[course_id]],course_data[course_id],course_data[type],"")</f>
        <v>eLearning</v>
      </c>
      <c r="K309" t="str">
        <f>role_course_map[[#This Row],[role_id]] &amp; "|" &amp; role_course_map[[#This Row],[course_id]]</f>
        <v>R0126|999066</v>
      </c>
      <c r="L309" t="str">
        <f>IF(COUNTIF(role_course_map[mapping_key],role_course_map[[#This Row],[mapping_key]])&gt;1,"DUPLICATE","OK")</f>
        <v>OK</v>
      </c>
      <c r="M309" t="str">
        <f>IF(COUNTIF(role_data[role_id],role_course_map[[#This Row],[role_id]])=0, "INVALID","VALID")</f>
        <v>VALID</v>
      </c>
      <c r="N309" t="str">
        <f>IF(COUNTIF(course_data[course_id],role_course_map[[#This Row],[course_id]])=0, "INVALID","VALID")</f>
        <v>VALID</v>
      </c>
    </row>
    <row r="310" spans="1:14" x14ac:dyDescent="0.35">
      <c r="A310" t="s">
        <v>264</v>
      </c>
      <c r="B310" s="5" t="str">
        <f>_xlfn.XLOOKUP(role_course_map[[#This Row],[role_id]], role_data[role_id], role_data[Role],"")</f>
        <v>Advanced Neonatal Nurse Practitioner</v>
      </c>
      <c r="C310">
        <v>999025</v>
      </c>
      <c r="D310" s="5" t="str">
        <f>_xlfn.XLOOKUP(role_course_map[[#This Row],[course_id]],course_data[course_id],course_data[title],"")</f>
        <v>Professional Standards</v>
      </c>
      <c r="E310" s="5" t="str">
        <f>_xlfn.XLOOKUP(role_course_map[[#This Row],[course_id]],course_data[course_id],course_data[topic],"")</f>
        <v>SAS : Clinical Practice</v>
      </c>
      <c r="F310" s="5" t="str">
        <f>_xlfn.XLOOKUP(role_course_map[[#This Row],[course_id]],course_data[course_id],course_data[type],"")</f>
        <v>eLearning</v>
      </c>
      <c r="K310" t="str">
        <f>role_course_map[[#This Row],[role_id]] &amp; "|" &amp; role_course_map[[#This Row],[course_id]]</f>
        <v>R0126|999025</v>
      </c>
      <c r="L310" t="str">
        <f>IF(COUNTIF(role_course_map[mapping_key],role_course_map[[#This Row],[mapping_key]])&gt;1,"DUPLICATE","OK")</f>
        <v>OK</v>
      </c>
      <c r="M310" t="str">
        <f>IF(COUNTIF(role_data[role_id],role_course_map[[#This Row],[role_id]])=0, "INVALID","VALID")</f>
        <v>VALID</v>
      </c>
      <c r="N310" t="str">
        <f>IF(COUNTIF(course_data[course_id],role_course_map[[#This Row],[course_id]])=0, "INVALID","VALID")</f>
        <v>VALID</v>
      </c>
    </row>
    <row r="311" spans="1:14" x14ac:dyDescent="0.35">
      <c r="A311" t="s">
        <v>264</v>
      </c>
      <c r="B311" s="5" t="str">
        <f>_xlfn.XLOOKUP(role_course_map[[#This Row],[role_id]], role_data[role_id], role_data[Role],"")</f>
        <v>Advanced Neonatal Nurse Practitioner</v>
      </c>
      <c r="C311">
        <v>999026</v>
      </c>
      <c r="D311" s="5" t="str">
        <f>_xlfn.XLOOKUP(role_course_map[[#This Row],[course_id]],course_data[course_id],course_data[title],"")</f>
        <v>Communication Standards</v>
      </c>
      <c r="E311" s="5" t="str">
        <f>_xlfn.XLOOKUP(role_course_map[[#This Row],[course_id]],course_data[course_id],course_data[topic],"")</f>
        <v>SAS : Clinical Practice</v>
      </c>
      <c r="F311" s="5" t="str">
        <f>_xlfn.XLOOKUP(role_course_map[[#This Row],[course_id]],course_data[course_id],course_data[type],"")</f>
        <v>eLearning</v>
      </c>
      <c r="K311" t="str">
        <f>role_course_map[[#This Row],[role_id]] &amp; "|" &amp; role_course_map[[#This Row],[course_id]]</f>
        <v>R0126|999026</v>
      </c>
      <c r="L311" t="str">
        <f>IF(COUNTIF(role_course_map[mapping_key],role_course_map[[#This Row],[mapping_key]])&gt;1,"DUPLICATE","OK")</f>
        <v>OK</v>
      </c>
      <c r="M311" t="str">
        <f>IF(COUNTIF(role_data[role_id],role_course_map[[#This Row],[role_id]])=0, "INVALID","VALID")</f>
        <v>VALID</v>
      </c>
      <c r="N311" t="str">
        <f>IF(COUNTIF(course_data[course_id],role_course_map[[#This Row],[course_id]])=0, "INVALID","VALID")</f>
        <v>VALID</v>
      </c>
    </row>
    <row r="312" spans="1:14" x14ac:dyDescent="0.35">
      <c r="A312" t="s">
        <v>264</v>
      </c>
      <c r="B312" s="5" t="str">
        <f>_xlfn.XLOOKUP(role_course_map[[#This Row],[role_id]], role_data[role_id], role_data[Role],"")</f>
        <v>Advanced Neonatal Nurse Practitioner</v>
      </c>
      <c r="C312">
        <v>999058</v>
      </c>
      <c r="D312" s="5" t="str">
        <f>_xlfn.XLOOKUP(role_course_map[[#This Row],[course_id]],course_data[course_id],course_data[title],"")</f>
        <v>Stress Identification &amp; Stress Management</v>
      </c>
      <c r="E312" s="5" t="str">
        <f>_xlfn.XLOOKUP(role_course_map[[#This Row],[course_id]],course_data[course_id],course_data[topic],"")</f>
        <v>SAS : Health and Safety</v>
      </c>
      <c r="F312" s="5" t="str">
        <f>_xlfn.XLOOKUP(role_course_map[[#This Row],[course_id]],course_data[course_id],course_data[type],"")</f>
        <v>eLearning</v>
      </c>
      <c r="K312" t="str">
        <f>role_course_map[[#This Row],[role_id]] &amp; "|" &amp; role_course_map[[#This Row],[course_id]]</f>
        <v>R0126|999058</v>
      </c>
      <c r="L312" t="str">
        <f>IF(COUNTIF(role_course_map[mapping_key],role_course_map[[#This Row],[mapping_key]])&gt;1,"DUPLICATE","OK")</f>
        <v>OK</v>
      </c>
      <c r="M312" t="str">
        <f>IF(COUNTIF(role_data[role_id],role_course_map[[#This Row],[role_id]])=0, "INVALID","VALID")</f>
        <v>VALID</v>
      </c>
      <c r="N312" t="str">
        <f>IF(COUNTIF(course_data[course_id],role_course_map[[#This Row],[course_id]])=0, "INVALID","VALID")</f>
        <v>VALID</v>
      </c>
    </row>
    <row r="313" spans="1:14" x14ac:dyDescent="0.35">
      <c r="A313" t="s">
        <v>264</v>
      </c>
      <c r="B313" s="5" t="str">
        <f>_xlfn.XLOOKUP(role_course_map[[#This Row],[role_id]], role_data[role_id], role_data[Role],"")</f>
        <v>Advanced Neonatal Nurse Practitioner</v>
      </c>
      <c r="C313">
        <v>999056</v>
      </c>
      <c r="D313" s="5" t="str">
        <f>_xlfn.XLOOKUP(role_course_map[[#This Row],[course_id]],course_data[course_id],course_data[title],"")</f>
        <v>Driver Assessment &amp; Training</v>
      </c>
      <c r="E313" s="5" t="str">
        <f>_xlfn.XLOOKUP(role_course_map[[#This Row],[course_id]],course_data[course_id],course_data[topic],"")</f>
        <v>SAS : Health and Safety</v>
      </c>
      <c r="F313" s="5" t="str">
        <f>_xlfn.XLOOKUP(role_course_map[[#This Row],[course_id]],course_data[course_id],course_data[type],"")</f>
        <v>eLearning</v>
      </c>
      <c r="K313" t="str">
        <f>role_course_map[[#This Row],[role_id]] &amp; "|" &amp; role_course_map[[#This Row],[course_id]]</f>
        <v>R0126|999056</v>
      </c>
      <c r="L313" t="str">
        <f>IF(COUNTIF(role_course_map[mapping_key],role_course_map[[#This Row],[mapping_key]])&gt;1,"DUPLICATE","OK")</f>
        <v>OK</v>
      </c>
      <c r="M313" t="str">
        <f>IF(COUNTIF(role_data[role_id],role_course_map[[#This Row],[role_id]])=0, "INVALID","VALID")</f>
        <v>VALID</v>
      </c>
      <c r="N313" t="str">
        <f>IF(COUNTIF(course_data[course_id],role_course_map[[#This Row],[course_id]])=0, "INVALID","VALID")</f>
        <v>VALID</v>
      </c>
    </row>
    <row r="314" spans="1:14" x14ac:dyDescent="0.35">
      <c r="A314" t="s">
        <v>264</v>
      </c>
      <c r="B314" s="5" t="str">
        <f>_xlfn.XLOOKUP(role_course_map[[#This Row],[role_id]], role_data[role_id], role_data[Role],"")</f>
        <v>Advanced Neonatal Nurse Practitioner</v>
      </c>
      <c r="C314">
        <v>999061</v>
      </c>
      <c r="D314" s="5" t="str">
        <f>_xlfn.XLOOKUP(role_course_map[[#This Row],[course_id]],course_data[course_id],course_data[title],"")</f>
        <v>Skin Awareness</v>
      </c>
      <c r="E314" s="5" t="str">
        <f>_xlfn.XLOOKUP(role_course_map[[#This Row],[course_id]],course_data[course_id],course_data[topic],"")</f>
        <v>SAS : Health and Safety</v>
      </c>
      <c r="F314" s="5" t="str">
        <f>_xlfn.XLOOKUP(role_course_map[[#This Row],[course_id]],course_data[course_id],course_data[type],"")</f>
        <v>eLearning</v>
      </c>
      <c r="K314" t="str">
        <f>role_course_map[[#This Row],[role_id]] &amp; "|" &amp; role_course_map[[#This Row],[course_id]]</f>
        <v>R0126|999061</v>
      </c>
      <c r="L314" t="str">
        <f>IF(COUNTIF(role_course_map[mapping_key],role_course_map[[#This Row],[mapping_key]])&gt;1,"DUPLICATE","OK")</f>
        <v>OK</v>
      </c>
      <c r="M314" t="str">
        <f>IF(COUNTIF(role_data[role_id],role_course_map[[#This Row],[role_id]])=0, "INVALID","VALID")</f>
        <v>VALID</v>
      </c>
      <c r="N314" t="str">
        <f>IF(COUNTIF(course_data[course_id],role_course_map[[#This Row],[course_id]])=0, "INVALID","VALID")</f>
        <v>VALID</v>
      </c>
    </row>
    <row r="315" spans="1:14" x14ac:dyDescent="0.35">
      <c r="A315" t="s">
        <v>172</v>
      </c>
      <c r="B315" s="5" t="str">
        <f>_xlfn.XLOOKUP(role_course_map[[#This Row],[role_id]], role_data[role_id], role_data[Role],"")</f>
        <v>Scheduled Care Supervisor</v>
      </c>
      <c r="C315">
        <v>999057</v>
      </c>
      <c r="D315" s="5" t="str">
        <f>_xlfn.XLOOKUP(role_course_map[[#This Row],[course_id]],course_data[course_id],course_data[title],"")</f>
        <v>Fatigue Awareness</v>
      </c>
      <c r="E315" s="5" t="str">
        <f>_xlfn.XLOOKUP(role_course_map[[#This Row],[course_id]],course_data[course_id],course_data[topic],"")</f>
        <v>SAS : Health and Safety</v>
      </c>
      <c r="F315" s="5" t="str">
        <f>_xlfn.XLOOKUP(role_course_map[[#This Row],[course_id]],course_data[course_id],course_data[type],"")</f>
        <v>eLearning</v>
      </c>
      <c r="K315" t="str">
        <f>role_course_map[[#This Row],[role_id]] &amp; "|" &amp; role_course_map[[#This Row],[course_id]]</f>
        <v>R0080|999057</v>
      </c>
      <c r="L315" t="str">
        <f>IF(COUNTIF(role_course_map[mapping_key],role_course_map[[#This Row],[mapping_key]])&gt;1,"DUPLICATE","OK")</f>
        <v>OK</v>
      </c>
      <c r="M315" t="str">
        <f>IF(COUNTIF(role_data[role_id],role_course_map[[#This Row],[role_id]])=0, "INVALID","VALID")</f>
        <v>VALID</v>
      </c>
      <c r="N315" t="str">
        <f>IF(COUNTIF(course_data[course_id],role_course_map[[#This Row],[course_id]])=0, "INVALID","VALID")</f>
        <v>VALID</v>
      </c>
    </row>
    <row r="316" spans="1:14" x14ac:dyDescent="0.35">
      <c r="A316" t="s">
        <v>264</v>
      </c>
      <c r="B316" s="5" t="str">
        <f>_xlfn.XLOOKUP(role_course_map[[#This Row],[role_id]], role_data[role_id], role_data[Role],"")</f>
        <v>Advanced Neonatal Nurse Practitioner</v>
      </c>
      <c r="C316">
        <v>999057</v>
      </c>
      <c r="D316" s="5" t="str">
        <f>_xlfn.XLOOKUP(role_course_map[[#This Row],[course_id]],course_data[course_id],course_data[title],"")</f>
        <v>Fatigue Awareness</v>
      </c>
      <c r="E316" s="5" t="str">
        <f>_xlfn.XLOOKUP(role_course_map[[#This Row],[course_id]],course_data[course_id],course_data[topic],"")</f>
        <v>SAS : Health and Safety</v>
      </c>
      <c r="F316" s="5" t="str">
        <f>_xlfn.XLOOKUP(role_course_map[[#This Row],[course_id]],course_data[course_id],course_data[type],"")</f>
        <v>eLearning</v>
      </c>
      <c r="K316" t="str">
        <f>role_course_map[[#This Row],[role_id]] &amp; "|" &amp; role_course_map[[#This Row],[course_id]]</f>
        <v>R0126|999057</v>
      </c>
      <c r="L316" t="str">
        <f>IF(COUNTIF(role_course_map[mapping_key],role_course_map[[#This Row],[mapping_key]])&gt;1,"DUPLICATE","OK")</f>
        <v>OK</v>
      </c>
      <c r="M316" t="str">
        <f>IF(COUNTIF(role_data[role_id],role_course_map[[#This Row],[role_id]])=0, "INVALID","VALID")</f>
        <v>VALID</v>
      </c>
      <c r="N316" t="str">
        <f>IF(COUNTIF(course_data[course_id],role_course_map[[#This Row],[course_id]])=0, "INVALID","VALID")</f>
        <v>VALID</v>
      </c>
    </row>
    <row r="317" spans="1:14" x14ac:dyDescent="0.35">
      <c r="A317" t="s">
        <v>264</v>
      </c>
      <c r="B317" s="5" t="str">
        <f>_xlfn.XLOOKUP(role_course_map[[#This Row],[role_id]], role_data[role_id], role_data[Role],"")</f>
        <v>Advanced Neonatal Nurse Practitioner</v>
      </c>
      <c r="C317">
        <v>999027</v>
      </c>
      <c r="D317" s="5" t="str">
        <f>_xlfn.XLOOKUP(role_course_map[[#This Row],[course_id]],course_data[course_id],course_data[title],"")</f>
        <v>Manual and Patient Handling Foundation Training - Level 2</v>
      </c>
      <c r="E317" s="5" t="str">
        <f>_xlfn.XLOOKUP(role_course_map[[#This Row],[course_id]],course_data[course_id],course_data[topic],"")</f>
        <v>SAS : Clinical Practice</v>
      </c>
      <c r="F317" s="5" t="str">
        <f>_xlfn.XLOOKUP(role_course_map[[#This Row],[course_id]],course_data[course_id],course_data[type],"")</f>
        <v>Course</v>
      </c>
      <c r="K317" t="str">
        <f>role_course_map[[#This Row],[role_id]] &amp; "|" &amp; role_course_map[[#This Row],[course_id]]</f>
        <v>R0126|999027</v>
      </c>
      <c r="L317" t="str">
        <f>IF(COUNTIF(role_course_map[mapping_key],role_course_map[[#This Row],[mapping_key]])&gt;1,"DUPLICATE","OK")</f>
        <v>OK</v>
      </c>
      <c r="M317" t="str">
        <f>IF(COUNTIF(role_data[role_id],role_course_map[[#This Row],[role_id]])=0, "INVALID","VALID")</f>
        <v>VALID</v>
      </c>
      <c r="N317" t="str">
        <f>IF(COUNTIF(course_data[course_id],role_course_map[[#This Row],[course_id]])=0, "INVALID","VALID")</f>
        <v>VALID</v>
      </c>
    </row>
    <row r="318" spans="1:14" x14ac:dyDescent="0.35">
      <c r="A318" t="s">
        <v>264</v>
      </c>
      <c r="B318" s="5" t="str">
        <f>_xlfn.XLOOKUP(role_course_map[[#This Row],[role_id]], role_data[role_id], role_data[Role],"")</f>
        <v>Advanced Neonatal Nurse Practitioner</v>
      </c>
      <c r="C318">
        <v>999028</v>
      </c>
      <c r="D318" s="5" t="str">
        <f>_xlfn.XLOOKUP(role_course_map[[#This Row],[course_id]],course_data[course_id],course_data[title],"")</f>
        <v>Manual and Patient Handling Competency Assessment - Level 3</v>
      </c>
      <c r="E318" s="5" t="str">
        <f>_xlfn.XLOOKUP(role_course_map[[#This Row],[course_id]],course_data[course_id],course_data[topic],"")</f>
        <v>SAS : Clinical Practice</v>
      </c>
      <c r="F318" s="5" t="str">
        <f>_xlfn.XLOOKUP(role_course_map[[#This Row],[course_id]],course_data[course_id],course_data[type],"")</f>
        <v>Course</v>
      </c>
      <c r="K318" t="str">
        <f>role_course_map[[#This Row],[role_id]] &amp; "|" &amp; role_course_map[[#This Row],[course_id]]</f>
        <v>R0126|999028</v>
      </c>
      <c r="L318" t="str">
        <f>IF(COUNTIF(role_course_map[mapping_key],role_course_map[[#This Row],[mapping_key]])&gt;1,"DUPLICATE","OK")</f>
        <v>OK</v>
      </c>
      <c r="M318" t="str">
        <f>IF(COUNTIF(role_data[role_id],role_course_map[[#This Row],[role_id]])=0, "INVALID","VALID")</f>
        <v>VALID</v>
      </c>
      <c r="N318" t="str">
        <f>IF(COUNTIF(course_data[course_id],role_course_map[[#This Row],[course_id]])=0, "INVALID","VALID")</f>
        <v>VALID</v>
      </c>
    </row>
    <row r="319" spans="1:14" x14ac:dyDescent="0.35">
      <c r="A319" t="s">
        <v>264</v>
      </c>
      <c r="B319" s="5" t="str">
        <f>_xlfn.XLOOKUP(role_course_map[[#This Row],[role_id]], role_data[role_id], role_data[Role],"")</f>
        <v>Advanced Neonatal Nurse Practitioner</v>
      </c>
      <c r="C319">
        <v>999029</v>
      </c>
      <c r="D319" s="5" t="str">
        <f>_xlfn.XLOOKUP(role_course_map[[#This Row],[course_id]],course_data[course_id],course_data[title],"")</f>
        <v>Manual and Patient Handling Competency Assessment Theory - Level 3</v>
      </c>
      <c r="E319" s="5" t="str">
        <f>_xlfn.XLOOKUP(role_course_map[[#This Row],[course_id]],course_data[course_id],course_data[topic],"")</f>
        <v>SAS : Clinical Practice</v>
      </c>
      <c r="F319" s="5" t="str">
        <f>_xlfn.XLOOKUP(role_course_map[[#This Row],[course_id]],course_data[course_id],course_data[type],"")</f>
        <v>Course</v>
      </c>
      <c r="K319" t="str">
        <f>role_course_map[[#This Row],[role_id]] &amp; "|" &amp; role_course_map[[#This Row],[course_id]]</f>
        <v>R0126|999029</v>
      </c>
      <c r="L319" t="str">
        <f>IF(COUNTIF(role_course_map[mapping_key],role_course_map[[#This Row],[mapping_key]])&gt;1,"DUPLICATE","OK")</f>
        <v>OK</v>
      </c>
      <c r="M319" t="str">
        <f>IF(COUNTIF(role_data[role_id],role_course_map[[#This Row],[role_id]])=0, "INVALID","VALID")</f>
        <v>VALID</v>
      </c>
      <c r="N319" t="str">
        <f>IF(COUNTIF(course_data[course_id],role_course_map[[#This Row],[course_id]])=0, "INVALID","VALID")</f>
        <v>VALID</v>
      </c>
    </row>
    <row r="320" spans="1:14" x14ac:dyDescent="0.35">
      <c r="A320" t="s">
        <v>264</v>
      </c>
      <c r="B320" s="5" t="str">
        <f>_xlfn.XLOOKUP(role_course_map[[#This Row],[role_id]], role_data[role_id], role_data[Role],"")</f>
        <v>Advanced Neonatal Nurse Practitioner</v>
      </c>
      <c r="C320" t="s">
        <v>659</v>
      </c>
      <c r="D320" s="5" t="str">
        <f>_xlfn.XLOOKUP(role_course_map[[#This Row],[course_id]],course_data[course_id],course_data[title],"")</f>
        <v>Prevention and Management of Violence and Aggression - Breakaway training Level 2 /Restrictive movement Level 3</v>
      </c>
      <c r="E320" s="5" t="str">
        <f>_xlfn.XLOOKUP(role_course_map[[#This Row],[course_id]],course_data[course_id],course_data[topic],"")</f>
        <v>SAS : Health and Safety</v>
      </c>
      <c r="F320" s="5" t="str">
        <f>_xlfn.XLOOKUP(role_course_map[[#This Row],[course_id]],course_data[course_id],course_data[type],"")</f>
        <v>Course</v>
      </c>
      <c r="K320" t="str">
        <f>role_course_map[[#This Row],[role_id]] &amp; "|" &amp; role_course_map[[#This Row],[course_id]]</f>
        <v>R0126|2025-6 edition</v>
      </c>
      <c r="L320" t="str">
        <f>IF(COUNTIF(role_course_map[mapping_key],role_course_map[[#This Row],[mapping_key]])&gt;1,"DUPLICATE","OK")</f>
        <v>OK</v>
      </c>
      <c r="M320" t="str">
        <f>IF(COUNTIF(role_data[role_id],role_course_map[[#This Row],[role_id]])=0, "INVALID","VALID")</f>
        <v>VALID</v>
      </c>
      <c r="N320" t="str">
        <f>IF(COUNTIF(course_data[course_id],role_course_map[[#This Row],[course_id]])=0, "INVALID","VALID")</f>
        <v>VALID</v>
      </c>
    </row>
    <row r="321" spans="1:14" x14ac:dyDescent="0.35">
      <c r="A321" t="s">
        <v>264</v>
      </c>
      <c r="B321" s="5" t="str">
        <f>_xlfn.XLOOKUP(role_course_map[[#This Row],[role_id]], role_data[role_id], role_data[Role],"")</f>
        <v>Advanced Neonatal Nurse Practitioner</v>
      </c>
      <c r="C321">
        <v>999055</v>
      </c>
      <c r="D321" s="5" t="str">
        <f>_xlfn.XLOOKUP(role_course_map[[#This Row],[course_id]],course_data[course_id],course_data[title],"")</f>
        <v>Prevention and Management of Violence and Aggression - Refresher</v>
      </c>
      <c r="E321" s="5" t="str">
        <f>_xlfn.XLOOKUP(role_course_map[[#This Row],[course_id]],course_data[course_id],course_data[topic],"")</f>
        <v>SAS : Health and Safety</v>
      </c>
      <c r="F321" s="5" t="str">
        <f>_xlfn.XLOOKUP(role_course_map[[#This Row],[course_id]],course_data[course_id],course_data[type],"")</f>
        <v>Course</v>
      </c>
      <c r="K321" t="str">
        <f>role_course_map[[#This Row],[role_id]] &amp; "|" &amp; role_course_map[[#This Row],[course_id]]</f>
        <v>R0126|999055</v>
      </c>
      <c r="L321" t="str">
        <f>IF(COUNTIF(role_course_map[mapping_key],role_course_map[[#This Row],[mapping_key]])&gt;1,"DUPLICATE","OK")</f>
        <v>OK</v>
      </c>
      <c r="M321" t="str">
        <f>IF(COUNTIF(role_data[role_id],role_course_map[[#This Row],[role_id]])=0, "INVALID","VALID")</f>
        <v>VALID</v>
      </c>
      <c r="N321" t="str">
        <f>IF(COUNTIF(course_data[course_id],role_course_map[[#This Row],[course_id]])=0, "INVALID","VALID")</f>
        <v>VALID</v>
      </c>
    </row>
    <row r="322" spans="1:14" x14ac:dyDescent="0.35">
      <c r="A322" t="s">
        <v>264</v>
      </c>
      <c r="B322" s="5" t="str">
        <f>_xlfn.XLOOKUP(role_course_map[[#This Row],[role_id]], role_data[role_id], role_data[Role],"")</f>
        <v>Advanced Neonatal Nurse Practitioner</v>
      </c>
      <c r="C322">
        <v>64322</v>
      </c>
      <c r="D322" s="5" t="str">
        <f>_xlfn.XLOOKUP(role_course_map[[#This Row],[course_id]],course_data[course_id],course_data[title],"")</f>
        <v>Adult support and protection: practice level 2 [skilled]</v>
      </c>
      <c r="E322" s="5" t="str">
        <f>_xlfn.XLOOKUP(role_course_map[[#This Row],[course_id]],course_data[course_id],course_data[topic],"")</f>
        <v>SAS : Public Protection</v>
      </c>
      <c r="F322" s="5" t="str">
        <f>_xlfn.XLOOKUP(role_course_map[[#This Row],[course_id]],course_data[course_id],course_data[type],"")</f>
        <v>eLearning</v>
      </c>
      <c r="K322" t="str">
        <f>role_course_map[[#This Row],[role_id]] &amp; "|" &amp; role_course_map[[#This Row],[course_id]]</f>
        <v>R0126|64322</v>
      </c>
      <c r="L322" t="str">
        <f>IF(COUNTIF(role_course_map[mapping_key],role_course_map[[#This Row],[mapping_key]])&gt;1,"DUPLICATE","OK")</f>
        <v>OK</v>
      </c>
      <c r="M322" t="str">
        <f>IF(COUNTIF(role_data[role_id],role_course_map[[#This Row],[role_id]])=0, "INVALID","VALID")</f>
        <v>VALID</v>
      </c>
      <c r="N322" t="str">
        <f>IF(COUNTIF(course_data[course_id],role_course_map[[#This Row],[course_id]])=0, "INVALID","VALID")</f>
        <v>VALID</v>
      </c>
    </row>
    <row r="323" spans="1:14" x14ac:dyDescent="0.35">
      <c r="A323" t="s">
        <v>264</v>
      </c>
      <c r="B323" s="5" t="str">
        <f>_xlfn.XLOOKUP(role_course_map[[#This Row],[role_id]], role_data[role_id], role_data[Role],"")</f>
        <v>Advanced Neonatal Nurse Practitioner</v>
      </c>
      <c r="C323">
        <v>64324</v>
      </c>
      <c r="D323" s="5" t="str">
        <f>_xlfn.XLOOKUP(role_course_map[[#This Row],[course_id]],course_data[course_id],course_data[title],"")</f>
        <v>Child protection: practice level 2 [skilled]</v>
      </c>
      <c r="E323" s="5" t="str">
        <f>_xlfn.XLOOKUP(role_course_map[[#This Row],[course_id]],course_data[course_id],course_data[topic],"")</f>
        <v>SAS : Public Protection</v>
      </c>
      <c r="F323" s="5" t="str">
        <f>_xlfn.XLOOKUP(role_course_map[[#This Row],[course_id]],course_data[course_id],course_data[type],"")</f>
        <v>eLearning</v>
      </c>
      <c r="K323" t="str">
        <f>role_course_map[[#This Row],[role_id]] &amp; "|" &amp; role_course_map[[#This Row],[course_id]]</f>
        <v>R0126|64324</v>
      </c>
      <c r="L323" t="str">
        <f>IF(COUNTIF(role_course_map[mapping_key],role_course_map[[#This Row],[mapping_key]])&gt;1,"DUPLICATE","OK")</f>
        <v>OK</v>
      </c>
      <c r="M323" t="str">
        <f>IF(COUNTIF(role_data[role_id],role_course_map[[#This Row],[role_id]])=0, "INVALID","VALID")</f>
        <v>VALID</v>
      </c>
      <c r="N323" t="str">
        <f>IF(COUNTIF(course_data[course_id],role_course_map[[#This Row],[course_id]])=0, "INVALID","VALID")</f>
        <v>VALID</v>
      </c>
    </row>
    <row r="324" spans="1:14" x14ac:dyDescent="0.35">
      <c r="A324" t="s">
        <v>172</v>
      </c>
      <c r="B324" s="5" t="str">
        <f>_xlfn.XLOOKUP(role_course_map[[#This Row],[role_id]], role_data[role_id], role_data[Role],"")</f>
        <v>Scheduled Care Supervisor</v>
      </c>
      <c r="C324">
        <v>76716</v>
      </c>
      <c r="D324" s="5" t="str">
        <f>_xlfn.XLOOKUP(role_course_map[[#This Row],[course_id]],course_data[course_id],course_data[title],"")</f>
        <v>Domestic abuse awareness training tool (DAART)</v>
      </c>
      <c r="E324" s="5" t="str">
        <f>_xlfn.XLOOKUP(role_course_map[[#This Row],[course_id]],course_data[course_id],course_data[topic],"")</f>
        <v>SAS : Public Protection</v>
      </c>
      <c r="F324" s="5" t="str">
        <f>_xlfn.XLOOKUP(role_course_map[[#This Row],[course_id]],course_data[course_id],course_data[type],"")</f>
        <v>eLearning</v>
      </c>
      <c r="K324" t="str">
        <f>role_course_map[[#This Row],[role_id]] &amp; "|" &amp; role_course_map[[#This Row],[course_id]]</f>
        <v>R0080|76716</v>
      </c>
      <c r="L324" t="str">
        <f>IF(COUNTIF(role_course_map[mapping_key],role_course_map[[#This Row],[mapping_key]])&gt;1,"DUPLICATE","OK")</f>
        <v>OK</v>
      </c>
      <c r="M324" t="str">
        <f>IF(COUNTIF(role_data[role_id],role_course_map[[#This Row],[role_id]])=0, "INVALID","VALID")</f>
        <v>VALID</v>
      </c>
      <c r="N324" t="str">
        <f>IF(COUNTIF(course_data[course_id],role_course_map[[#This Row],[course_id]])=0, "INVALID","VALID")</f>
        <v>VALID</v>
      </c>
    </row>
    <row r="325" spans="1:14" x14ac:dyDescent="0.35">
      <c r="A325" t="s">
        <v>264</v>
      </c>
      <c r="B325" s="5" t="str">
        <f>_xlfn.XLOOKUP(role_course_map[[#This Row],[role_id]], role_data[role_id], role_data[Role],"")</f>
        <v>Advanced Neonatal Nurse Practitioner</v>
      </c>
      <c r="C325">
        <v>76716</v>
      </c>
      <c r="D325" s="5" t="str">
        <f>_xlfn.XLOOKUP(role_course_map[[#This Row],[course_id]],course_data[course_id],course_data[title],"")</f>
        <v>Domestic abuse awareness training tool (DAART)</v>
      </c>
      <c r="E325" s="5" t="str">
        <f>_xlfn.XLOOKUP(role_course_map[[#This Row],[course_id]],course_data[course_id],course_data[topic],"")</f>
        <v>SAS : Public Protection</v>
      </c>
      <c r="F325" s="5" t="str">
        <f>_xlfn.XLOOKUP(role_course_map[[#This Row],[course_id]],course_data[course_id],course_data[type],"")</f>
        <v>eLearning</v>
      </c>
      <c r="K325" t="str">
        <f>role_course_map[[#This Row],[role_id]] &amp; "|" &amp; role_course_map[[#This Row],[course_id]]</f>
        <v>R0126|76716</v>
      </c>
      <c r="L325" t="str">
        <f>IF(COUNTIF(role_course_map[mapping_key],role_course_map[[#This Row],[mapping_key]])&gt;1,"DUPLICATE","OK")</f>
        <v>OK</v>
      </c>
      <c r="M325" t="str">
        <f>IF(COUNTIF(role_data[role_id],role_course_map[[#This Row],[role_id]])=0, "INVALID","VALID")</f>
        <v>VALID</v>
      </c>
      <c r="N325" t="str">
        <f>IF(COUNTIF(course_data[course_id],role_course_map[[#This Row],[course_id]])=0, "INVALID","VALID")</f>
        <v>VALID</v>
      </c>
    </row>
    <row r="326" spans="1:14" x14ac:dyDescent="0.35">
      <c r="A326" t="s">
        <v>264</v>
      </c>
      <c r="B326" s="5" t="str">
        <f>_xlfn.XLOOKUP(role_course_map[[#This Row],[role_id]], role_data[role_id], role_data[Role],"")</f>
        <v>Advanced Neonatal Nurse Practitioner</v>
      </c>
      <c r="C326">
        <v>79666</v>
      </c>
      <c r="D326" s="5" t="str">
        <f>_xlfn.XLOOKUP(role_course_map[[#This Row],[course_id]],course_data[course_id],course_data[title],"")</f>
        <v>Getting it right for every child (GIRFEC): informed level</v>
      </c>
      <c r="E326" s="5" t="str">
        <f>_xlfn.XLOOKUP(role_course_map[[#This Row],[course_id]],course_data[course_id],course_data[topic],"")</f>
        <v>SAS : Public Protection</v>
      </c>
      <c r="F326" s="5" t="str">
        <f>_xlfn.XLOOKUP(role_course_map[[#This Row],[course_id]],course_data[course_id],course_data[type],"")</f>
        <v>eLearning</v>
      </c>
      <c r="K326" t="str">
        <f>role_course_map[[#This Row],[role_id]] &amp; "|" &amp; role_course_map[[#This Row],[course_id]]</f>
        <v>R0126|79666</v>
      </c>
      <c r="L326" t="str">
        <f>IF(COUNTIF(role_course_map[mapping_key],role_course_map[[#This Row],[mapping_key]])&gt;1,"DUPLICATE","OK")</f>
        <v>OK</v>
      </c>
      <c r="M326" t="str">
        <f>IF(COUNTIF(role_data[role_id],role_course_map[[#This Row],[role_id]])=0, "INVALID","VALID")</f>
        <v>VALID</v>
      </c>
      <c r="N326" t="str">
        <f>IF(COUNTIF(course_data[course_id],role_course_map[[#This Row],[course_id]])=0, "INVALID","VALID")</f>
        <v>VALID</v>
      </c>
    </row>
    <row r="327" spans="1:14" x14ac:dyDescent="0.35">
      <c r="A327" t="s">
        <v>264</v>
      </c>
      <c r="B327" s="5" t="str">
        <f>_xlfn.XLOOKUP(role_course_map[[#This Row],[role_id]], role_data[role_id], role_data[Role],"")</f>
        <v>Advanced Neonatal Nurse Practitioner</v>
      </c>
      <c r="C327">
        <v>999074</v>
      </c>
      <c r="D327" s="5" t="str">
        <f>_xlfn.XLOOKUP(role_course_map[[#This Row],[course_id]],course_data[course_id],course_data[title],"")</f>
        <v>SAS-specific Children’s rights</v>
      </c>
      <c r="E327" s="5" t="str">
        <f>_xlfn.XLOOKUP(role_course_map[[#This Row],[course_id]],course_data[course_id],course_data[topic],"")</f>
        <v>SAS : Public Protection</v>
      </c>
      <c r="F327" s="5" t="str">
        <f>_xlfn.XLOOKUP(role_course_map[[#This Row],[course_id]],course_data[course_id],course_data[type],"")</f>
        <v>eLearning</v>
      </c>
      <c r="K327" t="str">
        <f>role_course_map[[#This Row],[role_id]] &amp; "|" &amp; role_course_map[[#This Row],[course_id]]</f>
        <v>R0126|999074</v>
      </c>
      <c r="L327" t="str">
        <f>IF(COUNTIF(role_course_map[mapping_key],role_course_map[[#This Row],[mapping_key]])&gt;1,"DUPLICATE","OK")</f>
        <v>OK</v>
      </c>
      <c r="M327" t="str">
        <f>IF(COUNTIF(role_data[role_id],role_course_map[[#This Row],[role_id]])=0, "INVALID","VALID")</f>
        <v>VALID</v>
      </c>
      <c r="N327" t="str">
        <f>IF(COUNTIF(course_data[course_id],role_course_map[[#This Row],[course_id]])=0, "INVALID","VALID")</f>
        <v>VALID</v>
      </c>
    </row>
    <row r="328" spans="1:14" x14ac:dyDescent="0.35">
      <c r="A328" t="s">
        <v>264</v>
      </c>
      <c r="B328" s="5" t="str">
        <f>_xlfn.XLOOKUP(role_course_map[[#This Row],[role_id]], role_data[role_id], role_data[Role],"")</f>
        <v>Advanced Neonatal Nurse Practitioner</v>
      </c>
      <c r="C328">
        <v>999075</v>
      </c>
      <c r="D328" s="5" t="str">
        <f>_xlfn.XLOOKUP(role_course_map[[#This Row],[course_id]],course_data[course_id],course_data[title],"")</f>
        <v>Multiagency local or bespoke Level 3 delivery training</v>
      </c>
      <c r="E328" s="5" t="str">
        <f>_xlfn.XLOOKUP(role_course_map[[#This Row],[course_id]],course_data[course_id],course_data[topic],"")</f>
        <v>SAS : Public Protection</v>
      </c>
      <c r="F328" s="5" t="str">
        <f>_xlfn.XLOOKUP(role_course_map[[#This Row],[course_id]],course_data[course_id],course_data[type],"")</f>
        <v>eLearning</v>
      </c>
      <c r="K328" t="str">
        <f>role_course_map[[#This Row],[role_id]] &amp; "|" &amp; role_course_map[[#This Row],[course_id]]</f>
        <v>R0126|999075</v>
      </c>
      <c r="L328" t="str">
        <f>IF(COUNTIF(role_course_map[mapping_key],role_course_map[[#This Row],[mapping_key]])&gt;1,"DUPLICATE","OK")</f>
        <v>OK</v>
      </c>
      <c r="M328" t="str">
        <f>IF(COUNTIF(role_data[role_id],role_course_map[[#This Row],[role_id]])=0, "INVALID","VALID")</f>
        <v>VALID</v>
      </c>
      <c r="N328" t="str">
        <f>IF(COUNTIF(course_data[course_id],role_course_map[[#This Row],[course_id]])=0, "INVALID","VALID")</f>
        <v>VALID</v>
      </c>
    </row>
    <row r="329" spans="1:14" x14ac:dyDescent="0.35">
      <c r="A329" t="s">
        <v>264</v>
      </c>
      <c r="B329" s="5" t="str">
        <f>_xlfn.XLOOKUP(role_course_map[[#This Row],[role_id]], role_data[role_id], role_data[Role],"")</f>
        <v>Advanced Neonatal Nurse Practitioner</v>
      </c>
      <c r="C329">
        <v>15249</v>
      </c>
      <c r="D329" s="5" t="str">
        <f>_xlfn.XLOOKUP(role_course_map[[#This Row],[course_id]],course_data[course_id],course_data[title],"")</f>
        <v>Human trafficking</v>
      </c>
      <c r="E329" s="5" t="str">
        <f>_xlfn.XLOOKUP(role_course_map[[#This Row],[course_id]],course_data[course_id],course_data[topic],"")</f>
        <v>SAS : Public Protection</v>
      </c>
      <c r="F329" s="5" t="str">
        <f>_xlfn.XLOOKUP(role_course_map[[#This Row],[course_id]],course_data[course_id],course_data[type],"")</f>
        <v>eLearning</v>
      </c>
      <c r="K329" t="str">
        <f>role_course_map[[#This Row],[role_id]] &amp; "|" &amp; role_course_map[[#This Row],[course_id]]</f>
        <v>R0126|15249</v>
      </c>
      <c r="L329" t="str">
        <f>IF(COUNTIF(role_course_map[mapping_key],role_course_map[[#This Row],[mapping_key]])&gt;1,"DUPLICATE","OK")</f>
        <v>OK</v>
      </c>
      <c r="M329" t="str">
        <f>IF(COUNTIF(role_data[role_id],role_course_map[[#This Row],[role_id]])=0, "INVALID","VALID")</f>
        <v>VALID</v>
      </c>
      <c r="N329" t="str">
        <f>IF(COUNTIF(course_data[course_id],role_course_map[[#This Row],[course_id]])=0, "INVALID","VALID")</f>
        <v>VALID</v>
      </c>
    </row>
    <row r="330" spans="1:14" x14ac:dyDescent="0.35">
      <c r="A330" t="s">
        <v>264</v>
      </c>
      <c r="B330" s="5" t="str">
        <f>_xlfn.XLOOKUP(role_course_map[[#This Row],[role_id]], role_data[role_id], role_data[Role],"")</f>
        <v>Advanced Neonatal Nurse Practitioner</v>
      </c>
      <c r="C330">
        <v>89161</v>
      </c>
      <c r="D330" s="5" t="str">
        <f>_xlfn.XLOOKUP(role_course_map[[#This Row],[course_id]],course_data[course_id],course_data[title],"")</f>
        <v>Personal Protective Equipment</v>
      </c>
      <c r="E330" s="5" t="str">
        <f>_xlfn.XLOOKUP(role_course_map[[#This Row],[course_id]],course_data[course_id],course_data[topic],"")</f>
        <v>SAS : Infection Prevention and Control (IPC)</v>
      </c>
      <c r="F330" s="5" t="str">
        <f>_xlfn.XLOOKUP(role_course_map[[#This Row],[course_id]],course_data[course_id],course_data[type],"")</f>
        <v>eLearning</v>
      </c>
      <c r="K330" t="str">
        <f>role_course_map[[#This Row],[role_id]] &amp; "|" &amp; role_course_map[[#This Row],[course_id]]</f>
        <v>R0126|89161</v>
      </c>
      <c r="L330" t="str">
        <f>IF(COUNTIF(role_course_map[mapping_key],role_course_map[[#This Row],[mapping_key]])&gt;1,"DUPLICATE","OK")</f>
        <v>OK</v>
      </c>
      <c r="M330" t="str">
        <f>IF(COUNTIF(role_data[role_id],role_course_map[[#This Row],[role_id]])=0, "INVALID","VALID")</f>
        <v>VALID</v>
      </c>
      <c r="N330" t="str">
        <f>IF(COUNTIF(course_data[course_id],role_course_map[[#This Row],[course_id]])=0, "INVALID","VALID")</f>
        <v>VALID</v>
      </c>
    </row>
    <row r="331" spans="1:14" x14ac:dyDescent="0.35">
      <c r="A331" t="s">
        <v>264</v>
      </c>
      <c r="B331" s="5" t="str">
        <f>_xlfn.XLOOKUP(role_course_map[[#This Row],[role_id]], role_data[role_id], role_data[Role],"")</f>
        <v>Advanced Neonatal Nurse Practitioner</v>
      </c>
      <c r="C331">
        <v>89157</v>
      </c>
      <c r="D331" s="5" t="str">
        <f>_xlfn.XLOOKUP(role_course_map[[#This Row],[course_id]],course_data[course_id],course_data[title],"")</f>
        <v>Safe Management of Care Equipment</v>
      </c>
      <c r="E331" s="5" t="str">
        <f>_xlfn.XLOOKUP(role_course_map[[#This Row],[course_id]],course_data[course_id],course_data[topic],"")</f>
        <v>SAS : Infection Prevention and Control (IPC)</v>
      </c>
      <c r="F331" s="5" t="str">
        <f>_xlfn.XLOOKUP(role_course_map[[#This Row],[course_id]],course_data[course_id],course_data[type],"")</f>
        <v>eLearning</v>
      </c>
      <c r="K331" t="str">
        <f>role_course_map[[#This Row],[role_id]] &amp; "|" &amp; role_course_map[[#This Row],[course_id]]</f>
        <v>R0126|89157</v>
      </c>
      <c r="L331" t="str">
        <f>IF(COUNTIF(role_course_map[mapping_key],role_course_map[[#This Row],[mapping_key]])&gt;1,"DUPLICATE","OK")</f>
        <v>OK</v>
      </c>
      <c r="M331" t="str">
        <f>IF(COUNTIF(role_data[role_id],role_course_map[[#This Row],[role_id]])=0, "INVALID","VALID")</f>
        <v>VALID</v>
      </c>
      <c r="N331" t="str">
        <f>IF(COUNTIF(course_data[course_id],role_course_map[[#This Row],[course_id]])=0, "INVALID","VALID")</f>
        <v>VALID</v>
      </c>
    </row>
    <row r="332" spans="1:14" x14ac:dyDescent="0.35">
      <c r="A332" t="s">
        <v>264</v>
      </c>
      <c r="B332" s="5" t="str">
        <f>_xlfn.XLOOKUP(role_course_map[[#This Row],[role_id]], role_data[role_id], role_data[Role],"")</f>
        <v>Advanced Neonatal Nurse Practitioner</v>
      </c>
      <c r="C332">
        <v>89158</v>
      </c>
      <c r="D332" s="5" t="str">
        <f>_xlfn.XLOOKUP(role_course_map[[#This Row],[course_id]],course_data[course_id],course_data[title],"")</f>
        <v>Safe Management of Care Environment</v>
      </c>
      <c r="E332" s="5" t="str">
        <f>_xlfn.XLOOKUP(role_course_map[[#This Row],[course_id]],course_data[course_id],course_data[topic],"")</f>
        <v>SAS : Infection Prevention and Control (IPC)</v>
      </c>
      <c r="F332" s="5" t="str">
        <f>_xlfn.XLOOKUP(role_course_map[[#This Row],[course_id]],course_data[course_id],course_data[type],"")</f>
        <v>eLearning</v>
      </c>
      <c r="K332" t="str">
        <f>role_course_map[[#This Row],[role_id]] &amp; "|" &amp; role_course_map[[#This Row],[course_id]]</f>
        <v>R0126|89158</v>
      </c>
      <c r="L332" t="str">
        <f>IF(COUNTIF(role_course_map[mapping_key],role_course_map[[#This Row],[mapping_key]])&gt;1,"DUPLICATE","OK")</f>
        <v>OK</v>
      </c>
      <c r="M332" t="str">
        <f>IF(COUNTIF(role_data[role_id],role_course_map[[#This Row],[role_id]])=0, "INVALID","VALID")</f>
        <v>VALID</v>
      </c>
      <c r="N332" t="str">
        <f>IF(COUNTIF(course_data[course_id],role_course_map[[#This Row],[course_id]])=0, "INVALID","VALID")</f>
        <v>VALID</v>
      </c>
    </row>
    <row r="333" spans="1:14" x14ac:dyDescent="0.35">
      <c r="A333" t="s">
        <v>264</v>
      </c>
      <c r="B333" s="5" t="str">
        <f>_xlfn.XLOOKUP(role_course_map[[#This Row],[role_id]], role_data[role_id], role_data[Role],"")</f>
        <v>Advanced Neonatal Nurse Practitioner</v>
      </c>
      <c r="C333">
        <v>89159</v>
      </c>
      <c r="D333" s="5" t="str">
        <f>_xlfn.XLOOKUP(role_course_map[[#This Row],[course_id]],course_data[course_id],course_data[title],"")</f>
        <v>Safe Management of Linen</v>
      </c>
      <c r="E333" s="5" t="str">
        <f>_xlfn.XLOOKUP(role_course_map[[#This Row],[course_id]],course_data[course_id],course_data[topic],"")</f>
        <v>SAS : Infection Prevention and Control (IPC)</v>
      </c>
      <c r="F333" s="5" t="str">
        <f>_xlfn.XLOOKUP(role_course_map[[#This Row],[course_id]],course_data[course_id],course_data[type],"")</f>
        <v>eLearning</v>
      </c>
      <c r="K333" t="str">
        <f>role_course_map[[#This Row],[role_id]] &amp; "|" &amp; role_course_map[[#This Row],[course_id]]</f>
        <v>R0126|89159</v>
      </c>
      <c r="L333" t="str">
        <f>IF(COUNTIF(role_course_map[mapping_key],role_course_map[[#This Row],[mapping_key]])&gt;1,"DUPLICATE","OK")</f>
        <v>OK</v>
      </c>
      <c r="M333" t="str">
        <f>IF(COUNTIF(role_data[role_id],role_course_map[[#This Row],[role_id]])=0, "INVALID","VALID")</f>
        <v>VALID</v>
      </c>
      <c r="N333" t="str">
        <f>IF(COUNTIF(course_data[course_id],role_course_map[[#This Row],[course_id]])=0, "INVALID","VALID")</f>
        <v>VALID</v>
      </c>
    </row>
    <row r="334" spans="1:14" x14ac:dyDescent="0.35">
      <c r="A334" t="s">
        <v>264</v>
      </c>
      <c r="B334" s="5" t="str">
        <f>_xlfn.XLOOKUP(role_course_map[[#This Row],[role_id]], role_data[role_id], role_data[Role],"")</f>
        <v>Advanced Neonatal Nurse Practitioner</v>
      </c>
      <c r="C334">
        <v>89160</v>
      </c>
      <c r="D334" s="5" t="str">
        <f>_xlfn.XLOOKUP(role_course_map[[#This Row],[course_id]],course_data[course_id],course_data[title],"")</f>
        <v>Safe Management of blood and body fluids</v>
      </c>
      <c r="E334" s="5" t="str">
        <f>_xlfn.XLOOKUP(role_course_map[[#This Row],[course_id]],course_data[course_id],course_data[topic],"")</f>
        <v>SAS : Infection Prevention and Control (IPC)</v>
      </c>
      <c r="F334" s="5" t="str">
        <f>_xlfn.XLOOKUP(role_course_map[[#This Row],[course_id]],course_data[course_id],course_data[type],"")</f>
        <v>eLearning</v>
      </c>
      <c r="K334" t="str">
        <f>role_course_map[[#This Row],[role_id]] &amp; "|" &amp; role_course_map[[#This Row],[course_id]]</f>
        <v>R0126|89160</v>
      </c>
      <c r="L334" t="str">
        <f>IF(COUNTIF(role_course_map[mapping_key],role_course_map[[#This Row],[mapping_key]])&gt;1,"DUPLICATE","OK")</f>
        <v>OK</v>
      </c>
      <c r="M334" t="str">
        <f>IF(COUNTIF(role_data[role_id],role_course_map[[#This Row],[role_id]])=0, "INVALID","VALID")</f>
        <v>VALID</v>
      </c>
      <c r="N334" t="str">
        <f>IF(COUNTIF(course_data[course_id],role_course_map[[#This Row],[course_id]])=0, "INVALID","VALID")</f>
        <v>VALID</v>
      </c>
    </row>
    <row r="335" spans="1:14" x14ac:dyDescent="0.35">
      <c r="A335" t="s">
        <v>264</v>
      </c>
      <c r="B335" s="5" t="str">
        <f>_xlfn.XLOOKUP(role_course_map[[#This Row],[role_id]], role_data[role_id], role_data[Role],"")</f>
        <v>Advanced Neonatal Nurse Practitioner</v>
      </c>
      <c r="C335">
        <v>89154</v>
      </c>
      <c r="D335" s="5" t="str">
        <f>_xlfn.XLOOKUP(role_course_map[[#This Row],[course_id]],course_data[course_id],course_data[title],"")</f>
        <v>Safe disposal of waste</v>
      </c>
      <c r="E335" s="5" t="str">
        <f>_xlfn.XLOOKUP(role_course_map[[#This Row],[course_id]],course_data[course_id],course_data[topic],"")</f>
        <v>SAS : Infection Prevention and Control (IPC)</v>
      </c>
      <c r="F335" s="5" t="str">
        <f>_xlfn.XLOOKUP(role_course_map[[#This Row],[course_id]],course_data[course_id],course_data[type],"")</f>
        <v>eLearning</v>
      </c>
      <c r="K335" t="str">
        <f>role_course_map[[#This Row],[role_id]] &amp; "|" &amp; role_course_map[[#This Row],[course_id]]</f>
        <v>R0126|89154</v>
      </c>
      <c r="L335" t="str">
        <f>IF(COUNTIF(role_course_map[mapping_key],role_course_map[[#This Row],[mapping_key]])&gt;1,"DUPLICATE","OK")</f>
        <v>OK</v>
      </c>
      <c r="M335" t="str">
        <f>IF(COUNTIF(role_data[role_id],role_course_map[[#This Row],[role_id]])=0, "INVALID","VALID")</f>
        <v>VALID</v>
      </c>
      <c r="N335" t="str">
        <f>IF(COUNTIF(course_data[course_id],role_course_map[[#This Row],[course_id]])=0, "INVALID","VALID")</f>
        <v>VALID</v>
      </c>
    </row>
    <row r="336" spans="1:14" x14ac:dyDescent="0.35">
      <c r="A336" t="s">
        <v>264</v>
      </c>
      <c r="B336" s="5" t="str">
        <f>_xlfn.XLOOKUP(role_course_map[[#This Row],[role_id]], role_data[role_id], role_data[Role],"")</f>
        <v>Advanced Neonatal Nurse Practitioner</v>
      </c>
      <c r="C336">
        <v>89155</v>
      </c>
      <c r="D336" s="5" t="str">
        <f>_xlfn.XLOOKUP(role_course_map[[#This Row],[course_id]],course_data[course_id],course_data[title],"")</f>
        <v>Prevention &amp; management of occupational exposure</v>
      </c>
      <c r="E336" s="5" t="str">
        <f>_xlfn.XLOOKUP(role_course_map[[#This Row],[course_id]],course_data[course_id],course_data[topic],"")</f>
        <v>SAS : Infection Prevention and Control (IPC)</v>
      </c>
      <c r="F336" s="5" t="str">
        <f>_xlfn.XLOOKUP(role_course_map[[#This Row],[course_id]],course_data[course_id],course_data[type],"")</f>
        <v>eLearning</v>
      </c>
      <c r="K336" t="str">
        <f>role_course_map[[#This Row],[role_id]] &amp; "|" &amp; role_course_map[[#This Row],[course_id]]</f>
        <v>R0126|89155</v>
      </c>
      <c r="L336" t="str">
        <f>IF(COUNTIF(role_course_map[mapping_key],role_course_map[[#This Row],[mapping_key]])&gt;1,"DUPLICATE","OK")</f>
        <v>OK</v>
      </c>
      <c r="M336" t="str">
        <f>IF(COUNTIF(role_data[role_id],role_course_map[[#This Row],[role_id]])=0, "INVALID","VALID")</f>
        <v>VALID</v>
      </c>
      <c r="N336" t="str">
        <f>IF(COUNTIF(course_data[course_id],role_course_map[[#This Row],[course_id]])=0, "INVALID","VALID")</f>
        <v>VALID</v>
      </c>
    </row>
    <row r="337" spans="1:14" x14ac:dyDescent="0.35">
      <c r="A337" t="s">
        <v>264</v>
      </c>
      <c r="B337" s="5" t="str">
        <f>_xlfn.XLOOKUP(role_course_map[[#This Row],[role_id]], role_data[role_id], role_data[Role],"")</f>
        <v>Advanced Neonatal Nurse Practitioner</v>
      </c>
      <c r="C337">
        <v>999064</v>
      </c>
      <c r="D337" s="5" t="str">
        <f>_xlfn.XLOOKUP(role_course_map[[#This Row],[course_id]],course_data[course_id],course_data[title],"")</f>
        <v>Infection prevention and control: Clostridioides difficile infection</v>
      </c>
      <c r="E337" s="5" t="str">
        <f>_xlfn.XLOOKUP(role_course_map[[#This Row],[course_id]],course_data[course_id],course_data[topic],"")</f>
        <v>SAS : Infection Prevention and Control (IPC)</v>
      </c>
      <c r="F337" s="5" t="str">
        <f>_xlfn.XLOOKUP(role_course_map[[#This Row],[course_id]],course_data[course_id],course_data[type],"")</f>
        <v>eLearning</v>
      </c>
      <c r="K337" t="str">
        <f>role_course_map[[#This Row],[role_id]] &amp; "|" &amp; role_course_map[[#This Row],[course_id]]</f>
        <v>R0126|999064</v>
      </c>
      <c r="L337" t="str">
        <f>IF(COUNTIF(role_course_map[mapping_key],role_course_map[[#This Row],[mapping_key]])&gt;1,"DUPLICATE","OK")</f>
        <v>OK</v>
      </c>
      <c r="M337" t="str">
        <f>IF(COUNTIF(role_data[role_id],role_course_map[[#This Row],[role_id]])=0, "INVALID","VALID")</f>
        <v>VALID</v>
      </c>
      <c r="N337" t="str">
        <f>IF(COUNTIF(course_data[course_id],role_course_map[[#This Row],[course_id]])=0, "INVALID","VALID")</f>
        <v>VALID</v>
      </c>
    </row>
    <row r="338" spans="1:14" x14ac:dyDescent="0.35">
      <c r="A338" t="s">
        <v>264</v>
      </c>
      <c r="B338" s="5" t="str">
        <f>_xlfn.XLOOKUP(role_course_map[[#This Row],[role_id]], role_data[role_id], role_data[Role],"")</f>
        <v>Advanced Neonatal Nurse Practitioner</v>
      </c>
      <c r="C338">
        <v>3256</v>
      </c>
      <c r="D338" s="5" t="str">
        <f>_xlfn.XLOOKUP(role_course_map[[#This Row],[course_id]],course_data[course_id],course_data[title],"")</f>
        <v>Antibiotic Management CHECK THIS IS THE RIGHT ONE</v>
      </c>
      <c r="E338" s="5" t="str">
        <f>_xlfn.XLOOKUP(role_course_map[[#This Row],[course_id]],course_data[course_id],course_data[topic],"")</f>
        <v>SAS : Infection Prevention and Control (IPC)</v>
      </c>
      <c r="F338" s="5" t="str">
        <f>_xlfn.XLOOKUP(role_course_map[[#This Row],[course_id]],course_data[course_id],course_data[type],"")</f>
        <v>eLearning</v>
      </c>
      <c r="K338" t="str">
        <f>role_course_map[[#This Row],[role_id]] &amp; "|" &amp; role_course_map[[#This Row],[course_id]]</f>
        <v>R0126|3256</v>
      </c>
      <c r="L338" t="str">
        <f>IF(COUNTIF(role_course_map[mapping_key],role_course_map[[#This Row],[mapping_key]])&gt;1,"DUPLICATE","OK")</f>
        <v>OK</v>
      </c>
      <c r="M338" t="str">
        <f>IF(COUNTIF(role_data[role_id],role_course_map[[#This Row],[role_id]])=0, "INVALID","VALID")</f>
        <v>VALID</v>
      </c>
      <c r="N338" t="str">
        <f>IF(COUNTIF(course_data[course_id],role_course_map[[#This Row],[course_id]])=0, "INVALID","VALID")</f>
        <v>VALID</v>
      </c>
    </row>
    <row r="339" spans="1:14" x14ac:dyDescent="0.35">
      <c r="A339" t="s">
        <v>264</v>
      </c>
      <c r="B339" s="5" t="str">
        <f>_xlfn.XLOOKUP(role_course_map[[#This Row],[role_id]], role_data[role_id], role_data[Role],"")</f>
        <v>Advanced Neonatal Nurse Practitioner</v>
      </c>
      <c r="C339">
        <v>82383</v>
      </c>
      <c r="D339" s="5" t="str">
        <f>_xlfn.XLOOKUP(role_course_map[[#This Row],[course_id]],course_data[course_id],course_data[title],"")</f>
        <v>Aseptic technique</v>
      </c>
      <c r="E339" s="5" t="str">
        <f>_xlfn.XLOOKUP(role_course_map[[#This Row],[course_id]],course_data[course_id],course_data[topic],"")</f>
        <v>SAS : Infection Prevention and Control (IPC)</v>
      </c>
      <c r="F339" s="5" t="str">
        <f>_xlfn.XLOOKUP(role_course_map[[#This Row],[course_id]],course_data[course_id],course_data[type],"")</f>
        <v>eLearning</v>
      </c>
      <c r="K339" t="str">
        <f>role_course_map[[#This Row],[role_id]] &amp; "|" &amp; role_course_map[[#This Row],[course_id]]</f>
        <v>R0126|82383</v>
      </c>
      <c r="L339" t="str">
        <f>IF(COUNTIF(role_course_map[mapping_key],role_course_map[[#This Row],[mapping_key]])&gt;1,"DUPLICATE","OK")</f>
        <v>OK</v>
      </c>
      <c r="M339" t="str">
        <f>IF(COUNTIF(role_data[role_id],role_course_map[[#This Row],[role_id]])=0, "INVALID","VALID")</f>
        <v>VALID</v>
      </c>
      <c r="N339" t="str">
        <f>IF(COUNTIF(course_data[course_id],role_course_map[[#This Row],[course_id]])=0, "INVALID","VALID")</f>
        <v>VALID</v>
      </c>
    </row>
    <row r="340" spans="1:14" x14ac:dyDescent="0.35">
      <c r="A340" t="s">
        <v>264</v>
      </c>
      <c r="B340" s="5" t="str">
        <f>_xlfn.XLOOKUP(role_course_map[[#This Row],[role_id]], role_data[role_id], role_data[Role],"")</f>
        <v>Advanced Neonatal Nurse Practitioner</v>
      </c>
      <c r="C340">
        <v>3886</v>
      </c>
      <c r="D340" s="5" t="str">
        <f>_xlfn.XLOOKUP(role_course_map[[#This Row],[course_id]],course_data[course_id],course_data[title],"")</f>
        <v>Prevention and management of pressure ulcers</v>
      </c>
      <c r="E340" s="5" t="str">
        <f>_xlfn.XLOOKUP(role_course_map[[#This Row],[course_id]],course_data[course_id],course_data[topic],"")</f>
        <v>SAS : Clinical Practice</v>
      </c>
      <c r="F340" s="5" t="str">
        <f>_xlfn.XLOOKUP(role_course_map[[#This Row],[course_id]],course_data[course_id],course_data[type],"")</f>
        <v>Page</v>
      </c>
      <c r="K340" t="str">
        <f>role_course_map[[#This Row],[role_id]] &amp; "|" &amp; role_course_map[[#This Row],[course_id]]</f>
        <v>R0126|3886</v>
      </c>
      <c r="L340" t="str">
        <f>IF(COUNTIF(role_course_map[mapping_key],role_course_map[[#This Row],[mapping_key]])&gt;1,"DUPLICATE","OK")</f>
        <v>OK</v>
      </c>
      <c r="M340" t="str">
        <f>IF(COUNTIF(role_data[role_id],role_course_map[[#This Row],[role_id]])=0, "INVALID","VALID")</f>
        <v>VALID</v>
      </c>
      <c r="N340" t="str">
        <f>IF(COUNTIF(course_data[course_id],role_course_map[[#This Row],[course_id]])=0, "INVALID","VALID")</f>
        <v>VALID</v>
      </c>
    </row>
    <row r="341" spans="1:14" x14ac:dyDescent="0.35">
      <c r="A341" t="s">
        <v>172</v>
      </c>
      <c r="B341" s="5" t="str">
        <f>_xlfn.XLOOKUP(role_course_map[[#This Row],[role_id]], role_data[role_id], role_data[Role],"")</f>
        <v>Scheduled Care Supervisor</v>
      </c>
      <c r="C341">
        <v>999094</v>
      </c>
      <c r="D341" s="5" t="str">
        <f>_xlfn.XLOOKUP(role_course_map[[#This Row],[course_id]],course_data[course_id],course_data[title],"")</f>
        <v>Being well, Mind, Body &amp; Workplace</v>
      </c>
      <c r="E341" s="5" t="str">
        <f>_xlfn.XLOOKUP(role_course_map[[#This Row],[course_id]],course_data[course_id],course_data[topic],"")</f>
        <v>SAS: Staff development and experience</v>
      </c>
      <c r="F341" s="5" t="str">
        <f>_xlfn.XLOOKUP(role_course_map[[#This Row],[course_id]],course_data[course_id],course_data[type],"")</f>
        <v>eLearning</v>
      </c>
      <c r="K341" t="str">
        <f>role_course_map[[#This Row],[role_id]] &amp; "|" &amp; role_course_map[[#This Row],[course_id]]</f>
        <v>R0080|999094</v>
      </c>
      <c r="L341" t="str">
        <f>IF(COUNTIF(role_course_map[mapping_key],role_course_map[[#This Row],[mapping_key]])&gt;1,"DUPLICATE","OK")</f>
        <v>OK</v>
      </c>
      <c r="M341" t="str">
        <f>IF(COUNTIF(role_data[role_id],role_course_map[[#This Row],[role_id]])=0, "INVALID","VALID")</f>
        <v>VALID</v>
      </c>
      <c r="N341" t="str">
        <f>IF(COUNTIF(course_data[course_id],role_course_map[[#This Row],[course_id]])=0, "INVALID","VALID")</f>
        <v>VALID</v>
      </c>
    </row>
    <row r="342" spans="1:14" x14ac:dyDescent="0.35">
      <c r="A342" t="s">
        <v>264</v>
      </c>
      <c r="B342" s="5" t="str">
        <f>_xlfn.XLOOKUP(role_course_map[[#This Row],[role_id]], role_data[role_id], role_data[Role],"")</f>
        <v>Advanced Neonatal Nurse Practitioner</v>
      </c>
      <c r="C342">
        <v>999094</v>
      </c>
      <c r="D342" s="5" t="str">
        <f>_xlfn.XLOOKUP(role_course_map[[#This Row],[course_id]],course_data[course_id],course_data[title],"")</f>
        <v>Being well, Mind, Body &amp; Workplace</v>
      </c>
      <c r="E342" s="5" t="str">
        <f>_xlfn.XLOOKUP(role_course_map[[#This Row],[course_id]],course_data[course_id],course_data[topic],"")</f>
        <v>SAS: Staff development and experience</v>
      </c>
      <c r="F342" s="5" t="str">
        <f>_xlfn.XLOOKUP(role_course_map[[#This Row],[course_id]],course_data[course_id],course_data[type],"")</f>
        <v>eLearning</v>
      </c>
      <c r="K342" t="str">
        <f>role_course_map[[#This Row],[role_id]] &amp; "|" &amp; role_course_map[[#This Row],[course_id]]</f>
        <v>R0126|999094</v>
      </c>
      <c r="L342" t="str">
        <f>IF(COUNTIF(role_course_map[mapping_key],role_course_map[[#This Row],[mapping_key]])&gt;1,"DUPLICATE","OK")</f>
        <v>OK</v>
      </c>
      <c r="M342" t="str">
        <f>IF(COUNTIF(role_data[role_id],role_course_map[[#This Row],[role_id]])=0, "INVALID","VALID")</f>
        <v>VALID</v>
      </c>
      <c r="N342" t="str">
        <f>IF(COUNTIF(course_data[course_id],role_course_map[[#This Row],[course_id]])=0, "INVALID","VALID")</f>
        <v>VALID</v>
      </c>
    </row>
    <row r="343" spans="1:14" x14ac:dyDescent="0.35">
      <c r="A343" t="s">
        <v>264</v>
      </c>
      <c r="B343" s="5" t="str">
        <f>_xlfn.XLOOKUP(role_course_map[[#This Row],[role_id]], role_data[role_id], role_data[Role],"")</f>
        <v>Advanced Neonatal Nurse Practitioner</v>
      </c>
      <c r="C343">
        <v>999077</v>
      </c>
      <c r="D343" s="5" t="str">
        <f>_xlfn.XLOOKUP(role_course_map[[#This Row],[course_id]],course_data[course_id],course_data[title],"")</f>
        <v>ScotSTAR: Role specific Orientation &amp; Induction</v>
      </c>
      <c r="E343" s="5" t="str">
        <f>_xlfn.XLOOKUP(role_course_map[[#This Row],[course_id]],course_data[course_id],course_data[topic],"")</f>
        <v>SAS : ScotSTAR</v>
      </c>
      <c r="F343" s="5" t="str">
        <f>_xlfn.XLOOKUP(role_course_map[[#This Row],[course_id]],course_data[course_id],course_data[type],"")</f>
        <v>Course</v>
      </c>
      <c r="K343" t="str">
        <f>role_course_map[[#This Row],[role_id]] &amp; "|" &amp; role_course_map[[#This Row],[course_id]]</f>
        <v>R0126|999077</v>
      </c>
      <c r="L343" t="str">
        <f>IF(COUNTIF(role_course_map[mapping_key],role_course_map[[#This Row],[mapping_key]])&gt;1,"DUPLICATE","OK")</f>
        <v>OK</v>
      </c>
      <c r="M343" t="str">
        <f>IF(COUNTIF(role_data[role_id],role_course_map[[#This Row],[role_id]])=0, "INVALID","VALID")</f>
        <v>VALID</v>
      </c>
      <c r="N343" t="str">
        <f>IF(COUNTIF(course_data[course_id],role_course_map[[#This Row],[course_id]])=0, "INVALID","VALID")</f>
        <v>VALID</v>
      </c>
    </row>
    <row r="344" spans="1:14" x14ac:dyDescent="0.35">
      <c r="A344" t="s">
        <v>268</v>
      </c>
      <c r="B344" s="5" t="str">
        <f>_xlfn.XLOOKUP(role_course_map[[#This Row],[role_id]], role_data[role_id], role_data[Role],"")</f>
        <v>Advanced Nurse Practitioner</v>
      </c>
      <c r="C344">
        <v>999009</v>
      </c>
      <c r="D344" s="5" t="str">
        <f>_xlfn.XLOOKUP(role_course_map[[#This Row],[course_id]],course_data[course_id],course_data[title],"")</f>
        <v>Life Support</v>
      </c>
      <c r="E344" s="5" t="str">
        <f>_xlfn.XLOOKUP(role_course_map[[#This Row],[course_id]],course_data[course_id],course_data[topic],"")</f>
        <v>SAS : Clinical Practice</v>
      </c>
      <c r="F344" s="5" t="str">
        <f>_xlfn.XLOOKUP(role_course_map[[#This Row],[course_id]],course_data[course_id],course_data[type],"")</f>
        <v>Course</v>
      </c>
      <c r="K344" t="str">
        <f>role_course_map[[#This Row],[role_id]] &amp; "|" &amp; role_course_map[[#This Row],[course_id]]</f>
        <v>R0128|999009</v>
      </c>
      <c r="L344" t="str">
        <f>IF(COUNTIF(role_course_map[mapping_key],role_course_map[[#This Row],[mapping_key]])&gt;1,"DUPLICATE","OK")</f>
        <v>OK</v>
      </c>
      <c r="M344" t="str">
        <f>IF(COUNTIF(role_data[role_id],role_course_map[[#This Row],[role_id]])=0, "INVALID","VALID")</f>
        <v>VALID</v>
      </c>
      <c r="N344" t="str">
        <f>IF(COUNTIF(course_data[course_id],role_course_map[[#This Row],[course_id]])=0, "INVALID","VALID")</f>
        <v>VALID</v>
      </c>
    </row>
    <row r="345" spans="1:14" x14ac:dyDescent="0.35">
      <c r="A345" t="s">
        <v>268</v>
      </c>
      <c r="B345" s="5" t="str">
        <f>_xlfn.XLOOKUP(role_course_map[[#This Row],[role_id]], role_data[role_id], role_data[Role],"")</f>
        <v>Advanced Nurse Practitioner</v>
      </c>
      <c r="C345">
        <v>999007</v>
      </c>
      <c r="D345" s="5" t="str">
        <f>_xlfn.XLOOKUP(role_course_map[[#This Row],[course_id]],course_data[course_id],course_data[title],"")</f>
        <v>Obstetrics</v>
      </c>
      <c r="E345" s="5" t="str">
        <f>_xlfn.XLOOKUP(role_course_map[[#This Row],[course_id]],course_data[course_id],course_data[topic],"")</f>
        <v>SAS : Clinical Practice</v>
      </c>
      <c r="F345" s="5" t="str">
        <f>_xlfn.XLOOKUP(role_course_map[[#This Row],[course_id]],course_data[course_id],course_data[type],"")</f>
        <v>Course</v>
      </c>
      <c r="K345" t="str">
        <f>role_course_map[[#This Row],[role_id]] &amp; "|" &amp; role_course_map[[#This Row],[course_id]]</f>
        <v>R0128|999007</v>
      </c>
      <c r="L345" t="str">
        <f>IF(COUNTIF(role_course_map[mapping_key],role_course_map[[#This Row],[mapping_key]])&gt;1,"DUPLICATE","OK")</f>
        <v>OK</v>
      </c>
      <c r="M345" t="str">
        <f>IF(COUNTIF(role_data[role_id],role_course_map[[#This Row],[role_id]])=0, "INVALID","VALID")</f>
        <v>VALID</v>
      </c>
      <c r="N345" t="str">
        <f>IF(COUNTIF(course_data[course_id],role_course_map[[#This Row],[course_id]])=0, "INVALID","VALID")</f>
        <v>VALID</v>
      </c>
    </row>
    <row r="346" spans="1:14" x14ac:dyDescent="0.35">
      <c r="A346" t="s">
        <v>268</v>
      </c>
      <c r="B346" s="5" t="str">
        <f>_xlfn.XLOOKUP(role_course_map[[#This Row],[role_id]], role_data[role_id], role_data[Role],"")</f>
        <v>Advanced Nurse Practitioner</v>
      </c>
      <c r="C346">
        <v>999008</v>
      </c>
      <c r="D346" s="5" t="str">
        <f>_xlfn.XLOOKUP(role_course_map[[#This Row],[course_id]],course_data[course_id],course_data[title],"")</f>
        <v>Obstetrics</v>
      </c>
      <c r="E346" s="5" t="str">
        <f>_xlfn.XLOOKUP(role_course_map[[#This Row],[course_id]],course_data[course_id],course_data[topic],"")</f>
        <v>SAS : Clinical Practice</v>
      </c>
      <c r="F346" s="5" t="str">
        <f>_xlfn.XLOOKUP(role_course_map[[#This Row],[course_id]],course_data[course_id],course_data[type],"")</f>
        <v>eLearning</v>
      </c>
      <c r="K346" t="str">
        <f>role_course_map[[#This Row],[role_id]] &amp; "|" &amp; role_course_map[[#This Row],[course_id]]</f>
        <v>R0128|999008</v>
      </c>
      <c r="L346" t="str">
        <f>IF(COUNTIF(role_course_map[mapping_key],role_course_map[[#This Row],[mapping_key]])&gt;1,"DUPLICATE","OK")</f>
        <v>OK</v>
      </c>
      <c r="M346" t="str">
        <f>IF(COUNTIF(role_data[role_id],role_course_map[[#This Row],[role_id]])=0, "INVALID","VALID")</f>
        <v>VALID</v>
      </c>
      <c r="N346" t="str">
        <f>IF(COUNTIF(course_data[course_id],role_course_map[[#This Row],[course_id]])=0, "INVALID","VALID")</f>
        <v>VALID</v>
      </c>
    </row>
    <row r="347" spans="1:14" x14ac:dyDescent="0.35">
      <c r="A347" t="s">
        <v>268</v>
      </c>
      <c r="B347" s="5" t="str">
        <f>_xlfn.XLOOKUP(role_course_map[[#This Row],[role_id]], role_data[role_id], role_data[Role],"")</f>
        <v>Advanced Nurse Practitioner</v>
      </c>
      <c r="C347">
        <v>999010</v>
      </c>
      <c r="D347" s="5" t="str">
        <f>_xlfn.XLOOKUP(role_course_map[[#This Row],[course_id]],course_data[course_id],course_data[title],"")</f>
        <v>Paediatrics</v>
      </c>
      <c r="E347" s="5" t="str">
        <f>_xlfn.XLOOKUP(role_course_map[[#This Row],[course_id]],course_data[course_id],course_data[topic],"")</f>
        <v>SAS : Clinical Practice</v>
      </c>
      <c r="F347" s="5" t="str">
        <f>_xlfn.XLOOKUP(role_course_map[[#This Row],[course_id]],course_data[course_id],course_data[type],"")</f>
        <v>Course</v>
      </c>
      <c r="K347" t="str">
        <f>role_course_map[[#This Row],[role_id]] &amp; "|" &amp; role_course_map[[#This Row],[course_id]]</f>
        <v>R0128|999010</v>
      </c>
      <c r="L347" t="str">
        <f>IF(COUNTIF(role_course_map[mapping_key],role_course_map[[#This Row],[mapping_key]])&gt;1,"DUPLICATE","OK")</f>
        <v>OK</v>
      </c>
      <c r="M347" t="str">
        <f>IF(COUNTIF(role_data[role_id],role_course_map[[#This Row],[role_id]])=0, "INVALID","VALID")</f>
        <v>VALID</v>
      </c>
      <c r="N347" t="str">
        <f>IF(COUNTIF(course_data[course_id],role_course_map[[#This Row],[course_id]])=0, "INVALID","VALID")</f>
        <v>VALID</v>
      </c>
    </row>
    <row r="348" spans="1:14" x14ac:dyDescent="0.35">
      <c r="A348" t="s">
        <v>268</v>
      </c>
      <c r="B348" s="5" t="str">
        <f>_xlfn.XLOOKUP(role_course_map[[#This Row],[role_id]], role_data[role_id], role_data[Role],"")</f>
        <v>Advanced Nurse Practitioner</v>
      </c>
      <c r="C348">
        <v>999011</v>
      </c>
      <c r="D348" s="5" t="str">
        <f>_xlfn.XLOOKUP(role_course_map[[#This Row],[course_id]],course_data[course_id],course_data[title],"")</f>
        <v>Paediatrics</v>
      </c>
      <c r="E348" s="5" t="str">
        <f>_xlfn.XLOOKUP(role_course_map[[#This Row],[course_id]],course_data[course_id],course_data[topic],"")</f>
        <v>SAS : Clinical Practice</v>
      </c>
      <c r="F348" s="5" t="str">
        <f>_xlfn.XLOOKUP(role_course_map[[#This Row],[course_id]],course_data[course_id],course_data[type],"")</f>
        <v>eLearning</v>
      </c>
      <c r="K348" t="str">
        <f>role_course_map[[#This Row],[role_id]] &amp; "|" &amp; role_course_map[[#This Row],[course_id]]</f>
        <v>R0128|999011</v>
      </c>
      <c r="L348" t="str">
        <f>IF(COUNTIF(role_course_map[mapping_key],role_course_map[[#This Row],[mapping_key]])&gt;1,"DUPLICATE","OK")</f>
        <v>OK</v>
      </c>
      <c r="M348" t="str">
        <f>IF(COUNTIF(role_data[role_id],role_course_map[[#This Row],[role_id]])=0, "INVALID","VALID")</f>
        <v>VALID</v>
      </c>
      <c r="N348" t="str">
        <f>IF(COUNTIF(course_data[course_id],role_course_map[[#This Row],[course_id]])=0, "INVALID","VALID")</f>
        <v>VALID</v>
      </c>
    </row>
    <row r="349" spans="1:14" x14ac:dyDescent="0.35">
      <c r="A349" t="s">
        <v>268</v>
      </c>
      <c r="B349" s="5" t="str">
        <f>_xlfn.XLOOKUP(role_course_map[[#This Row],[role_id]], role_data[role_id], role_data[Role],"")</f>
        <v>Advanced Nurse Practitioner</v>
      </c>
      <c r="C349">
        <v>999012</v>
      </c>
      <c r="D349" s="5" t="str">
        <f>_xlfn.XLOOKUP(role_course_map[[#This Row],[course_id]],course_data[course_id],course_data[title],"")</f>
        <v>Trauma</v>
      </c>
      <c r="E349" s="5" t="str">
        <f>_xlfn.XLOOKUP(role_course_map[[#This Row],[course_id]],course_data[course_id],course_data[topic],"")</f>
        <v>SAS : Clinical Practice</v>
      </c>
      <c r="F349" s="5" t="str">
        <f>_xlfn.XLOOKUP(role_course_map[[#This Row],[course_id]],course_data[course_id],course_data[type],"")</f>
        <v>Course</v>
      </c>
      <c r="K349" t="str">
        <f>role_course_map[[#This Row],[role_id]] &amp; "|" &amp; role_course_map[[#This Row],[course_id]]</f>
        <v>R0128|999012</v>
      </c>
      <c r="L349" t="str">
        <f>IF(COUNTIF(role_course_map[mapping_key],role_course_map[[#This Row],[mapping_key]])&gt;1,"DUPLICATE","OK")</f>
        <v>OK</v>
      </c>
      <c r="M349" t="str">
        <f>IF(COUNTIF(role_data[role_id],role_course_map[[#This Row],[role_id]])=0, "INVALID","VALID")</f>
        <v>VALID</v>
      </c>
      <c r="N349" t="str">
        <f>IF(COUNTIF(course_data[course_id],role_course_map[[#This Row],[course_id]])=0, "INVALID","VALID")</f>
        <v>VALID</v>
      </c>
    </row>
    <row r="350" spans="1:14" x14ac:dyDescent="0.35">
      <c r="A350" t="s">
        <v>268</v>
      </c>
      <c r="B350" s="5" t="str">
        <f>_xlfn.XLOOKUP(role_course_map[[#This Row],[role_id]], role_data[role_id], role_data[Role],"")</f>
        <v>Advanced Nurse Practitioner</v>
      </c>
      <c r="C350">
        <v>999013</v>
      </c>
      <c r="D350" s="5" t="str">
        <f>_xlfn.XLOOKUP(role_course_map[[#This Row],[course_id]],course_data[course_id],course_data[title],"")</f>
        <v>Trauma</v>
      </c>
      <c r="E350" s="5" t="str">
        <f>_xlfn.XLOOKUP(role_course_map[[#This Row],[course_id]],course_data[course_id],course_data[topic],"")</f>
        <v>SAS : Clinical Practice</v>
      </c>
      <c r="F350" s="5" t="str">
        <f>_xlfn.XLOOKUP(role_course_map[[#This Row],[course_id]],course_data[course_id],course_data[type],"")</f>
        <v>eLearning</v>
      </c>
      <c r="K350" t="str">
        <f>role_course_map[[#This Row],[role_id]] &amp; "|" &amp; role_course_map[[#This Row],[course_id]]</f>
        <v>R0128|999013</v>
      </c>
      <c r="L350" t="str">
        <f>IF(COUNTIF(role_course_map[mapping_key],role_course_map[[#This Row],[mapping_key]])&gt;1,"DUPLICATE","OK")</f>
        <v>OK</v>
      </c>
      <c r="M350" t="str">
        <f>IF(COUNTIF(role_data[role_id],role_course_map[[#This Row],[role_id]])=0, "INVALID","VALID")</f>
        <v>VALID</v>
      </c>
      <c r="N350" t="str">
        <f>IF(COUNTIF(course_data[course_id],role_course_map[[#This Row],[course_id]])=0, "INVALID","VALID")</f>
        <v>VALID</v>
      </c>
    </row>
    <row r="351" spans="1:14" x14ac:dyDescent="0.35">
      <c r="A351" t="s">
        <v>268</v>
      </c>
      <c r="B351" s="5" t="str">
        <f>_xlfn.XLOOKUP(role_course_map[[#This Row],[role_id]], role_data[role_id], role_data[Role],"")</f>
        <v>Advanced Nurse Practitioner</v>
      </c>
      <c r="C351">
        <v>999014</v>
      </c>
      <c r="D351" s="5" t="str">
        <f>_xlfn.XLOOKUP(role_course_map[[#This Row],[course_id]],course_data[course_id],course_data[title],"")</f>
        <v>Patient Assessment</v>
      </c>
      <c r="E351" s="5" t="str">
        <f>_xlfn.XLOOKUP(role_course_map[[#This Row],[course_id]],course_data[course_id],course_data[topic],"")</f>
        <v>SAS : Clinical Practice</v>
      </c>
      <c r="F351" s="5" t="str">
        <f>_xlfn.XLOOKUP(role_course_map[[#This Row],[course_id]],course_data[course_id],course_data[type],"")</f>
        <v>Course</v>
      </c>
      <c r="K351" t="str">
        <f>role_course_map[[#This Row],[role_id]] &amp; "|" &amp; role_course_map[[#This Row],[course_id]]</f>
        <v>R0128|999014</v>
      </c>
      <c r="L351" t="str">
        <f>IF(COUNTIF(role_course_map[mapping_key],role_course_map[[#This Row],[mapping_key]])&gt;1,"DUPLICATE","OK")</f>
        <v>OK</v>
      </c>
      <c r="M351" t="str">
        <f>IF(COUNTIF(role_data[role_id],role_course_map[[#This Row],[role_id]])=0, "INVALID","VALID")</f>
        <v>VALID</v>
      </c>
      <c r="N351" t="str">
        <f>IF(COUNTIF(course_data[course_id],role_course_map[[#This Row],[course_id]])=0, "INVALID","VALID")</f>
        <v>VALID</v>
      </c>
    </row>
    <row r="352" spans="1:14" x14ac:dyDescent="0.35">
      <c r="A352" t="s">
        <v>268</v>
      </c>
      <c r="B352" s="5" t="str">
        <f>_xlfn.XLOOKUP(role_course_map[[#This Row],[role_id]], role_data[role_id], role_data[Role],"")</f>
        <v>Advanced Nurse Practitioner</v>
      </c>
      <c r="C352">
        <v>999015</v>
      </c>
      <c r="D352" s="5" t="str">
        <f>_xlfn.XLOOKUP(role_course_map[[#This Row],[course_id]],course_data[course_id],course_data[title],"")</f>
        <v>Patient Assessment</v>
      </c>
      <c r="E352" s="5" t="str">
        <f>_xlfn.XLOOKUP(role_course_map[[#This Row],[course_id]],course_data[course_id],course_data[topic],"")</f>
        <v>SAS : Clinical Practice</v>
      </c>
      <c r="F352" s="5" t="str">
        <f>_xlfn.XLOOKUP(role_course_map[[#This Row],[course_id]],course_data[course_id],course_data[type],"")</f>
        <v>eLearning</v>
      </c>
      <c r="K352" t="str">
        <f>role_course_map[[#This Row],[role_id]] &amp; "|" &amp; role_course_map[[#This Row],[course_id]]</f>
        <v>R0128|999015</v>
      </c>
      <c r="L352" t="str">
        <f>IF(COUNTIF(role_course_map[mapping_key],role_course_map[[#This Row],[mapping_key]])&gt;1,"DUPLICATE","OK")</f>
        <v>OK</v>
      </c>
      <c r="M352" t="str">
        <f>IF(COUNTIF(role_data[role_id],role_course_map[[#This Row],[role_id]])=0, "INVALID","VALID")</f>
        <v>VALID</v>
      </c>
      <c r="N352" t="str">
        <f>IF(COUNTIF(course_data[course_id],role_course_map[[#This Row],[course_id]])=0, "INVALID","VALID")</f>
        <v>VALID</v>
      </c>
    </row>
    <row r="353" spans="1:14" x14ac:dyDescent="0.35">
      <c r="A353" t="s">
        <v>268</v>
      </c>
      <c r="B353" s="5" t="str">
        <f>_xlfn.XLOOKUP(role_course_map[[#This Row],[role_id]], role_data[role_id], role_data[Role],"")</f>
        <v>Advanced Nurse Practitioner</v>
      </c>
      <c r="C353">
        <v>999016</v>
      </c>
      <c r="D353" s="5" t="str">
        <f>_xlfn.XLOOKUP(role_course_map[[#This Row],[course_id]],course_data[course_id],course_data[title],"")</f>
        <v>Clinical Skills</v>
      </c>
      <c r="E353" s="5" t="str">
        <f>_xlfn.XLOOKUP(role_course_map[[#This Row],[course_id]],course_data[course_id],course_data[topic],"")</f>
        <v>SAS : Clinical Practice</v>
      </c>
      <c r="F353" s="5" t="str">
        <f>_xlfn.XLOOKUP(role_course_map[[#This Row],[course_id]],course_data[course_id],course_data[type],"")</f>
        <v>Course</v>
      </c>
      <c r="K353" t="str">
        <f>role_course_map[[#This Row],[role_id]] &amp; "|" &amp; role_course_map[[#This Row],[course_id]]</f>
        <v>R0128|999016</v>
      </c>
      <c r="L353" t="str">
        <f>IF(COUNTIF(role_course_map[mapping_key],role_course_map[[#This Row],[mapping_key]])&gt;1,"DUPLICATE","OK")</f>
        <v>OK</v>
      </c>
      <c r="M353" t="str">
        <f>IF(COUNTIF(role_data[role_id],role_course_map[[#This Row],[role_id]])=0, "INVALID","VALID")</f>
        <v>VALID</v>
      </c>
      <c r="N353" t="str">
        <f>IF(COUNTIF(course_data[course_id],role_course_map[[#This Row],[course_id]])=0, "INVALID","VALID")</f>
        <v>VALID</v>
      </c>
    </row>
    <row r="354" spans="1:14" x14ac:dyDescent="0.35">
      <c r="A354" t="s">
        <v>268</v>
      </c>
      <c r="B354" s="5" t="str">
        <f>_xlfn.XLOOKUP(role_course_map[[#This Row],[role_id]], role_data[role_id], role_data[Role],"")</f>
        <v>Advanced Nurse Practitioner</v>
      </c>
      <c r="C354">
        <v>999017</v>
      </c>
      <c r="D354" s="5" t="str">
        <f>_xlfn.XLOOKUP(role_course_map[[#This Row],[course_id]],course_data[course_id],course_data[title],"")</f>
        <v>Clinical Skills</v>
      </c>
      <c r="E354" s="5" t="str">
        <f>_xlfn.XLOOKUP(role_course_map[[#This Row],[course_id]],course_data[course_id],course_data[topic],"")</f>
        <v>SAS : Clinical Practice</v>
      </c>
      <c r="F354" s="5" t="str">
        <f>_xlfn.XLOOKUP(role_course_map[[#This Row],[course_id]],course_data[course_id],course_data[type],"")</f>
        <v>eLearning</v>
      </c>
      <c r="K354" t="str">
        <f>role_course_map[[#This Row],[role_id]] &amp; "|" &amp; role_course_map[[#This Row],[course_id]]</f>
        <v>R0128|999017</v>
      </c>
      <c r="L354" t="str">
        <f>IF(COUNTIF(role_course_map[mapping_key],role_course_map[[#This Row],[mapping_key]])&gt;1,"DUPLICATE","OK")</f>
        <v>OK</v>
      </c>
      <c r="M354" t="str">
        <f>IF(COUNTIF(role_data[role_id],role_course_map[[#This Row],[role_id]])=0, "INVALID","VALID")</f>
        <v>VALID</v>
      </c>
      <c r="N354" t="str">
        <f>IF(COUNTIF(course_data[course_id],role_course_map[[#This Row],[course_id]])=0, "INVALID","VALID")</f>
        <v>VALID</v>
      </c>
    </row>
    <row r="355" spans="1:14" x14ac:dyDescent="0.35">
      <c r="A355" t="s">
        <v>268</v>
      </c>
      <c r="B355" s="5" t="str">
        <f>_xlfn.XLOOKUP(role_course_map[[#This Row],[role_id]], role_data[role_id], role_data[Role],"")</f>
        <v>Advanced Nurse Practitioner</v>
      </c>
      <c r="C355">
        <v>999018</v>
      </c>
      <c r="D355" s="5" t="str">
        <f>_xlfn.XLOOKUP(role_course_map[[#This Row],[course_id]],course_data[course_id],course_data[title],"")</f>
        <v>Learning from Events</v>
      </c>
      <c r="E355" s="5" t="str">
        <f>_xlfn.XLOOKUP(role_course_map[[#This Row],[course_id]],course_data[course_id],course_data[topic],"")</f>
        <v>SAS : Clinical Practice</v>
      </c>
      <c r="F355" s="5" t="str">
        <f>_xlfn.XLOOKUP(role_course_map[[#This Row],[course_id]],course_data[course_id],course_data[type],"")</f>
        <v>eLearning</v>
      </c>
      <c r="K355" t="str">
        <f>role_course_map[[#This Row],[role_id]] &amp; "|" &amp; role_course_map[[#This Row],[course_id]]</f>
        <v>R0128|999018</v>
      </c>
      <c r="L355" t="str">
        <f>IF(COUNTIF(role_course_map[mapping_key],role_course_map[[#This Row],[mapping_key]])&gt;1,"DUPLICATE","OK")</f>
        <v>OK</v>
      </c>
      <c r="M355" t="str">
        <f>IF(COUNTIF(role_data[role_id],role_course_map[[#This Row],[role_id]])=0, "INVALID","VALID")</f>
        <v>VALID</v>
      </c>
      <c r="N355" t="str">
        <f>IF(COUNTIF(course_data[course_id],role_course_map[[#This Row],[course_id]])=0, "INVALID","VALID")</f>
        <v>VALID</v>
      </c>
    </row>
    <row r="356" spans="1:14" x14ac:dyDescent="0.35">
      <c r="A356" t="s">
        <v>268</v>
      </c>
      <c r="B356" s="5" t="str">
        <f>_xlfn.XLOOKUP(role_course_map[[#This Row],[role_id]], role_data[role_id], role_data[Role],"")</f>
        <v>Advanced Nurse Practitioner</v>
      </c>
      <c r="C356">
        <v>999019</v>
      </c>
      <c r="D356" s="5" t="str">
        <f>_xlfn.XLOOKUP(role_course_map[[#This Row],[course_id]],course_data[course_id],course_data[title],"")</f>
        <v>Medicines Management</v>
      </c>
      <c r="E356" s="5" t="str">
        <f>_xlfn.XLOOKUP(role_course_map[[#This Row],[course_id]],course_data[course_id],course_data[topic],"")</f>
        <v>SAS : Clinical Practice</v>
      </c>
      <c r="F356" s="5" t="str">
        <f>_xlfn.XLOOKUP(role_course_map[[#This Row],[course_id]],course_data[course_id],course_data[type],"")</f>
        <v>eLearning</v>
      </c>
      <c r="K356" t="str">
        <f>role_course_map[[#This Row],[role_id]] &amp; "|" &amp; role_course_map[[#This Row],[course_id]]</f>
        <v>R0128|999019</v>
      </c>
      <c r="L356" t="str">
        <f>IF(COUNTIF(role_course_map[mapping_key],role_course_map[[#This Row],[mapping_key]])&gt;1,"DUPLICATE","OK")</f>
        <v>OK</v>
      </c>
      <c r="M356" t="str">
        <f>IF(COUNTIF(role_data[role_id],role_course_map[[#This Row],[role_id]])=0, "INVALID","VALID")</f>
        <v>VALID</v>
      </c>
      <c r="N356" t="str">
        <f>IF(COUNTIF(course_data[course_id],role_course_map[[#This Row],[course_id]])=0, "INVALID","VALID")</f>
        <v>VALID</v>
      </c>
    </row>
    <row r="357" spans="1:14" x14ac:dyDescent="0.35">
      <c r="A357" t="s">
        <v>268</v>
      </c>
      <c r="B357" s="5" t="str">
        <f>_xlfn.XLOOKUP(role_course_map[[#This Row],[role_id]], role_data[role_id], role_data[Role],"")</f>
        <v>Advanced Nurse Practitioner</v>
      </c>
      <c r="C357">
        <v>999020</v>
      </c>
      <c r="D357" s="5" t="str">
        <f>_xlfn.XLOOKUP(role_course_map[[#This Row],[course_id]],course_data[course_id],course_data[title],"")</f>
        <v>JRCALC Update</v>
      </c>
      <c r="E357" s="5" t="str">
        <f>_xlfn.XLOOKUP(role_course_map[[#This Row],[course_id]],course_data[course_id],course_data[topic],"")</f>
        <v>SAS : Clinical Practice</v>
      </c>
      <c r="F357" s="5" t="str">
        <f>_xlfn.XLOOKUP(role_course_map[[#This Row],[course_id]],course_data[course_id],course_data[type],"")</f>
        <v>eLearning</v>
      </c>
      <c r="K357" t="str">
        <f>role_course_map[[#This Row],[role_id]] &amp; "|" &amp; role_course_map[[#This Row],[course_id]]</f>
        <v>R0128|999020</v>
      </c>
      <c r="L357" t="str">
        <f>IF(COUNTIF(role_course_map[mapping_key],role_course_map[[#This Row],[mapping_key]])&gt;1,"DUPLICATE","OK")</f>
        <v>OK</v>
      </c>
      <c r="M357" t="str">
        <f>IF(COUNTIF(role_data[role_id],role_course_map[[#This Row],[role_id]])=0, "INVALID","VALID")</f>
        <v>VALID</v>
      </c>
      <c r="N357" t="str">
        <f>IF(COUNTIF(course_data[course_id],role_course_map[[#This Row],[course_id]])=0, "INVALID","VALID")</f>
        <v>VALID</v>
      </c>
    </row>
    <row r="358" spans="1:14" x14ac:dyDescent="0.35">
      <c r="A358" t="s">
        <v>268</v>
      </c>
      <c r="B358" s="5" t="str">
        <f>_xlfn.XLOOKUP(role_course_map[[#This Row],[role_id]], role_data[role_id], role_data[Role],"")</f>
        <v>Advanced Nurse Practitioner</v>
      </c>
      <c r="C358">
        <v>999021</v>
      </c>
      <c r="D358" s="5" t="str">
        <f>_xlfn.XLOOKUP(role_course_map[[#This Row],[course_id]],course_data[course_id],course_data[title],"")</f>
        <v>Mental Health</v>
      </c>
      <c r="E358" s="5" t="str">
        <f>_xlfn.XLOOKUP(role_course_map[[#This Row],[course_id]],course_data[course_id],course_data[topic],"")</f>
        <v>SAS : Clinical Practice</v>
      </c>
      <c r="F358" s="5" t="str">
        <f>_xlfn.XLOOKUP(role_course_map[[#This Row],[course_id]],course_data[course_id],course_data[type],"")</f>
        <v>eLearning</v>
      </c>
      <c r="K358" t="str">
        <f>role_course_map[[#This Row],[role_id]] &amp; "|" &amp; role_course_map[[#This Row],[course_id]]</f>
        <v>R0128|999021</v>
      </c>
      <c r="L358" t="str">
        <f>IF(COUNTIF(role_course_map[mapping_key],role_course_map[[#This Row],[mapping_key]])&gt;1,"DUPLICATE","OK")</f>
        <v>OK</v>
      </c>
      <c r="M358" t="str">
        <f>IF(COUNTIF(role_data[role_id],role_course_map[[#This Row],[role_id]])=0, "INVALID","VALID")</f>
        <v>VALID</v>
      </c>
      <c r="N358" t="str">
        <f>IF(COUNTIF(course_data[course_id],role_course_map[[#This Row],[course_id]])=0, "INVALID","VALID")</f>
        <v>VALID</v>
      </c>
    </row>
    <row r="359" spans="1:14" x14ac:dyDescent="0.35">
      <c r="A359" t="s">
        <v>268</v>
      </c>
      <c r="B359" s="5" t="str">
        <f>_xlfn.XLOOKUP(role_course_map[[#This Row],[role_id]], role_data[role_id], role_data[Role],"")</f>
        <v>Advanced Nurse Practitioner</v>
      </c>
      <c r="C359">
        <v>999022</v>
      </c>
      <c r="D359" s="5" t="str">
        <f>_xlfn.XLOOKUP(role_course_map[[#This Row],[course_id]],course_data[course_id],course_data[title],"")</f>
        <v>Learning Disabilities</v>
      </c>
      <c r="E359" s="5" t="str">
        <f>_xlfn.XLOOKUP(role_course_map[[#This Row],[course_id]],course_data[course_id],course_data[topic],"")</f>
        <v>SAS : Clinical Practice</v>
      </c>
      <c r="F359" s="5" t="str">
        <f>_xlfn.XLOOKUP(role_course_map[[#This Row],[course_id]],course_data[course_id],course_data[type],"")</f>
        <v>eLearning</v>
      </c>
      <c r="K359" t="str">
        <f>role_course_map[[#This Row],[role_id]] &amp; "|" &amp; role_course_map[[#This Row],[course_id]]</f>
        <v>R0128|999022</v>
      </c>
      <c r="L359" t="str">
        <f>IF(COUNTIF(role_course_map[mapping_key],role_course_map[[#This Row],[mapping_key]])&gt;1,"DUPLICATE","OK")</f>
        <v>OK</v>
      </c>
      <c r="M359" t="str">
        <f>IF(COUNTIF(role_data[role_id],role_course_map[[#This Row],[role_id]])=0, "INVALID","VALID")</f>
        <v>VALID</v>
      </c>
      <c r="N359" t="str">
        <f>IF(COUNTIF(course_data[course_id],role_course_map[[#This Row],[course_id]])=0, "INVALID","VALID")</f>
        <v>VALID</v>
      </c>
    </row>
    <row r="360" spans="1:14" x14ac:dyDescent="0.35">
      <c r="A360" t="s">
        <v>268</v>
      </c>
      <c r="B360" s="5" t="str">
        <f>_xlfn.XLOOKUP(role_course_map[[#This Row],[role_id]], role_data[role_id], role_data[Role],"")</f>
        <v>Advanced Nurse Practitioner</v>
      </c>
      <c r="C360">
        <v>75202</v>
      </c>
      <c r="D360" s="5" t="str">
        <f>_xlfn.XLOOKUP(role_course_map[[#This Row],[course_id]],course_data[course_id],course_data[title],"")</f>
        <v>SAS : Clinical Practice</v>
      </c>
      <c r="E360" s="5" t="str">
        <f>_xlfn.XLOOKUP(role_course_map[[#This Row],[course_id]],course_data[course_id],course_data[topic],"")</f>
        <v>SAS : Clinical Practice</v>
      </c>
      <c r="F360" s="5" t="str">
        <f>_xlfn.XLOOKUP(role_course_map[[#This Row],[course_id]],course_data[course_id],course_data[type],"")</f>
        <v>Page</v>
      </c>
      <c r="K360" t="str">
        <f>role_course_map[[#This Row],[role_id]] &amp; "|" &amp; role_course_map[[#This Row],[course_id]]</f>
        <v>R0128|75202</v>
      </c>
      <c r="L360" t="str">
        <f>IF(COUNTIF(role_course_map[mapping_key],role_course_map[[#This Row],[mapping_key]])&gt;1,"DUPLICATE","OK")</f>
        <v>OK</v>
      </c>
      <c r="M360" t="str">
        <f>IF(COUNTIF(role_data[role_id],role_course_map[[#This Row],[role_id]])=0, "INVALID","VALID")</f>
        <v>VALID</v>
      </c>
      <c r="N360" t="str">
        <f>IF(COUNTIF(course_data[course_id],role_course_map[[#This Row],[course_id]])=0, "INVALID","VALID")</f>
        <v>VALID</v>
      </c>
    </row>
    <row r="361" spans="1:14" x14ac:dyDescent="0.35">
      <c r="A361" t="s">
        <v>268</v>
      </c>
      <c r="B361" s="5" t="str">
        <f>_xlfn.XLOOKUP(role_course_map[[#This Row],[role_id]], role_data[role_id], role_data[Role],"")</f>
        <v>Advanced Nurse Practitioner</v>
      </c>
      <c r="C361">
        <v>999023</v>
      </c>
      <c r="D361" s="5" t="str">
        <f>_xlfn.XLOOKUP(role_course_map[[#This Row],[course_id]],course_data[course_id],course_data[title],"")</f>
        <v>Dementia</v>
      </c>
      <c r="E361" s="5" t="str">
        <f>_xlfn.XLOOKUP(role_course_map[[#This Row],[course_id]],course_data[course_id],course_data[topic],"")</f>
        <v>SAS : Clinical Practice</v>
      </c>
      <c r="F361" s="5" t="str">
        <f>_xlfn.XLOOKUP(role_course_map[[#This Row],[course_id]],course_data[course_id],course_data[type],"")</f>
        <v>eLearning</v>
      </c>
      <c r="K361" t="str">
        <f>role_course_map[[#This Row],[role_id]] &amp; "|" &amp; role_course_map[[#This Row],[course_id]]</f>
        <v>R0128|999023</v>
      </c>
      <c r="L361" t="str">
        <f>IF(COUNTIF(role_course_map[mapping_key],role_course_map[[#This Row],[mapping_key]])&gt;1,"DUPLICATE","OK")</f>
        <v>OK</v>
      </c>
      <c r="M361" t="str">
        <f>IF(COUNTIF(role_data[role_id],role_course_map[[#This Row],[role_id]])=0, "INVALID","VALID")</f>
        <v>VALID</v>
      </c>
      <c r="N361" t="str">
        <f>IF(COUNTIF(course_data[course_id],role_course_map[[#This Row],[course_id]])=0, "INVALID","VALID")</f>
        <v>VALID</v>
      </c>
    </row>
    <row r="362" spans="1:14" x14ac:dyDescent="0.35">
      <c r="A362" t="s">
        <v>268</v>
      </c>
      <c r="B362" s="5" t="str">
        <f>_xlfn.XLOOKUP(role_course_map[[#This Row],[role_id]], role_data[role_id], role_data[Role],"")</f>
        <v>Advanced Nurse Practitioner</v>
      </c>
      <c r="C362">
        <v>999024</v>
      </c>
      <c r="D362" s="5" t="str">
        <f>_xlfn.XLOOKUP(role_course_map[[#This Row],[course_id]],course_data[course_id],course_data[title],"")</f>
        <v>Conditions requiring specific hospital management. I.e. Parkinsons</v>
      </c>
      <c r="E362" s="5" t="str">
        <f>_xlfn.XLOOKUP(role_course_map[[#This Row],[course_id]],course_data[course_id],course_data[topic],"")</f>
        <v>SAS : Clinical Practice</v>
      </c>
      <c r="F362" s="5" t="str">
        <f>_xlfn.XLOOKUP(role_course_map[[#This Row],[course_id]],course_data[course_id],course_data[type],"")</f>
        <v>eLearning</v>
      </c>
      <c r="K362" t="str">
        <f>role_course_map[[#This Row],[role_id]] &amp; "|" &amp; role_course_map[[#This Row],[course_id]]</f>
        <v>R0128|999024</v>
      </c>
      <c r="L362" t="str">
        <f>IF(COUNTIF(role_course_map[mapping_key],role_course_map[[#This Row],[mapping_key]])&gt;1,"DUPLICATE","OK")</f>
        <v>OK</v>
      </c>
      <c r="M362" t="str">
        <f>IF(COUNTIF(role_data[role_id],role_course_map[[#This Row],[role_id]])=0, "INVALID","VALID")</f>
        <v>VALID</v>
      </c>
      <c r="N362" t="str">
        <f>IF(COUNTIF(course_data[course_id],role_course_map[[#This Row],[course_id]])=0, "INVALID","VALID")</f>
        <v>VALID</v>
      </c>
    </row>
    <row r="363" spans="1:14" x14ac:dyDescent="0.35">
      <c r="A363" t="s">
        <v>268</v>
      </c>
      <c r="B363" s="5" t="str">
        <f>_xlfn.XLOOKUP(role_course_map[[#This Row],[role_id]], role_data[role_id], role_data[Role],"")</f>
        <v>Advanced Nurse Practitioner</v>
      </c>
      <c r="C363">
        <v>999095</v>
      </c>
      <c r="D363" s="5" t="str">
        <f>_xlfn.XLOOKUP(role_course_map[[#This Row],[course_id]],course_data[course_id],course_data[title],"")</f>
        <v>Mentoring</v>
      </c>
      <c r="E363" s="5" t="str">
        <f>_xlfn.XLOOKUP(role_course_map[[#This Row],[course_id]],course_data[course_id],course_data[topic],"")</f>
        <v>SAS: Staff development and experience</v>
      </c>
      <c r="F363" s="5" t="str">
        <f>_xlfn.XLOOKUP(role_course_map[[#This Row],[course_id]],course_data[course_id],course_data[type],"")</f>
        <v>eLearning</v>
      </c>
      <c r="K363" t="str">
        <f>role_course_map[[#This Row],[role_id]] &amp; "|" &amp; role_course_map[[#This Row],[course_id]]</f>
        <v>R0128|999095</v>
      </c>
      <c r="L363" t="str">
        <f>IF(COUNTIF(role_course_map[mapping_key],role_course_map[[#This Row],[mapping_key]])&gt;1,"DUPLICATE","OK")</f>
        <v>OK</v>
      </c>
      <c r="M363" t="str">
        <f>IF(COUNTIF(role_data[role_id],role_course_map[[#This Row],[role_id]])=0, "INVALID","VALID")</f>
        <v>VALID</v>
      </c>
      <c r="N363" t="str">
        <f>IF(COUNTIF(course_data[course_id],role_course_map[[#This Row],[course_id]])=0, "INVALID","VALID")</f>
        <v>VALID</v>
      </c>
    </row>
    <row r="364" spans="1:14" x14ac:dyDescent="0.35">
      <c r="A364" t="s">
        <v>268</v>
      </c>
      <c r="B364" s="5" t="str">
        <f>_xlfn.XLOOKUP(role_course_map[[#This Row],[role_id]], role_data[role_id], role_data[Role],"")</f>
        <v>Advanced Nurse Practitioner</v>
      </c>
      <c r="C364">
        <v>999096</v>
      </c>
      <c r="D364" s="5" t="str">
        <f>_xlfn.XLOOKUP(role_course_map[[#This Row],[course_id]],course_data[course_id],course_data[title],"")</f>
        <v>Supporting others in practice (Supervision)</v>
      </c>
      <c r="E364" s="5" t="str">
        <f>_xlfn.XLOOKUP(role_course_map[[#This Row],[course_id]],course_data[course_id],course_data[topic],"")</f>
        <v>SAS: Staff development and experience</v>
      </c>
      <c r="F364" s="5" t="str">
        <f>_xlfn.XLOOKUP(role_course_map[[#This Row],[course_id]],course_data[course_id],course_data[type],"")</f>
        <v>Course</v>
      </c>
      <c r="K364" t="str">
        <f>role_course_map[[#This Row],[role_id]] &amp; "|" &amp; role_course_map[[#This Row],[course_id]]</f>
        <v>R0128|999096</v>
      </c>
      <c r="L364" t="str">
        <f>IF(COUNTIF(role_course_map[mapping_key],role_course_map[[#This Row],[mapping_key]])&gt;1,"DUPLICATE","OK")</f>
        <v>OK</v>
      </c>
      <c r="M364" t="str">
        <f>IF(COUNTIF(role_data[role_id],role_course_map[[#This Row],[role_id]])=0, "INVALID","VALID")</f>
        <v>VALID</v>
      </c>
      <c r="N364" t="str">
        <f>IF(COUNTIF(course_data[course_id],role_course_map[[#This Row],[course_id]])=0, "INVALID","VALID")</f>
        <v>VALID</v>
      </c>
    </row>
    <row r="365" spans="1:14" x14ac:dyDescent="0.35">
      <c r="A365" t="s">
        <v>268</v>
      </c>
      <c r="B365" s="5" t="str">
        <f>_xlfn.XLOOKUP(role_course_map[[#This Row],[role_id]], role_data[role_id], role_data[Role],"")</f>
        <v>Advanced Nurse Practitioner</v>
      </c>
      <c r="C365">
        <v>999097</v>
      </c>
      <c r="D365" s="5" t="str">
        <f>_xlfn.XLOOKUP(role_course_map[[#This Row],[course_id]],course_data[course_id],course_data[title],"")</f>
        <v>Personal Wellbeing</v>
      </c>
      <c r="E365" s="5" t="str">
        <f>_xlfn.XLOOKUP(role_course_map[[#This Row],[course_id]],course_data[course_id],course_data[topic],"")</f>
        <v>SAS: Staff development and experience</v>
      </c>
      <c r="F365" s="5" t="str">
        <f>_xlfn.XLOOKUP(role_course_map[[#This Row],[course_id]],course_data[course_id],course_data[type],"")</f>
        <v>eLearning</v>
      </c>
      <c r="K365" t="str">
        <f>role_course_map[[#This Row],[role_id]] &amp; "|" &amp; role_course_map[[#This Row],[course_id]]</f>
        <v>R0128|999097</v>
      </c>
      <c r="L365" t="str">
        <f>IF(COUNTIF(role_course_map[mapping_key],role_course_map[[#This Row],[mapping_key]])&gt;1,"DUPLICATE","OK")</f>
        <v>OK</v>
      </c>
      <c r="M365" t="str">
        <f>IF(COUNTIF(role_data[role_id],role_course_map[[#This Row],[role_id]])=0, "INVALID","VALID")</f>
        <v>VALID</v>
      </c>
      <c r="N365" t="str">
        <f>IF(COUNTIF(course_data[course_id],role_course_map[[#This Row],[course_id]])=0, "INVALID","VALID")</f>
        <v>VALID</v>
      </c>
    </row>
    <row r="366" spans="1:14" x14ac:dyDescent="0.35">
      <c r="A366" t="s">
        <v>268</v>
      </c>
      <c r="B366" s="5" t="str">
        <f>_xlfn.XLOOKUP(role_course_map[[#This Row],[role_id]], role_data[role_id], role_data[Role],"")</f>
        <v>Advanced Nurse Practitioner</v>
      </c>
      <c r="C366">
        <v>999059</v>
      </c>
      <c r="D366" s="5" t="str">
        <f>_xlfn.XLOOKUP(role_course_map[[#This Row],[course_id]],course_data[course_id],course_data[title],"")</f>
        <v>Driving update (practical)</v>
      </c>
      <c r="E366" s="5" t="str">
        <f>_xlfn.XLOOKUP(role_course_map[[#This Row],[course_id]],course_data[course_id],course_data[topic],"")</f>
        <v>SAS : Health and Safety</v>
      </c>
      <c r="F366" s="5" t="str">
        <f>_xlfn.XLOOKUP(role_course_map[[#This Row],[course_id]],course_data[course_id],course_data[type],"")</f>
        <v>Course</v>
      </c>
      <c r="K366" t="str">
        <f>role_course_map[[#This Row],[role_id]] &amp; "|" &amp; role_course_map[[#This Row],[course_id]]</f>
        <v>R0128|999059</v>
      </c>
      <c r="L366" t="str">
        <f>IF(COUNTIF(role_course_map[mapping_key],role_course_map[[#This Row],[mapping_key]])&gt;1,"DUPLICATE","OK")</f>
        <v>OK</v>
      </c>
      <c r="M366" t="str">
        <f>IF(COUNTIF(role_data[role_id],role_course_map[[#This Row],[role_id]])=0, "INVALID","VALID")</f>
        <v>VALID</v>
      </c>
      <c r="N366" t="str">
        <f>IF(COUNTIF(course_data[course_id],role_course_map[[#This Row],[course_id]])=0, "INVALID","VALID")</f>
        <v>VALID</v>
      </c>
    </row>
    <row r="367" spans="1:14" x14ac:dyDescent="0.35">
      <c r="A367" t="s">
        <v>268</v>
      </c>
      <c r="B367" s="5" t="str">
        <f>_xlfn.XLOOKUP(role_course_map[[#This Row],[role_id]], role_data[role_id], role_data[Role],"")</f>
        <v>Advanced Nurse Practitioner</v>
      </c>
      <c r="C367">
        <v>999060</v>
      </c>
      <c r="D367" s="5" t="str">
        <f>_xlfn.XLOOKUP(role_course_map[[#This Row],[course_id]],course_data[course_id],course_data[title],"")</f>
        <v>COSHH</v>
      </c>
      <c r="E367" s="5" t="str">
        <f>_xlfn.XLOOKUP(role_course_map[[#This Row],[course_id]],course_data[course_id],course_data[topic],"")</f>
        <v>SAS : Health and Safety</v>
      </c>
      <c r="F367" s="5" t="str">
        <f>_xlfn.XLOOKUP(role_course_map[[#This Row],[course_id]],course_data[course_id],course_data[type],"")</f>
        <v>eLearning</v>
      </c>
      <c r="K367" t="str">
        <f>role_course_map[[#This Row],[role_id]] &amp; "|" &amp; role_course_map[[#This Row],[course_id]]</f>
        <v>R0128|999060</v>
      </c>
      <c r="L367" t="str">
        <f>IF(COUNTIF(role_course_map[mapping_key],role_course_map[[#This Row],[mapping_key]])&gt;1,"DUPLICATE","OK")</f>
        <v>OK</v>
      </c>
      <c r="M367" t="str">
        <f>IF(COUNTIF(role_data[role_id],role_course_map[[#This Row],[role_id]])=0, "INVALID","VALID")</f>
        <v>VALID</v>
      </c>
      <c r="N367" t="str">
        <f>IF(COUNTIF(course_data[course_id],role_course_map[[#This Row],[course_id]])=0, "INVALID","VALID")</f>
        <v>VALID</v>
      </c>
    </row>
    <row r="368" spans="1:14" x14ac:dyDescent="0.35">
      <c r="A368" t="s">
        <v>268</v>
      </c>
      <c r="B368" s="5" t="str">
        <f>_xlfn.XLOOKUP(role_course_map[[#This Row],[role_id]], role_data[role_id], role_data[Role],"")</f>
        <v>Advanced Nurse Practitioner</v>
      </c>
      <c r="C368">
        <v>999066</v>
      </c>
      <c r="D368" s="5" t="str">
        <f>_xlfn.XLOOKUP(role_course_map[[#This Row],[course_id]],course_data[course_id],course_data[title],"")</f>
        <v>NRRD Update i.e. Major Incidents/Methane/ Multiple Casualities</v>
      </c>
      <c r="E368" s="5" t="str">
        <f>_xlfn.XLOOKUP(role_course_map[[#This Row],[course_id]],course_data[course_id],course_data[topic],"")</f>
        <v>SAS : National Risk and Resilience Department (NRRD)</v>
      </c>
      <c r="F368" s="5" t="str">
        <f>_xlfn.XLOOKUP(role_course_map[[#This Row],[course_id]],course_data[course_id],course_data[type],"")</f>
        <v>eLearning</v>
      </c>
      <c r="K368" t="str">
        <f>role_course_map[[#This Row],[role_id]] &amp; "|" &amp; role_course_map[[#This Row],[course_id]]</f>
        <v>R0128|999066</v>
      </c>
      <c r="L368" t="str">
        <f>IF(COUNTIF(role_course_map[mapping_key],role_course_map[[#This Row],[mapping_key]])&gt;1,"DUPLICATE","OK")</f>
        <v>OK</v>
      </c>
      <c r="M368" t="str">
        <f>IF(COUNTIF(role_data[role_id],role_course_map[[#This Row],[role_id]])=0, "INVALID","VALID")</f>
        <v>VALID</v>
      </c>
      <c r="N368" t="str">
        <f>IF(COUNTIF(course_data[course_id],role_course_map[[#This Row],[course_id]])=0, "INVALID","VALID")</f>
        <v>VALID</v>
      </c>
    </row>
    <row r="369" spans="1:14" x14ac:dyDescent="0.35">
      <c r="A369" t="s">
        <v>268</v>
      </c>
      <c r="B369" s="5" t="str">
        <f>_xlfn.XLOOKUP(role_course_map[[#This Row],[role_id]], role_data[role_id], role_data[Role],"")</f>
        <v>Advanced Nurse Practitioner</v>
      </c>
      <c r="C369">
        <v>999025</v>
      </c>
      <c r="D369" s="5" t="str">
        <f>_xlfn.XLOOKUP(role_course_map[[#This Row],[course_id]],course_data[course_id],course_data[title],"")</f>
        <v>Professional Standards</v>
      </c>
      <c r="E369" s="5" t="str">
        <f>_xlfn.XLOOKUP(role_course_map[[#This Row],[course_id]],course_data[course_id],course_data[topic],"")</f>
        <v>SAS : Clinical Practice</v>
      </c>
      <c r="F369" s="5" t="str">
        <f>_xlfn.XLOOKUP(role_course_map[[#This Row],[course_id]],course_data[course_id],course_data[type],"")</f>
        <v>eLearning</v>
      </c>
      <c r="K369" t="str">
        <f>role_course_map[[#This Row],[role_id]] &amp; "|" &amp; role_course_map[[#This Row],[course_id]]</f>
        <v>R0128|999025</v>
      </c>
      <c r="L369" t="str">
        <f>IF(COUNTIF(role_course_map[mapping_key],role_course_map[[#This Row],[mapping_key]])&gt;1,"DUPLICATE","OK")</f>
        <v>OK</v>
      </c>
      <c r="M369" t="str">
        <f>IF(COUNTIF(role_data[role_id],role_course_map[[#This Row],[role_id]])=0, "INVALID","VALID")</f>
        <v>VALID</v>
      </c>
      <c r="N369" t="str">
        <f>IF(COUNTIF(course_data[course_id],role_course_map[[#This Row],[course_id]])=0, "INVALID","VALID")</f>
        <v>VALID</v>
      </c>
    </row>
    <row r="370" spans="1:14" x14ac:dyDescent="0.35">
      <c r="A370" t="s">
        <v>268</v>
      </c>
      <c r="B370" s="5" t="str">
        <f>_xlfn.XLOOKUP(role_course_map[[#This Row],[role_id]], role_data[role_id], role_data[Role],"")</f>
        <v>Advanced Nurse Practitioner</v>
      </c>
      <c r="C370">
        <v>999026</v>
      </c>
      <c r="D370" s="5" t="str">
        <f>_xlfn.XLOOKUP(role_course_map[[#This Row],[course_id]],course_data[course_id],course_data[title],"")</f>
        <v>Communication Standards</v>
      </c>
      <c r="E370" s="5" t="str">
        <f>_xlfn.XLOOKUP(role_course_map[[#This Row],[course_id]],course_data[course_id],course_data[topic],"")</f>
        <v>SAS : Clinical Practice</v>
      </c>
      <c r="F370" s="5" t="str">
        <f>_xlfn.XLOOKUP(role_course_map[[#This Row],[course_id]],course_data[course_id],course_data[type],"")</f>
        <v>eLearning</v>
      </c>
      <c r="K370" t="str">
        <f>role_course_map[[#This Row],[role_id]] &amp; "|" &amp; role_course_map[[#This Row],[course_id]]</f>
        <v>R0128|999026</v>
      </c>
      <c r="L370" t="str">
        <f>IF(COUNTIF(role_course_map[mapping_key],role_course_map[[#This Row],[mapping_key]])&gt;1,"DUPLICATE","OK")</f>
        <v>OK</v>
      </c>
      <c r="M370" t="str">
        <f>IF(COUNTIF(role_data[role_id],role_course_map[[#This Row],[role_id]])=0, "INVALID","VALID")</f>
        <v>VALID</v>
      </c>
      <c r="N370" t="str">
        <f>IF(COUNTIF(course_data[course_id],role_course_map[[#This Row],[course_id]])=0, "INVALID","VALID")</f>
        <v>VALID</v>
      </c>
    </row>
    <row r="371" spans="1:14" x14ac:dyDescent="0.35">
      <c r="A371" t="s">
        <v>268</v>
      </c>
      <c r="B371" s="5" t="str">
        <f>_xlfn.XLOOKUP(role_course_map[[#This Row],[role_id]], role_data[role_id], role_data[Role],"")</f>
        <v>Advanced Nurse Practitioner</v>
      </c>
      <c r="C371">
        <v>999058</v>
      </c>
      <c r="D371" s="5" t="str">
        <f>_xlfn.XLOOKUP(role_course_map[[#This Row],[course_id]],course_data[course_id],course_data[title],"")</f>
        <v>Stress Identification &amp; Stress Management</v>
      </c>
      <c r="E371" s="5" t="str">
        <f>_xlfn.XLOOKUP(role_course_map[[#This Row],[course_id]],course_data[course_id],course_data[topic],"")</f>
        <v>SAS : Health and Safety</v>
      </c>
      <c r="F371" s="5" t="str">
        <f>_xlfn.XLOOKUP(role_course_map[[#This Row],[course_id]],course_data[course_id],course_data[type],"")</f>
        <v>eLearning</v>
      </c>
      <c r="K371" t="str">
        <f>role_course_map[[#This Row],[role_id]] &amp; "|" &amp; role_course_map[[#This Row],[course_id]]</f>
        <v>R0128|999058</v>
      </c>
      <c r="L371" t="str">
        <f>IF(COUNTIF(role_course_map[mapping_key],role_course_map[[#This Row],[mapping_key]])&gt;1,"DUPLICATE","OK")</f>
        <v>OK</v>
      </c>
      <c r="M371" t="str">
        <f>IF(COUNTIF(role_data[role_id],role_course_map[[#This Row],[role_id]])=0, "INVALID","VALID")</f>
        <v>VALID</v>
      </c>
      <c r="N371" t="str">
        <f>IF(COUNTIF(course_data[course_id],role_course_map[[#This Row],[course_id]])=0, "INVALID","VALID")</f>
        <v>VALID</v>
      </c>
    </row>
    <row r="372" spans="1:14" x14ac:dyDescent="0.35">
      <c r="A372" t="s">
        <v>268</v>
      </c>
      <c r="B372" s="5" t="str">
        <f>_xlfn.XLOOKUP(role_course_map[[#This Row],[role_id]], role_data[role_id], role_data[Role],"")</f>
        <v>Advanced Nurse Practitioner</v>
      </c>
      <c r="C372">
        <v>999056</v>
      </c>
      <c r="D372" s="5" t="str">
        <f>_xlfn.XLOOKUP(role_course_map[[#This Row],[course_id]],course_data[course_id],course_data[title],"")</f>
        <v>Driver Assessment &amp; Training</v>
      </c>
      <c r="E372" s="5" t="str">
        <f>_xlfn.XLOOKUP(role_course_map[[#This Row],[course_id]],course_data[course_id],course_data[topic],"")</f>
        <v>SAS : Health and Safety</v>
      </c>
      <c r="F372" s="5" t="str">
        <f>_xlfn.XLOOKUP(role_course_map[[#This Row],[course_id]],course_data[course_id],course_data[type],"")</f>
        <v>eLearning</v>
      </c>
      <c r="K372" t="str">
        <f>role_course_map[[#This Row],[role_id]] &amp; "|" &amp; role_course_map[[#This Row],[course_id]]</f>
        <v>R0128|999056</v>
      </c>
      <c r="L372" t="str">
        <f>IF(COUNTIF(role_course_map[mapping_key],role_course_map[[#This Row],[mapping_key]])&gt;1,"DUPLICATE","OK")</f>
        <v>OK</v>
      </c>
      <c r="M372" t="str">
        <f>IF(COUNTIF(role_data[role_id],role_course_map[[#This Row],[role_id]])=0, "INVALID","VALID")</f>
        <v>VALID</v>
      </c>
      <c r="N372" t="str">
        <f>IF(COUNTIF(course_data[course_id],role_course_map[[#This Row],[course_id]])=0, "INVALID","VALID")</f>
        <v>VALID</v>
      </c>
    </row>
    <row r="373" spans="1:14" x14ac:dyDescent="0.35">
      <c r="A373" t="s">
        <v>268</v>
      </c>
      <c r="B373" s="5" t="str">
        <f>_xlfn.XLOOKUP(role_course_map[[#This Row],[role_id]], role_data[role_id], role_data[Role],"")</f>
        <v>Advanced Nurse Practitioner</v>
      </c>
      <c r="C373">
        <v>999061</v>
      </c>
      <c r="D373" s="5" t="str">
        <f>_xlfn.XLOOKUP(role_course_map[[#This Row],[course_id]],course_data[course_id],course_data[title],"")</f>
        <v>Skin Awareness</v>
      </c>
      <c r="E373" s="5" t="str">
        <f>_xlfn.XLOOKUP(role_course_map[[#This Row],[course_id]],course_data[course_id],course_data[topic],"")</f>
        <v>SAS : Health and Safety</v>
      </c>
      <c r="F373" s="5" t="str">
        <f>_xlfn.XLOOKUP(role_course_map[[#This Row],[course_id]],course_data[course_id],course_data[type],"")</f>
        <v>eLearning</v>
      </c>
      <c r="K373" t="str">
        <f>role_course_map[[#This Row],[role_id]] &amp; "|" &amp; role_course_map[[#This Row],[course_id]]</f>
        <v>R0128|999061</v>
      </c>
      <c r="L373" t="str">
        <f>IF(COUNTIF(role_course_map[mapping_key],role_course_map[[#This Row],[mapping_key]])&gt;1,"DUPLICATE","OK")</f>
        <v>OK</v>
      </c>
      <c r="M373" t="str">
        <f>IF(COUNTIF(role_data[role_id],role_course_map[[#This Row],[role_id]])=0, "INVALID","VALID")</f>
        <v>VALID</v>
      </c>
      <c r="N373" t="str">
        <f>IF(COUNTIF(course_data[course_id],role_course_map[[#This Row],[course_id]])=0, "INVALID","VALID")</f>
        <v>VALID</v>
      </c>
    </row>
    <row r="374" spans="1:14" x14ac:dyDescent="0.35">
      <c r="A374" t="s">
        <v>268</v>
      </c>
      <c r="B374" s="5" t="str">
        <f>_xlfn.XLOOKUP(role_course_map[[#This Row],[role_id]], role_data[role_id], role_data[Role],"")</f>
        <v>Advanced Nurse Practitioner</v>
      </c>
      <c r="C374">
        <v>999057</v>
      </c>
      <c r="D374" s="5" t="str">
        <f>_xlfn.XLOOKUP(role_course_map[[#This Row],[course_id]],course_data[course_id],course_data[title],"")</f>
        <v>Fatigue Awareness</v>
      </c>
      <c r="E374" s="5" t="str">
        <f>_xlfn.XLOOKUP(role_course_map[[#This Row],[course_id]],course_data[course_id],course_data[topic],"")</f>
        <v>SAS : Health and Safety</v>
      </c>
      <c r="F374" s="5" t="str">
        <f>_xlfn.XLOOKUP(role_course_map[[#This Row],[course_id]],course_data[course_id],course_data[type],"")</f>
        <v>eLearning</v>
      </c>
      <c r="K374" t="str">
        <f>role_course_map[[#This Row],[role_id]] &amp; "|" &amp; role_course_map[[#This Row],[course_id]]</f>
        <v>R0128|999057</v>
      </c>
      <c r="L374" t="str">
        <f>IF(COUNTIF(role_course_map[mapping_key],role_course_map[[#This Row],[mapping_key]])&gt;1,"DUPLICATE","OK")</f>
        <v>OK</v>
      </c>
      <c r="M374" t="str">
        <f>IF(COUNTIF(role_data[role_id],role_course_map[[#This Row],[role_id]])=0, "INVALID","VALID")</f>
        <v>VALID</v>
      </c>
      <c r="N374" t="str">
        <f>IF(COUNTIF(course_data[course_id],role_course_map[[#This Row],[course_id]])=0, "INVALID","VALID")</f>
        <v>VALID</v>
      </c>
    </row>
    <row r="375" spans="1:14" x14ac:dyDescent="0.35">
      <c r="A375" t="s">
        <v>268</v>
      </c>
      <c r="B375" s="5" t="str">
        <f>_xlfn.XLOOKUP(role_course_map[[#This Row],[role_id]], role_data[role_id], role_data[Role],"")</f>
        <v>Advanced Nurse Practitioner</v>
      </c>
      <c r="C375">
        <v>999027</v>
      </c>
      <c r="D375" s="5" t="str">
        <f>_xlfn.XLOOKUP(role_course_map[[#This Row],[course_id]],course_data[course_id],course_data[title],"")</f>
        <v>Manual and Patient Handling Foundation Training - Level 2</v>
      </c>
      <c r="E375" s="5" t="str">
        <f>_xlfn.XLOOKUP(role_course_map[[#This Row],[course_id]],course_data[course_id],course_data[topic],"")</f>
        <v>SAS : Clinical Practice</v>
      </c>
      <c r="F375" s="5" t="str">
        <f>_xlfn.XLOOKUP(role_course_map[[#This Row],[course_id]],course_data[course_id],course_data[type],"")</f>
        <v>Course</v>
      </c>
      <c r="K375" t="str">
        <f>role_course_map[[#This Row],[role_id]] &amp; "|" &amp; role_course_map[[#This Row],[course_id]]</f>
        <v>R0128|999027</v>
      </c>
      <c r="L375" t="str">
        <f>IF(COUNTIF(role_course_map[mapping_key],role_course_map[[#This Row],[mapping_key]])&gt;1,"DUPLICATE","OK")</f>
        <v>OK</v>
      </c>
      <c r="M375" t="str">
        <f>IF(COUNTIF(role_data[role_id],role_course_map[[#This Row],[role_id]])=0, "INVALID","VALID")</f>
        <v>VALID</v>
      </c>
      <c r="N375" t="str">
        <f>IF(COUNTIF(course_data[course_id],role_course_map[[#This Row],[course_id]])=0, "INVALID","VALID")</f>
        <v>VALID</v>
      </c>
    </row>
    <row r="376" spans="1:14" x14ac:dyDescent="0.35">
      <c r="A376" t="s">
        <v>268</v>
      </c>
      <c r="B376" s="5" t="str">
        <f>_xlfn.XLOOKUP(role_course_map[[#This Row],[role_id]], role_data[role_id], role_data[Role],"")</f>
        <v>Advanced Nurse Practitioner</v>
      </c>
      <c r="C376">
        <v>999028</v>
      </c>
      <c r="D376" s="5" t="str">
        <f>_xlfn.XLOOKUP(role_course_map[[#This Row],[course_id]],course_data[course_id],course_data[title],"")</f>
        <v>Manual and Patient Handling Competency Assessment - Level 3</v>
      </c>
      <c r="E376" s="5" t="str">
        <f>_xlfn.XLOOKUP(role_course_map[[#This Row],[course_id]],course_data[course_id],course_data[topic],"")</f>
        <v>SAS : Clinical Practice</v>
      </c>
      <c r="F376" s="5" t="str">
        <f>_xlfn.XLOOKUP(role_course_map[[#This Row],[course_id]],course_data[course_id],course_data[type],"")</f>
        <v>Course</v>
      </c>
      <c r="K376" t="str">
        <f>role_course_map[[#This Row],[role_id]] &amp; "|" &amp; role_course_map[[#This Row],[course_id]]</f>
        <v>R0128|999028</v>
      </c>
      <c r="L376" t="str">
        <f>IF(COUNTIF(role_course_map[mapping_key],role_course_map[[#This Row],[mapping_key]])&gt;1,"DUPLICATE","OK")</f>
        <v>OK</v>
      </c>
      <c r="M376" t="str">
        <f>IF(COUNTIF(role_data[role_id],role_course_map[[#This Row],[role_id]])=0, "INVALID","VALID")</f>
        <v>VALID</v>
      </c>
      <c r="N376" t="str">
        <f>IF(COUNTIF(course_data[course_id],role_course_map[[#This Row],[course_id]])=0, "INVALID","VALID")</f>
        <v>VALID</v>
      </c>
    </row>
    <row r="377" spans="1:14" x14ac:dyDescent="0.35">
      <c r="A377" t="s">
        <v>268</v>
      </c>
      <c r="B377" s="5" t="str">
        <f>_xlfn.XLOOKUP(role_course_map[[#This Row],[role_id]], role_data[role_id], role_data[Role],"")</f>
        <v>Advanced Nurse Practitioner</v>
      </c>
      <c r="C377">
        <v>999029</v>
      </c>
      <c r="D377" s="5" t="str">
        <f>_xlfn.XLOOKUP(role_course_map[[#This Row],[course_id]],course_data[course_id],course_data[title],"")</f>
        <v>Manual and Patient Handling Competency Assessment Theory - Level 3</v>
      </c>
      <c r="E377" s="5" t="str">
        <f>_xlfn.XLOOKUP(role_course_map[[#This Row],[course_id]],course_data[course_id],course_data[topic],"")</f>
        <v>SAS : Clinical Practice</v>
      </c>
      <c r="F377" s="5" t="str">
        <f>_xlfn.XLOOKUP(role_course_map[[#This Row],[course_id]],course_data[course_id],course_data[type],"")</f>
        <v>Course</v>
      </c>
      <c r="K377" t="str">
        <f>role_course_map[[#This Row],[role_id]] &amp; "|" &amp; role_course_map[[#This Row],[course_id]]</f>
        <v>R0128|999029</v>
      </c>
      <c r="L377" t="str">
        <f>IF(COUNTIF(role_course_map[mapping_key],role_course_map[[#This Row],[mapping_key]])&gt;1,"DUPLICATE","OK")</f>
        <v>OK</v>
      </c>
      <c r="M377" t="str">
        <f>IF(COUNTIF(role_data[role_id],role_course_map[[#This Row],[role_id]])=0, "INVALID","VALID")</f>
        <v>VALID</v>
      </c>
      <c r="N377" t="str">
        <f>IF(COUNTIF(course_data[course_id],role_course_map[[#This Row],[course_id]])=0, "INVALID","VALID")</f>
        <v>VALID</v>
      </c>
    </row>
    <row r="378" spans="1:14" x14ac:dyDescent="0.35">
      <c r="A378" t="s">
        <v>268</v>
      </c>
      <c r="B378" s="5" t="str">
        <f>_xlfn.XLOOKUP(role_course_map[[#This Row],[role_id]], role_data[role_id], role_data[Role],"")</f>
        <v>Advanced Nurse Practitioner</v>
      </c>
      <c r="C378" t="s">
        <v>659</v>
      </c>
      <c r="D378" s="5" t="str">
        <f>_xlfn.XLOOKUP(role_course_map[[#This Row],[course_id]],course_data[course_id],course_data[title],"")</f>
        <v>Prevention and Management of Violence and Aggression - Breakaway training Level 2 /Restrictive movement Level 3</v>
      </c>
      <c r="E378" s="5" t="str">
        <f>_xlfn.XLOOKUP(role_course_map[[#This Row],[course_id]],course_data[course_id],course_data[topic],"")</f>
        <v>SAS : Health and Safety</v>
      </c>
      <c r="F378" s="5" t="str">
        <f>_xlfn.XLOOKUP(role_course_map[[#This Row],[course_id]],course_data[course_id],course_data[type],"")</f>
        <v>Course</v>
      </c>
      <c r="K378" t="str">
        <f>role_course_map[[#This Row],[role_id]] &amp; "|" &amp; role_course_map[[#This Row],[course_id]]</f>
        <v>R0128|2025-6 edition</v>
      </c>
      <c r="L378" t="str">
        <f>IF(COUNTIF(role_course_map[mapping_key],role_course_map[[#This Row],[mapping_key]])&gt;1,"DUPLICATE","OK")</f>
        <v>OK</v>
      </c>
      <c r="M378" t="str">
        <f>IF(COUNTIF(role_data[role_id],role_course_map[[#This Row],[role_id]])=0, "INVALID","VALID")</f>
        <v>VALID</v>
      </c>
      <c r="N378" t="str">
        <f>IF(COUNTIF(course_data[course_id],role_course_map[[#This Row],[course_id]])=0, "INVALID","VALID")</f>
        <v>VALID</v>
      </c>
    </row>
    <row r="379" spans="1:14" x14ac:dyDescent="0.35">
      <c r="A379" t="s">
        <v>268</v>
      </c>
      <c r="B379" s="5" t="str">
        <f>_xlfn.XLOOKUP(role_course_map[[#This Row],[role_id]], role_data[role_id], role_data[Role],"")</f>
        <v>Advanced Nurse Practitioner</v>
      </c>
      <c r="C379">
        <v>999055</v>
      </c>
      <c r="D379" s="5" t="str">
        <f>_xlfn.XLOOKUP(role_course_map[[#This Row],[course_id]],course_data[course_id],course_data[title],"")</f>
        <v>Prevention and Management of Violence and Aggression - Refresher</v>
      </c>
      <c r="E379" s="5" t="str">
        <f>_xlfn.XLOOKUP(role_course_map[[#This Row],[course_id]],course_data[course_id],course_data[topic],"")</f>
        <v>SAS : Health and Safety</v>
      </c>
      <c r="F379" s="5" t="str">
        <f>_xlfn.XLOOKUP(role_course_map[[#This Row],[course_id]],course_data[course_id],course_data[type],"")</f>
        <v>Course</v>
      </c>
      <c r="K379" t="str">
        <f>role_course_map[[#This Row],[role_id]] &amp; "|" &amp; role_course_map[[#This Row],[course_id]]</f>
        <v>R0128|999055</v>
      </c>
      <c r="L379" t="str">
        <f>IF(COUNTIF(role_course_map[mapping_key],role_course_map[[#This Row],[mapping_key]])&gt;1,"DUPLICATE","OK")</f>
        <v>OK</v>
      </c>
      <c r="M379" t="str">
        <f>IF(COUNTIF(role_data[role_id],role_course_map[[#This Row],[role_id]])=0, "INVALID","VALID")</f>
        <v>VALID</v>
      </c>
      <c r="N379" t="str">
        <f>IF(COUNTIF(course_data[course_id],role_course_map[[#This Row],[course_id]])=0, "INVALID","VALID")</f>
        <v>VALID</v>
      </c>
    </row>
    <row r="380" spans="1:14" x14ac:dyDescent="0.35">
      <c r="A380" t="s">
        <v>268</v>
      </c>
      <c r="B380" s="5" t="str">
        <f>_xlfn.XLOOKUP(role_course_map[[#This Row],[role_id]], role_data[role_id], role_data[Role],"")</f>
        <v>Advanced Nurse Practitioner</v>
      </c>
      <c r="C380">
        <v>64322</v>
      </c>
      <c r="D380" s="5" t="str">
        <f>_xlfn.XLOOKUP(role_course_map[[#This Row],[course_id]],course_data[course_id],course_data[title],"")</f>
        <v>Adult support and protection: practice level 2 [skilled]</v>
      </c>
      <c r="E380" s="5" t="str">
        <f>_xlfn.XLOOKUP(role_course_map[[#This Row],[course_id]],course_data[course_id],course_data[topic],"")</f>
        <v>SAS : Public Protection</v>
      </c>
      <c r="F380" s="5" t="str">
        <f>_xlfn.XLOOKUP(role_course_map[[#This Row],[course_id]],course_data[course_id],course_data[type],"")</f>
        <v>eLearning</v>
      </c>
      <c r="K380" t="str">
        <f>role_course_map[[#This Row],[role_id]] &amp; "|" &amp; role_course_map[[#This Row],[course_id]]</f>
        <v>R0128|64322</v>
      </c>
      <c r="L380" t="str">
        <f>IF(COUNTIF(role_course_map[mapping_key],role_course_map[[#This Row],[mapping_key]])&gt;1,"DUPLICATE","OK")</f>
        <v>OK</v>
      </c>
      <c r="M380" t="str">
        <f>IF(COUNTIF(role_data[role_id],role_course_map[[#This Row],[role_id]])=0, "INVALID","VALID")</f>
        <v>VALID</v>
      </c>
      <c r="N380" t="str">
        <f>IF(COUNTIF(course_data[course_id],role_course_map[[#This Row],[course_id]])=0, "INVALID","VALID")</f>
        <v>VALID</v>
      </c>
    </row>
    <row r="381" spans="1:14" x14ac:dyDescent="0.35">
      <c r="A381" t="s">
        <v>268</v>
      </c>
      <c r="B381" s="5" t="str">
        <f>_xlfn.XLOOKUP(role_course_map[[#This Row],[role_id]], role_data[role_id], role_data[Role],"")</f>
        <v>Advanced Nurse Practitioner</v>
      </c>
      <c r="C381">
        <v>64324</v>
      </c>
      <c r="D381" s="5" t="str">
        <f>_xlfn.XLOOKUP(role_course_map[[#This Row],[course_id]],course_data[course_id],course_data[title],"")</f>
        <v>Child protection: practice level 2 [skilled]</v>
      </c>
      <c r="E381" s="5" t="str">
        <f>_xlfn.XLOOKUP(role_course_map[[#This Row],[course_id]],course_data[course_id],course_data[topic],"")</f>
        <v>SAS : Public Protection</v>
      </c>
      <c r="F381" s="5" t="str">
        <f>_xlfn.XLOOKUP(role_course_map[[#This Row],[course_id]],course_data[course_id],course_data[type],"")</f>
        <v>eLearning</v>
      </c>
      <c r="K381" t="str">
        <f>role_course_map[[#This Row],[role_id]] &amp; "|" &amp; role_course_map[[#This Row],[course_id]]</f>
        <v>R0128|64324</v>
      </c>
      <c r="L381" t="str">
        <f>IF(COUNTIF(role_course_map[mapping_key],role_course_map[[#This Row],[mapping_key]])&gt;1,"DUPLICATE","OK")</f>
        <v>OK</v>
      </c>
      <c r="M381" t="str">
        <f>IF(COUNTIF(role_data[role_id],role_course_map[[#This Row],[role_id]])=0, "INVALID","VALID")</f>
        <v>VALID</v>
      </c>
      <c r="N381" t="str">
        <f>IF(COUNTIF(course_data[course_id],role_course_map[[#This Row],[course_id]])=0, "INVALID","VALID")</f>
        <v>VALID</v>
      </c>
    </row>
    <row r="382" spans="1:14" x14ac:dyDescent="0.35">
      <c r="A382" t="s">
        <v>268</v>
      </c>
      <c r="B382" s="5" t="str">
        <f>_xlfn.XLOOKUP(role_course_map[[#This Row],[role_id]], role_data[role_id], role_data[Role],"")</f>
        <v>Advanced Nurse Practitioner</v>
      </c>
      <c r="C382">
        <v>76716</v>
      </c>
      <c r="D382" s="5" t="str">
        <f>_xlfn.XLOOKUP(role_course_map[[#This Row],[course_id]],course_data[course_id],course_data[title],"")</f>
        <v>Domestic abuse awareness training tool (DAART)</v>
      </c>
      <c r="E382" s="5" t="str">
        <f>_xlfn.XLOOKUP(role_course_map[[#This Row],[course_id]],course_data[course_id],course_data[topic],"")</f>
        <v>SAS : Public Protection</v>
      </c>
      <c r="F382" s="5" t="str">
        <f>_xlfn.XLOOKUP(role_course_map[[#This Row],[course_id]],course_data[course_id],course_data[type],"")</f>
        <v>eLearning</v>
      </c>
      <c r="K382" t="str">
        <f>role_course_map[[#This Row],[role_id]] &amp; "|" &amp; role_course_map[[#This Row],[course_id]]</f>
        <v>R0128|76716</v>
      </c>
      <c r="L382" t="str">
        <f>IF(COUNTIF(role_course_map[mapping_key],role_course_map[[#This Row],[mapping_key]])&gt;1,"DUPLICATE","OK")</f>
        <v>OK</v>
      </c>
      <c r="M382" t="str">
        <f>IF(COUNTIF(role_data[role_id],role_course_map[[#This Row],[role_id]])=0, "INVALID","VALID")</f>
        <v>VALID</v>
      </c>
      <c r="N382" t="str">
        <f>IF(COUNTIF(course_data[course_id],role_course_map[[#This Row],[course_id]])=0, "INVALID","VALID")</f>
        <v>VALID</v>
      </c>
    </row>
    <row r="383" spans="1:14" x14ac:dyDescent="0.35">
      <c r="A383" t="s">
        <v>268</v>
      </c>
      <c r="B383" s="5" t="str">
        <f>_xlfn.XLOOKUP(role_course_map[[#This Row],[role_id]], role_data[role_id], role_data[Role],"")</f>
        <v>Advanced Nurse Practitioner</v>
      </c>
      <c r="C383">
        <v>79666</v>
      </c>
      <c r="D383" s="5" t="str">
        <f>_xlfn.XLOOKUP(role_course_map[[#This Row],[course_id]],course_data[course_id],course_data[title],"")</f>
        <v>Getting it right for every child (GIRFEC): informed level</v>
      </c>
      <c r="E383" s="5" t="str">
        <f>_xlfn.XLOOKUP(role_course_map[[#This Row],[course_id]],course_data[course_id],course_data[topic],"")</f>
        <v>SAS : Public Protection</v>
      </c>
      <c r="F383" s="5" t="str">
        <f>_xlfn.XLOOKUP(role_course_map[[#This Row],[course_id]],course_data[course_id],course_data[type],"")</f>
        <v>eLearning</v>
      </c>
      <c r="K383" t="str">
        <f>role_course_map[[#This Row],[role_id]] &amp; "|" &amp; role_course_map[[#This Row],[course_id]]</f>
        <v>R0128|79666</v>
      </c>
      <c r="L383" t="str">
        <f>IF(COUNTIF(role_course_map[mapping_key],role_course_map[[#This Row],[mapping_key]])&gt;1,"DUPLICATE","OK")</f>
        <v>OK</v>
      </c>
      <c r="M383" t="str">
        <f>IF(COUNTIF(role_data[role_id],role_course_map[[#This Row],[role_id]])=0, "INVALID","VALID")</f>
        <v>VALID</v>
      </c>
      <c r="N383" t="str">
        <f>IF(COUNTIF(course_data[course_id],role_course_map[[#This Row],[course_id]])=0, "INVALID","VALID")</f>
        <v>VALID</v>
      </c>
    </row>
    <row r="384" spans="1:14" x14ac:dyDescent="0.35">
      <c r="A384" t="s">
        <v>268</v>
      </c>
      <c r="B384" s="5" t="str">
        <f>_xlfn.XLOOKUP(role_course_map[[#This Row],[role_id]], role_data[role_id], role_data[Role],"")</f>
        <v>Advanced Nurse Practitioner</v>
      </c>
      <c r="C384">
        <v>999074</v>
      </c>
      <c r="D384" s="5" t="str">
        <f>_xlfn.XLOOKUP(role_course_map[[#This Row],[course_id]],course_data[course_id],course_data[title],"")</f>
        <v>SAS-specific Children’s rights</v>
      </c>
      <c r="E384" s="5" t="str">
        <f>_xlfn.XLOOKUP(role_course_map[[#This Row],[course_id]],course_data[course_id],course_data[topic],"")</f>
        <v>SAS : Public Protection</v>
      </c>
      <c r="F384" s="5" t="str">
        <f>_xlfn.XLOOKUP(role_course_map[[#This Row],[course_id]],course_data[course_id],course_data[type],"")</f>
        <v>eLearning</v>
      </c>
      <c r="K384" t="str">
        <f>role_course_map[[#This Row],[role_id]] &amp; "|" &amp; role_course_map[[#This Row],[course_id]]</f>
        <v>R0128|999074</v>
      </c>
      <c r="L384" t="str">
        <f>IF(COUNTIF(role_course_map[mapping_key],role_course_map[[#This Row],[mapping_key]])&gt;1,"DUPLICATE","OK")</f>
        <v>OK</v>
      </c>
      <c r="M384" t="str">
        <f>IF(COUNTIF(role_data[role_id],role_course_map[[#This Row],[role_id]])=0, "INVALID","VALID")</f>
        <v>VALID</v>
      </c>
      <c r="N384" t="str">
        <f>IF(COUNTIF(course_data[course_id],role_course_map[[#This Row],[course_id]])=0, "INVALID","VALID")</f>
        <v>VALID</v>
      </c>
    </row>
    <row r="385" spans="1:14" x14ac:dyDescent="0.35">
      <c r="A385" t="s">
        <v>268</v>
      </c>
      <c r="B385" s="5" t="str">
        <f>_xlfn.XLOOKUP(role_course_map[[#This Row],[role_id]], role_data[role_id], role_data[Role],"")</f>
        <v>Advanced Nurse Practitioner</v>
      </c>
      <c r="C385">
        <v>999075</v>
      </c>
      <c r="D385" s="5" t="str">
        <f>_xlfn.XLOOKUP(role_course_map[[#This Row],[course_id]],course_data[course_id],course_data[title],"")</f>
        <v>Multiagency local or bespoke Level 3 delivery training</v>
      </c>
      <c r="E385" s="5" t="str">
        <f>_xlfn.XLOOKUP(role_course_map[[#This Row],[course_id]],course_data[course_id],course_data[topic],"")</f>
        <v>SAS : Public Protection</v>
      </c>
      <c r="F385" s="5" t="str">
        <f>_xlfn.XLOOKUP(role_course_map[[#This Row],[course_id]],course_data[course_id],course_data[type],"")</f>
        <v>eLearning</v>
      </c>
      <c r="K385" t="str">
        <f>role_course_map[[#This Row],[role_id]] &amp; "|" &amp; role_course_map[[#This Row],[course_id]]</f>
        <v>R0128|999075</v>
      </c>
      <c r="L385" t="str">
        <f>IF(COUNTIF(role_course_map[mapping_key],role_course_map[[#This Row],[mapping_key]])&gt;1,"DUPLICATE","OK")</f>
        <v>OK</v>
      </c>
      <c r="M385" t="str">
        <f>IF(COUNTIF(role_data[role_id],role_course_map[[#This Row],[role_id]])=0, "INVALID","VALID")</f>
        <v>VALID</v>
      </c>
      <c r="N385" t="str">
        <f>IF(COUNTIF(course_data[course_id],role_course_map[[#This Row],[course_id]])=0, "INVALID","VALID")</f>
        <v>VALID</v>
      </c>
    </row>
    <row r="386" spans="1:14" x14ac:dyDescent="0.35">
      <c r="A386" t="s">
        <v>268</v>
      </c>
      <c r="B386" s="5" t="str">
        <f>_xlfn.XLOOKUP(role_course_map[[#This Row],[role_id]], role_data[role_id], role_data[Role],"")</f>
        <v>Advanced Nurse Practitioner</v>
      </c>
      <c r="C386">
        <v>15249</v>
      </c>
      <c r="D386" s="5" t="str">
        <f>_xlfn.XLOOKUP(role_course_map[[#This Row],[course_id]],course_data[course_id],course_data[title],"")</f>
        <v>Human trafficking</v>
      </c>
      <c r="E386" s="5" t="str">
        <f>_xlfn.XLOOKUP(role_course_map[[#This Row],[course_id]],course_data[course_id],course_data[topic],"")</f>
        <v>SAS : Public Protection</v>
      </c>
      <c r="F386" s="5" t="str">
        <f>_xlfn.XLOOKUP(role_course_map[[#This Row],[course_id]],course_data[course_id],course_data[type],"")</f>
        <v>eLearning</v>
      </c>
      <c r="K386" t="str">
        <f>role_course_map[[#This Row],[role_id]] &amp; "|" &amp; role_course_map[[#This Row],[course_id]]</f>
        <v>R0128|15249</v>
      </c>
      <c r="L386" t="str">
        <f>IF(COUNTIF(role_course_map[mapping_key],role_course_map[[#This Row],[mapping_key]])&gt;1,"DUPLICATE","OK")</f>
        <v>OK</v>
      </c>
      <c r="M386" t="str">
        <f>IF(COUNTIF(role_data[role_id],role_course_map[[#This Row],[role_id]])=0, "INVALID","VALID")</f>
        <v>VALID</v>
      </c>
      <c r="N386" t="str">
        <f>IF(COUNTIF(course_data[course_id],role_course_map[[#This Row],[course_id]])=0, "INVALID","VALID")</f>
        <v>VALID</v>
      </c>
    </row>
    <row r="387" spans="1:14" x14ac:dyDescent="0.35">
      <c r="A387" t="s">
        <v>268</v>
      </c>
      <c r="B387" s="5" t="str">
        <f>_xlfn.XLOOKUP(role_course_map[[#This Row],[role_id]], role_data[role_id], role_data[Role],"")</f>
        <v>Advanced Nurse Practitioner</v>
      </c>
      <c r="C387">
        <v>89161</v>
      </c>
      <c r="D387" s="5" t="str">
        <f>_xlfn.XLOOKUP(role_course_map[[#This Row],[course_id]],course_data[course_id],course_data[title],"")</f>
        <v>Personal Protective Equipment</v>
      </c>
      <c r="E387" s="5" t="str">
        <f>_xlfn.XLOOKUP(role_course_map[[#This Row],[course_id]],course_data[course_id],course_data[topic],"")</f>
        <v>SAS : Infection Prevention and Control (IPC)</v>
      </c>
      <c r="F387" s="5" t="str">
        <f>_xlfn.XLOOKUP(role_course_map[[#This Row],[course_id]],course_data[course_id],course_data[type],"")</f>
        <v>eLearning</v>
      </c>
      <c r="K387" t="str">
        <f>role_course_map[[#This Row],[role_id]] &amp; "|" &amp; role_course_map[[#This Row],[course_id]]</f>
        <v>R0128|89161</v>
      </c>
      <c r="L387" t="str">
        <f>IF(COUNTIF(role_course_map[mapping_key],role_course_map[[#This Row],[mapping_key]])&gt;1,"DUPLICATE","OK")</f>
        <v>OK</v>
      </c>
      <c r="M387" t="str">
        <f>IF(COUNTIF(role_data[role_id],role_course_map[[#This Row],[role_id]])=0, "INVALID","VALID")</f>
        <v>VALID</v>
      </c>
      <c r="N387" t="str">
        <f>IF(COUNTIF(course_data[course_id],role_course_map[[#This Row],[course_id]])=0, "INVALID","VALID")</f>
        <v>VALID</v>
      </c>
    </row>
    <row r="388" spans="1:14" x14ac:dyDescent="0.35">
      <c r="A388" t="s">
        <v>268</v>
      </c>
      <c r="B388" s="5" t="str">
        <f>_xlfn.XLOOKUP(role_course_map[[#This Row],[role_id]], role_data[role_id], role_data[Role],"")</f>
        <v>Advanced Nurse Practitioner</v>
      </c>
      <c r="C388">
        <v>89157</v>
      </c>
      <c r="D388" s="5" t="str">
        <f>_xlfn.XLOOKUP(role_course_map[[#This Row],[course_id]],course_data[course_id],course_data[title],"")</f>
        <v>Safe Management of Care Equipment</v>
      </c>
      <c r="E388" s="5" t="str">
        <f>_xlfn.XLOOKUP(role_course_map[[#This Row],[course_id]],course_data[course_id],course_data[topic],"")</f>
        <v>SAS : Infection Prevention and Control (IPC)</v>
      </c>
      <c r="F388" s="5" t="str">
        <f>_xlfn.XLOOKUP(role_course_map[[#This Row],[course_id]],course_data[course_id],course_data[type],"")</f>
        <v>eLearning</v>
      </c>
      <c r="K388" t="str">
        <f>role_course_map[[#This Row],[role_id]] &amp; "|" &amp; role_course_map[[#This Row],[course_id]]</f>
        <v>R0128|89157</v>
      </c>
      <c r="L388" t="str">
        <f>IF(COUNTIF(role_course_map[mapping_key],role_course_map[[#This Row],[mapping_key]])&gt;1,"DUPLICATE","OK")</f>
        <v>OK</v>
      </c>
      <c r="M388" t="str">
        <f>IF(COUNTIF(role_data[role_id],role_course_map[[#This Row],[role_id]])=0, "INVALID","VALID")</f>
        <v>VALID</v>
      </c>
      <c r="N388" t="str">
        <f>IF(COUNTIF(course_data[course_id],role_course_map[[#This Row],[course_id]])=0, "INVALID","VALID")</f>
        <v>VALID</v>
      </c>
    </row>
    <row r="389" spans="1:14" x14ac:dyDescent="0.35">
      <c r="A389" t="s">
        <v>268</v>
      </c>
      <c r="B389" s="5" t="str">
        <f>_xlfn.XLOOKUP(role_course_map[[#This Row],[role_id]], role_data[role_id], role_data[Role],"")</f>
        <v>Advanced Nurse Practitioner</v>
      </c>
      <c r="C389">
        <v>89158</v>
      </c>
      <c r="D389" s="5" t="str">
        <f>_xlfn.XLOOKUP(role_course_map[[#This Row],[course_id]],course_data[course_id],course_data[title],"")</f>
        <v>Safe Management of Care Environment</v>
      </c>
      <c r="E389" s="5" t="str">
        <f>_xlfn.XLOOKUP(role_course_map[[#This Row],[course_id]],course_data[course_id],course_data[topic],"")</f>
        <v>SAS : Infection Prevention and Control (IPC)</v>
      </c>
      <c r="F389" s="5" t="str">
        <f>_xlfn.XLOOKUP(role_course_map[[#This Row],[course_id]],course_data[course_id],course_data[type],"")</f>
        <v>eLearning</v>
      </c>
      <c r="K389" t="str">
        <f>role_course_map[[#This Row],[role_id]] &amp; "|" &amp; role_course_map[[#This Row],[course_id]]</f>
        <v>R0128|89158</v>
      </c>
      <c r="L389" t="str">
        <f>IF(COUNTIF(role_course_map[mapping_key],role_course_map[[#This Row],[mapping_key]])&gt;1,"DUPLICATE","OK")</f>
        <v>OK</v>
      </c>
      <c r="M389" t="str">
        <f>IF(COUNTIF(role_data[role_id],role_course_map[[#This Row],[role_id]])=0, "INVALID","VALID")</f>
        <v>VALID</v>
      </c>
      <c r="N389" t="str">
        <f>IF(COUNTIF(course_data[course_id],role_course_map[[#This Row],[course_id]])=0, "INVALID","VALID")</f>
        <v>VALID</v>
      </c>
    </row>
    <row r="390" spans="1:14" x14ac:dyDescent="0.35">
      <c r="A390" t="s">
        <v>268</v>
      </c>
      <c r="B390" s="5" t="str">
        <f>_xlfn.XLOOKUP(role_course_map[[#This Row],[role_id]], role_data[role_id], role_data[Role],"")</f>
        <v>Advanced Nurse Practitioner</v>
      </c>
      <c r="C390">
        <v>89159</v>
      </c>
      <c r="D390" s="5" t="str">
        <f>_xlfn.XLOOKUP(role_course_map[[#This Row],[course_id]],course_data[course_id],course_data[title],"")</f>
        <v>Safe Management of Linen</v>
      </c>
      <c r="E390" s="5" t="str">
        <f>_xlfn.XLOOKUP(role_course_map[[#This Row],[course_id]],course_data[course_id],course_data[topic],"")</f>
        <v>SAS : Infection Prevention and Control (IPC)</v>
      </c>
      <c r="F390" s="5" t="str">
        <f>_xlfn.XLOOKUP(role_course_map[[#This Row],[course_id]],course_data[course_id],course_data[type],"")</f>
        <v>eLearning</v>
      </c>
      <c r="K390" t="str">
        <f>role_course_map[[#This Row],[role_id]] &amp; "|" &amp; role_course_map[[#This Row],[course_id]]</f>
        <v>R0128|89159</v>
      </c>
      <c r="L390" t="str">
        <f>IF(COUNTIF(role_course_map[mapping_key],role_course_map[[#This Row],[mapping_key]])&gt;1,"DUPLICATE","OK")</f>
        <v>OK</v>
      </c>
      <c r="M390" t="str">
        <f>IF(COUNTIF(role_data[role_id],role_course_map[[#This Row],[role_id]])=0, "INVALID","VALID")</f>
        <v>VALID</v>
      </c>
      <c r="N390" t="str">
        <f>IF(COUNTIF(course_data[course_id],role_course_map[[#This Row],[course_id]])=0, "INVALID","VALID")</f>
        <v>VALID</v>
      </c>
    </row>
    <row r="391" spans="1:14" x14ac:dyDescent="0.35">
      <c r="A391" t="s">
        <v>268</v>
      </c>
      <c r="B391" s="5" t="str">
        <f>_xlfn.XLOOKUP(role_course_map[[#This Row],[role_id]], role_data[role_id], role_data[Role],"")</f>
        <v>Advanced Nurse Practitioner</v>
      </c>
      <c r="C391">
        <v>89160</v>
      </c>
      <c r="D391" s="5" t="str">
        <f>_xlfn.XLOOKUP(role_course_map[[#This Row],[course_id]],course_data[course_id],course_data[title],"")</f>
        <v>Safe Management of blood and body fluids</v>
      </c>
      <c r="E391" s="5" t="str">
        <f>_xlfn.XLOOKUP(role_course_map[[#This Row],[course_id]],course_data[course_id],course_data[topic],"")</f>
        <v>SAS : Infection Prevention and Control (IPC)</v>
      </c>
      <c r="F391" s="5" t="str">
        <f>_xlfn.XLOOKUP(role_course_map[[#This Row],[course_id]],course_data[course_id],course_data[type],"")</f>
        <v>eLearning</v>
      </c>
      <c r="K391" t="str">
        <f>role_course_map[[#This Row],[role_id]] &amp; "|" &amp; role_course_map[[#This Row],[course_id]]</f>
        <v>R0128|89160</v>
      </c>
      <c r="L391" t="str">
        <f>IF(COUNTIF(role_course_map[mapping_key],role_course_map[[#This Row],[mapping_key]])&gt;1,"DUPLICATE","OK")</f>
        <v>OK</v>
      </c>
      <c r="M391" t="str">
        <f>IF(COUNTIF(role_data[role_id],role_course_map[[#This Row],[role_id]])=0, "INVALID","VALID")</f>
        <v>VALID</v>
      </c>
      <c r="N391" t="str">
        <f>IF(COUNTIF(course_data[course_id],role_course_map[[#This Row],[course_id]])=0, "INVALID","VALID")</f>
        <v>VALID</v>
      </c>
    </row>
    <row r="392" spans="1:14" x14ac:dyDescent="0.35">
      <c r="A392" t="s">
        <v>268</v>
      </c>
      <c r="B392" s="5" t="str">
        <f>_xlfn.XLOOKUP(role_course_map[[#This Row],[role_id]], role_data[role_id], role_data[Role],"")</f>
        <v>Advanced Nurse Practitioner</v>
      </c>
      <c r="C392">
        <v>89154</v>
      </c>
      <c r="D392" s="5" t="str">
        <f>_xlfn.XLOOKUP(role_course_map[[#This Row],[course_id]],course_data[course_id],course_data[title],"")</f>
        <v>Safe disposal of waste</v>
      </c>
      <c r="E392" s="5" t="str">
        <f>_xlfn.XLOOKUP(role_course_map[[#This Row],[course_id]],course_data[course_id],course_data[topic],"")</f>
        <v>SAS : Infection Prevention and Control (IPC)</v>
      </c>
      <c r="F392" s="5" t="str">
        <f>_xlfn.XLOOKUP(role_course_map[[#This Row],[course_id]],course_data[course_id],course_data[type],"")</f>
        <v>eLearning</v>
      </c>
      <c r="K392" t="str">
        <f>role_course_map[[#This Row],[role_id]] &amp; "|" &amp; role_course_map[[#This Row],[course_id]]</f>
        <v>R0128|89154</v>
      </c>
      <c r="L392" t="str">
        <f>IF(COUNTIF(role_course_map[mapping_key],role_course_map[[#This Row],[mapping_key]])&gt;1,"DUPLICATE","OK")</f>
        <v>OK</v>
      </c>
      <c r="M392" t="str">
        <f>IF(COUNTIF(role_data[role_id],role_course_map[[#This Row],[role_id]])=0, "INVALID","VALID")</f>
        <v>VALID</v>
      </c>
      <c r="N392" t="str">
        <f>IF(COUNTIF(course_data[course_id],role_course_map[[#This Row],[course_id]])=0, "INVALID","VALID")</f>
        <v>VALID</v>
      </c>
    </row>
    <row r="393" spans="1:14" x14ac:dyDescent="0.35">
      <c r="A393" t="s">
        <v>268</v>
      </c>
      <c r="B393" s="5" t="str">
        <f>_xlfn.XLOOKUP(role_course_map[[#This Row],[role_id]], role_data[role_id], role_data[Role],"")</f>
        <v>Advanced Nurse Practitioner</v>
      </c>
      <c r="C393">
        <v>89155</v>
      </c>
      <c r="D393" s="5" t="str">
        <f>_xlfn.XLOOKUP(role_course_map[[#This Row],[course_id]],course_data[course_id],course_data[title],"")</f>
        <v>Prevention &amp; management of occupational exposure</v>
      </c>
      <c r="E393" s="5" t="str">
        <f>_xlfn.XLOOKUP(role_course_map[[#This Row],[course_id]],course_data[course_id],course_data[topic],"")</f>
        <v>SAS : Infection Prevention and Control (IPC)</v>
      </c>
      <c r="F393" s="5" t="str">
        <f>_xlfn.XLOOKUP(role_course_map[[#This Row],[course_id]],course_data[course_id],course_data[type],"")</f>
        <v>eLearning</v>
      </c>
      <c r="K393" t="str">
        <f>role_course_map[[#This Row],[role_id]] &amp; "|" &amp; role_course_map[[#This Row],[course_id]]</f>
        <v>R0128|89155</v>
      </c>
      <c r="L393" t="str">
        <f>IF(COUNTIF(role_course_map[mapping_key],role_course_map[[#This Row],[mapping_key]])&gt;1,"DUPLICATE","OK")</f>
        <v>OK</v>
      </c>
      <c r="M393" t="str">
        <f>IF(COUNTIF(role_data[role_id],role_course_map[[#This Row],[role_id]])=0, "INVALID","VALID")</f>
        <v>VALID</v>
      </c>
      <c r="N393" t="str">
        <f>IF(COUNTIF(course_data[course_id],role_course_map[[#This Row],[course_id]])=0, "INVALID","VALID")</f>
        <v>VALID</v>
      </c>
    </row>
    <row r="394" spans="1:14" x14ac:dyDescent="0.35">
      <c r="A394" t="s">
        <v>268</v>
      </c>
      <c r="B394" s="5" t="str">
        <f>_xlfn.XLOOKUP(role_course_map[[#This Row],[role_id]], role_data[role_id], role_data[Role],"")</f>
        <v>Advanced Nurse Practitioner</v>
      </c>
      <c r="C394">
        <v>999064</v>
      </c>
      <c r="D394" s="5" t="str">
        <f>_xlfn.XLOOKUP(role_course_map[[#This Row],[course_id]],course_data[course_id],course_data[title],"")</f>
        <v>Infection prevention and control: Clostridioides difficile infection</v>
      </c>
      <c r="E394" s="5" t="str">
        <f>_xlfn.XLOOKUP(role_course_map[[#This Row],[course_id]],course_data[course_id],course_data[topic],"")</f>
        <v>SAS : Infection Prevention and Control (IPC)</v>
      </c>
      <c r="F394" s="5" t="str">
        <f>_xlfn.XLOOKUP(role_course_map[[#This Row],[course_id]],course_data[course_id],course_data[type],"")</f>
        <v>eLearning</v>
      </c>
      <c r="K394" t="str">
        <f>role_course_map[[#This Row],[role_id]] &amp; "|" &amp; role_course_map[[#This Row],[course_id]]</f>
        <v>R0128|999064</v>
      </c>
      <c r="L394" t="str">
        <f>IF(COUNTIF(role_course_map[mapping_key],role_course_map[[#This Row],[mapping_key]])&gt;1,"DUPLICATE","OK")</f>
        <v>OK</v>
      </c>
      <c r="M394" t="str">
        <f>IF(COUNTIF(role_data[role_id],role_course_map[[#This Row],[role_id]])=0, "INVALID","VALID")</f>
        <v>VALID</v>
      </c>
      <c r="N394" t="str">
        <f>IF(COUNTIF(course_data[course_id],role_course_map[[#This Row],[course_id]])=0, "INVALID","VALID")</f>
        <v>VALID</v>
      </c>
    </row>
    <row r="395" spans="1:14" x14ac:dyDescent="0.35">
      <c r="A395" t="s">
        <v>268</v>
      </c>
      <c r="B395" s="5" t="str">
        <f>_xlfn.XLOOKUP(role_course_map[[#This Row],[role_id]], role_data[role_id], role_data[Role],"")</f>
        <v>Advanced Nurse Practitioner</v>
      </c>
      <c r="C395">
        <v>3256</v>
      </c>
      <c r="D395" s="5" t="str">
        <f>_xlfn.XLOOKUP(role_course_map[[#This Row],[course_id]],course_data[course_id],course_data[title],"")</f>
        <v>Antibiotic Management CHECK THIS IS THE RIGHT ONE</v>
      </c>
      <c r="E395" s="5" t="str">
        <f>_xlfn.XLOOKUP(role_course_map[[#This Row],[course_id]],course_data[course_id],course_data[topic],"")</f>
        <v>SAS : Infection Prevention and Control (IPC)</v>
      </c>
      <c r="F395" s="5" t="str">
        <f>_xlfn.XLOOKUP(role_course_map[[#This Row],[course_id]],course_data[course_id],course_data[type],"")</f>
        <v>eLearning</v>
      </c>
      <c r="K395" t="str">
        <f>role_course_map[[#This Row],[role_id]] &amp; "|" &amp; role_course_map[[#This Row],[course_id]]</f>
        <v>R0128|3256</v>
      </c>
      <c r="L395" t="str">
        <f>IF(COUNTIF(role_course_map[mapping_key],role_course_map[[#This Row],[mapping_key]])&gt;1,"DUPLICATE","OK")</f>
        <v>OK</v>
      </c>
      <c r="M395" t="str">
        <f>IF(COUNTIF(role_data[role_id],role_course_map[[#This Row],[role_id]])=0, "INVALID","VALID")</f>
        <v>VALID</v>
      </c>
      <c r="N395" t="str">
        <f>IF(COUNTIF(course_data[course_id],role_course_map[[#This Row],[course_id]])=0, "INVALID","VALID")</f>
        <v>VALID</v>
      </c>
    </row>
    <row r="396" spans="1:14" x14ac:dyDescent="0.35">
      <c r="A396" t="s">
        <v>268</v>
      </c>
      <c r="B396" s="5" t="str">
        <f>_xlfn.XLOOKUP(role_course_map[[#This Row],[role_id]], role_data[role_id], role_data[Role],"")</f>
        <v>Advanced Nurse Practitioner</v>
      </c>
      <c r="C396">
        <v>82383</v>
      </c>
      <c r="D396" s="5" t="str">
        <f>_xlfn.XLOOKUP(role_course_map[[#This Row],[course_id]],course_data[course_id],course_data[title],"")</f>
        <v>Aseptic technique</v>
      </c>
      <c r="E396" s="5" t="str">
        <f>_xlfn.XLOOKUP(role_course_map[[#This Row],[course_id]],course_data[course_id],course_data[topic],"")</f>
        <v>SAS : Infection Prevention and Control (IPC)</v>
      </c>
      <c r="F396" s="5" t="str">
        <f>_xlfn.XLOOKUP(role_course_map[[#This Row],[course_id]],course_data[course_id],course_data[type],"")</f>
        <v>eLearning</v>
      </c>
      <c r="K396" t="str">
        <f>role_course_map[[#This Row],[role_id]] &amp; "|" &amp; role_course_map[[#This Row],[course_id]]</f>
        <v>R0128|82383</v>
      </c>
      <c r="L396" t="str">
        <f>IF(COUNTIF(role_course_map[mapping_key],role_course_map[[#This Row],[mapping_key]])&gt;1,"DUPLICATE","OK")</f>
        <v>OK</v>
      </c>
      <c r="M396" t="str">
        <f>IF(COUNTIF(role_data[role_id],role_course_map[[#This Row],[role_id]])=0, "INVALID","VALID")</f>
        <v>VALID</v>
      </c>
      <c r="N396" t="str">
        <f>IF(COUNTIF(course_data[course_id],role_course_map[[#This Row],[course_id]])=0, "INVALID","VALID")</f>
        <v>VALID</v>
      </c>
    </row>
    <row r="397" spans="1:14" x14ac:dyDescent="0.35">
      <c r="A397" t="s">
        <v>268</v>
      </c>
      <c r="B397" s="5" t="str">
        <f>_xlfn.XLOOKUP(role_course_map[[#This Row],[role_id]], role_data[role_id], role_data[Role],"")</f>
        <v>Advanced Nurse Practitioner</v>
      </c>
      <c r="C397">
        <v>3886</v>
      </c>
      <c r="D397" s="5" t="str">
        <f>_xlfn.XLOOKUP(role_course_map[[#This Row],[course_id]],course_data[course_id],course_data[title],"")</f>
        <v>Prevention and management of pressure ulcers</v>
      </c>
      <c r="E397" s="5" t="str">
        <f>_xlfn.XLOOKUP(role_course_map[[#This Row],[course_id]],course_data[course_id],course_data[topic],"")</f>
        <v>SAS : Clinical Practice</v>
      </c>
      <c r="F397" s="5" t="str">
        <f>_xlfn.XLOOKUP(role_course_map[[#This Row],[course_id]],course_data[course_id],course_data[type],"")</f>
        <v>Page</v>
      </c>
      <c r="K397" t="str">
        <f>role_course_map[[#This Row],[role_id]] &amp; "|" &amp; role_course_map[[#This Row],[course_id]]</f>
        <v>R0128|3886</v>
      </c>
      <c r="L397" t="str">
        <f>IF(COUNTIF(role_course_map[mapping_key],role_course_map[[#This Row],[mapping_key]])&gt;1,"DUPLICATE","OK")</f>
        <v>OK</v>
      </c>
      <c r="M397" t="str">
        <f>IF(COUNTIF(role_data[role_id],role_course_map[[#This Row],[role_id]])=0, "INVALID","VALID")</f>
        <v>VALID</v>
      </c>
      <c r="N397" t="str">
        <f>IF(COUNTIF(course_data[course_id],role_course_map[[#This Row],[course_id]])=0, "INVALID","VALID")</f>
        <v>VALID</v>
      </c>
    </row>
    <row r="398" spans="1:14" x14ac:dyDescent="0.35">
      <c r="A398" t="s">
        <v>270</v>
      </c>
      <c r="B398" s="5" t="str">
        <f>_xlfn.XLOOKUP(role_course_map[[#This Row],[role_id]], role_data[role_id], role_data[Role],"")</f>
        <v>Advanced Retrieval Practitioner</v>
      </c>
      <c r="C398">
        <v>999009</v>
      </c>
      <c r="D398" s="5" t="str">
        <f>_xlfn.XLOOKUP(role_course_map[[#This Row],[course_id]],course_data[course_id],course_data[title],"")</f>
        <v>Life Support</v>
      </c>
      <c r="E398" s="5" t="str">
        <f>_xlfn.XLOOKUP(role_course_map[[#This Row],[course_id]],course_data[course_id],course_data[topic],"")</f>
        <v>SAS : Clinical Practice</v>
      </c>
      <c r="F398" s="5" t="str">
        <f>_xlfn.XLOOKUP(role_course_map[[#This Row],[course_id]],course_data[course_id],course_data[type],"")</f>
        <v>Course</v>
      </c>
      <c r="K398" t="str">
        <f>role_course_map[[#This Row],[role_id]] &amp; "|" &amp; role_course_map[[#This Row],[course_id]]</f>
        <v>R0129|999009</v>
      </c>
      <c r="L398" t="str">
        <f>IF(COUNTIF(role_course_map[mapping_key],role_course_map[[#This Row],[mapping_key]])&gt;1,"DUPLICATE","OK")</f>
        <v>OK</v>
      </c>
      <c r="M398" t="str">
        <f>IF(COUNTIF(role_data[role_id],role_course_map[[#This Row],[role_id]])=0, "INVALID","VALID")</f>
        <v>VALID</v>
      </c>
      <c r="N398" t="str">
        <f>IF(COUNTIF(course_data[course_id],role_course_map[[#This Row],[course_id]])=0, "INVALID","VALID")</f>
        <v>VALID</v>
      </c>
    </row>
    <row r="399" spans="1:14" x14ac:dyDescent="0.35">
      <c r="A399" t="s">
        <v>270</v>
      </c>
      <c r="B399" s="5" t="str">
        <f>_xlfn.XLOOKUP(role_course_map[[#This Row],[role_id]], role_data[role_id], role_data[Role],"")</f>
        <v>Advanced Retrieval Practitioner</v>
      </c>
      <c r="C399">
        <v>999007</v>
      </c>
      <c r="D399" s="5" t="str">
        <f>_xlfn.XLOOKUP(role_course_map[[#This Row],[course_id]],course_data[course_id],course_data[title],"")</f>
        <v>Obstetrics</v>
      </c>
      <c r="E399" s="5" t="str">
        <f>_xlfn.XLOOKUP(role_course_map[[#This Row],[course_id]],course_data[course_id],course_data[topic],"")</f>
        <v>SAS : Clinical Practice</v>
      </c>
      <c r="F399" s="5" t="str">
        <f>_xlfn.XLOOKUP(role_course_map[[#This Row],[course_id]],course_data[course_id],course_data[type],"")</f>
        <v>Course</v>
      </c>
      <c r="K399" t="str">
        <f>role_course_map[[#This Row],[role_id]] &amp; "|" &amp; role_course_map[[#This Row],[course_id]]</f>
        <v>R0129|999007</v>
      </c>
      <c r="L399" t="str">
        <f>IF(COUNTIF(role_course_map[mapping_key],role_course_map[[#This Row],[mapping_key]])&gt;1,"DUPLICATE","OK")</f>
        <v>OK</v>
      </c>
      <c r="M399" t="str">
        <f>IF(COUNTIF(role_data[role_id],role_course_map[[#This Row],[role_id]])=0, "INVALID","VALID")</f>
        <v>VALID</v>
      </c>
      <c r="N399" t="str">
        <f>IF(COUNTIF(course_data[course_id],role_course_map[[#This Row],[course_id]])=0, "INVALID","VALID")</f>
        <v>VALID</v>
      </c>
    </row>
    <row r="400" spans="1:14" x14ac:dyDescent="0.35">
      <c r="A400" t="s">
        <v>270</v>
      </c>
      <c r="B400" s="5" t="str">
        <f>_xlfn.XLOOKUP(role_course_map[[#This Row],[role_id]], role_data[role_id], role_data[Role],"")</f>
        <v>Advanced Retrieval Practitioner</v>
      </c>
      <c r="C400">
        <v>999008</v>
      </c>
      <c r="D400" s="5" t="str">
        <f>_xlfn.XLOOKUP(role_course_map[[#This Row],[course_id]],course_data[course_id],course_data[title],"")</f>
        <v>Obstetrics</v>
      </c>
      <c r="E400" s="5" t="str">
        <f>_xlfn.XLOOKUP(role_course_map[[#This Row],[course_id]],course_data[course_id],course_data[topic],"")</f>
        <v>SAS : Clinical Practice</v>
      </c>
      <c r="F400" s="5" t="str">
        <f>_xlfn.XLOOKUP(role_course_map[[#This Row],[course_id]],course_data[course_id],course_data[type],"")</f>
        <v>eLearning</v>
      </c>
      <c r="K400" t="str">
        <f>role_course_map[[#This Row],[role_id]] &amp; "|" &amp; role_course_map[[#This Row],[course_id]]</f>
        <v>R0129|999008</v>
      </c>
      <c r="L400" t="str">
        <f>IF(COUNTIF(role_course_map[mapping_key],role_course_map[[#This Row],[mapping_key]])&gt;1,"DUPLICATE","OK")</f>
        <v>OK</v>
      </c>
      <c r="M400" t="str">
        <f>IF(COUNTIF(role_data[role_id],role_course_map[[#This Row],[role_id]])=0, "INVALID","VALID")</f>
        <v>VALID</v>
      </c>
      <c r="N400" t="str">
        <f>IF(COUNTIF(course_data[course_id],role_course_map[[#This Row],[course_id]])=0, "INVALID","VALID")</f>
        <v>VALID</v>
      </c>
    </row>
    <row r="401" spans="1:14" x14ac:dyDescent="0.35">
      <c r="A401" t="s">
        <v>270</v>
      </c>
      <c r="B401" s="5" t="str">
        <f>_xlfn.XLOOKUP(role_course_map[[#This Row],[role_id]], role_data[role_id], role_data[Role],"")</f>
        <v>Advanced Retrieval Practitioner</v>
      </c>
      <c r="C401">
        <v>999010</v>
      </c>
      <c r="D401" s="5" t="str">
        <f>_xlfn.XLOOKUP(role_course_map[[#This Row],[course_id]],course_data[course_id],course_data[title],"")</f>
        <v>Paediatrics</v>
      </c>
      <c r="E401" s="5" t="str">
        <f>_xlfn.XLOOKUP(role_course_map[[#This Row],[course_id]],course_data[course_id],course_data[topic],"")</f>
        <v>SAS : Clinical Practice</v>
      </c>
      <c r="F401" s="5" t="str">
        <f>_xlfn.XLOOKUP(role_course_map[[#This Row],[course_id]],course_data[course_id],course_data[type],"")</f>
        <v>Course</v>
      </c>
      <c r="K401" t="str">
        <f>role_course_map[[#This Row],[role_id]] &amp; "|" &amp; role_course_map[[#This Row],[course_id]]</f>
        <v>R0129|999010</v>
      </c>
      <c r="L401" t="str">
        <f>IF(COUNTIF(role_course_map[mapping_key],role_course_map[[#This Row],[mapping_key]])&gt;1,"DUPLICATE","OK")</f>
        <v>OK</v>
      </c>
      <c r="M401" t="str">
        <f>IF(COUNTIF(role_data[role_id],role_course_map[[#This Row],[role_id]])=0, "INVALID","VALID")</f>
        <v>VALID</v>
      </c>
      <c r="N401" t="str">
        <f>IF(COUNTIF(course_data[course_id],role_course_map[[#This Row],[course_id]])=0, "INVALID","VALID")</f>
        <v>VALID</v>
      </c>
    </row>
    <row r="402" spans="1:14" x14ac:dyDescent="0.35">
      <c r="A402" t="s">
        <v>270</v>
      </c>
      <c r="B402" s="5" t="str">
        <f>_xlfn.XLOOKUP(role_course_map[[#This Row],[role_id]], role_data[role_id], role_data[Role],"")</f>
        <v>Advanced Retrieval Practitioner</v>
      </c>
      <c r="C402">
        <v>999011</v>
      </c>
      <c r="D402" s="5" t="str">
        <f>_xlfn.XLOOKUP(role_course_map[[#This Row],[course_id]],course_data[course_id],course_data[title],"")</f>
        <v>Paediatrics</v>
      </c>
      <c r="E402" s="5" t="str">
        <f>_xlfn.XLOOKUP(role_course_map[[#This Row],[course_id]],course_data[course_id],course_data[topic],"")</f>
        <v>SAS : Clinical Practice</v>
      </c>
      <c r="F402" s="5" t="str">
        <f>_xlfn.XLOOKUP(role_course_map[[#This Row],[course_id]],course_data[course_id],course_data[type],"")</f>
        <v>eLearning</v>
      </c>
      <c r="K402" t="str">
        <f>role_course_map[[#This Row],[role_id]] &amp; "|" &amp; role_course_map[[#This Row],[course_id]]</f>
        <v>R0129|999011</v>
      </c>
      <c r="L402" t="str">
        <f>IF(COUNTIF(role_course_map[mapping_key],role_course_map[[#This Row],[mapping_key]])&gt;1,"DUPLICATE","OK")</f>
        <v>OK</v>
      </c>
      <c r="M402" t="str">
        <f>IF(COUNTIF(role_data[role_id],role_course_map[[#This Row],[role_id]])=0, "INVALID","VALID")</f>
        <v>VALID</v>
      </c>
      <c r="N402" t="str">
        <f>IF(COUNTIF(course_data[course_id],role_course_map[[#This Row],[course_id]])=0, "INVALID","VALID")</f>
        <v>VALID</v>
      </c>
    </row>
    <row r="403" spans="1:14" x14ac:dyDescent="0.35">
      <c r="A403" t="s">
        <v>270</v>
      </c>
      <c r="B403" s="5" t="str">
        <f>_xlfn.XLOOKUP(role_course_map[[#This Row],[role_id]], role_data[role_id], role_data[Role],"")</f>
        <v>Advanced Retrieval Practitioner</v>
      </c>
      <c r="C403">
        <v>999012</v>
      </c>
      <c r="D403" s="5" t="str">
        <f>_xlfn.XLOOKUP(role_course_map[[#This Row],[course_id]],course_data[course_id],course_data[title],"")</f>
        <v>Trauma</v>
      </c>
      <c r="E403" s="5" t="str">
        <f>_xlfn.XLOOKUP(role_course_map[[#This Row],[course_id]],course_data[course_id],course_data[topic],"")</f>
        <v>SAS : Clinical Practice</v>
      </c>
      <c r="F403" s="5" t="str">
        <f>_xlfn.XLOOKUP(role_course_map[[#This Row],[course_id]],course_data[course_id],course_data[type],"")</f>
        <v>Course</v>
      </c>
      <c r="K403" t="str">
        <f>role_course_map[[#This Row],[role_id]] &amp; "|" &amp; role_course_map[[#This Row],[course_id]]</f>
        <v>R0129|999012</v>
      </c>
      <c r="L403" t="str">
        <f>IF(COUNTIF(role_course_map[mapping_key],role_course_map[[#This Row],[mapping_key]])&gt;1,"DUPLICATE","OK")</f>
        <v>OK</v>
      </c>
      <c r="M403" t="str">
        <f>IF(COUNTIF(role_data[role_id],role_course_map[[#This Row],[role_id]])=0, "INVALID","VALID")</f>
        <v>VALID</v>
      </c>
      <c r="N403" t="str">
        <f>IF(COUNTIF(course_data[course_id],role_course_map[[#This Row],[course_id]])=0, "INVALID","VALID")</f>
        <v>VALID</v>
      </c>
    </row>
    <row r="404" spans="1:14" x14ac:dyDescent="0.35">
      <c r="A404" t="s">
        <v>270</v>
      </c>
      <c r="B404" s="5" t="str">
        <f>_xlfn.XLOOKUP(role_course_map[[#This Row],[role_id]], role_data[role_id], role_data[Role],"")</f>
        <v>Advanced Retrieval Practitioner</v>
      </c>
      <c r="C404">
        <v>999013</v>
      </c>
      <c r="D404" s="5" t="str">
        <f>_xlfn.XLOOKUP(role_course_map[[#This Row],[course_id]],course_data[course_id],course_data[title],"")</f>
        <v>Trauma</v>
      </c>
      <c r="E404" s="5" t="str">
        <f>_xlfn.XLOOKUP(role_course_map[[#This Row],[course_id]],course_data[course_id],course_data[topic],"")</f>
        <v>SAS : Clinical Practice</v>
      </c>
      <c r="F404" s="5" t="str">
        <f>_xlfn.XLOOKUP(role_course_map[[#This Row],[course_id]],course_data[course_id],course_data[type],"")</f>
        <v>eLearning</v>
      </c>
      <c r="K404" t="str">
        <f>role_course_map[[#This Row],[role_id]] &amp; "|" &amp; role_course_map[[#This Row],[course_id]]</f>
        <v>R0129|999013</v>
      </c>
      <c r="L404" t="str">
        <f>IF(COUNTIF(role_course_map[mapping_key],role_course_map[[#This Row],[mapping_key]])&gt;1,"DUPLICATE","OK")</f>
        <v>OK</v>
      </c>
      <c r="M404" t="str">
        <f>IF(COUNTIF(role_data[role_id],role_course_map[[#This Row],[role_id]])=0, "INVALID","VALID")</f>
        <v>VALID</v>
      </c>
      <c r="N404" t="str">
        <f>IF(COUNTIF(course_data[course_id],role_course_map[[#This Row],[course_id]])=0, "INVALID","VALID")</f>
        <v>VALID</v>
      </c>
    </row>
    <row r="405" spans="1:14" x14ac:dyDescent="0.35">
      <c r="A405" t="s">
        <v>270</v>
      </c>
      <c r="B405" s="5" t="str">
        <f>_xlfn.XLOOKUP(role_course_map[[#This Row],[role_id]], role_data[role_id], role_data[Role],"")</f>
        <v>Advanced Retrieval Practitioner</v>
      </c>
      <c r="C405">
        <v>999014</v>
      </c>
      <c r="D405" s="5" t="str">
        <f>_xlfn.XLOOKUP(role_course_map[[#This Row],[course_id]],course_data[course_id],course_data[title],"")</f>
        <v>Patient Assessment</v>
      </c>
      <c r="E405" s="5" t="str">
        <f>_xlfn.XLOOKUP(role_course_map[[#This Row],[course_id]],course_data[course_id],course_data[topic],"")</f>
        <v>SAS : Clinical Practice</v>
      </c>
      <c r="F405" s="5" t="str">
        <f>_xlfn.XLOOKUP(role_course_map[[#This Row],[course_id]],course_data[course_id],course_data[type],"")</f>
        <v>Course</v>
      </c>
      <c r="K405" t="str">
        <f>role_course_map[[#This Row],[role_id]] &amp; "|" &amp; role_course_map[[#This Row],[course_id]]</f>
        <v>R0129|999014</v>
      </c>
      <c r="L405" t="str">
        <f>IF(COUNTIF(role_course_map[mapping_key],role_course_map[[#This Row],[mapping_key]])&gt;1,"DUPLICATE","OK")</f>
        <v>OK</v>
      </c>
      <c r="M405" t="str">
        <f>IF(COUNTIF(role_data[role_id],role_course_map[[#This Row],[role_id]])=0, "INVALID","VALID")</f>
        <v>VALID</v>
      </c>
      <c r="N405" t="str">
        <f>IF(COUNTIF(course_data[course_id],role_course_map[[#This Row],[course_id]])=0, "INVALID","VALID")</f>
        <v>VALID</v>
      </c>
    </row>
    <row r="406" spans="1:14" x14ac:dyDescent="0.35">
      <c r="A406" t="s">
        <v>270</v>
      </c>
      <c r="B406" s="5" t="str">
        <f>_xlfn.XLOOKUP(role_course_map[[#This Row],[role_id]], role_data[role_id], role_data[Role],"")</f>
        <v>Advanced Retrieval Practitioner</v>
      </c>
      <c r="C406">
        <v>999015</v>
      </c>
      <c r="D406" s="5" t="str">
        <f>_xlfn.XLOOKUP(role_course_map[[#This Row],[course_id]],course_data[course_id],course_data[title],"")</f>
        <v>Patient Assessment</v>
      </c>
      <c r="E406" s="5" t="str">
        <f>_xlfn.XLOOKUP(role_course_map[[#This Row],[course_id]],course_data[course_id],course_data[topic],"")</f>
        <v>SAS : Clinical Practice</v>
      </c>
      <c r="F406" s="5" t="str">
        <f>_xlfn.XLOOKUP(role_course_map[[#This Row],[course_id]],course_data[course_id],course_data[type],"")</f>
        <v>eLearning</v>
      </c>
      <c r="K406" t="str">
        <f>role_course_map[[#This Row],[role_id]] &amp; "|" &amp; role_course_map[[#This Row],[course_id]]</f>
        <v>R0129|999015</v>
      </c>
      <c r="L406" t="str">
        <f>IF(COUNTIF(role_course_map[mapping_key],role_course_map[[#This Row],[mapping_key]])&gt;1,"DUPLICATE","OK")</f>
        <v>OK</v>
      </c>
      <c r="M406" t="str">
        <f>IF(COUNTIF(role_data[role_id],role_course_map[[#This Row],[role_id]])=0, "INVALID","VALID")</f>
        <v>VALID</v>
      </c>
      <c r="N406" t="str">
        <f>IF(COUNTIF(course_data[course_id],role_course_map[[#This Row],[course_id]])=0, "INVALID","VALID")</f>
        <v>VALID</v>
      </c>
    </row>
    <row r="407" spans="1:14" x14ac:dyDescent="0.35">
      <c r="A407" t="s">
        <v>268</v>
      </c>
      <c r="B407" s="5" t="str">
        <f>_xlfn.XLOOKUP(role_course_map[[#This Row],[role_id]], role_data[role_id], role_data[Role],"")</f>
        <v>Advanced Nurse Practitioner</v>
      </c>
      <c r="C407">
        <v>999094</v>
      </c>
      <c r="D407" s="5" t="str">
        <f>_xlfn.XLOOKUP(role_course_map[[#This Row],[course_id]],course_data[course_id],course_data[title],"")</f>
        <v>Being well, Mind, Body &amp; Workplace</v>
      </c>
      <c r="E407" s="5" t="str">
        <f>_xlfn.XLOOKUP(role_course_map[[#This Row],[course_id]],course_data[course_id],course_data[topic],"")</f>
        <v>SAS: Staff development and experience</v>
      </c>
      <c r="F407" s="5" t="str">
        <f>_xlfn.XLOOKUP(role_course_map[[#This Row],[course_id]],course_data[course_id],course_data[type],"")</f>
        <v>eLearning</v>
      </c>
      <c r="K407" t="str">
        <f>role_course_map[[#This Row],[role_id]] &amp; "|" &amp; role_course_map[[#This Row],[course_id]]</f>
        <v>R0128|999094</v>
      </c>
      <c r="L407" t="str">
        <f>IF(COUNTIF(role_course_map[mapping_key],role_course_map[[#This Row],[mapping_key]])&gt;1,"DUPLICATE","OK")</f>
        <v>OK</v>
      </c>
      <c r="M407" t="str">
        <f>IF(COUNTIF(role_data[role_id],role_course_map[[#This Row],[role_id]])=0, "INVALID","VALID")</f>
        <v>VALID</v>
      </c>
      <c r="N407" t="str">
        <f>IF(COUNTIF(course_data[course_id],role_course_map[[#This Row],[course_id]])=0, "INVALID","VALID")</f>
        <v>VALID</v>
      </c>
    </row>
    <row r="408" spans="1:14" x14ac:dyDescent="0.35">
      <c r="A408" t="s">
        <v>270</v>
      </c>
      <c r="B408" s="5" t="str">
        <f>_xlfn.XLOOKUP(role_course_map[[#This Row],[role_id]], role_data[role_id], role_data[Role],"")</f>
        <v>Advanced Retrieval Practitioner</v>
      </c>
      <c r="C408">
        <v>999018</v>
      </c>
      <c r="D408" s="5" t="str">
        <f>_xlfn.XLOOKUP(role_course_map[[#This Row],[course_id]],course_data[course_id],course_data[title],"")</f>
        <v>Learning from Events</v>
      </c>
      <c r="E408" s="5" t="str">
        <f>_xlfn.XLOOKUP(role_course_map[[#This Row],[course_id]],course_data[course_id],course_data[topic],"")</f>
        <v>SAS : Clinical Practice</v>
      </c>
      <c r="F408" s="5" t="str">
        <f>_xlfn.XLOOKUP(role_course_map[[#This Row],[course_id]],course_data[course_id],course_data[type],"")</f>
        <v>eLearning</v>
      </c>
      <c r="K408" t="str">
        <f>role_course_map[[#This Row],[role_id]] &amp; "|" &amp; role_course_map[[#This Row],[course_id]]</f>
        <v>R0129|999018</v>
      </c>
      <c r="L408" t="str">
        <f>IF(COUNTIF(role_course_map[mapping_key],role_course_map[[#This Row],[mapping_key]])&gt;1,"DUPLICATE","OK")</f>
        <v>OK</v>
      </c>
      <c r="M408" t="str">
        <f>IF(COUNTIF(role_data[role_id],role_course_map[[#This Row],[role_id]])=0, "INVALID","VALID")</f>
        <v>VALID</v>
      </c>
      <c r="N408" t="str">
        <f>IF(COUNTIF(course_data[course_id],role_course_map[[#This Row],[course_id]])=0, "INVALID","VALID")</f>
        <v>VALID</v>
      </c>
    </row>
    <row r="409" spans="1:14" x14ac:dyDescent="0.35">
      <c r="A409" t="s">
        <v>270</v>
      </c>
      <c r="B409" s="5" t="str">
        <f>_xlfn.XLOOKUP(role_course_map[[#This Row],[role_id]], role_data[role_id], role_data[Role],"")</f>
        <v>Advanced Retrieval Practitioner</v>
      </c>
      <c r="C409">
        <v>999019</v>
      </c>
      <c r="D409" s="5" t="str">
        <f>_xlfn.XLOOKUP(role_course_map[[#This Row],[course_id]],course_data[course_id],course_data[title],"")</f>
        <v>Medicines Management</v>
      </c>
      <c r="E409" s="5" t="str">
        <f>_xlfn.XLOOKUP(role_course_map[[#This Row],[course_id]],course_data[course_id],course_data[topic],"")</f>
        <v>SAS : Clinical Practice</v>
      </c>
      <c r="F409" s="5" t="str">
        <f>_xlfn.XLOOKUP(role_course_map[[#This Row],[course_id]],course_data[course_id],course_data[type],"")</f>
        <v>eLearning</v>
      </c>
      <c r="K409" t="str">
        <f>role_course_map[[#This Row],[role_id]] &amp; "|" &amp; role_course_map[[#This Row],[course_id]]</f>
        <v>R0129|999019</v>
      </c>
      <c r="L409" t="str">
        <f>IF(COUNTIF(role_course_map[mapping_key],role_course_map[[#This Row],[mapping_key]])&gt;1,"DUPLICATE","OK")</f>
        <v>OK</v>
      </c>
      <c r="M409" t="str">
        <f>IF(COUNTIF(role_data[role_id],role_course_map[[#This Row],[role_id]])=0, "INVALID","VALID")</f>
        <v>VALID</v>
      </c>
      <c r="N409" t="str">
        <f>IF(COUNTIF(course_data[course_id],role_course_map[[#This Row],[course_id]])=0, "INVALID","VALID")</f>
        <v>VALID</v>
      </c>
    </row>
    <row r="410" spans="1:14" x14ac:dyDescent="0.35">
      <c r="A410" t="s">
        <v>270</v>
      </c>
      <c r="B410" s="5" t="str">
        <f>_xlfn.XLOOKUP(role_course_map[[#This Row],[role_id]], role_data[role_id], role_data[Role],"")</f>
        <v>Advanced Retrieval Practitioner</v>
      </c>
      <c r="C410">
        <v>999020</v>
      </c>
      <c r="D410" s="5" t="str">
        <f>_xlfn.XLOOKUP(role_course_map[[#This Row],[course_id]],course_data[course_id],course_data[title],"")</f>
        <v>JRCALC Update</v>
      </c>
      <c r="E410" s="5" t="str">
        <f>_xlfn.XLOOKUP(role_course_map[[#This Row],[course_id]],course_data[course_id],course_data[topic],"")</f>
        <v>SAS : Clinical Practice</v>
      </c>
      <c r="F410" s="5" t="str">
        <f>_xlfn.XLOOKUP(role_course_map[[#This Row],[course_id]],course_data[course_id],course_data[type],"")</f>
        <v>eLearning</v>
      </c>
      <c r="K410" t="str">
        <f>role_course_map[[#This Row],[role_id]] &amp; "|" &amp; role_course_map[[#This Row],[course_id]]</f>
        <v>R0129|999020</v>
      </c>
      <c r="L410" t="str">
        <f>IF(COUNTIF(role_course_map[mapping_key],role_course_map[[#This Row],[mapping_key]])&gt;1,"DUPLICATE","OK")</f>
        <v>OK</v>
      </c>
      <c r="M410" t="str">
        <f>IF(COUNTIF(role_data[role_id],role_course_map[[#This Row],[role_id]])=0, "INVALID","VALID")</f>
        <v>VALID</v>
      </c>
      <c r="N410" t="str">
        <f>IF(COUNTIF(course_data[course_id],role_course_map[[#This Row],[course_id]])=0, "INVALID","VALID")</f>
        <v>VALID</v>
      </c>
    </row>
    <row r="411" spans="1:14" x14ac:dyDescent="0.35">
      <c r="A411" t="s">
        <v>270</v>
      </c>
      <c r="B411" s="5" t="str">
        <f>_xlfn.XLOOKUP(role_course_map[[#This Row],[role_id]], role_data[role_id], role_data[Role],"")</f>
        <v>Advanced Retrieval Practitioner</v>
      </c>
      <c r="C411">
        <v>999021</v>
      </c>
      <c r="D411" s="5" t="str">
        <f>_xlfn.XLOOKUP(role_course_map[[#This Row],[course_id]],course_data[course_id],course_data[title],"")</f>
        <v>Mental Health</v>
      </c>
      <c r="E411" s="5" t="str">
        <f>_xlfn.XLOOKUP(role_course_map[[#This Row],[course_id]],course_data[course_id],course_data[topic],"")</f>
        <v>SAS : Clinical Practice</v>
      </c>
      <c r="F411" s="5" t="str">
        <f>_xlfn.XLOOKUP(role_course_map[[#This Row],[course_id]],course_data[course_id],course_data[type],"")</f>
        <v>eLearning</v>
      </c>
      <c r="K411" t="str">
        <f>role_course_map[[#This Row],[role_id]] &amp; "|" &amp; role_course_map[[#This Row],[course_id]]</f>
        <v>R0129|999021</v>
      </c>
      <c r="L411" t="str">
        <f>IF(COUNTIF(role_course_map[mapping_key],role_course_map[[#This Row],[mapping_key]])&gt;1,"DUPLICATE","OK")</f>
        <v>OK</v>
      </c>
      <c r="M411" t="str">
        <f>IF(COUNTIF(role_data[role_id],role_course_map[[#This Row],[role_id]])=0, "INVALID","VALID")</f>
        <v>VALID</v>
      </c>
      <c r="N411" t="str">
        <f>IF(COUNTIF(course_data[course_id],role_course_map[[#This Row],[course_id]])=0, "INVALID","VALID")</f>
        <v>VALID</v>
      </c>
    </row>
    <row r="412" spans="1:14" x14ac:dyDescent="0.35">
      <c r="A412" t="s">
        <v>270</v>
      </c>
      <c r="B412" s="5" t="str">
        <f>_xlfn.XLOOKUP(role_course_map[[#This Row],[role_id]], role_data[role_id], role_data[Role],"")</f>
        <v>Advanced Retrieval Practitioner</v>
      </c>
      <c r="C412">
        <v>999022</v>
      </c>
      <c r="D412" s="5" t="str">
        <f>_xlfn.XLOOKUP(role_course_map[[#This Row],[course_id]],course_data[course_id],course_data[title],"")</f>
        <v>Learning Disabilities</v>
      </c>
      <c r="E412" s="5" t="str">
        <f>_xlfn.XLOOKUP(role_course_map[[#This Row],[course_id]],course_data[course_id],course_data[topic],"")</f>
        <v>SAS : Clinical Practice</v>
      </c>
      <c r="F412" s="5" t="str">
        <f>_xlfn.XLOOKUP(role_course_map[[#This Row],[course_id]],course_data[course_id],course_data[type],"")</f>
        <v>eLearning</v>
      </c>
      <c r="K412" t="str">
        <f>role_course_map[[#This Row],[role_id]] &amp; "|" &amp; role_course_map[[#This Row],[course_id]]</f>
        <v>R0129|999022</v>
      </c>
      <c r="L412" t="str">
        <f>IF(COUNTIF(role_course_map[mapping_key],role_course_map[[#This Row],[mapping_key]])&gt;1,"DUPLICATE","OK")</f>
        <v>OK</v>
      </c>
      <c r="M412" t="str">
        <f>IF(COUNTIF(role_data[role_id],role_course_map[[#This Row],[role_id]])=0, "INVALID","VALID")</f>
        <v>VALID</v>
      </c>
      <c r="N412" t="str">
        <f>IF(COUNTIF(course_data[course_id],role_course_map[[#This Row],[course_id]])=0, "INVALID","VALID")</f>
        <v>VALID</v>
      </c>
    </row>
    <row r="413" spans="1:14" x14ac:dyDescent="0.35">
      <c r="A413" t="s">
        <v>270</v>
      </c>
      <c r="B413" s="5" t="str">
        <f>_xlfn.XLOOKUP(role_course_map[[#This Row],[role_id]], role_data[role_id], role_data[Role],"")</f>
        <v>Advanced Retrieval Practitioner</v>
      </c>
      <c r="C413">
        <v>75202</v>
      </c>
      <c r="D413" s="5" t="str">
        <f>_xlfn.XLOOKUP(role_course_map[[#This Row],[course_id]],course_data[course_id],course_data[title],"")</f>
        <v>SAS : Clinical Practice</v>
      </c>
      <c r="E413" s="5" t="str">
        <f>_xlfn.XLOOKUP(role_course_map[[#This Row],[course_id]],course_data[course_id],course_data[topic],"")</f>
        <v>SAS : Clinical Practice</v>
      </c>
      <c r="F413" s="5" t="str">
        <f>_xlfn.XLOOKUP(role_course_map[[#This Row],[course_id]],course_data[course_id],course_data[type],"")</f>
        <v>Page</v>
      </c>
      <c r="K413" t="str">
        <f>role_course_map[[#This Row],[role_id]] &amp; "|" &amp; role_course_map[[#This Row],[course_id]]</f>
        <v>R0129|75202</v>
      </c>
      <c r="L413" t="str">
        <f>IF(COUNTIF(role_course_map[mapping_key],role_course_map[[#This Row],[mapping_key]])&gt;1,"DUPLICATE","OK")</f>
        <v>OK</v>
      </c>
      <c r="M413" t="str">
        <f>IF(COUNTIF(role_data[role_id],role_course_map[[#This Row],[role_id]])=0, "INVALID","VALID")</f>
        <v>VALID</v>
      </c>
      <c r="N413" t="str">
        <f>IF(COUNTIF(course_data[course_id],role_course_map[[#This Row],[course_id]])=0, "INVALID","VALID")</f>
        <v>VALID</v>
      </c>
    </row>
    <row r="414" spans="1:14" x14ac:dyDescent="0.35">
      <c r="A414" t="s">
        <v>270</v>
      </c>
      <c r="B414" s="5" t="str">
        <f>_xlfn.XLOOKUP(role_course_map[[#This Row],[role_id]], role_data[role_id], role_data[Role],"")</f>
        <v>Advanced Retrieval Practitioner</v>
      </c>
      <c r="C414">
        <v>999023</v>
      </c>
      <c r="D414" s="5" t="str">
        <f>_xlfn.XLOOKUP(role_course_map[[#This Row],[course_id]],course_data[course_id],course_data[title],"")</f>
        <v>Dementia</v>
      </c>
      <c r="E414" s="5" t="str">
        <f>_xlfn.XLOOKUP(role_course_map[[#This Row],[course_id]],course_data[course_id],course_data[topic],"")</f>
        <v>SAS : Clinical Practice</v>
      </c>
      <c r="F414" s="5" t="str">
        <f>_xlfn.XLOOKUP(role_course_map[[#This Row],[course_id]],course_data[course_id],course_data[type],"")</f>
        <v>eLearning</v>
      </c>
      <c r="K414" t="str">
        <f>role_course_map[[#This Row],[role_id]] &amp; "|" &amp; role_course_map[[#This Row],[course_id]]</f>
        <v>R0129|999023</v>
      </c>
      <c r="L414" t="str">
        <f>IF(COUNTIF(role_course_map[mapping_key],role_course_map[[#This Row],[mapping_key]])&gt;1,"DUPLICATE","OK")</f>
        <v>OK</v>
      </c>
      <c r="M414" t="str">
        <f>IF(COUNTIF(role_data[role_id],role_course_map[[#This Row],[role_id]])=0, "INVALID","VALID")</f>
        <v>VALID</v>
      </c>
      <c r="N414" t="str">
        <f>IF(COUNTIF(course_data[course_id],role_course_map[[#This Row],[course_id]])=0, "INVALID","VALID")</f>
        <v>VALID</v>
      </c>
    </row>
    <row r="415" spans="1:14" x14ac:dyDescent="0.35">
      <c r="A415" t="s">
        <v>270</v>
      </c>
      <c r="B415" s="5" t="str">
        <f>_xlfn.XLOOKUP(role_course_map[[#This Row],[role_id]], role_data[role_id], role_data[Role],"")</f>
        <v>Advanced Retrieval Practitioner</v>
      </c>
      <c r="C415">
        <v>999095</v>
      </c>
      <c r="D415" s="5" t="str">
        <f>_xlfn.XLOOKUP(role_course_map[[#This Row],[course_id]],course_data[course_id],course_data[title],"")</f>
        <v>Mentoring</v>
      </c>
      <c r="E415" s="5" t="str">
        <f>_xlfn.XLOOKUP(role_course_map[[#This Row],[course_id]],course_data[course_id],course_data[topic],"")</f>
        <v>SAS: Staff development and experience</v>
      </c>
      <c r="F415" s="5" t="str">
        <f>_xlfn.XLOOKUP(role_course_map[[#This Row],[course_id]],course_data[course_id],course_data[type],"")</f>
        <v>eLearning</v>
      </c>
      <c r="K415" t="str">
        <f>role_course_map[[#This Row],[role_id]] &amp; "|" &amp; role_course_map[[#This Row],[course_id]]</f>
        <v>R0129|999095</v>
      </c>
      <c r="L415" t="str">
        <f>IF(COUNTIF(role_course_map[mapping_key],role_course_map[[#This Row],[mapping_key]])&gt;1,"DUPLICATE","OK")</f>
        <v>OK</v>
      </c>
      <c r="M415" t="str">
        <f>IF(COUNTIF(role_data[role_id],role_course_map[[#This Row],[role_id]])=0, "INVALID","VALID")</f>
        <v>VALID</v>
      </c>
      <c r="N415" t="str">
        <f>IF(COUNTIF(course_data[course_id],role_course_map[[#This Row],[course_id]])=0, "INVALID","VALID")</f>
        <v>VALID</v>
      </c>
    </row>
    <row r="416" spans="1:14" x14ac:dyDescent="0.35">
      <c r="A416" t="s">
        <v>270</v>
      </c>
      <c r="B416" s="5" t="str">
        <f>_xlfn.XLOOKUP(role_course_map[[#This Row],[role_id]], role_data[role_id], role_data[Role],"")</f>
        <v>Advanced Retrieval Practitioner</v>
      </c>
      <c r="C416">
        <v>999096</v>
      </c>
      <c r="D416" s="5" t="str">
        <f>_xlfn.XLOOKUP(role_course_map[[#This Row],[course_id]],course_data[course_id],course_data[title],"")</f>
        <v>Supporting others in practice (Supervision)</v>
      </c>
      <c r="E416" s="5" t="str">
        <f>_xlfn.XLOOKUP(role_course_map[[#This Row],[course_id]],course_data[course_id],course_data[topic],"")</f>
        <v>SAS: Staff development and experience</v>
      </c>
      <c r="F416" s="5" t="str">
        <f>_xlfn.XLOOKUP(role_course_map[[#This Row],[course_id]],course_data[course_id],course_data[type],"")</f>
        <v>Course</v>
      </c>
      <c r="K416" t="str">
        <f>role_course_map[[#This Row],[role_id]] &amp; "|" &amp; role_course_map[[#This Row],[course_id]]</f>
        <v>R0129|999096</v>
      </c>
      <c r="L416" t="str">
        <f>IF(COUNTIF(role_course_map[mapping_key],role_course_map[[#This Row],[mapping_key]])&gt;1,"DUPLICATE","OK")</f>
        <v>OK</v>
      </c>
      <c r="M416" t="str">
        <f>IF(COUNTIF(role_data[role_id],role_course_map[[#This Row],[role_id]])=0, "INVALID","VALID")</f>
        <v>VALID</v>
      </c>
      <c r="N416" t="str">
        <f>IF(COUNTIF(course_data[course_id],role_course_map[[#This Row],[course_id]])=0, "INVALID","VALID")</f>
        <v>VALID</v>
      </c>
    </row>
    <row r="417" spans="1:14" x14ac:dyDescent="0.35">
      <c r="A417" t="s">
        <v>270</v>
      </c>
      <c r="B417" s="5" t="str">
        <f>_xlfn.XLOOKUP(role_course_map[[#This Row],[role_id]], role_data[role_id], role_data[Role],"")</f>
        <v>Advanced Retrieval Practitioner</v>
      </c>
      <c r="C417">
        <v>999097</v>
      </c>
      <c r="D417" s="5" t="str">
        <f>_xlfn.XLOOKUP(role_course_map[[#This Row],[course_id]],course_data[course_id],course_data[title],"")</f>
        <v>Personal Wellbeing</v>
      </c>
      <c r="E417" s="5" t="str">
        <f>_xlfn.XLOOKUP(role_course_map[[#This Row],[course_id]],course_data[course_id],course_data[topic],"")</f>
        <v>SAS: Staff development and experience</v>
      </c>
      <c r="F417" s="5" t="str">
        <f>_xlfn.XLOOKUP(role_course_map[[#This Row],[course_id]],course_data[course_id],course_data[type],"")</f>
        <v>eLearning</v>
      </c>
      <c r="K417" t="str">
        <f>role_course_map[[#This Row],[role_id]] &amp; "|" &amp; role_course_map[[#This Row],[course_id]]</f>
        <v>R0129|999097</v>
      </c>
      <c r="L417" t="str">
        <f>IF(COUNTIF(role_course_map[mapping_key],role_course_map[[#This Row],[mapping_key]])&gt;1,"DUPLICATE","OK")</f>
        <v>OK</v>
      </c>
      <c r="M417" t="str">
        <f>IF(COUNTIF(role_data[role_id],role_course_map[[#This Row],[role_id]])=0, "INVALID","VALID")</f>
        <v>VALID</v>
      </c>
      <c r="N417" t="str">
        <f>IF(COUNTIF(course_data[course_id],role_course_map[[#This Row],[course_id]])=0, "INVALID","VALID")</f>
        <v>VALID</v>
      </c>
    </row>
    <row r="418" spans="1:14" x14ac:dyDescent="0.35">
      <c r="A418" t="s">
        <v>270</v>
      </c>
      <c r="B418" s="5" t="str">
        <f>_xlfn.XLOOKUP(role_course_map[[#This Row],[role_id]], role_data[role_id], role_data[Role],"")</f>
        <v>Advanced Retrieval Practitioner</v>
      </c>
      <c r="C418">
        <v>79147</v>
      </c>
      <c r="D418" s="5" t="str">
        <f>_xlfn.XLOOKUP(role_course_map[[#This Row],[course_id]],course_data[course_id],course_data[title],"")</f>
        <v>Driving risks at work</v>
      </c>
      <c r="E418" s="5" t="str">
        <f>_xlfn.XLOOKUP(role_course_map[[#This Row],[course_id]],course_data[course_id],course_data[topic],"")</f>
        <v>SAS : Health and Safety</v>
      </c>
      <c r="F418" s="5" t="str">
        <f>_xlfn.XLOOKUP(role_course_map[[#This Row],[course_id]],course_data[course_id],course_data[type],"")</f>
        <v>eLearning</v>
      </c>
      <c r="K418" t="str">
        <f>role_course_map[[#This Row],[role_id]] &amp; "|" &amp; role_course_map[[#This Row],[course_id]]</f>
        <v>R0129|79147</v>
      </c>
      <c r="L418" t="str">
        <f>IF(COUNTIF(role_course_map[mapping_key],role_course_map[[#This Row],[mapping_key]])&gt;1,"DUPLICATE","OK")</f>
        <v>OK</v>
      </c>
      <c r="M418" t="str">
        <f>IF(COUNTIF(role_data[role_id],role_course_map[[#This Row],[role_id]])=0, "INVALID","VALID")</f>
        <v>VALID</v>
      </c>
      <c r="N418" t="str">
        <f>IF(COUNTIF(course_data[course_id],role_course_map[[#This Row],[course_id]])=0, "INVALID","VALID")</f>
        <v>VALID</v>
      </c>
    </row>
    <row r="419" spans="1:14" x14ac:dyDescent="0.35">
      <c r="A419" t="s">
        <v>270</v>
      </c>
      <c r="B419" s="5" t="str">
        <f>_xlfn.XLOOKUP(role_course_map[[#This Row],[role_id]], role_data[role_id], role_data[Role],"")</f>
        <v>Advanced Retrieval Practitioner</v>
      </c>
      <c r="C419">
        <v>999066</v>
      </c>
      <c r="D419" s="5" t="str">
        <f>_xlfn.XLOOKUP(role_course_map[[#This Row],[course_id]],course_data[course_id],course_data[title],"")</f>
        <v>NRRD Update i.e. Major Incidents/Methane/ Multiple Casualities</v>
      </c>
      <c r="E419" s="5" t="str">
        <f>_xlfn.XLOOKUP(role_course_map[[#This Row],[course_id]],course_data[course_id],course_data[topic],"")</f>
        <v>SAS : National Risk and Resilience Department (NRRD)</v>
      </c>
      <c r="F419" s="5" t="str">
        <f>_xlfn.XLOOKUP(role_course_map[[#This Row],[course_id]],course_data[course_id],course_data[type],"")</f>
        <v>eLearning</v>
      </c>
      <c r="K419" t="str">
        <f>role_course_map[[#This Row],[role_id]] &amp; "|" &amp; role_course_map[[#This Row],[course_id]]</f>
        <v>R0129|999066</v>
      </c>
      <c r="L419" t="str">
        <f>IF(COUNTIF(role_course_map[mapping_key],role_course_map[[#This Row],[mapping_key]])&gt;1,"DUPLICATE","OK")</f>
        <v>OK</v>
      </c>
      <c r="M419" t="str">
        <f>IF(COUNTIF(role_data[role_id],role_course_map[[#This Row],[role_id]])=0, "INVALID","VALID")</f>
        <v>VALID</v>
      </c>
      <c r="N419" t="str">
        <f>IF(COUNTIF(course_data[course_id],role_course_map[[#This Row],[course_id]])=0, "INVALID","VALID")</f>
        <v>VALID</v>
      </c>
    </row>
    <row r="420" spans="1:14" x14ac:dyDescent="0.35">
      <c r="A420" t="s">
        <v>270</v>
      </c>
      <c r="B420" s="5" t="str">
        <f>_xlfn.XLOOKUP(role_course_map[[#This Row],[role_id]], role_data[role_id], role_data[Role],"")</f>
        <v>Advanced Retrieval Practitioner</v>
      </c>
      <c r="C420">
        <v>999025</v>
      </c>
      <c r="D420" s="5" t="str">
        <f>_xlfn.XLOOKUP(role_course_map[[#This Row],[course_id]],course_data[course_id],course_data[title],"")</f>
        <v>Professional Standards</v>
      </c>
      <c r="E420" s="5" t="str">
        <f>_xlfn.XLOOKUP(role_course_map[[#This Row],[course_id]],course_data[course_id],course_data[topic],"")</f>
        <v>SAS : Clinical Practice</v>
      </c>
      <c r="F420" s="5" t="str">
        <f>_xlfn.XLOOKUP(role_course_map[[#This Row],[course_id]],course_data[course_id],course_data[type],"")</f>
        <v>eLearning</v>
      </c>
      <c r="K420" t="str">
        <f>role_course_map[[#This Row],[role_id]] &amp; "|" &amp; role_course_map[[#This Row],[course_id]]</f>
        <v>R0129|999025</v>
      </c>
      <c r="L420" t="str">
        <f>IF(COUNTIF(role_course_map[mapping_key],role_course_map[[#This Row],[mapping_key]])&gt;1,"DUPLICATE","OK")</f>
        <v>OK</v>
      </c>
      <c r="M420" t="str">
        <f>IF(COUNTIF(role_data[role_id],role_course_map[[#This Row],[role_id]])=0, "INVALID","VALID")</f>
        <v>VALID</v>
      </c>
      <c r="N420" t="str">
        <f>IF(COUNTIF(course_data[course_id],role_course_map[[#This Row],[course_id]])=0, "INVALID","VALID")</f>
        <v>VALID</v>
      </c>
    </row>
    <row r="421" spans="1:14" x14ac:dyDescent="0.35">
      <c r="A421" t="s">
        <v>270</v>
      </c>
      <c r="B421" s="5" t="str">
        <f>_xlfn.XLOOKUP(role_course_map[[#This Row],[role_id]], role_data[role_id], role_data[Role],"")</f>
        <v>Advanced Retrieval Practitioner</v>
      </c>
      <c r="C421">
        <v>999058</v>
      </c>
      <c r="D421" s="5" t="str">
        <f>_xlfn.XLOOKUP(role_course_map[[#This Row],[course_id]],course_data[course_id],course_data[title],"")</f>
        <v>Stress Identification &amp; Stress Management</v>
      </c>
      <c r="E421" s="5" t="str">
        <f>_xlfn.XLOOKUP(role_course_map[[#This Row],[course_id]],course_data[course_id],course_data[topic],"")</f>
        <v>SAS : Health and Safety</v>
      </c>
      <c r="F421" s="5" t="str">
        <f>_xlfn.XLOOKUP(role_course_map[[#This Row],[course_id]],course_data[course_id],course_data[type],"")</f>
        <v>eLearning</v>
      </c>
      <c r="K421" t="str">
        <f>role_course_map[[#This Row],[role_id]] &amp; "|" &amp; role_course_map[[#This Row],[course_id]]</f>
        <v>R0129|999058</v>
      </c>
      <c r="L421" t="str">
        <f>IF(COUNTIF(role_course_map[mapping_key],role_course_map[[#This Row],[mapping_key]])&gt;1,"DUPLICATE","OK")</f>
        <v>OK</v>
      </c>
      <c r="M421" t="str">
        <f>IF(COUNTIF(role_data[role_id],role_course_map[[#This Row],[role_id]])=0, "INVALID","VALID")</f>
        <v>VALID</v>
      </c>
      <c r="N421" t="str">
        <f>IF(COUNTIF(course_data[course_id],role_course_map[[#This Row],[course_id]])=0, "INVALID","VALID")</f>
        <v>VALID</v>
      </c>
    </row>
    <row r="422" spans="1:14" x14ac:dyDescent="0.35">
      <c r="A422" t="s">
        <v>270</v>
      </c>
      <c r="B422" s="5" t="str">
        <f>_xlfn.XLOOKUP(role_course_map[[#This Row],[role_id]], role_data[role_id], role_data[Role],"")</f>
        <v>Advanced Retrieval Practitioner</v>
      </c>
      <c r="C422">
        <v>999061</v>
      </c>
      <c r="D422" s="5" t="str">
        <f>_xlfn.XLOOKUP(role_course_map[[#This Row],[course_id]],course_data[course_id],course_data[title],"")</f>
        <v>Skin Awareness</v>
      </c>
      <c r="E422" s="5" t="str">
        <f>_xlfn.XLOOKUP(role_course_map[[#This Row],[course_id]],course_data[course_id],course_data[topic],"")</f>
        <v>SAS : Health and Safety</v>
      </c>
      <c r="F422" s="5" t="str">
        <f>_xlfn.XLOOKUP(role_course_map[[#This Row],[course_id]],course_data[course_id],course_data[type],"")</f>
        <v>eLearning</v>
      </c>
      <c r="K422" t="str">
        <f>role_course_map[[#This Row],[role_id]] &amp; "|" &amp; role_course_map[[#This Row],[course_id]]</f>
        <v>R0129|999061</v>
      </c>
      <c r="L422" t="str">
        <f>IF(COUNTIF(role_course_map[mapping_key],role_course_map[[#This Row],[mapping_key]])&gt;1,"DUPLICATE","OK")</f>
        <v>OK</v>
      </c>
      <c r="M422" t="str">
        <f>IF(COUNTIF(role_data[role_id],role_course_map[[#This Row],[role_id]])=0, "INVALID","VALID")</f>
        <v>VALID</v>
      </c>
      <c r="N422" t="str">
        <f>IF(COUNTIF(course_data[course_id],role_course_map[[#This Row],[course_id]])=0, "INVALID","VALID")</f>
        <v>VALID</v>
      </c>
    </row>
    <row r="423" spans="1:14" x14ac:dyDescent="0.35">
      <c r="A423" t="s">
        <v>270</v>
      </c>
      <c r="B423" s="5" t="str">
        <f>_xlfn.XLOOKUP(role_course_map[[#This Row],[role_id]], role_data[role_id], role_data[Role],"")</f>
        <v>Advanced Retrieval Practitioner</v>
      </c>
      <c r="C423">
        <v>999027</v>
      </c>
      <c r="D423" s="5" t="str">
        <f>_xlfn.XLOOKUP(role_course_map[[#This Row],[course_id]],course_data[course_id],course_data[title],"")</f>
        <v>Manual and Patient Handling Foundation Training - Level 2</v>
      </c>
      <c r="E423" s="5" t="str">
        <f>_xlfn.XLOOKUP(role_course_map[[#This Row],[course_id]],course_data[course_id],course_data[topic],"")</f>
        <v>SAS : Clinical Practice</v>
      </c>
      <c r="F423" s="5" t="str">
        <f>_xlfn.XLOOKUP(role_course_map[[#This Row],[course_id]],course_data[course_id],course_data[type],"")</f>
        <v>Course</v>
      </c>
      <c r="K423" t="str">
        <f>role_course_map[[#This Row],[role_id]] &amp; "|" &amp; role_course_map[[#This Row],[course_id]]</f>
        <v>R0129|999027</v>
      </c>
      <c r="L423" t="str">
        <f>IF(COUNTIF(role_course_map[mapping_key],role_course_map[[#This Row],[mapping_key]])&gt;1,"DUPLICATE","OK")</f>
        <v>OK</v>
      </c>
      <c r="M423" t="str">
        <f>IF(COUNTIF(role_data[role_id],role_course_map[[#This Row],[role_id]])=0, "INVALID","VALID")</f>
        <v>VALID</v>
      </c>
      <c r="N423" t="str">
        <f>IF(COUNTIF(course_data[course_id],role_course_map[[#This Row],[course_id]])=0, "INVALID","VALID")</f>
        <v>VALID</v>
      </c>
    </row>
    <row r="424" spans="1:14" x14ac:dyDescent="0.35">
      <c r="A424" t="s">
        <v>270</v>
      </c>
      <c r="B424" s="5" t="str">
        <f>_xlfn.XLOOKUP(role_course_map[[#This Row],[role_id]], role_data[role_id], role_data[Role],"")</f>
        <v>Advanced Retrieval Practitioner</v>
      </c>
      <c r="C424">
        <v>999028</v>
      </c>
      <c r="D424" s="5" t="str">
        <f>_xlfn.XLOOKUP(role_course_map[[#This Row],[course_id]],course_data[course_id],course_data[title],"")</f>
        <v>Manual and Patient Handling Competency Assessment - Level 3</v>
      </c>
      <c r="E424" s="5" t="str">
        <f>_xlfn.XLOOKUP(role_course_map[[#This Row],[course_id]],course_data[course_id],course_data[topic],"")</f>
        <v>SAS : Clinical Practice</v>
      </c>
      <c r="F424" s="5" t="str">
        <f>_xlfn.XLOOKUP(role_course_map[[#This Row],[course_id]],course_data[course_id],course_data[type],"")</f>
        <v>Course</v>
      </c>
      <c r="K424" t="str">
        <f>role_course_map[[#This Row],[role_id]] &amp; "|" &amp; role_course_map[[#This Row],[course_id]]</f>
        <v>R0129|999028</v>
      </c>
      <c r="L424" t="str">
        <f>IF(COUNTIF(role_course_map[mapping_key],role_course_map[[#This Row],[mapping_key]])&gt;1,"DUPLICATE","OK")</f>
        <v>OK</v>
      </c>
      <c r="M424" t="str">
        <f>IF(COUNTIF(role_data[role_id],role_course_map[[#This Row],[role_id]])=0, "INVALID","VALID")</f>
        <v>VALID</v>
      </c>
      <c r="N424" t="str">
        <f>IF(COUNTIF(course_data[course_id],role_course_map[[#This Row],[course_id]])=0, "INVALID","VALID")</f>
        <v>VALID</v>
      </c>
    </row>
    <row r="425" spans="1:14" x14ac:dyDescent="0.35">
      <c r="A425" t="s">
        <v>270</v>
      </c>
      <c r="B425" s="5" t="str">
        <f>_xlfn.XLOOKUP(role_course_map[[#This Row],[role_id]], role_data[role_id], role_data[Role],"")</f>
        <v>Advanced Retrieval Practitioner</v>
      </c>
      <c r="C425">
        <v>999029</v>
      </c>
      <c r="D425" s="5" t="str">
        <f>_xlfn.XLOOKUP(role_course_map[[#This Row],[course_id]],course_data[course_id],course_data[title],"")</f>
        <v>Manual and Patient Handling Competency Assessment Theory - Level 3</v>
      </c>
      <c r="E425" s="5" t="str">
        <f>_xlfn.XLOOKUP(role_course_map[[#This Row],[course_id]],course_data[course_id],course_data[topic],"")</f>
        <v>SAS : Clinical Practice</v>
      </c>
      <c r="F425" s="5" t="str">
        <f>_xlfn.XLOOKUP(role_course_map[[#This Row],[course_id]],course_data[course_id],course_data[type],"")</f>
        <v>Course</v>
      </c>
      <c r="K425" t="str">
        <f>role_course_map[[#This Row],[role_id]] &amp; "|" &amp; role_course_map[[#This Row],[course_id]]</f>
        <v>R0129|999029</v>
      </c>
      <c r="L425" t="str">
        <f>IF(COUNTIF(role_course_map[mapping_key],role_course_map[[#This Row],[mapping_key]])&gt;1,"DUPLICATE","OK")</f>
        <v>OK</v>
      </c>
      <c r="M425" t="str">
        <f>IF(COUNTIF(role_data[role_id],role_course_map[[#This Row],[role_id]])=0, "INVALID","VALID")</f>
        <v>VALID</v>
      </c>
      <c r="N425" t="str">
        <f>IF(COUNTIF(course_data[course_id],role_course_map[[#This Row],[course_id]])=0, "INVALID","VALID")</f>
        <v>VALID</v>
      </c>
    </row>
    <row r="426" spans="1:14" x14ac:dyDescent="0.35">
      <c r="A426" t="s">
        <v>270</v>
      </c>
      <c r="B426" s="5" t="str">
        <f>_xlfn.XLOOKUP(role_course_map[[#This Row],[role_id]], role_data[role_id], role_data[Role],"")</f>
        <v>Advanced Retrieval Practitioner</v>
      </c>
      <c r="C426" t="s">
        <v>659</v>
      </c>
      <c r="D426" s="5" t="str">
        <f>_xlfn.XLOOKUP(role_course_map[[#This Row],[course_id]],course_data[course_id],course_data[title],"")</f>
        <v>Prevention and Management of Violence and Aggression - Breakaway training Level 2 /Restrictive movement Level 3</v>
      </c>
      <c r="E426" s="5" t="str">
        <f>_xlfn.XLOOKUP(role_course_map[[#This Row],[course_id]],course_data[course_id],course_data[topic],"")</f>
        <v>SAS : Health and Safety</v>
      </c>
      <c r="F426" s="5" t="str">
        <f>_xlfn.XLOOKUP(role_course_map[[#This Row],[course_id]],course_data[course_id],course_data[type],"")</f>
        <v>Course</v>
      </c>
      <c r="K426" t="str">
        <f>role_course_map[[#This Row],[role_id]] &amp; "|" &amp; role_course_map[[#This Row],[course_id]]</f>
        <v>R0129|2025-6 edition</v>
      </c>
      <c r="L426" t="str">
        <f>IF(COUNTIF(role_course_map[mapping_key],role_course_map[[#This Row],[mapping_key]])&gt;1,"DUPLICATE","OK")</f>
        <v>OK</v>
      </c>
      <c r="M426" t="str">
        <f>IF(COUNTIF(role_data[role_id],role_course_map[[#This Row],[role_id]])=0, "INVALID","VALID")</f>
        <v>VALID</v>
      </c>
      <c r="N426" t="str">
        <f>IF(COUNTIF(course_data[course_id],role_course_map[[#This Row],[course_id]])=0, "INVALID","VALID")</f>
        <v>VALID</v>
      </c>
    </row>
    <row r="427" spans="1:14" x14ac:dyDescent="0.35">
      <c r="A427" t="s">
        <v>270</v>
      </c>
      <c r="B427" s="5" t="str">
        <f>_xlfn.XLOOKUP(role_course_map[[#This Row],[role_id]], role_data[role_id], role_data[Role],"")</f>
        <v>Advanced Retrieval Practitioner</v>
      </c>
      <c r="C427">
        <v>999055</v>
      </c>
      <c r="D427" s="5" t="str">
        <f>_xlfn.XLOOKUP(role_course_map[[#This Row],[course_id]],course_data[course_id],course_data[title],"")</f>
        <v>Prevention and Management of Violence and Aggression - Refresher</v>
      </c>
      <c r="E427" s="5" t="str">
        <f>_xlfn.XLOOKUP(role_course_map[[#This Row],[course_id]],course_data[course_id],course_data[topic],"")</f>
        <v>SAS : Health and Safety</v>
      </c>
      <c r="F427" s="5" t="str">
        <f>_xlfn.XLOOKUP(role_course_map[[#This Row],[course_id]],course_data[course_id],course_data[type],"")</f>
        <v>Course</v>
      </c>
      <c r="K427" t="str">
        <f>role_course_map[[#This Row],[role_id]] &amp; "|" &amp; role_course_map[[#This Row],[course_id]]</f>
        <v>R0129|999055</v>
      </c>
      <c r="L427" t="str">
        <f>IF(COUNTIF(role_course_map[mapping_key],role_course_map[[#This Row],[mapping_key]])&gt;1,"DUPLICATE","OK")</f>
        <v>OK</v>
      </c>
      <c r="M427" t="str">
        <f>IF(COUNTIF(role_data[role_id],role_course_map[[#This Row],[role_id]])=0, "INVALID","VALID")</f>
        <v>VALID</v>
      </c>
      <c r="N427" t="str">
        <f>IF(COUNTIF(course_data[course_id],role_course_map[[#This Row],[course_id]])=0, "INVALID","VALID")</f>
        <v>VALID</v>
      </c>
    </row>
    <row r="428" spans="1:14" x14ac:dyDescent="0.35">
      <c r="A428" t="s">
        <v>270</v>
      </c>
      <c r="B428" s="5" t="str">
        <f>_xlfn.XLOOKUP(role_course_map[[#This Row],[role_id]], role_data[role_id], role_data[Role],"")</f>
        <v>Advanced Retrieval Practitioner</v>
      </c>
      <c r="C428">
        <v>64322</v>
      </c>
      <c r="D428" s="5" t="str">
        <f>_xlfn.XLOOKUP(role_course_map[[#This Row],[course_id]],course_data[course_id],course_data[title],"")</f>
        <v>Adult support and protection: practice level 2 [skilled]</v>
      </c>
      <c r="E428" s="5" t="str">
        <f>_xlfn.XLOOKUP(role_course_map[[#This Row],[course_id]],course_data[course_id],course_data[topic],"")</f>
        <v>SAS : Public Protection</v>
      </c>
      <c r="F428" s="5" t="str">
        <f>_xlfn.XLOOKUP(role_course_map[[#This Row],[course_id]],course_data[course_id],course_data[type],"")</f>
        <v>eLearning</v>
      </c>
      <c r="K428" t="str">
        <f>role_course_map[[#This Row],[role_id]] &amp; "|" &amp; role_course_map[[#This Row],[course_id]]</f>
        <v>R0129|64322</v>
      </c>
      <c r="L428" t="str">
        <f>IF(COUNTIF(role_course_map[mapping_key],role_course_map[[#This Row],[mapping_key]])&gt;1,"DUPLICATE","OK")</f>
        <v>OK</v>
      </c>
      <c r="M428" t="str">
        <f>IF(COUNTIF(role_data[role_id],role_course_map[[#This Row],[role_id]])=0, "INVALID","VALID")</f>
        <v>VALID</v>
      </c>
      <c r="N428" t="str">
        <f>IF(COUNTIF(course_data[course_id],role_course_map[[#This Row],[course_id]])=0, "INVALID","VALID")</f>
        <v>VALID</v>
      </c>
    </row>
    <row r="429" spans="1:14" x14ac:dyDescent="0.35">
      <c r="A429" t="s">
        <v>270</v>
      </c>
      <c r="B429" s="5" t="str">
        <f>_xlfn.XLOOKUP(role_course_map[[#This Row],[role_id]], role_data[role_id], role_data[Role],"")</f>
        <v>Advanced Retrieval Practitioner</v>
      </c>
      <c r="C429">
        <v>64324</v>
      </c>
      <c r="D429" s="5" t="str">
        <f>_xlfn.XLOOKUP(role_course_map[[#This Row],[course_id]],course_data[course_id],course_data[title],"")</f>
        <v>Child protection: practice level 2 [skilled]</v>
      </c>
      <c r="E429" s="5" t="str">
        <f>_xlfn.XLOOKUP(role_course_map[[#This Row],[course_id]],course_data[course_id],course_data[topic],"")</f>
        <v>SAS : Public Protection</v>
      </c>
      <c r="F429" s="5" t="str">
        <f>_xlfn.XLOOKUP(role_course_map[[#This Row],[course_id]],course_data[course_id],course_data[type],"")</f>
        <v>eLearning</v>
      </c>
      <c r="K429" t="str">
        <f>role_course_map[[#This Row],[role_id]] &amp; "|" &amp; role_course_map[[#This Row],[course_id]]</f>
        <v>R0129|64324</v>
      </c>
      <c r="L429" t="str">
        <f>IF(COUNTIF(role_course_map[mapping_key],role_course_map[[#This Row],[mapping_key]])&gt;1,"DUPLICATE","OK")</f>
        <v>OK</v>
      </c>
      <c r="M429" t="str">
        <f>IF(COUNTIF(role_data[role_id],role_course_map[[#This Row],[role_id]])=0, "INVALID","VALID")</f>
        <v>VALID</v>
      </c>
      <c r="N429" t="str">
        <f>IF(COUNTIF(course_data[course_id],role_course_map[[#This Row],[course_id]])=0, "INVALID","VALID")</f>
        <v>VALID</v>
      </c>
    </row>
    <row r="430" spans="1:14" x14ac:dyDescent="0.35">
      <c r="A430" t="s">
        <v>270</v>
      </c>
      <c r="B430" s="5" t="str">
        <f>_xlfn.XLOOKUP(role_course_map[[#This Row],[role_id]], role_data[role_id], role_data[Role],"")</f>
        <v>Advanced Retrieval Practitioner</v>
      </c>
      <c r="C430">
        <v>79666</v>
      </c>
      <c r="D430" s="5" t="str">
        <f>_xlfn.XLOOKUP(role_course_map[[#This Row],[course_id]],course_data[course_id],course_data[title],"")</f>
        <v>Getting it right for every child (GIRFEC): informed level</v>
      </c>
      <c r="E430" s="5" t="str">
        <f>_xlfn.XLOOKUP(role_course_map[[#This Row],[course_id]],course_data[course_id],course_data[topic],"")</f>
        <v>SAS : Public Protection</v>
      </c>
      <c r="F430" s="5" t="str">
        <f>_xlfn.XLOOKUP(role_course_map[[#This Row],[course_id]],course_data[course_id],course_data[type],"")</f>
        <v>eLearning</v>
      </c>
      <c r="K430" t="str">
        <f>role_course_map[[#This Row],[role_id]] &amp; "|" &amp; role_course_map[[#This Row],[course_id]]</f>
        <v>R0129|79666</v>
      </c>
      <c r="L430" t="str">
        <f>IF(COUNTIF(role_course_map[mapping_key],role_course_map[[#This Row],[mapping_key]])&gt;1,"DUPLICATE","OK")</f>
        <v>OK</v>
      </c>
      <c r="M430" t="str">
        <f>IF(COUNTIF(role_data[role_id],role_course_map[[#This Row],[role_id]])=0, "INVALID","VALID")</f>
        <v>VALID</v>
      </c>
      <c r="N430" t="str">
        <f>IF(COUNTIF(course_data[course_id],role_course_map[[#This Row],[course_id]])=0, "INVALID","VALID")</f>
        <v>VALID</v>
      </c>
    </row>
    <row r="431" spans="1:14" x14ac:dyDescent="0.35">
      <c r="A431" t="s">
        <v>270</v>
      </c>
      <c r="B431" s="5" t="str">
        <f>_xlfn.XLOOKUP(role_course_map[[#This Row],[role_id]], role_data[role_id], role_data[Role],"")</f>
        <v>Advanced Retrieval Practitioner</v>
      </c>
      <c r="C431">
        <v>999074</v>
      </c>
      <c r="D431" s="5" t="str">
        <f>_xlfn.XLOOKUP(role_course_map[[#This Row],[course_id]],course_data[course_id],course_data[title],"")</f>
        <v>SAS-specific Children’s rights</v>
      </c>
      <c r="E431" s="5" t="str">
        <f>_xlfn.XLOOKUP(role_course_map[[#This Row],[course_id]],course_data[course_id],course_data[topic],"")</f>
        <v>SAS : Public Protection</v>
      </c>
      <c r="F431" s="5" t="str">
        <f>_xlfn.XLOOKUP(role_course_map[[#This Row],[course_id]],course_data[course_id],course_data[type],"")</f>
        <v>eLearning</v>
      </c>
      <c r="K431" t="str">
        <f>role_course_map[[#This Row],[role_id]] &amp; "|" &amp; role_course_map[[#This Row],[course_id]]</f>
        <v>R0129|999074</v>
      </c>
      <c r="L431" t="str">
        <f>IF(COUNTIF(role_course_map[mapping_key],role_course_map[[#This Row],[mapping_key]])&gt;1,"DUPLICATE","OK")</f>
        <v>OK</v>
      </c>
      <c r="M431" t="str">
        <f>IF(COUNTIF(role_data[role_id],role_course_map[[#This Row],[role_id]])=0, "INVALID","VALID")</f>
        <v>VALID</v>
      </c>
      <c r="N431" t="str">
        <f>IF(COUNTIF(course_data[course_id],role_course_map[[#This Row],[course_id]])=0, "INVALID","VALID")</f>
        <v>VALID</v>
      </c>
    </row>
    <row r="432" spans="1:14" x14ac:dyDescent="0.35">
      <c r="A432" t="s">
        <v>270</v>
      </c>
      <c r="B432" s="5" t="str">
        <f>_xlfn.XLOOKUP(role_course_map[[#This Row],[role_id]], role_data[role_id], role_data[Role],"")</f>
        <v>Advanced Retrieval Practitioner</v>
      </c>
      <c r="C432">
        <v>999075</v>
      </c>
      <c r="D432" s="5" t="str">
        <f>_xlfn.XLOOKUP(role_course_map[[#This Row],[course_id]],course_data[course_id],course_data[title],"")</f>
        <v>Multiagency local or bespoke Level 3 delivery training</v>
      </c>
      <c r="E432" s="5" t="str">
        <f>_xlfn.XLOOKUP(role_course_map[[#This Row],[course_id]],course_data[course_id],course_data[topic],"")</f>
        <v>SAS : Public Protection</v>
      </c>
      <c r="F432" s="5" t="str">
        <f>_xlfn.XLOOKUP(role_course_map[[#This Row],[course_id]],course_data[course_id],course_data[type],"")</f>
        <v>eLearning</v>
      </c>
      <c r="K432" t="str">
        <f>role_course_map[[#This Row],[role_id]] &amp; "|" &amp; role_course_map[[#This Row],[course_id]]</f>
        <v>R0129|999075</v>
      </c>
      <c r="L432" t="str">
        <f>IF(COUNTIF(role_course_map[mapping_key],role_course_map[[#This Row],[mapping_key]])&gt;1,"DUPLICATE","OK")</f>
        <v>OK</v>
      </c>
      <c r="M432" t="str">
        <f>IF(COUNTIF(role_data[role_id],role_course_map[[#This Row],[role_id]])=0, "INVALID","VALID")</f>
        <v>VALID</v>
      </c>
      <c r="N432" t="str">
        <f>IF(COUNTIF(course_data[course_id],role_course_map[[#This Row],[course_id]])=0, "INVALID","VALID")</f>
        <v>VALID</v>
      </c>
    </row>
    <row r="433" spans="1:14" x14ac:dyDescent="0.35">
      <c r="A433" t="s">
        <v>270</v>
      </c>
      <c r="B433" s="5" t="str">
        <f>_xlfn.XLOOKUP(role_course_map[[#This Row],[role_id]], role_data[role_id], role_data[Role],"")</f>
        <v>Advanced Retrieval Practitioner</v>
      </c>
      <c r="C433">
        <v>15249</v>
      </c>
      <c r="D433" s="5" t="str">
        <f>_xlfn.XLOOKUP(role_course_map[[#This Row],[course_id]],course_data[course_id],course_data[title],"")</f>
        <v>Human trafficking</v>
      </c>
      <c r="E433" s="5" t="str">
        <f>_xlfn.XLOOKUP(role_course_map[[#This Row],[course_id]],course_data[course_id],course_data[topic],"")</f>
        <v>SAS : Public Protection</v>
      </c>
      <c r="F433" s="5" t="str">
        <f>_xlfn.XLOOKUP(role_course_map[[#This Row],[course_id]],course_data[course_id],course_data[type],"")</f>
        <v>eLearning</v>
      </c>
      <c r="K433" t="str">
        <f>role_course_map[[#This Row],[role_id]] &amp; "|" &amp; role_course_map[[#This Row],[course_id]]</f>
        <v>R0129|15249</v>
      </c>
      <c r="L433" t="str">
        <f>IF(COUNTIF(role_course_map[mapping_key],role_course_map[[#This Row],[mapping_key]])&gt;1,"DUPLICATE","OK")</f>
        <v>OK</v>
      </c>
      <c r="M433" t="str">
        <f>IF(COUNTIF(role_data[role_id],role_course_map[[#This Row],[role_id]])=0, "INVALID","VALID")</f>
        <v>VALID</v>
      </c>
      <c r="N433" t="str">
        <f>IF(COUNTIF(course_data[course_id],role_course_map[[#This Row],[course_id]])=0, "INVALID","VALID")</f>
        <v>VALID</v>
      </c>
    </row>
    <row r="434" spans="1:14" x14ac:dyDescent="0.35">
      <c r="A434" t="s">
        <v>270</v>
      </c>
      <c r="B434" s="5" t="str">
        <f>_xlfn.XLOOKUP(role_course_map[[#This Row],[role_id]], role_data[role_id], role_data[Role],"")</f>
        <v>Advanced Retrieval Practitioner</v>
      </c>
      <c r="C434">
        <v>89161</v>
      </c>
      <c r="D434" s="5" t="str">
        <f>_xlfn.XLOOKUP(role_course_map[[#This Row],[course_id]],course_data[course_id],course_data[title],"")</f>
        <v>Personal Protective Equipment</v>
      </c>
      <c r="E434" s="5" t="str">
        <f>_xlfn.XLOOKUP(role_course_map[[#This Row],[course_id]],course_data[course_id],course_data[topic],"")</f>
        <v>SAS : Infection Prevention and Control (IPC)</v>
      </c>
      <c r="F434" s="5" t="str">
        <f>_xlfn.XLOOKUP(role_course_map[[#This Row],[course_id]],course_data[course_id],course_data[type],"")</f>
        <v>eLearning</v>
      </c>
      <c r="K434" t="str">
        <f>role_course_map[[#This Row],[role_id]] &amp; "|" &amp; role_course_map[[#This Row],[course_id]]</f>
        <v>R0129|89161</v>
      </c>
      <c r="L434" t="str">
        <f>IF(COUNTIF(role_course_map[mapping_key],role_course_map[[#This Row],[mapping_key]])&gt;1,"DUPLICATE","OK")</f>
        <v>OK</v>
      </c>
      <c r="M434" t="str">
        <f>IF(COUNTIF(role_data[role_id],role_course_map[[#This Row],[role_id]])=0, "INVALID","VALID")</f>
        <v>VALID</v>
      </c>
      <c r="N434" t="str">
        <f>IF(COUNTIF(course_data[course_id],role_course_map[[#This Row],[course_id]])=0, "INVALID","VALID")</f>
        <v>VALID</v>
      </c>
    </row>
    <row r="435" spans="1:14" x14ac:dyDescent="0.35">
      <c r="A435" t="s">
        <v>270</v>
      </c>
      <c r="B435" s="5" t="str">
        <f>_xlfn.XLOOKUP(role_course_map[[#This Row],[role_id]], role_data[role_id], role_data[Role],"")</f>
        <v>Advanced Retrieval Practitioner</v>
      </c>
      <c r="C435">
        <v>89157</v>
      </c>
      <c r="D435" s="5" t="str">
        <f>_xlfn.XLOOKUP(role_course_map[[#This Row],[course_id]],course_data[course_id],course_data[title],"")</f>
        <v>Safe Management of Care Equipment</v>
      </c>
      <c r="E435" s="5" t="str">
        <f>_xlfn.XLOOKUP(role_course_map[[#This Row],[course_id]],course_data[course_id],course_data[topic],"")</f>
        <v>SAS : Infection Prevention and Control (IPC)</v>
      </c>
      <c r="F435" s="5" t="str">
        <f>_xlfn.XLOOKUP(role_course_map[[#This Row],[course_id]],course_data[course_id],course_data[type],"")</f>
        <v>eLearning</v>
      </c>
      <c r="K435" t="str">
        <f>role_course_map[[#This Row],[role_id]] &amp; "|" &amp; role_course_map[[#This Row],[course_id]]</f>
        <v>R0129|89157</v>
      </c>
      <c r="L435" t="str">
        <f>IF(COUNTIF(role_course_map[mapping_key],role_course_map[[#This Row],[mapping_key]])&gt;1,"DUPLICATE","OK")</f>
        <v>OK</v>
      </c>
      <c r="M435" t="str">
        <f>IF(COUNTIF(role_data[role_id],role_course_map[[#This Row],[role_id]])=0, "INVALID","VALID")</f>
        <v>VALID</v>
      </c>
      <c r="N435" t="str">
        <f>IF(COUNTIF(course_data[course_id],role_course_map[[#This Row],[course_id]])=0, "INVALID","VALID")</f>
        <v>VALID</v>
      </c>
    </row>
    <row r="436" spans="1:14" x14ac:dyDescent="0.35">
      <c r="A436" t="s">
        <v>270</v>
      </c>
      <c r="B436" s="5" t="str">
        <f>_xlfn.XLOOKUP(role_course_map[[#This Row],[role_id]], role_data[role_id], role_data[Role],"")</f>
        <v>Advanced Retrieval Practitioner</v>
      </c>
      <c r="C436">
        <v>89158</v>
      </c>
      <c r="D436" s="5" t="str">
        <f>_xlfn.XLOOKUP(role_course_map[[#This Row],[course_id]],course_data[course_id],course_data[title],"")</f>
        <v>Safe Management of Care Environment</v>
      </c>
      <c r="E436" s="5" t="str">
        <f>_xlfn.XLOOKUP(role_course_map[[#This Row],[course_id]],course_data[course_id],course_data[topic],"")</f>
        <v>SAS : Infection Prevention and Control (IPC)</v>
      </c>
      <c r="F436" s="5" t="str">
        <f>_xlfn.XLOOKUP(role_course_map[[#This Row],[course_id]],course_data[course_id],course_data[type],"")</f>
        <v>eLearning</v>
      </c>
      <c r="K436" t="str">
        <f>role_course_map[[#This Row],[role_id]] &amp; "|" &amp; role_course_map[[#This Row],[course_id]]</f>
        <v>R0129|89158</v>
      </c>
      <c r="L436" t="str">
        <f>IF(COUNTIF(role_course_map[mapping_key],role_course_map[[#This Row],[mapping_key]])&gt;1,"DUPLICATE","OK")</f>
        <v>OK</v>
      </c>
      <c r="M436" t="str">
        <f>IF(COUNTIF(role_data[role_id],role_course_map[[#This Row],[role_id]])=0, "INVALID","VALID")</f>
        <v>VALID</v>
      </c>
      <c r="N436" t="str">
        <f>IF(COUNTIF(course_data[course_id],role_course_map[[#This Row],[course_id]])=0, "INVALID","VALID")</f>
        <v>VALID</v>
      </c>
    </row>
    <row r="437" spans="1:14" x14ac:dyDescent="0.35">
      <c r="A437" t="s">
        <v>270</v>
      </c>
      <c r="B437" s="5" t="str">
        <f>_xlfn.XLOOKUP(role_course_map[[#This Row],[role_id]], role_data[role_id], role_data[Role],"")</f>
        <v>Advanced Retrieval Practitioner</v>
      </c>
      <c r="C437">
        <v>89160</v>
      </c>
      <c r="D437" s="5" t="str">
        <f>_xlfn.XLOOKUP(role_course_map[[#This Row],[course_id]],course_data[course_id],course_data[title],"")</f>
        <v>Safe Management of blood and body fluids</v>
      </c>
      <c r="E437" s="5" t="str">
        <f>_xlfn.XLOOKUP(role_course_map[[#This Row],[course_id]],course_data[course_id],course_data[topic],"")</f>
        <v>SAS : Infection Prevention and Control (IPC)</v>
      </c>
      <c r="F437" s="5" t="str">
        <f>_xlfn.XLOOKUP(role_course_map[[#This Row],[course_id]],course_data[course_id],course_data[type],"")</f>
        <v>eLearning</v>
      </c>
      <c r="K437" t="str">
        <f>role_course_map[[#This Row],[role_id]] &amp; "|" &amp; role_course_map[[#This Row],[course_id]]</f>
        <v>R0129|89160</v>
      </c>
      <c r="L437" t="str">
        <f>IF(COUNTIF(role_course_map[mapping_key],role_course_map[[#This Row],[mapping_key]])&gt;1,"DUPLICATE","OK")</f>
        <v>OK</v>
      </c>
      <c r="M437" t="str">
        <f>IF(COUNTIF(role_data[role_id],role_course_map[[#This Row],[role_id]])=0, "INVALID","VALID")</f>
        <v>VALID</v>
      </c>
      <c r="N437" t="str">
        <f>IF(COUNTIF(course_data[course_id],role_course_map[[#This Row],[course_id]])=0, "INVALID","VALID")</f>
        <v>VALID</v>
      </c>
    </row>
    <row r="438" spans="1:14" x14ac:dyDescent="0.35">
      <c r="A438" t="s">
        <v>270</v>
      </c>
      <c r="B438" s="5" t="str">
        <f>_xlfn.XLOOKUP(role_course_map[[#This Row],[role_id]], role_data[role_id], role_data[Role],"")</f>
        <v>Advanced Retrieval Practitioner</v>
      </c>
      <c r="C438">
        <v>89159</v>
      </c>
      <c r="D438" s="5" t="str">
        <f>_xlfn.XLOOKUP(role_course_map[[#This Row],[course_id]],course_data[course_id],course_data[title],"")</f>
        <v>Safe Management of Linen</v>
      </c>
      <c r="E438" s="5" t="str">
        <f>_xlfn.XLOOKUP(role_course_map[[#This Row],[course_id]],course_data[course_id],course_data[topic],"")</f>
        <v>SAS : Infection Prevention and Control (IPC)</v>
      </c>
      <c r="F438" s="5" t="str">
        <f>_xlfn.XLOOKUP(role_course_map[[#This Row],[course_id]],course_data[course_id],course_data[type],"")</f>
        <v>eLearning</v>
      </c>
      <c r="K438" t="str">
        <f>role_course_map[[#This Row],[role_id]] &amp; "|" &amp; role_course_map[[#This Row],[course_id]]</f>
        <v>R0129|89159</v>
      </c>
      <c r="L438" t="str">
        <f>IF(COUNTIF(role_course_map[mapping_key],role_course_map[[#This Row],[mapping_key]])&gt;1,"DUPLICATE","OK")</f>
        <v>OK</v>
      </c>
      <c r="M438" t="str">
        <f>IF(COUNTIF(role_data[role_id],role_course_map[[#This Row],[role_id]])=0, "INVALID","VALID")</f>
        <v>VALID</v>
      </c>
      <c r="N438" t="str">
        <f>IF(COUNTIF(course_data[course_id],role_course_map[[#This Row],[course_id]])=0, "INVALID","VALID")</f>
        <v>VALID</v>
      </c>
    </row>
    <row r="439" spans="1:14" x14ac:dyDescent="0.35">
      <c r="A439" t="s">
        <v>270</v>
      </c>
      <c r="B439" s="5" t="str">
        <f>_xlfn.XLOOKUP(role_course_map[[#This Row],[role_id]], role_data[role_id], role_data[Role],"")</f>
        <v>Advanced Retrieval Practitioner</v>
      </c>
      <c r="C439">
        <v>89154</v>
      </c>
      <c r="D439" s="5" t="str">
        <f>_xlfn.XLOOKUP(role_course_map[[#This Row],[course_id]],course_data[course_id],course_data[title],"")</f>
        <v>Safe disposal of waste</v>
      </c>
      <c r="E439" s="5" t="str">
        <f>_xlfn.XLOOKUP(role_course_map[[#This Row],[course_id]],course_data[course_id],course_data[topic],"")</f>
        <v>SAS : Infection Prevention and Control (IPC)</v>
      </c>
      <c r="F439" s="5" t="str">
        <f>_xlfn.XLOOKUP(role_course_map[[#This Row],[course_id]],course_data[course_id],course_data[type],"")</f>
        <v>eLearning</v>
      </c>
      <c r="K439" t="str">
        <f>role_course_map[[#This Row],[role_id]] &amp; "|" &amp; role_course_map[[#This Row],[course_id]]</f>
        <v>R0129|89154</v>
      </c>
      <c r="L439" t="str">
        <f>IF(COUNTIF(role_course_map[mapping_key],role_course_map[[#This Row],[mapping_key]])&gt;1,"DUPLICATE","OK")</f>
        <v>OK</v>
      </c>
      <c r="M439" t="str">
        <f>IF(COUNTIF(role_data[role_id],role_course_map[[#This Row],[role_id]])=0, "INVALID","VALID")</f>
        <v>VALID</v>
      </c>
      <c r="N439" t="str">
        <f>IF(COUNTIF(course_data[course_id],role_course_map[[#This Row],[course_id]])=0, "INVALID","VALID")</f>
        <v>VALID</v>
      </c>
    </row>
    <row r="440" spans="1:14" x14ac:dyDescent="0.35">
      <c r="A440" t="s">
        <v>270</v>
      </c>
      <c r="B440" s="5" t="str">
        <f>_xlfn.XLOOKUP(role_course_map[[#This Row],[role_id]], role_data[role_id], role_data[Role],"")</f>
        <v>Advanced Retrieval Practitioner</v>
      </c>
      <c r="C440">
        <v>89155</v>
      </c>
      <c r="D440" s="5" t="str">
        <f>_xlfn.XLOOKUP(role_course_map[[#This Row],[course_id]],course_data[course_id],course_data[title],"")</f>
        <v>Prevention &amp; management of occupational exposure</v>
      </c>
      <c r="E440" s="5" t="str">
        <f>_xlfn.XLOOKUP(role_course_map[[#This Row],[course_id]],course_data[course_id],course_data[topic],"")</f>
        <v>SAS : Infection Prevention and Control (IPC)</v>
      </c>
      <c r="F440" s="5" t="str">
        <f>_xlfn.XLOOKUP(role_course_map[[#This Row],[course_id]],course_data[course_id],course_data[type],"")</f>
        <v>eLearning</v>
      </c>
      <c r="K440" t="str">
        <f>role_course_map[[#This Row],[role_id]] &amp; "|" &amp; role_course_map[[#This Row],[course_id]]</f>
        <v>R0129|89155</v>
      </c>
      <c r="L440" t="str">
        <f>IF(COUNTIF(role_course_map[mapping_key],role_course_map[[#This Row],[mapping_key]])&gt;1,"DUPLICATE","OK")</f>
        <v>OK</v>
      </c>
      <c r="M440" t="str">
        <f>IF(COUNTIF(role_data[role_id],role_course_map[[#This Row],[role_id]])=0, "INVALID","VALID")</f>
        <v>VALID</v>
      </c>
      <c r="N440" t="str">
        <f>IF(COUNTIF(course_data[course_id],role_course_map[[#This Row],[course_id]])=0, "INVALID","VALID")</f>
        <v>VALID</v>
      </c>
    </row>
    <row r="441" spans="1:14" x14ac:dyDescent="0.35">
      <c r="A441" t="s">
        <v>270</v>
      </c>
      <c r="B441" s="5" t="str">
        <f>_xlfn.XLOOKUP(role_course_map[[#This Row],[role_id]], role_data[role_id], role_data[Role],"")</f>
        <v>Advanced Retrieval Practitioner</v>
      </c>
      <c r="C441">
        <v>999064</v>
      </c>
      <c r="D441" s="5" t="str">
        <f>_xlfn.XLOOKUP(role_course_map[[#This Row],[course_id]],course_data[course_id],course_data[title],"")</f>
        <v>Infection prevention and control: Clostridioides difficile infection</v>
      </c>
      <c r="E441" s="5" t="str">
        <f>_xlfn.XLOOKUP(role_course_map[[#This Row],[course_id]],course_data[course_id],course_data[topic],"")</f>
        <v>SAS : Infection Prevention and Control (IPC)</v>
      </c>
      <c r="F441" s="5" t="str">
        <f>_xlfn.XLOOKUP(role_course_map[[#This Row],[course_id]],course_data[course_id],course_data[type],"")</f>
        <v>eLearning</v>
      </c>
      <c r="K441" t="str">
        <f>role_course_map[[#This Row],[role_id]] &amp; "|" &amp; role_course_map[[#This Row],[course_id]]</f>
        <v>R0129|999064</v>
      </c>
      <c r="L441" t="str">
        <f>IF(COUNTIF(role_course_map[mapping_key],role_course_map[[#This Row],[mapping_key]])&gt;1,"DUPLICATE","OK")</f>
        <v>OK</v>
      </c>
      <c r="M441" t="str">
        <f>IF(COUNTIF(role_data[role_id],role_course_map[[#This Row],[role_id]])=0, "INVALID","VALID")</f>
        <v>VALID</v>
      </c>
      <c r="N441" t="str">
        <f>IF(COUNTIF(course_data[course_id],role_course_map[[#This Row],[course_id]])=0, "INVALID","VALID")</f>
        <v>VALID</v>
      </c>
    </row>
    <row r="442" spans="1:14" x14ac:dyDescent="0.35">
      <c r="A442" t="s">
        <v>270</v>
      </c>
      <c r="B442" s="5" t="str">
        <f>_xlfn.XLOOKUP(role_course_map[[#This Row],[role_id]], role_data[role_id], role_data[Role],"")</f>
        <v>Advanced Retrieval Practitioner</v>
      </c>
      <c r="C442">
        <v>3886</v>
      </c>
      <c r="D442" s="5" t="str">
        <f>_xlfn.XLOOKUP(role_course_map[[#This Row],[course_id]],course_data[course_id],course_data[title],"")</f>
        <v>Prevention and management of pressure ulcers</v>
      </c>
      <c r="E442" s="5" t="str">
        <f>_xlfn.XLOOKUP(role_course_map[[#This Row],[course_id]],course_data[course_id],course_data[topic],"")</f>
        <v>SAS : Clinical Practice</v>
      </c>
      <c r="F442" s="5" t="str">
        <f>_xlfn.XLOOKUP(role_course_map[[#This Row],[course_id]],course_data[course_id],course_data[type],"")</f>
        <v>Page</v>
      </c>
      <c r="K442" t="str">
        <f>role_course_map[[#This Row],[role_id]] &amp; "|" &amp; role_course_map[[#This Row],[course_id]]</f>
        <v>R0129|3886</v>
      </c>
      <c r="L442" t="str">
        <f>IF(COUNTIF(role_course_map[mapping_key],role_course_map[[#This Row],[mapping_key]])&gt;1,"DUPLICATE","OK")</f>
        <v>OK</v>
      </c>
      <c r="M442" t="str">
        <f>IF(COUNTIF(role_data[role_id],role_course_map[[#This Row],[role_id]])=0, "INVALID","VALID")</f>
        <v>VALID</v>
      </c>
      <c r="N442" t="str">
        <f>IF(COUNTIF(course_data[course_id],role_course_map[[#This Row],[course_id]])=0, "INVALID","VALID")</f>
        <v>VALID</v>
      </c>
    </row>
    <row r="443" spans="1:14" x14ac:dyDescent="0.35">
      <c r="A443" t="s">
        <v>272</v>
      </c>
      <c r="B443" s="5" t="str">
        <f>_xlfn.XLOOKUP(role_course_map[[#This Row],[role_id]], role_data[role_id], role_data[Role],"")</f>
        <v>Air Ambulance Paramedics</v>
      </c>
      <c r="C443">
        <v>999009</v>
      </c>
      <c r="D443" s="5" t="str">
        <f>_xlfn.XLOOKUP(role_course_map[[#This Row],[course_id]],course_data[course_id],course_data[title],"")</f>
        <v>Life Support</v>
      </c>
      <c r="E443" s="5" t="str">
        <f>_xlfn.XLOOKUP(role_course_map[[#This Row],[course_id]],course_data[course_id],course_data[topic],"")</f>
        <v>SAS : Clinical Practice</v>
      </c>
      <c r="F443" s="5" t="str">
        <f>_xlfn.XLOOKUP(role_course_map[[#This Row],[course_id]],course_data[course_id],course_data[type],"")</f>
        <v>Course</v>
      </c>
      <c r="K443" t="str">
        <f>role_course_map[[#This Row],[role_id]] &amp; "|" &amp; role_course_map[[#This Row],[course_id]]</f>
        <v>R0130|999009</v>
      </c>
      <c r="L443" t="str">
        <f>IF(COUNTIF(role_course_map[mapping_key],role_course_map[[#This Row],[mapping_key]])&gt;1,"DUPLICATE","OK")</f>
        <v>OK</v>
      </c>
      <c r="M443" t="str">
        <f>IF(COUNTIF(role_data[role_id],role_course_map[[#This Row],[role_id]])=0, "INVALID","VALID")</f>
        <v>VALID</v>
      </c>
      <c r="N443" t="str">
        <f>IF(COUNTIF(course_data[course_id],role_course_map[[#This Row],[course_id]])=0, "INVALID","VALID")</f>
        <v>VALID</v>
      </c>
    </row>
    <row r="444" spans="1:14" x14ac:dyDescent="0.35">
      <c r="A444" t="s">
        <v>272</v>
      </c>
      <c r="B444" s="5" t="str">
        <f>_xlfn.XLOOKUP(role_course_map[[#This Row],[role_id]], role_data[role_id], role_data[Role],"")</f>
        <v>Air Ambulance Paramedics</v>
      </c>
      <c r="C444">
        <v>999007</v>
      </c>
      <c r="D444" s="5" t="str">
        <f>_xlfn.XLOOKUP(role_course_map[[#This Row],[course_id]],course_data[course_id],course_data[title],"")</f>
        <v>Obstetrics</v>
      </c>
      <c r="E444" s="5" t="str">
        <f>_xlfn.XLOOKUP(role_course_map[[#This Row],[course_id]],course_data[course_id],course_data[topic],"")</f>
        <v>SAS : Clinical Practice</v>
      </c>
      <c r="F444" s="5" t="str">
        <f>_xlfn.XLOOKUP(role_course_map[[#This Row],[course_id]],course_data[course_id],course_data[type],"")</f>
        <v>Course</v>
      </c>
      <c r="K444" t="str">
        <f>role_course_map[[#This Row],[role_id]] &amp; "|" &amp; role_course_map[[#This Row],[course_id]]</f>
        <v>R0130|999007</v>
      </c>
      <c r="L444" t="str">
        <f>IF(COUNTIF(role_course_map[mapping_key],role_course_map[[#This Row],[mapping_key]])&gt;1,"DUPLICATE","OK")</f>
        <v>OK</v>
      </c>
      <c r="M444" t="str">
        <f>IF(COUNTIF(role_data[role_id],role_course_map[[#This Row],[role_id]])=0, "INVALID","VALID")</f>
        <v>VALID</v>
      </c>
      <c r="N444" t="str">
        <f>IF(COUNTIF(course_data[course_id],role_course_map[[#This Row],[course_id]])=0, "INVALID","VALID")</f>
        <v>VALID</v>
      </c>
    </row>
    <row r="445" spans="1:14" x14ac:dyDescent="0.35">
      <c r="A445" t="s">
        <v>272</v>
      </c>
      <c r="B445" s="5" t="str">
        <f>_xlfn.XLOOKUP(role_course_map[[#This Row],[role_id]], role_data[role_id], role_data[Role],"")</f>
        <v>Air Ambulance Paramedics</v>
      </c>
      <c r="C445">
        <v>999008</v>
      </c>
      <c r="D445" s="5" t="str">
        <f>_xlfn.XLOOKUP(role_course_map[[#This Row],[course_id]],course_data[course_id],course_data[title],"")</f>
        <v>Obstetrics</v>
      </c>
      <c r="E445" s="5" t="str">
        <f>_xlfn.XLOOKUP(role_course_map[[#This Row],[course_id]],course_data[course_id],course_data[topic],"")</f>
        <v>SAS : Clinical Practice</v>
      </c>
      <c r="F445" s="5" t="str">
        <f>_xlfn.XLOOKUP(role_course_map[[#This Row],[course_id]],course_data[course_id],course_data[type],"")</f>
        <v>eLearning</v>
      </c>
      <c r="K445" t="str">
        <f>role_course_map[[#This Row],[role_id]] &amp; "|" &amp; role_course_map[[#This Row],[course_id]]</f>
        <v>R0130|999008</v>
      </c>
      <c r="L445" t="str">
        <f>IF(COUNTIF(role_course_map[mapping_key],role_course_map[[#This Row],[mapping_key]])&gt;1,"DUPLICATE","OK")</f>
        <v>OK</v>
      </c>
      <c r="M445" t="str">
        <f>IF(COUNTIF(role_data[role_id],role_course_map[[#This Row],[role_id]])=0, "INVALID","VALID")</f>
        <v>VALID</v>
      </c>
      <c r="N445" t="str">
        <f>IF(COUNTIF(course_data[course_id],role_course_map[[#This Row],[course_id]])=0, "INVALID","VALID")</f>
        <v>VALID</v>
      </c>
    </row>
    <row r="446" spans="1:14" x14ac:dyDescent="0.35">
      <c r="A446" t="s">
        <v>272</v>
      </c>
      <c r="B446" s="5" t="str">
        <f>_xlfn.XLOOKUP(role_course_map[[#This Row],[role_id]], role_data[role_id], role_data[Role],"")</f>
        <v>Air Ambulance Paramedics</v>
      </c>
      <c r="C446">
        <v>999010</v>
      </c>
      <c r="D446" s="5" t="str">
        <f>_xlfn.XLOOKUP(role_course_map[[#This Row],[course_id]],course_data[course_id],course_data[title],"")</f>
        <v>Paediatrics</v>
      </c>
      <c r="E446" s="5" t="str">
        <f>_xlfn.XLOOKUP(role_course_map[[#This Row],[course_id]],course_data[course_id],course_data[topic],"")</f>
        <v>SAS : Clinical Practice</v>
      </c>
      <c r="F446" s="5" t="str">
        <f>_xlfn.XLOOKUP(role_course_map[[#This Row],[course_id]],course_data[course_id],course_data[type],"")</f>
        <v>Course</v>
      </c>
      <c r="K446" t="str">
        <f>role_course_map[[#This Row],[role_id]] &amp; "|" &amp; role_course_map[[#This Row],[course_id]]</f>
        <v>R0130|999010</v>
      </c>
      <c r="L446" t="str">
        <f>IF(COUNTIF(role_course_map[mapping_key],role_course_map[[#This Row],[mapping_key]])&gt;1,"DUPLICATE","OK")</f>
        <v>OK</v>
      </c>
      <c r="M446" t="str">
        <f>IF(COUNTIF(role_data[role_id],role_course_map[[#This Row],[role_id]])=0, "INVALID","VALID")</f>
        <v>VALID</v>
      </c>
      <c r="N446" t="str">
        <f>IF(COUNTIF(course_data[course_id],role_course_map[[#This Row],[course_id]])=0, "INVALID","VALID")</f>
        <v>VALID</v>
      </c>
    </row>
    <row r="447" spans="1:14" x14ac:dyDescent="0.35">
      <c r="A447" t="s">
        <v>272</v>
      </c>
      <c r="B447" s="5" t="str">
        <f>_xlfn.XLOOKUP(role_course_map[[#This Row],[role_id]], role_data[role_id], role_data[Role],"")</f>
        <v>Air Ambulance Paramedics</v>
      </c>
      <c r="C447">
        <v>999011</v>
      </c>
      <c r="D447" s="5" t="str">
        <f>_xlfn.XLOOKUP(role_course_map[[#This Row],[course_id]],course_data[course_id],course_data[title],"")</f>
        <v>Paediatrics</v>
      </c>
      <c r="E447" s="5" t="str">
        <f>_xlfn.XLOOKUP(role_course_map[[#This Row],[course_id]],course_data[course_id],course_data[topic],"")</f>
        <v>SAS : Clinical Practice</v>
      </c>
      <c r="F447" s="5" t="str">
        <f>_xlfn.XLOOKUP(role_course_map[[#This Row],[course_id]],course_data[course_id],course_data[type],"")</f>
        <v>eLearning</v>
      </c>
      <c r="K447" t="str">
        <f>role_course_map[[#This Row],[role_id]] &amp; "|" &amp; role_course_map[[#This Row],[course_id]]</f>
        <v>R0130|999011</v>
      </c>
      <c r="L447" t="str">
        <f>IF(COUNTIF(role_course_map[mapping_key],role_course_map[[#This Row],[mapping_key]])&gt;1,"DUPLICATE","OK")</f>
        <v>OK</v>
      </c>
      <c r="M447" t="str">
        <f>IF(COUNTIF(role_data[role_id],role_course_map[[#This Row],[role_id]])=0, "INVALID","VALID")</f>
        <v>VALID</v>
      </c>
      <c r="N447" t="str">
        <f>IF(COUNTIF(course_data[course_id],role_course_map[[#This Row],[course_id]])=0, "INVALID","VALID")</f>
        <v>VALID</v>
      </c>
    </row>
    <row r="448" spans="1:14" x14ac:dyDescent="0.35">
      <c r="A448" t="s">
        <v>272</v>
      </c>
      <c r="B448" s="5" t="str">
        <f>_xlfn.XLOOKUP(role_course_map[[#This Row],[role_id]], role_data[role_id], role_data[Role],"")</f>
        <v>Air Ambulance Paramedics</v>
      </c>
      <c r="C448">
        <v>999012</v>
      </c>
      <c r="D448" s="5" t="str">
        <f>_xlfn.XLOOKUP(role_course_map[[#This Row],[course_id]],course_data[course_id],course_data[title],"")</f>
        <v>Trauma</v>
      </c>
      <c r="E448" s="5" t="str">
        <f>_xlfn.XLOOKUP(role_course_map[[#This Row],[course_id]],course_data[course_id],course_data[topic],"")</f>
        <v>SAS : Clinical Practice</v>
      </c>
      <c r="F448" s="5" t="str">
        <f>_xlfn.XLOOKUP(role_course_map[[#This Row],[course_id]],course_data[course_id],course_data[type],"")</f>
        <v>Course</v>
      </c>
      <c r="K448" t="str">
        <f>role_course_map[[#This Row],[role_id]] &amp; "|" &amp; role_course_map[[#This Row],[course_id]]</f>
        <v>R0130|999012</v>
      </c>
      <c r="L448" t="str">
        <f>IF(COUNTIF(role_course_map[mapping_key],role_course_map[[#This Row],[mapping_key]])&gt;1,"DUPLICATE","OK")</f>
        <v>OK</v>
      </c>
      <c r="M448" t="str">
        <f>IF(COUNTIF(role_data[role_id],role_course_map[[#This Row],[role_id]])=0, "INVALID","VALID")</f>
        <v>VALID</v>
      </c>
      <c r="N448" t="str">
        <f>IF(COUNTIF(course_data[course_id],role_course_map[[#This Row],[course_id]])=0, "INVALID","VALID")</f>
        <v>VALID</v>
      </c>
    </row>
    <row r="449" spans="1:14" x14ac:dyDescent="0.35">
      <c r="A449" t="s">
        <v>272</v>
      </c>
      <c r="B449" s="5" t="str">
        <f>_xlfn.XLOOKUP(role_course_map[[#This Row],[role_id]], role_data[role_id], role_data[Role],"")</f>
        <v>Air Ambulance Paramedics</v>
      </c>
      <c r="C449">
        <v>999013</v>
      </c>
      <c r="D449" s="5" t="str">
        <f>_xlfn.XLOOKUP(role_course_map[[#This Row],[course_id]],course_data[course_id],course_data[title],"")</f>
        <v>Trauma</v>
      </c>
      <c r="E449" s="5" t="str">
        <f>_xlfn.XLOOKUP(role_course_map[[#This Row],[course_id]],course_data[course_id],course_data[topic],"")</f>
        <v>SAS : Clinical Practice</v>
      </c>
      <c r="F449" s="5" t="str">
        <f>_xlfn.XLOOKUP(role_course_map[[#This Row],[course_id]],course_data[course_id],course_data[type],"")</f>
        <v>eLearning</v>
      </c>
      <c r="K449" t="str">
        <f>role_course_map[[#This Row],[role_id]] &amp; "|" &amp; role_course_map[[#This Row],[course_id]]</f>
        <v>R0130|999013</v>
      </c>
      <c r="L449" t="str">
        <f>IF(COUNTIF(role_course_map[mapping_key],role_course_map[[#This Row],[mapping_key]])&gt;1,"DUPLICATE","OK")</f>
        <v>OK</v>
      </c>
      <c r="M449" t="str">
        <f>IF(COUNTIF(role_data[role_id],role_course_map[[#This Row],[role_id]])=0, "INVALID","VALID")</f>
        <v>VALID</v>
      </c>
      <c r="N449" t="str">
        <f>IF(COUNTIF(course_data[course_id],role_course_map[[#This Row],[course_id]])=0, "INVALID","VALID")</f>
        <v>VALID</v>
      </c>
    </row>
    <row r="450" spans="1:14" x14ac:dyDescent="0.35">
      <c r="A450" t="s">
        <v>272</v>
      </c>
      <c r="B450" s="5" t="str">
        <f>_xlfn.XLOOKUP(role_course_map[[#This Row],[role_id]], role_data[role_id], role_data[Role],"")</f>
        <v>Air Ambulance Paramedics</v>
      </c>
      <c r="C450">
        <v>999014</v>
      </c>
      <c r="D450" s="5" t="str">
        <f>_xlfn.XLOOKUP(role_course_map[[#This Row],[course_id]],course_data[course_id],course_data[title],"")</f>
        <v>Patient Assessment</v>
      </c>
      <c r="E450" s="5" t="str">
        <f>_xlfn.XLOOKUP(role_course_map[[#This Row],[course_id]],course_data[course_id],course_data[topic],"")</f>
        <v>SAS : Clinical Practice</v>
      </c>
      <c r="F450" s="5" t="str">
        <f>_xlfn.XLOOKUP(role_course_map[[#This Row],[course_id]],course_data[course_id],course_data[type],"")</f>
        <v>Course</v>
      </c>
      <c r="K450" t="str">
        <f>role_course_map[[#This Row],[role_id]] &amp; "|" &amp; role_course_map[[#This Row],[course_id]]</f>
        <v>R0130|999014</v>
      </c>
      <c r="L450" t="str">
        <f>IF(COUNTIF(role_course_map[mapping_key],role_course_map[[#This Row],[mapping_key]])&gt;1,"DUPLICATE","OK")</f>
        <v>OK</v>
      </c>
      <c r="M450" t="str">
        <f>IF(COUNTIF(role_data[role_id],role_course_map[[#This Row],[role_id]])=0, "INVALID","VALID")</f>
        <v>VALID</v>
      </c>
      <c r="N450" t="str">
        <f>IF(COUNTIF(course_data[course_id],role_course_map[[#This Row],[course_id]])=0, "INVALID","VALID")</f>
        <v>VALID</v>
      </c>
    </row>
    <row r="451" spans="1:14" x14ac:dyDescent="0.35">
      <c r="A451" t="s">
        <v>272</v>
      </c>
      <c r="B451" s="5" t="str">
        <f>_xlfn.XLOOKUP(role_course_map[[#This Row],[role_id]], role_data[role_id], role_data[Role],"")</f>
        <v>Air Ambulance Paramedics</v>
      </c>
      <c r="C451">
        <v>999015</v>
      </c>
      <c r="D451" s="5" t="str">
        <f>_xlfn.XLOOKUP(role_course_map[[#This Row],[course_id]],course_data[course_id],course_data[title],"")</f>
        <v>Patient Assessment</v>
      </c>
      <c r="E451" s="5" t="str">
        <f>_xlfn.XLOOKUP(role_course_map[[#This Row],[course_id]],course_data[course_id],course_data[topic],"")</f>
        <v>SAS : Clinical Practice</v>
      </c>
      <c r="F451" s="5" t="str">
        <f>_xlfn.XLOOKUP(role_course_map[[#This Row],[course_id]],course_data[course_id],course_data[type],"")</f>
        <v>eLearning</v>
      </c>
      <c r="K451" t="str">
        <f>role_course_map[[#This Row],[role_id]] &amp; "|" &amp; role_course_map[[#This Row],[course_id]]</f>
        <v>R0130|999015</v>
      </c>
      <c r="L451" t="str">
        <f>IF(COUNTIF(role_course_map[mapping_key],role_course_map[[#This Row],[mapping_key]])&gt;1,"DUPLICATE","OK")</f>
        <v>OK</v>
      </c>
      <c r="M451" t="str">
        <f>IF(COUNTIF(role_data[role_id],role_course_map[[#This Row],[role_id]])=0, "INVALID","VALID")</f>
        <v>VALID</v>
      </c>
      <c r="N451" t="str">
        <f>IF(COUNTIF(course_data[course_id],role_course_map[[#This Row],[course_id]])=0, "INVALID","VALID")</f>
        <v>VALID</v>
      </c>
    </row>
    <row r="452" spans="1:14" x14ac:dyDescent="0.35">
      <c r="A452" t="s">
        <v>270</v>
      </c>
      <c r="B452" s="5" t="str">
        <f>_xlfn.XLOOKUP(role_course_map[[#This Row],[role_id]], role_data[role_id], role_data[Role],"")</f>
        <v>Advanced Retrieval Practitioner</v>
      </c>
      <c r="C452">
        <v>999016</v>
      </c>
      <c r="D452" s="5" t="str">
        <f>_xlfn.XLOOKUP(role_course_map[[#This Row],[course_id]],course_data[course_id],course_data[title],"")</f>
        <v>Clinical Skills</v>
      </c>
      <c r="E452" s="5" t="str">
        <f>_xlfn.XLOOKUP(role_course_map[[#This Row],[course_id]],course_data[course_id],course_data[topic],"")</f>
        <v>SAS : Clinical Practice</v>
      </c>
      <c r="F452" s="5" t="str">
        <f>_xlfn.XLOOKUP(role_course_map[[#This Row],[course_id]],course_data[course_id],course_data[type],"")</f>
        <v>Course</v>
      </c>
      <c r="K452" t="str">
        <f>role_course_map[[#This Row],[role_id]] &amp; "|" &amp; role_course_map[[#This Row],[course_id]]</f>
        <v>R0129|999016</v>
      </c>
      <c r="L452" t="str">
        <f>IF(COUNTIF(role_course_map[mapping_key],role_course_map[[#This Row],[mapping_key]])&gt;1,"DUPLICATE","OK")</f>
        <v>OK</v>
      </c>
      <c r="M452" t="str">
        <f>IF(COUNTIF(role_data[role_id],role_course_map[[#This Row],[role_id]])=0, "INVALID","VALID")</f>
        <v>VALID</v>
      </c>
      <c r="N452" t="str">
        <f>IF(COUNTIF(course_data[course_id],role_course_map[[#This Row],[course_id]])=0, "INVALID","VALID")</f>
        <v>VALID</v>
      </c>
    </row>
    <row r="453" spans="1:14" x14ac:dyDescent="0.35">
      <c r="A453" t="s">
        <v>272</v>
      </c>
      <c r="B453" s="5" t="str">
        <f>_xlfn.XLOOKUP(role_course_map[[#This Row],[role_id]], role_data[role_id], role_data[Role],"")</f>
        <v>Air Ambulance Paramedics</v>
      </c>
      <c r="C453">
        <v>999018</v>
      </c>
      <c r="D453" s="5" t="str">
        <f>_xlfn.XLOOKUP(role_course_map[[#This Row],[course_id]],course_data[course_id],course_data[title],"")</f>
        <v>Learning from Events</v>
      </c>
      <c r="E453" s="5" t="str">
        <f>_xlfn.XLOOKUP(role_course_map[[#This Row],[course_id]],course_data[course_id],course_data[topic],"")</f>
        <v>SAS : Clinical Practice</v>
      </c>
      <c r="F453" s="5" t="str">
        <f>_xlfn.XLOOKUP(role_course_map[[#This Row],[course_id]],course_data[course_id],course_data[type],"")</f>
        <v>eLearning</v>
      </c>
      <c r="K453" t="str">
        <f>role_course_map[[#This Row],[role_id]] &amp; "|" &amp; role_course_map[[#This Row],[course_id]]</f>
        <v>R0130|999018</v>
      </c>
      <c r="L453" t="str">
        <f>IF(COUNTIF(role_course_map[mapping_key],role_course_map[[#This Row],[mapping_key]])&gt;1,"DUPLICATE","OK")</f>
        <v>OK</v>
      </c>
      <c r="M453" t="str">
        <f>IF(COUNTIF(role_data[role_id],role_course_map[[#This Row],[role_id]])=0, "INVALID","VALID")</f>
        <v>VALID</v>
      </c>
      <c r="N453" t="str">
        <f>IF(COUNTIF(course_data[course_id],role_course_map[[#This Row],[course_id]])=0, "INVALID","VALID")</f>
        <v>VALID</v>
      </c>
    </row>
    <row r="454" spans="1:14" x14ac:dyDescent="0.35">
      <c r="A454" t="s">
        <v>272</v>
      </c>
      <c r="B454" s="5" t="str">
        <f>_xlfn.XLOOKUP(role_course_map[[#This Row],[role_id]], role_data[role_id], role_data[Role],"")</f>
        <v>Air Ambulance Paramedics</v>
      </c>
      <c r="C454">
        <v>999019</v>
      </c>
      <c r="D454" s="5" t="str">
        <f>_xlfn.XLOOKUP(role_course_map[[#This Row],[course_id]],course_data[course_id],course_data[title],"")</f>
        <v>Medicines Management</v>
      </c>
      <c r="E454" s="5" t="str">
        <f>_xlfn.XLOOKUP(role_course_map[[#This Row],[course_id]],course_data[course_id],course_data[topic],"")</f>
        <v>SAS : Clinical Practice</v>
      </c>
      <c r="F454" s="5" t="str">
        <f>_xlfn.XLOOKUP(role_course_map[[#This Row],[course_id]],course_data[course_id],course_data[type],"")</f>
        <v>eLearning</v>
      </c>
      <c r="K454" t="str">
        <f>role_course_map[[#This Row],[role_id]] &amp; "|" &amp; role_course_map[[#This Row],[course_id]]</f>
        <v>R0130|999019</v>
      </c>
      <c r="L454" t="str">
        <f>IF(COUNTIF(role_course_map[mapping_key],role_course_map[[#This Row],[mapping_key]])&gt;1,"DUPLICATE","OK")</f>
        <v>OK</v>
      </c>
      <c r="M454" t="str">
        <f>IF(COUNTIF(role_data[role_id],role_course_map[[#This Row],[role_id]])=0, "INVALID","VALID")</f>
        <v>VALID</v>
      </c>
      <c r="N454" t="str">
        <f>IF(COUNTIF(course_data[course_id],role_course_map[[#This Row],[course_id]])=0, "INVALID","VALID")</f>
        <v>VALID</v>
      </c>
    </row>
    <row r="455" spans="1:14" x14ac:dyDescent="0.35">
      <c r="A455" t="s">
        <v>272</v>
      </c>
      <c r="B455" s="5" t="str">
        <f>_xlfn.XLOOKUP(role_course_map[[#This Row],[role_id]], role_data[role_id], role_data[Role],"")</f>
        <v>Air Ambulance Paramedics</v>
      </c>
      <c r="C455">
        <v>999020</v>
      </c>
      <c r="D455" s="5" t="str">
        <f>_xlfn.XLOOKUP(role_course_map[[#This Row],[course_id]],course_data[course_id],course_data[title],"")</f>
        <v>JRCALC Update</v>
      </c>
      <c r="E455" s="5" t="str">
        <f>_xlfn.XLOOKUP(role_course_map[[#This Row],[course_id]],course_data[course_id],course_data[topic],"")</f>
        <v>SAS : Clinical Practice</v>
      </c>
      <c r="F455" s="5" t="str">
        <f>_xlfn.XLOOKUP(role_course_map[[#This Row],[course_id]],course_data[course_id],course_data[type],"")</f>
        <v>eLearning</v>
      </c>
      <c r="K455" t="str">
        <f>role_course_map[[#This Row],[role_id]] &amp; "|" &amp; role_course_map[[#This Row],[course_id]]</f>
        <v>R0130|999020</v>
      </c>
      <c r="L455" t="str">
        <f>IF(COUNTIF(role_course_map[mapping_key],role_course_map[[#This Row],[mapping_key]])&gt;1,"DUPLICATE","OK")</f>
        <v>OK</v>
      </c>
      <c r="M455" t="str">
        <f>IF(COUNTIF(role_data[role_id],role_course_map[[#This Row],[role_id]])=0, "INVALID","VALID")</f>
        <v>VALID</v>
      </c>
      <c r="N455" t="str">
        <f>IF(COUNTIF(course_data[course_id],role_course_map[[#This Row],[course_id]])=0, "INVALID","VALID")</f>
        <v>VALID</v>
      </c>
    </row>
    <row r="456" spans="1:14" x14ac:dyDescent="0.35">
      <c r="A456" t="s">
        <v>272</v>
      </c>
      <c r="B456" s="5" t="str">
        <f>_xlfn.XLOOKUP(role_course_map[[#This Row],[role_id]], role_data[role_id], role_data[Role],"")</f>
        <v>Air Ambulance Paramedics</v>
      </c>
      <c r="C456">
        <v>999021</v>
      </c>
      <c r="D456" s="5" t="str">
        <f>_xlfn.XLOOKUP(role_course_map[[#This Row],[course_id]],course_data[course_id],course_data[title],"")</f>
        <v>Mental Health</v>
      </c>
      <c r="E456" s="5" t="str">
        <f>_xlfn.XLOOKUP(role_course_map[[#This Row],[course_id]],course_data[course_id],course_data[topic],"")</f>
        <v>SAS : Clinical Practice</v>
      </c>
      <c r="F456" s="5" t="str">
        <f>_xlfn.XLOOKUP(role_course_map[[#This Row],[course_id]],course_data[course_id],course_data[type],"")</f>
        <v>eLearning</v>
      </c>
      <c r="K456" t="str">
        <f>role_course_map[[#This Row],[role_id]] &amp; "|" &amp; role_course_map[[#This Row],[course_id]]</f>
        <v>R0130|999021</v>
      </c>
      <c r="L456" t="str">
        <f>IF(COUNTIF(role_course_map[mapping_key],role_course_map[[#This Row],[mapping_key]])&gt;1,"DUPLICATE","OK")</f>
        <v>OK</v>
      </c>
      <c r="M456" t="str">
        <f>IF(COUNTIF(role_data[role_id],role_course_map[[#This Row],[role_id]])=0, "INVALID","VALID")</f>
        <v>VALID</v>
      </c>
      <c r="N456" t="str">
        <f>IF(COUNTIF(course_data[course_id],role_course_map[[#This Row],[course_id]])=0, "INVALID","VALID")</f>
        <v>VALID</v>
      </c>
    </row>
    <row r="457" spans="1:14" x14ac:dyDescent="0.35">
      <c r="A457" t="s">
        <v>272</v>
      </c>
      <c r="B457" s="5" t="str">
        <f>_xlfn.XLOOKUP(role_course_map[[#This Row],[role_id]], role_data[role_id], role_data[Role],"")</f>
        <v>Air Ambulance Paramedics</v>
      </c>
      <c r="C457">
        <v>999022</v>
      </c>
      <c r="D457" s="5" t="str">
        <f>_xlfn.XLOOKUP(role_course_map[[#This Row],[course_id]],course_data[course_id],course_data[title],"")</f>
        <v>Learning Disabilities</v>
      </c>
      <c r="E457" s="5" t="str">
        <f>_xlfn.XLOOKUP(role_course_map[[#This Row],[course_id]],course_data[course_id],course_data[topic],"")</f>
        <v>SAS : Clinical Practice</v>
      </c>
      <c r="F457" s="5" t="str">
        <f>_xlfn.XLOOKUP(role_course_map[[#This Row],[course_id]],course_data[course_id],course_data[type],"")</f>
        <v>eLearning</v>
      </c>
      <c r="K457" t="str">
        <f>role_course_map[[#This Row],[role_id]] &amp; "|" &amp; role_course_map[[#This Row],[course_id]]</f>
        <v>R0130|999022</v>
      </c>
      <c r="L457" t="str">
        <f>IF(COUNTIF(role_course_map[mapping_key],role_course_map[[#This Row],[mapping_key]])&gt;1,"DUPLICATE","OK")</f>
        <v>OK</v>
      </c>
      <c r="M457" t="str">
        <f>IF(COUNTIF(role_data[role_id],role_course_map[[#This Row],[role_id]])=0, "INVALID","VALID")</f>
        <v>VALID</v>
      </c>
      <c r="N457" t="str">
        <f>IF(COUNTIF(course_data[course_id],role_course_map[[#This Row],[course_id]])=0, "INVALID","VALID")</f>
        <v>VALID</v>
      </c>
    </row>
    <row r="458" spans="1:14" x14ac:dyDescent="0.35">
      <c r="A458" t="s">
        <v>272</v>
      </c>
      <c r="B458" s="5" t="str">
        <f>_xlfn.XLOOKUP(role_course_map[[#This Row],[role_id]], role_data[role_id], role_data[Role],"")</f>
        <v>Air Ambulance Paramedics</v>
      </c>
      <c r="C458">
        <v>75202</v>
      </c>
      <c r="D458" s="5" t="str">
        <f>_xlfn.XLOOKUP(role_course_map[[#This Row],[course_id]],course_data[course_id],course_data[title],"")</f>
        <v>SAS : Clinical Practice</v>
      </c>
      <c r="E458" s="5" t="str">
        <f>_xlfn.XLOOKUP(role_course_map[[#This Row],[course_id]],course_data[course_id],course_data[topic],"")</f>
        <v>SAS : Clinical Practice</v>
      </c>
      <c r="F458" s="5" t="str">
        <f>_xlfn.XLOOKUP(role_course_map[[#This Row],[course_id]],course_data[course_id],course_data[type],"")</f>
        <v>Page</v>
      </c>
      <c r="K458" t="str">
        <f>role_course_map[[#This Row],[role_id]] &amp; "|" &amp; role_course_map[[#This Row],[course_id]]</f>
        <v>R0130|75202</v>
      </c>
      <c r="L458" t="str">
        <f>IF(COUNTIF(role_course_map[mapping_key],role_course_map[[#This Row],[mapping_key]])&gt;1,"DUPLICATE","OK")</f>
        <v>OK</v>
      </c>
      <c r="M458" t="str">
        <f>IF(COUNTIF(role_data[role_id],role_course_map[[#This Row],[role_id]])=0, "INVALID","VALID")</f>
        <v>VALID</v>
      </c>
      <c r="N458" t="str">
        <f>IF(COUNTIF(course_data[course_id],role_course_map[[#This Row],[course_id]])=0, "INVALID","VALID")</f>
        <v>VALID</v>
      </c>
    </row>
    <row r="459" spans="1:14" x14ac:dyDescent="0.35">
      <c r="A459" t="s">
        <v>272</v>
      </c>
      <c r="B459" s="5" t="str">
        <f>_xlfn.XLOOKUP(role_course_map[[#This Row],[role_id]], role_data[role_id], role_data[Role],"")</f>
        <v>Air Ambulance Paramedics</v>
      </c>
      <c r="C459">
        <v>999023</v>
      </c>
      <c r="D459" s="5" t="str">
        <f>_xlfn.XLOOKUP(role_course_map[[#This Row],[course_id]],course_data[course_id],course_data[title],"")</f>
        <v>Dementia</v>
      </c>
      <c r="E459" s="5" t="str">
        <f>_xlfn.XLOOKUP(role_course_map[[#This Row],[course_id]],course_data[course_id],course_data[topic],"")</f>
        <v>SAS : Clinical Practice</v>
      </c>
      <c r="F459" s="5" t="str">
        <f>_xlfn.XLOOKUP(role_course_map[[#This Row],[course_id]],course_data[course_id],course_data[type],"")</f>
        <v>eLearning</v>
      </c>
      <c r="K459" t="str">
        <f>role_course_map[[#This Row],[role_id]] &amp; "|" &amp; role_course_map[[#This Row],[course_id]]</f>
        <v>R0130|999023</v>
      </c>
      <c r="L459" t="str">
        <f>IF(COUNTIF(role_course_map[mapping_key],role_course_map[[#This Row],[mapping_key]])&gt;1,"DUPLICATE","OK")</f>
        <v>OK</v>
      </c>
      <c r="M459" t="str">
        <f>IF(COUNTIF(role_data[role_id],role_course_map[[#This Row],[role_id]])=0, "INVALID","VALID")</f>
        <v>VALID</v>
      </c>
      <c r="N459" t="str">
        <f>IF(COUNTIF(course_data[course_id],role_course_map[[#This Row],[course_id]])=0, "INVALID","VALID")</f>
        <v>VALID</v>
      </c>
    </row>
    <row r="460" spans="1:14" x14ac:dyDescent="0.35">
      <c r="A460" t="s">
        <v>270</v>
      </c>
      <c r="B460" s="5" t="str">
        <f>_xlfn.XLOOKUP(role_course_map[[#This Row],[role_id]], role_data[role_id], role_data[Role],"")</f>
        <v>Advanced Retrieval Practitioner</v>
      </c>
      <c r="C460">
        <v>999024</v>
      </c>
      <c r="D460" s="5" t="str">
        <f>_xlfn.XLOOKUP(role_course_map[[#This Row],[course_id]],course_data[course_id],course_data[title],"")</f>
        <v>Conditions requiring specific hospital management. I.e. Parkinsons</v>
      </c>
      <c r="E460" s="5" t="str">
        <f>_xlfn.XLOOKUP(role_course_map[[#This Row],[course_id]],course_data[course_id],course_data[topic],"")</f>
        <v>SAS : Clinical Practice</v>
      </c>
      <c r="F460" s="5" t="str">
        <f>_xlfn.XLOOKUP(role_course_map[[#This Row],[course_id]],course_data[course_id],course_data[type],"")</f>
        <v>eLearning</v>
      </c>
      <c r="K460" t="str">
        <f>role_course_map[[#This Row],[role_id]] &amp; "|" &amp; role_course_map[[#This Row],[course_id]]</f>
        <v>R0129|999024</v>
      </c>
      <c r="L460" t="str">
        <f>IF(COUNTIF(role_course_map[mapping_key],role_course_map[[#This Row],[mapping_key]])&gt;1,"DUPLICATE","OK")</f>
        <v>OK</v>
      </c>
      <c r="M460" t="str">
        <f>IF(COUNTIF(role_data[role_id],role_course_map[[#This Row],[role_id]])=0, "INVALID","VALID")</f>
        <v>VALID</v>
      </c>
      <c r="N460" t="str">
        <f>IF(COUNTIF(course_data[course_id],role_course_map[[#This Row],[course_id]])=0, "INVALID","VALID")</f>
        <v>VALID</v>
      </c>
    </row>
    <row r="461" spans="1:14" x14ac:dyDescent="0.35">
      <c r="A461" t="s">
        <v>272</v>
      </c>
      <c r="B461" s="5" t="str">
        <f>_xlfn.XLOOKUP(role_course_map[[#This Row],[role_id]], role_data[role_id], role_data[Role],"")</f>
        <v>Air Ambulance Paramedics</v>
      </c>
      <c r="C461">
        <v>999095</v>
      </c>
      <c r="D461" s="5" t="str">
        <f>_xlfn.XLOOKUP(role_course_map[[#This Row],[course_id]],course_data[course_id],course_data[title],"")</f>
        <v>Mentoring</v>
      </c>
      <c r="E461" s="5" t="str">
        <f>_xlfn.XLOOKUP(role_course_map[[#This Row],[course_id]],course_data[course_id],course_data[topic],"")</f>
        <v>SAS: Staff development and experience</v>
      </c>
      <c r="F461" s="5" t="str">
        <f>_xlfn.XLOOKUP(role_course_map[[#This Row],[course_id]],course_data[course_id],course_data[type],"")</f>
        <v>eLearning</v>
      </c>
      <c r="K461" t="str">
        <f>role_course_map[[#This Row],[role_id]] &amp; "|" &amp; role_course_map[[#This Row],[course_id]]</f>
        <v>R0130|999095</v>
      </c>
      <c r="L461" t="str">
        <f>IF(COUNTIF(role_course_map[mapping_key],role_course_map[[#This Row],[mapping_key]])&gt;1,"DUPLICATE","OK")</f>
        <v>OK</v>
      </c>
      <c r="M461" t="str">
        <f>IF(COUNTIF(role_data[role_id],role_course_map[[#This Row],[role_id]])=0, "INVALID","VALID")</f>
        <v>VALID</v>
      </c>
      <c r="N461" t="str">
        <f>IF(COUNTIF(course_data[course_id],role_course_map[[#This Row],[course_id]])=0, "INVALID","VALID")</f>
        <v>VALID</v>
      </c>
    </row>
    <row r="462" spans="1:14" x14ac:dyDescent="0.35">
      <c r="A462" t="s">
        <v>272</v>
      </c>
      <c r="B462" s="5" t="str">
        <f>_xlfn.XLOOKUP(role_course_map[[#This Row],[role_id]], role_data[role_id], role_data[Role],"")</f>
        <v>Air Ambulance Paramedics</v>
      </c>
      <c r="C462">
        <v>999096</v>
      </c>
      <c r="D462" s="5" t="str">
        <f>_xlfn.XLOOKUP(role_course_map[[#This Row],[course_id]],course_data[course_id],course_data[title],"")</f>
        <v>Supporting others in practice (Supervision)</v>
      </c>
      <c r="E462" s="5" t="str">
        <f>_xlfn.XLOOKUP(role_course_map[[#This Row],[course_id]],course_data[course_id],course_data[topic],"")</f>
        <v>SAS: Staff development and experience</v>
      </c>
      <c r="F462" s="5" t="str">
        <f>_xlfn.XLOOKUP(role_course_map[[#This Row],[course_id]],course_data[course_id],course_data[type],"")</f>
        <v>Course</v>
      </c>
      <c r="K462" t="str">
        <f>role_course_map[[#This Row],[role_id]] &amp; "|" &amp; role_course_map[[#This Row],[course_id]]</f>
        <v>R0130|999096</v>
      </c>
      <c r="L462" t="str">
        <f>IF(COUNTIF(role_course_map[mapping_key],role_course_map[[#This Row],[mapping_key]])&gt;1,"DUPLICATE","OK")</f>
        <v>OK</v>
      </c>
      <c r="M462" t="str">
        <f>IF(COUNTIF(role_data[role_id],role_course_map[[#This Row],[role_id]])=0, "INVALID","VALID")</f>
        <v>VALID</v>
      </c>
      <c r="N462" t="str">
        <f>IF(COUNTIF(course_data[course_id],role_course_map[[#This Row],[course_id]])=0, "INVALID","VALID")</f>
        <v>VALID</v>
      </c>
    </row>
    <row r="463" spans="1:14" x14ac:dyDescent="0.35">
      <c r="A463" t="s">
        <v>272</v>
      </c>
      <c r="B463" s="5" t="str">
        <f>_xlfn.XLOOKUP(role_course_map[[#This Row],[role_id]], role_data[role_id], role_data[Role],"")</f>
        <v>Air Ambulance Paramedics</v>
      </c>
      <c r="C463">
        <v>999097</v>
      </c>
      <c r="D463" s="5" t="str">
        <f>_xlfn.XLOOKUP(role_course_map[[#This Row],[course_id]],course_data[course_id],course_data[title],"")</f>
        <v>Personal Wellbeing</v>
      </c>
      <c r="E463" s="5" t="str">
        <f>_xlfn.XLOOKUP(role_course_map[[#This Row],[course_id]],course_data[course_id],course_data[topic],"")</f>
        <v>SAS: Staff development and experience</v>
      </c>
      <c r="F463" s="5" t="str">
        <f>_xlfn.XLOOKUP(role_course_map[[#This Row],[course_id]],course_data[course_id],course_data[type],"")</f>
        <v>eLearning</v>
      </c>
      <c r="K463" t="str">
        <f>role_course_map[[#This Row],[role_id]] &amp; "|" &amp; role_course_map[[#This Row],[course_id]]</f>
        <v>R0130|999097</v>
      </c>
      <c r="L463" t="str">
        <f>IF(COUNTIF(role_course_map[mapping_key],role_course_map[[#This Row],[mapping_key]])&gt;1,"DUPLICATE","OK")</f>
        <v>OK</v>
      </c>
      <c r="M463" t="str">
        <f>IF(COUNTIF(role_data[role_id],role_course_map[[#This Row],[role_id]])=0, "INVALID","VALID")</f>
        <v>VALID</v>
      </c>
      <c r="N463" t="str">
        <f>IF(COUNTIF(course_data[course_id],role_course_map[[#This Row],[course_id]])=0, "INVALID","VALID")</f>
        <v>VALID</v>
      </c>
    </row>
    <row r="464" spans="1:14" x14ac:dyDescent="0.35">
      <c r="A464" t="s">
        <v>272</v>
      </c>
      <c r="B464" s="5" t="str">
        <f>_xlfn.XLOOKUP(role_course_map[[#This Row],[role_id]], role_data[role_id], role_data[Role],"")</f>
        <v>Air Ambulance Paramedics</v>
      </c>
      <c r="C464">
        <v>79147</v>
      </c>
      <c r="D464" s="5" t="str">
        <f>_xlfn.XLOOKUP(role_course_map[[#This Row],[course_id]],course_data[course_id],course_data[title],"")</f>
        <v>Driving risks at work</v>
      </c>
      <c r="E464" s="5" t="str">
        <f>_xlfn.XLOOKUP(role_course_map[[#This Row],[course_id]],course_data[course_id],course_data[topic],"")</f>
        <v>SAS : Health and Safety</v>
      </c>
      <c r="F464" s="5" t="str">
        <f>_xlfn.XLOOKUP(role_course_map[[#This Row],[course_id]],course_data[course_id],course_data[type],"")</f>
        <v>eLearning</v>
      </c>
      <c r="K464" t="str">
        <f>role_course_map[[#This Row],[role_id]] &amp; "|" &amp; role_course_map[[#This Row],[course_id]]</f>
        <v>R0130|79147</v>
      </c>
      <c r="L464" t="str">
        <f>IF(COUNTIF(role_course_map[mapping_key],role_course_map[[#This Row],[mapping_key]])&gt;1,"DUPLICATE","OK")</f>
        <v>OK</v>
      </c>
      <c r="M464" t="str">
        <f>IF(COUNTIF(role_data[role_id],role_course_map[[#This Row],[role_id]])=0, "INVALID","VALID")</f>
        <v>VALID</v>
      </c>
      <c r="N464" t="str">
        <f>IF(COUNTIF(course_data[course_id],role_course_map[[#This Row],[course_id]])=0, "INVALID","VALID")</f>
        <v>VALID</v>
      </c>
    </row>
    <row r="465" spans="1:14" x14ac:dyDescent="0.35">
      <c r="A465" t="s">
        <v>270</v>
      </c>
      <c r="B465" s="5" t="str">
        <f>_xlfn.XLOOKUP(role_course_map[[#This Row],[role_id]], role_data[role_id], role_data[Role],"")</f>
        <v>Advanced Retrieval Practitioner</v>
      </c>
      <c r="C465">
        <v>999060</v>
      </c>
      <c r="D465" s="5" t="str">
        <f>_xlfn.XLOOKUP(role_course_map[[#This Row],[course_id]],course_data[course_id],course_data[title],"")</f>
        <v>COSHH</v>
      </c>
      <c r="E465" s="5" t="str">
        <f>_xlfn.XLOOKUP(role_course_map[[#This Row],[course_id]],course_data[course_id],course_data[topic],"")</f>
        <v>SAS : Health and Safety</v>
      </c>
      <c r="F465" s="5" t="str">
        <f>_xlfn.XLOOKUP(role_course_map[[#This Row],[course_id]],course_data[course_id],course_data[type],"")</f>
        <v>eLearning</v>
      </c>
      <c r="K465" t="str">
        <f>role_course_map[[#This Row],[role_id]] &amp; "|" &amp; role_course_map[[#This Row],[course_id]]</f>
        <v>R0129|999060</v>
      </c>
      <c r="L465" t="str">
        <f>IF(COUNTIF(role_course_map[mapping_key],role_course_map[[#This Row],[mapping_key]])&gt;1,"DUPLICATE","OK")</f>
        <v>OK</v>
      </c>
      <c r="M465" t="str">
        <f>IF(COUNTIF(role_data[role_id],role_course_map[[#This Row],[role_id]])=0, "INVALID","VALID")</f>
        <v>VALID</v>
      </c>
      <c r="N465" t="str">
        <f>IF(COUNTIF(course_data[course_id],role_course_map[[#This Row],[course_id]])=0, "INVALID","VALID")</f>
        <v>VALID</v>
      </c>
    </row>
    <row r="466" spans="1:14" x14ac:dyDescent="0.35">
      <c r="A466" t="s">
        <v>272</v>
      </c>
      <c r="B466" s="5" t="str">
        <f>_xlfn.XLOOKUP(role_course_map[[#This Row],[role_id]], role_data[role_id], role_data[Role],"")</f>
        <v>Air Ambulance Paramedics</v>
      </c>
      <c r="C466">
        <v>999066</v>
      </c>
      <c r="D466" s="5" t="str">
        <f>_xlfn.XLOOKUP(role_course_map[[#This Row],[course_id]],course_data[course_id],course_data[title],"")</f>
        <v>NRRD Update i.e. Major Incidents/Methane/ Multiple Casualities</v>
      </c>
      <c r="E466" s="5" t="str">
        <f>_xlfn.XLOOKUP(role_course_map[[#This Row],[course_id]],course_data[course_id],course_data[topic],"")</f>
        <v>SAS : National Risk and Resilience Department (NRRD)</v>
      </c>
      <c r="F466" s="5" t="str">
        <f>_xlfn.XLOOKUP(role_course_map[[#This Row],[course_id]],course_data[course_id],course_data[type],"")</f>
        <v>eLearning</v>
      </c>
      <c r="K466" t="str">
        <f>role_course_map[[#This Row],[role_id]] &amp; "|" &amp; role_course_map[[#This Row],[course_id]]</f>
        <v>R0130|999066</v>
      </c>
      <c r="L466" t="str">
        <f>IF(COUNTIF(role_course_map[mapping_key],role_course_map[[#This Row],[mapping_key]])&gt;1,"DUPLICATE","OK")</f>
        <v>OK</v>
      </c>
      <c r="M466" t="str">
        <f>IF(COUNTIF(role_data[role_id],role_course_map[[#This Row],[role_id]])=0, "INVALID","VALID")</f>
        <v>VALID</v>
      </c>
      <c r="N466" t="str">
        <f>IF(COUNTIF(course_data[course_id],role_course_map[[#This Row],[course_id]])=0, "INVALID","VALID")</f>
        <v>VALID</v>
      </c>
    </row>
    <row r="467" spans="1:14" x14ac:dyDescent="0.35">
      <c r="A467" t="s">
        <v>272</v>
      </c>
      <c r="B467" s="5" t="str">
        <f>_xlfn.XLOOKUP(role_course_map[[#This Row],[role_id]], role_data[role_id], role_data[Role],"")</f>
        <v>Air Ambulance Paramedics</v>
      </c>
      <c r="C467">
        <v>999025</v>
      </c>
      <c r="D467" s="5" t="str">
        <f>_xlfn.XLOOKUP(role_course_map[[#This Row],[course_id]],course_data[course_id],course_data[title],"")</f>
        <v>Professional Standards</v>
      </c>
      <c r="E467" s="5" t="str">
        <f>_xlfn.XLOOKUP(role_course_map[[#This Row],[course_id]],course_data[course_id],course_data[topic],"")</f>
        <v>SAS : Clinical Practice</v>
      </c>
      <c r="F467" s="5" t="str">
        <f>_xlfn.XLOOKUP(role_course_map[[#This Row],[course_id]],course_data[course_id],course_data[type],"")</f>
        <v>eLearning</v>
      </c>
      <c r="K467" t="str">
        <f>role_course_map[[#This Row],[role_id]] &amp; "|" &amp; role_course_map[[#This Row],[course_id]]</f>
        <v>R0130|999025</v>
      </c>
      <c r="L467" t="str">
        <f>IF(COUNTIF(role_course_map[mapping_key],role_course_map[[#This Row],[mapping_key]])&gt;1,"DUPLICATE","OK")</f>
        <v>OK</v>
      </c>
      <c r="M467" t="str">
        <f>IF(COUNTIF(role_data[role_id],role_course_map[[#This Row],[role_id]])=0, "INVALID","VALID")</f>
        <v>VALID</v>
      </c>
      <c r="N467" t="str">
        <f>IF(COUNTIF(course_data[course_id],role_course_map[[#This Row],[course_id]])=0, "INVALID","VALID")</f>
        <v>VALID</v>
      </c>
    </row>
    <row r="468" spans="1:14" x14ac:dyDescent="0.35">
      <c r="A468" t="s">
        <v>270</v>
      </c>
      <c r="B468" s="5" t="str">
        <f>_xlfn.XLOOKUP(role_course_map[[#This Row],[role_id]], role_data[role_id], role_data[Role],"")</f>
        <v>Advanced Retrieval Practitioner</v>
      </c>
      <c r="C468">
        <v>999026</v>
      </c>
      <c r="D468" s="5" t="str">
        <f>_xlfn.XLOOKUP(role_course_map[[#This Row],[course_id]],course_data[course_id],course_data[title],"")</f>
        <v>Communication Standards</v>
      </c>
      <c r="E468" s="5" t="str">
        <f>_xlfn.XLOOKUP(role_course_map[[#This Row],[course_id]],course_data[course_id],course_data[topic],"")</f>
        <v>SAS : Clinical Practice</v>
      </c>
      <c r="F468" s="5" t="str">
        <f>_xlfn.XLOOKUP(role_course_map[[#This Row],[course_id]],course_data[course_id],course_data[type],"")</f>
        <v>eLearning</v>
      </c>
      <c r="K468" t="str">
        <f>role_course_map[[#This Row],[role_id]] &amp; "|" &amp; role_course_map[[#This Row],[course_id]]</f>
        <v>R0129|999026</v>
      </c>
      <c r="L468" t="str">
        <f>IF(COUNTIF(role_course_map[mapping_key],role_course_map[[#This Row],[mapping_key]])&gt;1,"DUPLICATE","OK")</f>
        <v>OK</v>
      </c>
      <c r="M468" t="str">
        <f>IF(COUNTIF(role_data[role_id],role_course_map[[#This Row],[role_id]])=0, "INVALID","VALID")</f>
        <v>VALID</v>
      </c>
      <c r="N468" t="str">
        <f>IF(COUNTIF(course_data[course_id],role_course_map[[#This Row],[course_id]])=0, "INVALID","VALID")</f>
        <v>VALID</v>
      </c>
    </row>
    <row r="469" spans="1:14" x14ac:dyDescent="0.35">
      <c r="A469" t="s">
        <v>272</v>
      </c>
      <c r="B469" s="5" t="str">
        <f>_xlfn.XLOOKUP(role_course_map[[#This Row],[role_id]], role_data[role_id], role_data[Role],"")</f>
        <v>Air Ambulance Paramedics</v>
      </c>
      <c r="C469">
        <v>999058</v>
      </c>
      <c r="D469" s="5" t="str">
        <f>_xlfn.XLOOKUP(role_course_map[[#This Row],[course_id]],course_data[course_id],course_data[title],"")</f>
        <v>Stress Identification &amp; Stress Management</v>
      </c>
      <c r="E469" s="5" t="str">
        <f>_xlfn.XLOOKUP(role_course_map[[#This Row],[course_id]],course_data[course_id],course_data[topic],"")</f>
        <v>SAS : Health and Safety</v>
      </c>
      <c r="F469" s="5" t="str">
        <f>_xlfn.XLOOKUP(role_course_map[[#This Row],[course_id]],course_data[course_id],course_data[type],"")</f>
        <v>eLearning</v>
      </c>
      <c r="K469" t="str">
        <f>role_course_map[[#This Row],[role_id]] &amp; "|" &amp; role_course_map[[#This Row],[course_id]]</f>
        <v>R0130|999058</v>
      </c>
      <c r="L469" t="str">
        <f>IF(COUNTIF(role_course_map[mapping_key],role_course_map[[#This Row],[mapping_key]])&gt;1,"DUPLICATE","OK")</f>
        <v>OK</v>
      </c>
      <c r="M469" t="str">
        <f>IF(COUNTIF(role_data[role_id],role_course_map[[#This Row],[role_id]])=0, "INVALID","VALID")</f>
        <v>VALID</v>
      </c>
      <c r="N469" t="str">
        <f>IF(COUNTIF(course_data[course_id],role_course_map[[#This Row],[course_id]])=0, "INVALID","VALID")</f>
        <v>VALID</v>
      </c>
    </row>
    <row r="470" spans="1:14" x14ac:dyDescent="0.35">
      <c r="A470" t="s">
        <v>270</v>
      </c>
      <c r="B470" s="5" t="str">
        <f>_xlfn.XLOOKUP(role_course_map[[#This Row],[role_id]], role_data[role_id], role_data[Role],"")</f>
        <v>Advanced Retrieval Practitioner</v>
      </c>
      <c r="C470">
        <v>999056</v>
      </c>
      <c r="D470" s="5" t="str">
        <f>_xlfn.XLOOKUP(role_course_map[[#This Row],[course_id]],course_data[course_id],course_data[title],"")</f>
        <v>Driver Assessment &amp; Training</v>
      </c>
      <c r="E470" s="5" t="str">
        <f>_xlfn.XLOOKUP(role_course_map[[#This Row],[course_id]],course_data[course_id],course_data[topic],"")</f>
        <v>SAS : Health and Safety</v>
      </c>
      <c r="F470" s="5" t="str">
        <f>_xlfn.XLOOKUP(role_course_map[[#This Row],[course_id]],course_data[course_id],course_data[type],"")</f>
        <v>eLearning</v>
      </c>
      <c r="K470" t="str">
        <f>role_course_map[[#This Row],[role_id]] &amp; "|" &amp; role_course_map[[#This Row],[course_id]]</f>
        <v>R0129|999056</v>
      </c>
      <c r="L470" t="str">
        <f>IF(COUNTIF(role_course_map[mapping_key],role_course_map[[#This Row],[mapping_key]])&gt;1,"DUPLICATE","OK")</f>
        <v>OK</v>
      </c>
      <c r="M470" t="str">
        <f>IF(COUNTIF(role_data[role_id],role_course_map[[#This Row],[role_id]])=0, "INVALID","VALID")</f>
        <v>VALID</v>
      </c>
      <c r="N470" t="str">
        <f>IF(COUNTIF(course_data[course_id],role_course_map[[#This Row],[course_id]])=0, "INVALID","VALID")</f>
        <v>VALID</v>
      </c>
    </row>
    <row r="471" spans="1:14" x14ac:dyDescent="0.35">
      <c r="A471" t="s">
        <v>272</v>
      </c>
      <c r="B471" s="5" t="str">
        <f>_xlfn.XLOOKUP(role_course_map[[#This Row],[role_id]], role_data[role_id], role_data[Role],"")</f>
        <v>Air Ambulance Paramedics</v>
      </c>
      <c r="C471">
        <v>999061</v>
      </c>
      <c r="D471" s="5" t="str">
        <f>_xlfn.XLOOKUP(role_course_map[[#This Row],[course_id]],course_data[course_id],course_data[title],"")</f>
        <v>Skin Awareness</v>
      </c>
      <c r="E471" s="5" t="str">
        <f>_xlfn.XLOOKUP(role_course_map[[#This Row],[course_id]],course_data[course_id],course_data[topic],"")</f>
        <v>SAS : Health and Safety</v>
      </c>
      <c r="F471" s="5" t="str">
        <f>_xlfn.XLOOKUP(role_course_map[[#This Row],[course_id]],course_data[course_id],course_data[type],"")</f>
        <v>eLearning</v>
      </c>
      <c r="K471" t="str">
        <f>role_course_map[[#This Row],[role_id]] &amp; "|" &amp; role_course_map[[#This Row],[course_id]]</f>
        <v>R0130|999061</v>
      </c>
      <c r="L471" t="str">
        <f>IF(COUNTIF(role_course_map[mapping_key],role_course_map[[#This Row],[mapping_key]])&gt;1,"DUPLICATE","OK")</f>
        <v>OK</v>
      </c>
      <c r="M471" t="str">
        <f>IF(COUNTIF(role_data[role_id],role_course_map[[#This Row],[role_id]])=0, "INVALID","VALID")</f>
        <v>VALID</v>
      </c>
      <c r="N471" t="str">
        <f>IF(COUNTIF(course_data[course_id],role_course_map[[#This Row],[course_id]])=0, "INVALID","VALID")</f>
        <v>VALID</v>
      </c>
    </row>
    <row r="472" spans="1:14" x14ac:dyDescent="0.35">
      <c r="A472" t="s">
        <v>270</v>
      </c>
      <c r="B472" s="5" t="str">
        <f>_xlfn.XLOOKUP(role_course_map[[#This Row],[role_id]], role_data[role_id], role_data[Role],"")</f>
        <v>Advanced Retrieval Practitioner</v>
      </c>
      <c r="C472">
        <v>999057</v>
      </c>
      <c r="D472" s="5" t="str">
        <f>_xlfn.XLOOKUP(role_course_map[[#This Row],[course_id]],course_data[course_id],course_data[title],"")</f>
        <v>Fatigue Awareness</v>
      </c>
      <c r="E472" s="5" t="str">
        <f>_xlfn.XLOOKUP(role_course_map[[#This Row],[course_id]],course_data[course_id],course_data[topic],"")</f>
        <v>SAS : Health and Safety</v>
      </c>
      <c r="F472" s="5" t="str">
        <f>_xlfn.XLOOKUP(role_course_map[[#This Row],[course_id]],course_data[course_id],course_data[type],"")</f>
        <v>eLearning</v>
      </c>
      <c r="K472" t="str">
        <f>role_course_map[[#This Row],[role_id]] &amp; "|" &amp; role_course_map[[#This Row],[course_id]]</f>
        <v>R0129|999057</v>
      </c>
      <c r="L472" t="str">
        <f>IF(COUNTIF(role_course_map[mapping_key],role_course_map[[#This Row],[mapping_key]])&gt;1,"DUPLICATE","OK")</f>
        <v>OK</v>
      </c>
      <c r="M472" t="str">
        <f>IF(COUNTIF(role_data[role_id],role_course_map[[#This Row],[role_id]])=0, "INVALID","VALID")</f>
        <v>VALID</v>
      </c>
      <c r="N472" t="str">
        <f>IF(COUNTIF(course_data[course_id],role_course_map[[#This Row],[course_id]])=0, "INVALID","VALID")</f>
        <v>VALID</v>
      </c>
    </row>
    <row r="473" spans="1:14" x14ac:dyDescent="0.35">
      <c r="A473" t="s">
        <v>272</v>
      </c>
      <c r="B473" s="5" t="str">
        <f>_xlfn.XLOOKUP(role_course_map[[#This Row],[role_id]], role_data[role_id], role_data[Role],"")</f>
        <v>Air Ambulance Paramedics</v>
      </c>
      <c r="C473">
        <v>999027</v>
      </c>
      <c r="D473" s="5" t="str">
        <f>_xlfn.XLOOKUP(role_course_map[[#This Row],[course_id]],course_data[course_id],course_data[title],"")</f>
        <v>Manual and Patient Handling Foundation Training - Level 2</v>
      </c>
      <c r="E473" s="5" t="str">
        <f>_xlfn.XLOOKUP(role_course_map[[#This Row],[course_id]],course_data[course_id],course_data[topic],"")</f>
        <v>SAS : Clinical Practice</v>
      </c>
      <c r="F473" s="5" t="str">
        <f>_xlfn.XLOOKUP(role_course_map[[#This Row],[course_id]],course_data[course_id],course_data[type],"")</f>
        <v>Course</v>
      </c>
      <c r="K473" t="str">
        <f>role_course_map[[#This Row],[role_id]] &amp; "|" &amp; role_course_map[[#This Row],[course_id]]</f>
        <v>R0130|999027</v>
      </c>
      <c r="L473" t="str">
        <f>IF(COUNTIF(role_course_map[mapping_key],role_course_map[[#This Row],[mapping_key]])&gt;1,"DUPLICATE","OK")</f>
        <v>OK</v>
      </c>
      <c r="M473" t="str">
        <f>IF(COUNTIF(role_data[role_id],role_course_map[[#This Row],[role_id]])=0, "INVALID","VALID")</f>
        <v>VALID</v>
      </c>
      <c r="N473" t="str">
        <f>IF(COUNTIF(course_data[course_id],role_course_map[[#This Row],[course_id]])=0, "INVALID","VALID")</f>
        <v>VALID</v>
      </c>
    </row>
    <row r="474" spans="1:14" x14ac:dyDescent="0.35">
      <c r="A474" t="s">
        <v>272</v>
      </c>
      <c r="B474" s="5" t="str">
        <f>_xlfn.XLOOKUP(role_course_map[[#This Row],[role_id]], role_data[role_id], role_data[Role],"")</f>
        <v>Air Ambulance Paramedics</v>
      </c>
      <c r="C474">
        <v>999028</v>
      </c>
      <c r="D474" s="5" t="str">
        <f>_xlfn.XLOOKUP(role_course_map[[#This Row],[course_id]],course_data[course_id],course_data[title],"")</f>
        <v>Manual and Patient Handling Competency Assessment - Level 3</v>
      </c>
      <c r="E474" s="5" t="str">
        <f>_xlfn.XLOOKUP(role_course_map[[#This Row],[course_id]],course_data[course_id],course_data[topic],"")</f>
        <v>SAS : Clinical Practice</v>
      </c>
      <c r="F474" s="5" t="str">
        <f>_xlfn.XLOOKUP(role_course_map[[#This Row],[course_id]],course_data[course_id],course_data[type],"")</f>
        <v>Course</v>
      </c>
      <c r="K474" t="str">
        <f>role_course_map[[#This Row],[role_id]] &amp; "|" &amp; role_course_map[[#This Row],[course_id]]</f>
        <v>R0130|999028</v>
      </c>
      <c r="L474" t="str">
        <f>IF(COUNTIF(role_course_map[mapping_key],role_course_map[[#This Row],[mapping_key]])&gt;1,"DUPLICATE","OK")</f>
        <v>OK</v>
      </c>
      <c r="M474" t="str">
        <f>IF(COUNTIF(role_data[role_id],role_course_map[[#This Row],[role_id]])=0, "INVALID","VALID")</f>
        <v>VALID</v>
      </c>
      <c r="N474" t="str">
        <f>IF(COUNTIF(course_data[course_id],role_course_map[[#This Row],[course_id]])=0, "INVALID","VALID")</f>
        <v>VALID</v>
      </c>
    </row>
    <row r="475" spans="1:14" x14ac:dyDescent="0.35">
      <c r="A475" t="s">
        <v>272</v>
      </c>
      <c r="B475" s="5" t="str">
        <f>_xlfn.XLOOKUP(role_course_map[[#This Row],[role_id]], role_data[role_id], role_data[Role],"")</f>
        <v>Air Ambulance Paramedics</v>
      </c>
      <c r="C475">
        <v>999029</v>
      </c>
      <c r="D475" s="5" t="str">
        <f>_xlfn.XLOOKUP(role_course_map[[#This Row],[course_id]],course_data[course_id],course_data[title],"")</f>
        <v>Manual and Patient Handling Competency Assessment Theory - Level 3</v>
      </c>
      <c r="E475" s="5" t="str">
        <f>_xlfn.XLOOKUP(role_course_map[[#This Row],[course_id]],course_data[course_id],course_data[topic],"")</f>
        <v>SAS : Clinical Practice</v>
      </c>
      <c r="F475" s="5" t="str">
        <f>_xlfn.XLOOKUP(role_course_map[[#This Row],[course_id]],course_data[course_id],course_data[type],"")</f>
        <v>Course</v>
      </c>
      <c r="K475" t="str">
        <f>role_course_map[[#This Row],[role_id]] &amp; "|" &amp; role_course_map[[#This Row],[course_id]]</f>
        <v>R0130|999029</v>
      </c>
      <c r="L475" t="str">
        <f>IF(COUNTIF(role_course_map[mapping_key],role_course_map[[#This Row],[mapping_key]])&gt;1,"DUPLICATE","OK")</f>
        <v>OK</v>
      </c>
      <c r="M475" t="str">
        <f>IF(COUNTIF(role_data[role_id],role_course_map[[#This Row],[role_id]])=0, "INVALID","VALID")</f>
        <v>VALID</v>
      </c>
      <c r="N475" t="str">
        <f>IF(COUNTIF(course_data[course_id],role_course_map[[#This Row],[course_id]])=0, "INVALID","VALID")</f>
        <v>VALID</v>
      </c>
    </row>
    <row r="476" spans="1:14" x14ac:dyDescent="0.35">
      <c r="A476" t="s">
        <v>272</v>
      </c>
      <c r="B476" s="5" t="str">
        <f>_xlfn.XLOOKUP(role_course_map[[#This Row],[role_id]], role_data[role_id], role_data[Role],"")</f>
        <v>Air Ambulance Paramedics</v>
      </c>
      <c r="C476" t="s">
        <v>659</v>
      </c>
      <c r="D476" s="5" t="str">
        <f>_xlfn.XLOOKUP(role_course_map[[#This Row],[course_id]],course_data[course_id],course_data[title],"")</f>
        <v>Prevention and Management of Violence and Aggression - Breakaway training Level 2 /Restrictive movement Level 3</v>
      </c>
      <c r="E476" s="5" t="str">
        <f>_xlfn.XLOOKUP(role_course_map[[#This Row],[course_id]],course_data[course_id],course_data[topic],"")</f>
        <v>SAS : Health and Safety</v>
      </c>
      <c r="F476" s="5" t="str">
        <f>_xlfn.XLOOKUP(role_course_map[[#This Row],[course_id]],course_data[course_id],course_data[type],"")</f>
        <v>Course</v>
      </c>
      <c r="K476" t="str">
        <f>role_course_map[[#This Row],[role_id]] &amp; "|" &amp; role_course_map[[#This Row],[course_id]]</f>
        <v>R0130|2025-6 edition</v>
      </c>
      <c r="L476" t="str">
        <f>IF(COUNTIF(role_course_map[mapping_key],role_course_map[[#This Row],[mapping_key]])&gt;1,"DUPLICATE","OK")</f>
        <v>OK</v>
      </c>
      <c r="M476" t="str">
        <f>IF(COUNTIF(role_data[role_id],role_course_map[[#This Row],[role_id]])=0, "INVALID","VALID")</f>
        <v>VALID</v>
      </c>
      <c r="N476" t="str">
        <f>IF(COUNTIF(course_data[course_id],role_course_map[[#This Row],[course_id]])=0, "INVALID","VALID")</f>
        <v>VALID</v>
      </c>
    </row>
    <row r="477" spans="1:14" x14ac:dyDescent="0.35">
      <c r="A477" t="s">
        <v>272</v>
      </c>
      <c r="B477" s="5" t="str">
        <f>_xlfn.XLOOKUP(role_course_map[[#This Row],[role_id]], role_data[role_id], role_data[Role],"")</f>
        <v>Air Ambulance Paramedics</v>
      </c>
      <c r="C477">
        <v>999055</v>
      </c>
      <c r="D477" s="5" t="str">
        <f>_xlfn.XLOOKUP(role_course_map[[#This Row],[course_id]],course_data[course_id],course_data[title],"")</f>
        <v>Prevention and Management of Violence and Aggression - Refresher</v>
      </c>
      <c r="E477" s="5" t="str">
        <f>_xlfn.XLOOKUP(role_course_map[[#This Row],[course_id]],course_data[course_id],course_data[topic],"")</f>
        <v>SAS : Health and Safety</v>
      </c>
      <c r="F477" s="5" t="str">
        <f>_xlfn.XLOOKUP(role_course_map[[#This Row],[course_id]],course_data[course_id],course_data[type],"")</f>
        <v>Course</v>
      </c>
      <c r="K477" t="str">
        <f>role_course_map[[#This Row],[role_id]] &amp; "|" &amp; role_course_map[[#This Row],[course_id]]</f>
        <v>R0130|999055</v>
      </c>
      <c r="L477" t="str">
        <f>IF(COUNTIF(role_course_map[mapping_key],role_course_map[[#This Row],[mapping_key]])&gt;1,"DUPLICATE","OK")</f>
        <v>OK</v>
      </c>
      <c r="M477" t="str">
        <f>IF(COUNTIF(role_data[role_id],role_course_map[[#This Row],[role_id]])=0, "INVALID","VALID")</f>
        <v>VALID</v>
      </c>
      <c r="N477" t="str">
        <f>IF(COUNTIF(course_data[course_id],role_course_map[[#This Row],[course_id]])=0, "INVALID","VALID")</f>
        <v>VALID</v>
      </c>
    </row>
    <row r="478" spans="1:14" x14ac:dyDescent="0.35">
      <c r="A478" t="s">
        <v>272</v>
      </c>
      <c r="B478" s="5" t="str">
        <f>_xlfn.XLOOKUP(role_course_map[[#This Row],[role_id]], role_data[role_id], role_data[Role],"")</f>
        <v>Air Ambulance Paramedics</v>
      </c>
      <c r="C478">
        <v>64322</v>
      </c>
      <c r="D478" s="5" t="str">
        <f>_xlfn.XLOOKUP(role_course_map[[#This Row],[course_id]],course_data[course_id],course_data[title],"")</f>
        <v>Adult support and protection: practice level 2 [skilled]</v>
      </c>
      <c r="E478" s="5" t="str">
        <f>_xlfn.XLOOKUP(role_course_map[[#This Row],[course_id]],course_data[course_id],course_data[topic],"")</f>
        <v>SAS : Public Protection</v>
      </c>
      <c r="F478" s="5" t="str">
        <f>_xlfn.XLOOKUP(role_course_map[[#This Row],[course_id]],course_data[course_id],course_data[type],"")</f>
        <v>eLearning</v>
      </c>
      <c r="K478" t="str">
        <f>role_course_map[[#This Row],[role_id]] &amp; "|" &amp; role_course_map[[#This Row],[course_id]]</f>
        <v>R0130|64322</v>
      </c>
      <c r="L478" t="str">
        <f>IF(COUNTIF(role_course_map[mapping_key],role_course_map[[#This Row],[mapping_key]])&gt;1,"DUPLICATE","OK")</f>
        <v>OK</v>
      </c>
      <c r="M478" t="str">
        <f>IF(COUNTIF(role_data[role_id],role_course_map[[#This Row],[role_id]])=0, "INVALID","VALID")</f>
        <v>VALID</v>
      </c>
      <c r="N478" t="str">
        <f>IF(COUNTIF(course_data[course_id],role_course_map[[#This Row],[course_id]])=0, "INVALID","VALID")</f>
        <v>VALID</v>
      </c>
    </row>
    <row r="479" spans="1:14" x14ac:dyDescent="0.35">
      <c r="A479" t="s">
        <v>272</v>
      </c>
      <c r="B479" s="5" t="str">
        <f>_xlfn.XLOOKUP(role_course_map[[#This Row],[role_id]], role_data[role_id], role_data[Role],"")</f>
        <v>Air Ambulance Paramedics</v>
      </c>
      <c r="C479">
        <v>64324</v>
      </c>
      <c r="D479" s="5" t="str">
        <f>_xlfn.XLOOKUP(role_course_map[[#This Row],[course_id]],course_data[course_id],course_data[title],"")</f>
        <v>Child protection: practice level 2 [skilled]</v>
      </c>
      <c r="E479" s="5" t="str">
        <f>_xlfn.XLOOKUP(role_course_map[[#This Row],[course_id]],course_data[course_id],course_data[topic],"")</f>
        <v>SAS : Public Protection</v>
      </c>
      <c r="F479" s="5" t="str">
        <f>_xlfn.XLOOKUP(role_course_map[[#This Row],[course_id]],course_data[course_id],course_data[type],"")</f>
        <v>eLearning</v>
      </c>
      <c r="K479" t="str">
        <f>role_course_map[[#This Row],[role_id]] &amp; "|" &amp; role_course_map[[#This Row],[course_id]]</f>
        <v>R0130|64324</v>
      </c>
      <c r="L479" t="str">
        <f>IF(COUNTIF(role_course_map[mapping_key],role_course_map[[#This Row],[mapping_key]])&gt;1,"DUPLICATE","OK")</f>
        <v>OK</v>
      </c>
      <c r="M479" t="str">
        <f>IF(COUNTIF(role_data[role_id],role_course_map[[#This Row],[role_id]])=0, "INVALID","VALID")</f>
        <v>VALID</v>
      </c>
      <c r="N479" t="str">
        <f>IF(COUNTIF(course_data[course_id],role_course_map[[#This Row],[course_id]])=0, "INVALID","VALID")</f>
        <v>VALID</v>
      </c>
    </row>
    <row r="480" spans="1:14" x14ac:dyDescent="0.35">
      <c r="A480" t="s">
        <v>270</v>
      </c>
      <c r="B480" s="5" t="str">
        <f>_xlfn.XLOOKUP(role_course_map[[#This Row],[role_id]], role_data[role_id], role_data[Role],"")</f>
        <v>Advanced Retrieval Practitioner</v>
      </c>
      <c r="C480">
        <v>76716</v>
      </c>
      <c r="D480" s="5" t="str">
        <f>_xlfn.XLOOKUP(role_course_map[[#This Row],[course_id]],course_data[course_id],course_data[title],"")</f>
        <v>Domestic abuse awareness training tool (DAART)</v>
      </c>
      <c r="E480" s="5" t="str">
        <f>_xlfn.XLOOKUP(role_course_map[[#This Row],[course_id]],course_data[course_id],course_data[topic],"")</f>
        <v>SAS : Public Protection</v>
      </c>
      <c r="F480" s="5" t="str">
        <f>_xlfn.XLOOKUP(role_course_map[[#This Row],[course_id]],course_data[course_id],course_data[type],"")</f>
        <v>eLearning</v>
      </c>
      <c r="K480" t="str">
        <f>role_course_map[[#This Row],[role_id]] &amp; "|" &amp; role_course_map[[#This Row],[course_id]]</f>
        <v>R0129|76716</v>
      </c>
      <c r="L480" t="str">
        <f>IF(COUNTIF(role_course_map[mapping_key],role_course_map[[#This Row],[mapping_key]])&gt;1,"DUPLICATE","OK")</f>
        <v>OK</v>
      </c>
      <c r="M480" t="str">
        <f>IF(COUNTIF(role_data[role_id],role_course_map[[#This Row],[role_id]])=0, "INVALID","VALID")</f>
        <v>VALID</v>
      </c>
      <c r="N480" t="str">
        <f>IF(COUNTIF(course_data[course_id],role_course_map[[#This Row],[course_id]])=0, "INVALID","VALID")</f>
        <v>VALID</v>
      </c>
    </row>
    <row r="481" spans="1:14" x14ac:dyDescent="0.35">
      <c r="A481" t="s">
        <v>272</v>
      </c>
      <c r="B481" s="5" t="str">
        <f>_xlfn.XLOOKUP(role_course_map[[#This Row],[role_id]], role_data[role_id], role_data[Role],"")</f>
        <v>Air Ambulance Paramedics</v>
      </c>
      <c r="C481">
        <v>79666</v>
      </c>
      <c r="D481" s="5" t="str">
        <f>_xlfn.XLOOKUP(role_course_map[[#This Row],[course_id]],course_data[course_id],course_data[title],"")</f>
        <v>Getting it right for every child (GIRFEC): informed level</v>
      </c>
      <c r="E481" s="5" t="str">
        <f>_xlfn.XLOOKUP(role_course_map[[#This Row],[course_id]],course_data[course_id],course_data[topic],"")</f>
        <v>SAS : Public Protection</v>
      </c>
      <c r="F481" s="5" t="str">
        <f>_xlfn.XLOOKUP(role_course_map[[#This Row],[course_id]],course_data[course_id],course_data[type],"")</f>
        <v>eLearning</v>
      </c>
      <c r="K481" t="str">
        <f>role_course_map[[#This Row],[role_id]] &amp; "|" &amp; role_course_map[[#This Row],[course_id]]</f>
        <v>R0130|79666</v>
      </c>
      <c r="L481" t="str">
        <f>IF(COUNTIF(role_course_map[mapping_key],role_course_map[[#This Row],[mapping_key]])&gt;1,"DUPLICATE","OK")</f>
        <v>OK</v>
      </c>
      <c r="M481" t="str">
        <f>IF(COUNTIF(role_data[role_id],role_course_map[[#This Row],[role_id]])=0, "INVALID","VALID")</f>
        <v>VALID</v>
      </c>
      <c r="N481" t="str">
        <f>IF(COUNTIF(course_data[course_id],role_course_map[[#This Row],[course_id]])=0, "INVALID","VALID")</f>
        <v>VALID</v>
      </c>
    </row>
    <row r="482" spans="1:14" x14ac:dyDescent="0.35">
      <c r="A482" t="s">
        <v>272</v>
      </c>
      <c r="B482" s="5" t="str">
        <f>_xlfn.XLOOKUP(role_course_map[[#This Row],[role_id]], role_data[role_id], role_data[Role],"")</f>
        <v>Air Ambulance Paramedics</v>
      </c>
      <c r="C482">
        <v>999074</v>
      </c>
      <c r="D482" s="5" t="str">
        <f>_xlfn.XLOOKUP(role_course_map[[#This Row],[course_id]],course_data[course_id],course_data[title],"")</f>
        <v>SAS-specific Children’s rights</v>
      </c>
      <c r="E482" s="5" t="str">
        <f>_xlfn.XLOOKUP(role_course_map[[#This Row],[course_id]],course_data[course_id],course_data[topic],"")</f>
        <v>SAS : Public Protection</v>
      </c>
      <c r="F482" s="5" t="str">
        <f>_xlfn.XLOOKUP(role_course_map[[#This Row],[course_id]],course_data[course_id],course_data[type],"")</f>
        <v>eLearning</v>
      </c>
      <c r="K482" t="str">
        <f>role_course_map[[#This Row],[role_id]] &amp; "|" &amp; role_course_map[[#This Row],[course_id]]</f>
        <v>R0130|999074</v>
      </c>
      <c r="L482" t="str">
        <f>IF(COUNTIF(role_course_map[mapping_key],role_course_map[[#This Row],[mapping_key]])&gt;1,"DUPLICATE","OK")</f>
        <v>OK</v>
      </c>
      <c r="M482" t="str">
        <f>IF(COUNTIF(role_data[role_id],role_course_map[[#This Row],[role_id]])=0, "INVALID","VALID")</f>
        <v>VALID</v>
      </c>
      <c r="N482" t="str">
        <f>IF(COUNTIF(course_data[course_id],role_course_map[[#This Row],[course_id]])=0, "INVALID","VALID")</f>
        <v>VALID</v>
      </c>
    </row>
    <row r="483" spans="1:14" x14ac:dyDescent="0.35">
      <c r="A483" t="s">
        <v>272</v>
      </c>
      <c r="B483" s="5" t="str">
        <f>_xlfn.XLOOKUP(role_course_map[[#This Row],[role_id]], role_data[role_id], role_data[Role],"")</f>
        <v>Air Ambulance Paramedics</v>
      </c>
      <c r="C483">
        <v>999075</v>
      </c>
      <c r="D483" s="5" t="str">
        <f>_xlfn.XLOOKUP(role_course_map[[#This Row],[course_id]],course_data[course_id],course_data[title],"")</f>
        <v>Multiagency local or bespoke Level 3 delivery training</v>
      </c>
      <c r="E483" s="5" t="str">
        <f>_xlfn.XLOOKUP(role_course_map[[#This Row],[course_id]],course_data[course_id],course_data[topic],"")</f>
        <v>SAS : Public Protection</v>
      </c>
      <c r="F483" s="5" t="str">
        <f>_xlfn.XLOOKUP(role_course_map[[#This Row],[course_id]],course_data[course_id],course_data[type],"")</f>
        <v>eLearning</v>
      </c>
      <c r="K483" t="str">
        <f>role_course_map[[#This Row],[role_id]] &amp; "|" &amp; role_course_map[[#This Row],[course_id]]</f>
        <v>R0130|999075</v>
      </c>
      <c r="L483" t="str">
        <f>IF(COUNTIF(role_course_map[mapping_key],role_course_map[[#This Row],[mapping_key]])&gt;1,"DUPLICATE","OK")</f>
        <v>OK</v>
      </c>
      <c r="M483" t="str">
        <f>IF(COUNTIF(role_data[role_id],role_course_map[[#This Row],[role_id]])=0, "INVALID","VALID")</f>
        <v>VALID</v>
      </c>
      <c r="N483" t="str">
        <f>IF(COUNTIF(course_data[course_id],role_course_map[[#This Row],[course_id]])=0, "INVALID","VALID")</f>
        <v>VALID</v>
      </c>
    </row>
    <row r="484" spans="1:14" x14ac:dyDescent="0.35">
      <c r="A484" t="s">
        <v>272</v>
      </c>
      <c r="B484" s="5" t="str">
        <f>_xlfn.XLOOKUP(role_course_map[[#This Row],[role_id]], role_data[role_id], role_data[Role],"")</f>
        <v>Air Ambulance Paramedics</v>
      </c>
      <c r="C484">
        <v>15249</v>
      </c>
      <c r="D484" s="5" t="str">
        <f>_xlfn.XLOOKUP(role_course_map[[#This Row],[course_id]],course_data[course_id],course_data[title],"")</f>
        <v>Human trafficking</v>
      </c>
      <c r="E484" s="5" t="str">
        <f>_xlfn.XLOOKUP(role_course_map[[#This Row],[course_id]],course_data[course_id],course_data[topic],"")</f>
        <v>SAS : Public Protection</v>
      </c>
      <c r="F484" s="5" t="str">
        <f>_xlfn.XLOOKUP(role_course_map[[#This Row],[course_id]],course_data[course_id],course_data[type],"")</f>
        <v>eLearning</v>
      </c>
      <c r="K484" t="str">
        <f>role_course_map[[#This Row],[role_id]] &amp; "|" &amp; role_course_map[[#This Row],[course_id]]</f>
        <v>R0130|15249</v>
      </c>
      <c r="L484" t="str">
        <f>IF(COUNTIF(role_course_map[mapping_key],role_course_map[[#This Row],[mapping_key]])&gt;1,"DUPLICATE","OK")</f>
        <v>OK</v>
      </c>
      <c r="M484" t="str">
        <f>IF(COUNTIF(role_data[role_id],role_course_map[[#This Row],[role_id]])=0, "INVALID","VALID")</f>
        <v>VALID</v>
      </c>
      <c r="N484" t="str">
        <f>IF(COUNTIF(course_data[course_id],role_course_map[[#This Row],[course_id]])=0, "INVALID","VALID")</f>
        <v>VALID</v>
      </c>
    </row>
    <row r="485" spans="1:14" x14ac:dyDescent="0.35">
      <c r="A485" t="s">
        <v>272</v>
      </c>
      <c r="B485" s="5" t="str">
        <f>_xlfn.XLOOKUP(role_course_map[[#This Row],[role_id]], role_data[role_id], role_data[Role],"")</f>
        <v>Air Ambulance Paramedics</v>
      </c>
      <c r="C485">
        <v>89161</v>
      </c>
      <c r="D485" s="5" t="str">
        <f>_xlfn.XLOOKUP(role_course_map[[#This Row],[course_id]],course_data[course_id],course_data[title],"")</f>
        <v>Personal Protective Equipment</v>
      </c>
      <c r="E485" s="5" t="str">
        <f>_xlfn.XLOOKUP(role_course_map[[#This Row],[course_id]],course_data[course_id],course_data[topic],"")</f>
        <v>SAS : Infection Prevention and Control (IPC)</v>
      </c>
      <c r="F485" s="5" t="str">
        <f>_xlfn.XLOOKUP(role_course_map[[#This Row],[course_id]],course_data[course_id],course_data[type],"")</f>
        <v>eLearning</v>
      </c>
      <c r="K485" t="str">
        <f>role_course_map[[#This Row],[role_id]] &amp; "|" &amp; role_course_map[[#This Row],[course_id]]</f>
        <v>R0130|89161</v>
      </c>
      <c r="L485" t="str">
        <f>IF(COUNTIF(role_course_map[mapping_key],role_course_map[[#This Row],[mapping_key]])&gt;1,"DUPLICATE","OK")</f>
        <v>OK</v>
      </c>
      <c r="M485" t="str">
        <f>IF(COUNTIF(role_data[role_id],role_course_map[[#This Row],[role_id]])=0, "INVALID","VALID")</f>
        <v>VALID</v>
      </c>
      <c r="N485" t="str">
        <f>IF(COUNTIF(course_data[course_id],role_course_map[[#This Row],[course_id]])=0, "INVALID","VALID")</f>
        <v>VALID</v>
      </c>
    </row>
    <row r="486" spans="1:14" x14ac:dyDescent="0.35">
      <c r="A486" t="s">
        <v>272</v>
      </c>
      <c r="B486" s="5" t="str">
        <f>_xlfn.XLOOKUP(role_course_map[[#This Row],[role_id]], role_data[role_id], role_data[Role],"")</f>
        <v>Air Ambulance Paramedics</v>
      </c>
      <c r="C486">
        <v>89157</v>
      </c>
      <c r="D486" s="5" t="str">
        <f>_xlfn.XLOOKUP(role_course_map[[#This Row],[course_id]],course_data[course_id],course_data[title],"")</f>
        <v>Safe Management of Care Equipment</v>
      </c>
      <c r="E486" s="5" t="str">
        <f>_xlfn.XLOOKUP(role_course_map[[#This Row],[course_id]],course_data[course_id],course_data[topic],"")</f>
        <v>SAS : Infection Prevention and Control (IPC)</v>
      </c>
      <c r="F486" s="5" t="str">
        <f>_xlfn.XLOOKUP(role_course_map[[#This Row],[course_id]],course_data[course_id],course_data[type],"")</f>
        <v>eLearning</v>
      </c>
      <c r="K486" t="str">
        <f>role_course_map[[#This Row],[role_id]] &amp; "|" &amp; role_course_map[[#This Row],[course_id]]</f>
        <v>R0130|89157</v>
      </c>
      <c r="L486" t="str">
        <f>IF(COUNTIF(role_course_map[mapping_key],role_course_map[[#This Row],[mapping_key]])&gt;1,"DUPLICATE","OK")</f>
        <v>OK</v>
      </c>
      <c r="M486" t="str">
        <f>IF(COUNTIF(role_data[role_id],role_course_map[[#This Row],[role_id]])=0, "INVALID","VALID")</f>
        <v>VALID</v>
      </c>
      <c r="N486" t="str">
        <f>IF(COUNTIF(course_data[course_id],role_course_map[[#This Row],[course_id]])=0, "INVALID","VALID")</f>
        <v>VALID</v>
      </c>
    </row>
    <row r="487" spans="1:14" x14ac:dyDescent="0.35">
      <c r="A487" t="s">
        <v>272</v>
      </c>
      <c r="B487" s="5" t="str">
        <f>_xlfn.XLOOKUP(role_course_map[[#This Row],[role_id]], role_data[role_id], role_data[Role],"")</f>
        <v>Air Ambulance Paramedics</v>
      </c>
      <c r="C487">
        <v>89158</v>
      </c>
      <c r="D487" s="5" t="str">
        <f>_xlfn.XLOOKUP(role_course_map[[#This Row],[course_id]],course_data[course_id],course_data[title],"")</f>
        <v>Safe Management of Care Environment</v>
      </c>
      <c r="E487" s="5" t="str">
        <f>_xlfn.XLOOKUP(role_course_map[[#This Row],[course_id]],course_data[course_id],course_data[topic],"")</f>
        <v>SAS : Infection Prevention and Control (IPC)</v>
      </c>
      <c r="F487" s="5" t="str">
        <f>_xlfn.XLOOKUP(role_course_map[[#This Row],[course_id]],course_data[course_id],course_data[type],"")</f>
        <v>eLearning</v>
      </c>
      <c r="K487" t="str">
        <f>role_course_map[[#This Row],[role_id]] &amp; "|" &amp; role_course_map[[#This Row],[course_id]]</f>
        <v>R0130|89158</v>
      </c>
      <c r="L487" t="str">
        <f>IF(COUNTIF(role_course_map[mapping_key],role_course_map[[#This Row],[mapping_key]])&gt;1,"DUPLICATE","OK")</f>
        <v>OK</v>
      </c>
      <c r="M487" t="str">
        <f>IF(COUNTIF(role_data[role_id],role_course_map[[#This Row],[role_id]])=0, "INVALID","VALID")</f>
        <v>VALID</v>
      </c>
      <c r="N487" t="str">
        <f>IF(COUNTIF(course_data[course_id],role_course_map[[#This Row],[course_id]])=0, "INVALID","VALID")</f>
        <v>VALID</v>
      </c>
    </row>
    <row r="488" spans="1:14" x14ac:dyDescent="0.35">
      <c r="A488" t="s">
        <v>272</v>
      </c>
      <c r="B488" s="5" t="str">
        <f>_xlfn.XLOOKUP(role_course_map[[#This Row],[role_id]], role_data[role_id], role_data[Role],"")</f>
        <v>Air Ambulance Paramedics</v>
      </c>
      <c r="C488">
        <v>89159</v>
      </c>
      <c r="D488" s="5" t="str">
        <f>_xlfn.XLOOKUP(role_course_map[[#This Row],[course_id]],course_data[course_id],course_data[title],"")</f>
        <v>Safe Management of Linen</v>
      </c>
      <c r="E488" s="5" t="str">
        <f>_xlfn.XLOOKUP(role_course_map[[#This Row],[course_id]],course_data[course_id],course_data[topic],"")</f>
        <v>SAS : Infection Prevention and Control (IPC)</v>
      </c>
      <c r="F488" s="5" t="str">
        <f>_xlfn.XLOOKUP(role_course_map[[#This Row],[course_id]],course_data[course_id],course_data[type],"")</f>
        <v>eLearning</v>
      </c>
      <c r="K488" t="str">
        <f>role_course_map[[#This Row],[role_id]] &amp; "|" &amp; role_course_map[[#This Row],[course_id]]</f>
        <v>R0130|89159</v>
      </c>
      <c r="L488" t="str">
        <f>IF(COUNTIF(role_course_map[mapping_key],role_course_map[[#This Row],[mapping_key]])&gt;1,"DUPLICATE","OK")</f>
        <v>OK</v>
      </c>
      <c r="M488" t="str">
        <f>IF(COUNTIF(role_data[role_id],role_course_map[[#This Row],[role_id]])=0, "INVALID","VALID")</f>
        <v>VALID</v>
      </c>
      <c r="N488" t="str">
        <f>IF(COUNTIF(course_data[course_id],role_course_map[[#This Row],[course_id]])=0, "INVALID","VALID")</f>
        <v>VALID</v>
      </c>
    </row>
    <row r="489" spans="1:14" x14ac:dyDescent="0.35">
      <c r="A489" t="s">
        <v>272</v>
      </c>
      <c r="B489" s="5" t="str">
        <f>_xlfn.XLOOKUP(role_course_map[[#This Row],[role_id]], role_data[role_id], role_data[Role],"")</f>
        <v>Air Ambulance Paramedics</v>
      </c>
      <c r="C489">
        <v>89160</v>
      </c>
      <c r="D489" s="5" t="str">
        <f>_xlfn.XLOOKUP(role_course_map[[#This Row],[course_id]],course_data[course_id],course_data[title],"")</f>
        <v>Safe Management of blood and body fluids</v>
      </c>
      <c r="E489" s="5" t="str">
        <f>_xlfn.XLOOKUP(role_course_map[[#This Row],[course_id]],course_data[course_id],course_data[topic],"")</f>
        <v>SAS : Infection Prevention and Control (IPC)</v>
      </c>
      <c r="F489" s="5" t="str">
        <f>_xlfn.XLOOKUP(role_course_map[[#This Row],[course_id]],course_data[course_id],course_data[type],"")</f>
        <v>eLearning</v>
      </c>
      <c r="K489" t="str">
        <f>role_course_map[[#This Row],[role_id]] &amp; "|" &amp; role_course_map[[#This Row],[course_id]]</f>
        <v>R0130|89160</v>
      </c>
      <c r="L489" t="str">
        <f>IF(COUNTIF(role_course_map[mapping_key],role_course_map[[#This Row],[mapping_key]])&gt;1,"DUPLICATE","OK")</f>
        <v>OK</v>
      </c>
      <c r="M489" t="str">
        <f>IF(COUNTIF(role_data[role_id],role_course_map[[#This Row],[role_id]])=0, "INVALID","VALID")</f>
        <v>VALID</v>
      </c>
      <c r="N489" t="str">
        <f>IF(COUNTIF(course_data[course_id],role_course_map[[#This Row],[course_id]])=0, "INVALID","VALID")</f>
        <v>VALID</v>
      </c>
    </row>
    <row r="490" spans="1:14" x14ac:dyDescent="0.35">
      <c r="A490" t="s">
        <v>272</v>
      </c>
      <c r="B490" s="5" t="str">
        <f>_xlfn.XLOOKUP(role_course_map[[#This Row],[role_id]], role_data[role_id], role_data[Role],"")</f>
        <v>Air Ambulance Paramedics</v>
      </c>
      <c r="C490">
        <v>89154</v>
      </c>
      <c r="D490" s="5" t="str">
        <f>_xlfn.XLOOKUP(role_course_map[[#This Row],[course_id]],course_data[course_id],course_data[title],"")</f>
        <v>Safe disposal of waste</v>
      </c>
      <c r="E490" s="5" t="str">
        <f>_xlfn.XLOOKUP(role_course_map[[#This Row],[course_id]],course_data[course_id],course_data[topic],"")</f>
        <v>SAS : Infection Prevention and Control (IPC)</v>
      </c>
      <c r="F490" s="5" t="str">
        <f>_xlfn.XLOOKUP(role_course_map[[#This Row],[course_id]],course_data[course_id],course_data[type],"")</f>
        <v>eLearning</v>
      </c>
      <c r="K490" t="str">
        <f>role_course_map[[#This Row],[role_id]] &amp; "|" &amp; role_course_map[[#This Row],[course_id]]</f>
        <v>R0130|89154</v>
      </c>
      <c r="L490" t="str">
        <f>IF(COUNTIF(role_course_map[mapping_key],role_course_map[[#This Row],[mapping_key]])&gt;1,"DUPLICATE","OK")</f>
        <v>OK</v>
      </c>
      <c r="M490" t="str">
        <f>IF(COUNTIF(role_data[role_id],role_course_map[[#This Row],[role_id]])=0, "INVALID","VALID")</f>
        <v>VALID</v>
      </c>
      <c r="N490" t="str">
        <f>IF(COUNTIF(course_data[course_id],role_course_map[[#This Row],[course_id]])=0, "INVALID","VALID")</f>
        <v>VALID</v>
      </c>
    </row>
    <row r="491" spans="1:14" x14ac:dyDescent="0.35">
      <c r="A491" t="s">
        <v>272</v>
      </c>
      <c r="B491" s="5" t="str">
        <f>_xlfn.XLOOKUP(role_course_map[[#This Row],[role_id]], role_data[role_id], role_data[Role],"")</f>
        <v>Air Ambulance Paramedics</v>
      </c>
      <c r="C491">
        <v>89155</v>
      </c>
      <c r="D491" s="5" t="str">
        <f>_xlfn.XLOOKUP(role_course_map[[#This Row],[course_id]],course_data[course_id],course_data[title],"")</f>
        <v>Prevention &amp; management of occupational exposure</v>
      </c>
      <c r="E491" s="5" t="str">
        <f>_xlfn.XLOOKUP(role_course_map[[#This Row],[course_id]],course_data[course_id],course_data[topic],"")</f>
        <v>SAS : Infection Prevention and Control (IPC)</v>
      </c>
      <c r="F491" s="5" t="str">
        <f>_xlfn.XLOOKUP(role_course_map[[#This Row],[course_id]],course_data[course_id],course_data[type],"")</f>
        <v>eLearning</v>
      </c>
      <c r="K491" t="str">
        <f>role_course_map[[#This Row],[role_id]] &amp; "|" &amp; role_course_map[[#This Row],[course_id]]</f>
        <v>R0130|89155</v>
      </c>
      <c r="L491" t="str">
        <f>IF(COUNTIF(role_course_map[mapping_key],role_course_map[[#This Row],[mapping_key]])&gt;1,"DUPLICATE","OK")</f>
        <v>OK</v>
      </c>
      <c r="M491" t="str">
        <f>IF(COUNTIF(role_data[role_id],role_course_map[[#This Row],[role_id]])=0, "INVALID","VALID")</f>
        <v>VALID</v>
      </c>
      <c r="N491" t="str">
        <f>IF(COUNTIF(course_data[course_id],role_course_map[[#This Row],[course_id]])=0, "INVALID","VALID")</f>
        <v>VALID</v>
      </c>
    </row>
    <row r="492" spans="1:14" x14ac:dyDescent="0.35">
      <c r="A492" t="s">
        <v>272</v>
      </c>
      <c r="B492" s="5" t="str">
        <f>_xlfn.XLOOKUP(role_course_map[[#This Row],[role_id]], role_data[role_id], role_data[Role],"")</f>
        <v>Air Ambulance Paramedics</v>
      </c>
      <c r="C492">
        <v>999064</v>
      </c>
      <c r="D492" s="5" t="str">
        <f>_xlfn.XLOOKUP(role_course_map[[#This Row],[course_id]],course_data[course_id],course_data[title],"")</f>
        <v>Infection prevention and control: Clostridioides difficile infection</v>
      </c>
      <c r="E492" s="5" t="str">
        <f>_xlfn.XLOOKUP(role_course_map[[#This Row],[course_id]],course_data[course_id],course_data[topic],"")</f>
        <v>SAS : Infection Prevention and Control (IPC)</v>
      </c>
      <c r="F492" s="5" t="str">
        <f>_xlfn.XLOOKUP(role_course_map[[#This Row],[course_id]],course_data[course_id],course_data[type],"")</f>
        <v>eLearning</v>
      </c>
      <c r="K492" t="str">
        <f>role_course_map[[#This Row],[role_id]] &amp; "|" &amp; role_course_map[[#This Row],[course_id]]</f>
        <v>R0130|999064</v>
      </c>
      <c r="L492" t="str">
        <f>IF(COUNTIF(role_course_map[mapping_key],role_course_map[[#This Row],[mapping_key]])&gt;1,"DUPLICATE","OK")</f>
        <v>OK</v>
      </c>
      <c r="M492" t="str">
        <f>IF(COUNTIF(role_data[role_id],role_course_map[[#This Row],[role_id]])=0, "INVALID","VALID")</f>
        <v>VALID</v>
      </c>
      <c r="N492" t="str">
        <f>IF(COUNTIF(course_data[course_id],role_course_map[[#This Row],[course_id]])=0, "INVALID","VALID")</f>
        <v>VALID</v>
      </c>
    </row>
    <row r="493" spans="1:14" x14ac:dyDescent="0.35">
      <c r="A493" t="s">
        <v>272</v>
      </c>
      <c r="B493" s="5" t="str">
        <f>_xlfn.XLOOKUP(role_course_map[[#This Row],[role_id]], role_data[role_id], role_data[Role],"")</f>
        <v>Air Ambulance Paramedics</v>
      </c>
      <c r="C493">
        <v>3886</v>
      </c>
      <c r="D493" s="5" t="str">
        <f>_xlfn.XLOOKUP(role_course_map[[#This Row],[course_id]],course_data[course_id],course_data[title],"")</f>
        <v>Prevention and management of pressure ulcers</v>
      </c>
      <c r="E493" s="5" t="str">
        <f>_xlfn.XLOOKUP(role_course_map[[#This Row],[course_id]],course_data[course_id],course_data[topic],"")</f>
        <v>SAS : Clinical Practice</v>
      </c>
      <c r="F493" s="5" t="str">
        <f>_xlfn.XLOOKUP(role_course_map[[#This Row],[course_id]],course_data[course_id],course_data[type],"")</f>
        <v>Page</v>
      </c>
      <c r="K493" t="str">
        <f>role_course_map[[#This Row],[role_id]] &amp; "|" &amp; role_course_map[[#This Row],[course_id]]</f>
        <v>R0130|3886</v>
      </c>
      <c r="L493" t="str">
        <f>IF(COUNTIF(role_course_map[mapping_key],role_course_map[[#This Row],[mapping_key]])&gt;1,"DUPLICATE","OK")</f>
        <v>OK</v>
      </c>
      <c r="M493" t="str">
        <f>IF(COUNTIF(role_data[role_id],role_course_map[[#This Row],[role_id]])=0, "INVALID","VALID")</f>
        <v>VALID</v>
      </c>
      <c r="N493" t="str">
        <f>IF(COUNTIF(course_data[course_id],role_course_map[[#This Row],[course_id]])=0, "INVALID","VALID")</f>
        <v>VALID</v>
      </c>
    </row>
    <row r="494" spans="1:14" x14ac:dyDescent="0.35">
      <c r="A494" t="s">
        <v>272</v>
      </c>
      <c r="B494" s="5" t="str">
        <f>_xlfn.XLOOKUP(role_course_map[[#This Row],[role_id]], role_data[role_id], role_data[Role],"")</f>
        <v>Air Ambulance Paramedics</v>
      </c>
      <c r="C494">
        <v>999077</v>
      </c>
      <c r="D494" s="5" t="str">
        <f>_xlfn.XLOOKUP(role_course_map[[#This Row],[course_id]],course_data[course_id],course_data[title],"")</f>
        <v>ScotSTAR: Role specific Orientation &amp; Induction</v>
      </c>
      <c r="E494" s="5" t="str">
        <f>_xlfn.XLOOKUP(role_course_map[[#This Row],[course_id]],course_data[course_id],course_data[topic],"")</f>
        <v>SAS : ScotSTAR</v>
      </c>
      <c r="F494" s="5" t="str">
        <f>_xlfn.XLOOKUP(role_course_map[[#This Row],[course_id]],course_data[course_id],course_data[type],"")</f>
        <v>Course</v>
      </c>
      <c r="K494" t="str">
        <f>role_course_map[[#This Row],[role_id]] &amp; "|" &amp; role_course_map[[#This Row],[course_id]]</f>
        <v>R0130|999077</v>
      </c>
      <c r="L494" t="str">
        <f>IF(COUNTIF(role_course_map[mapping_key],role_course_map[[#This Row],[mapping_key]])&gt;1,"DUPLICATE","OK")</f>
        <v>OK</v>
      </c>
      <c r="M494" t="str">
        <f>IF(COUNTIF(role_data[role_id],role_course_map[[#This Row],[role_id]])=0, "INVALID","VALID")</f>
        <v>VALID</v>
      </c>
      <c r="N494" t="str">
        <f>IF(COUNTIF(course_data[course_id],role_course_map[[#This Row],[course_id]])=0, "INVALID","VALID")</f>
        <v>VALID</v>
      </c>
    </row>
    <row r="495" spans="1:14" x14ac:dyDescent="0.35">
      <c r="A495" t="s">
        <v>272</v>
      </c>
      <c r="B495" s="5" t="str">
        <f>_xlfn.XLOOKUP(role_course_map[[#This Row],[role_id]], role_data[role_id], role_data[Role],"")</f>
        <v>Air Ambulance Paramedics</v>
      </c>
      <c r="C495">
        <v>999078</v>
      </c>
      <c r="D495" s="5" t="str">
        <f>_xlfn.XLOOKUP(role_course_map[[#This Row],[course_id]],course_data[course_id],course_data[title],"")</f>
        <v>Dangerous Goods (CCA)</v>
      </c>
      <c r="E495" s="5" t="str">
        <f>_xlfn.XLOOKUP(role_course_map[[#This Row],[course_id]],course_data[course_id],course_data[topic],"")</f>
        <v>SAS : ScotSTAR</v>
      </c>
      <c r="F495" s="5" t="str">
        <f>_xlfn.XLOOKUP(role_course_map[[#This Row],[course_id]],course_data[course_id],course_data[type],"")</f>
        <v>eLearning</v>
      </c>
      <c r="K495" t="str">
        <f>role_course_map[[#This Row],[role_id]] &amp; "|" &amp; role_course_map[[#This Row],[course_id]]</f>
        <v>R0130|999078</v>
      </c>
      <c r="L495" t="str">
        <f>IF(COUNTIF(role_course_map[mapping_key],role_course_map[[#This Row],[mapping_key]])&gt;1,"DUPLICATE","OK")</f>
        <v>OK</v>
      </c>
      <c r="M495" t="str">
        <f>IF(COUNTIF(role_data[role_id],role_course_map[[#This Row],[role_id]])=0, "INVALID","VALID")</f>
        <v>VALID</v>
      </c>
      <c r="N495" t="str">
        <f>IF(COUNTIF(course_data[course_id],role_course_map[[#This Row],[course_id]])=0, "INVALID","VALID")</f>
        <v>VALID</v>
      </c>
    </row>
    <row r="496" spans="1:14" x14ac:dyDescent="0.35">
      <c r="A496" t="s">
        <v>272</v>
      </c>
      <c r="B496" s="5" t="str">
        <f>_xlfn.XLOOKUP(role_course_map[[#This Row],[role_id]], role_data[role_id], role_data[Role],"")</f>
        <v>Air Ambulance Paramedics</v>
      </c>
      <c r="C496">
        <v>999081</v>
      </c>
      <c r="D496" s="5" t="str">
        <f>_xlfn.XLOOKUP(role_course_map[[#This Row],[course_id]],course_data[course_id],course_data[title],"")</f>
        <v>Major Incident Training- Operational Commander</v>
      </c>
      <c r="E496" s="5" t="str">
        <f>_xlfn.XLOOKUP(role_course_map[[#This Row],[course_id]],course_data[course_id],course_data[topic],"")</f>
        <v>SAS : ScotSTAR</v>
      </c>
      <c r="F496" s="5" t="str">
        <f>_xlfn.XLOOKUP(role_course_map[[#This Row],[course_id]],course_data[course_id],course_data[type],"")</f>
        <v>Course</v>
      </c>
      <c r="K496" t="str">
        <f>role_course_map[[#This Row],[role_id]] &amp; "|" &amp; role_course_map[[#This Row],[course_id]]</f>
        <v>R0130|999081</v>
      </c>
      <c r="L496" t="str">
        <f>IF(COUNTIF(role_course_map[mapping_key],role_course_map[[#This Row],[mapping_key]])&gt;1,"DUPLICATE","OK")</f>
        <v>OK</v>
      </c>
      <c r="M496" t="str">
        <f>IF(COUNTIF(role_data[role_id],role_course_map[[#This Row],[role_id]])=0, "INVALID","VALID")</f>
        <v>VALID</v>
      </c>
      <c r="N496" t="str">
        <f>IF(COUNTIF(course_data[course_id],role_course_map[[#This Row],[course_id]])=0, "INVALID","VALID")</f>
        <v>VALID</v>
      </c>
    </row>
    <row r="497" spans="1:14" x14ac:dyDescent="0.35">
      <c r="A497" t="s">
        <v>272</v>
      </c>
      <c r="B497" s="5" t="str">
        <f>_xlfn.XLOOKUP(role_course_map[[#This Row],[role_id]], role_data[role_id], role_data[Role],"")</f>
        <v>Air Ambulance Paramedics</v>
      </c>
      <c r="C497">
        <v>999083</v>
      </c>
      <c r="D497" s="5" t="str">
        <f>_xlfn.XLOOKUP(role_course_map[[#This Row],[course_id]],course_data[course_id],course_data[title],"")</f>
        <v>Neonatal Life Support (NLS)</v>
      </c>
      <c r="E497" s="5" t="str">
        <f>_xlfn.XLOOKUP(role_course_map[[#This Row],[course_id]],course_data[course_id],course_data[topic],"")</f>
        <v>SAS : ScotSTAR</v>
      </c>
      <c r="F497" s="5" t="str">
        <f>_xlfn.XLOOKUP(role_course_map[[#This Row],[course_id]],course_data[course_id],course_data[type],"")</f>
        <v>Course</v>
      </c>
      <c r="K497" t="str">
        <f>role_course_map[[#This Row],[role_id]] &amp; "|" &amp; role_course_map[[#This Row],[course_id]]</f>
        <v>R0130|999083</v>
      </c>
      <c r="L497" t="str">
        <f>IF(COUNTIF(role_course_map[mapping_key],role_course_map[[#This Row],[mapping_key]])&gt;1,"DUPLICATE","OK")</f>
        <v>OK</v>
      </c>
      <c r="M497" t="str">
        <f>IF(COUNTIF(role_data[role_id],role_course_map[[#This Row],[role_id]])=0, "INVALID","VALID")</f>
        <v>VALID</v>
      </c>
      <c r="N497" t="str">
        <f>IF(COUNTIF(course_data[course_id],role_course_map[[#This Row],[course_id]])=0, "INVALID","VALID")</f>
        <v>VALID</v>
      </c>
    </row>
    <row r="498" spans="1:14" x14ac:dyDescent="0.35">
      <c r="A498" t="s">
        <v>272</v>
      </c>
      <c r="B498" s="5" t="str">
        <f>_xlfn.XLOOKUP(role_course_map[[#This Row],[role_id]], role_data[role_id], role_data[Role],"")</f>
        <v>Air Ambulance Paramedics</v>
      </c>
      <c r="C498">
        <v>999084</v>
      </c>
      <c r="D498" s="5" t="str">
        <f>_xlfn.XLOOKUP(role_course_map[[#This Row],[course_id]],course_data[course_id],course_data[title],"")</f>
        <v>Paediatric Life Support (PLS)</v>
      </c>
      <c r="E498" s="5" t="str">
        <f>_xlfn.XLOOKUP(role_course_map[[#This Row],[course_id]],course_data[course_id],course_data[topic],"")</f>
        <v>SAS : ScotSTAR</v>
      </c>
      <c r="F498" s="5" t="str">
        <f>_xlfn.XLOOKUP(role_course_map[[#This Row],[course_id]],course_data[course_id],course_data[type],"")</f>
        <v>Course</v>
      </c>
      <c r="K498" t="str">
        <f>role_course_map[[#This Row],[role_id]] &amp; "|" &amp; role_course_map[[#This Row],[course_id]]</f>
        <v>R0130|999084</v>
      </c>
      <c r="L498" t="str">
        <f>IF(COUNTIF(role_course_map[mapping_key],role_course_map[[#This Row],[mapping_key]])&gt;1,"DUPLICATE","OK")</f>
        <v>OK</v>
      </c>
      <c r="M498" t="str">
        <f>IF(COUNTIF(role_data[role_id],role_course_map[[#This Row],[role_id]])=0, "INVALID","VALID")</f>
        <v>VALID</v>
      </c>
      <c r="N498" t="str">
        <f>IF(COUNTIF(course_data[course_id],role_course_map[[#This Row],[course_id]])=0, "INVALID","VALID")</f>
        <v>VALID</v>
      </c>
    </row>
    <row r="499" spans="1:14" x14ac:dyDescent="0.35">
      <c r="A499" t="s">
        <v>272</v>
      </c>
      <c r="B499" s="5" t="str">
        <f>_xlfn.XLOOKUP(role_course_map[[#This Row],[role_id]], role_data[role_id], role_data[Role],"")</f>
        <v>Air Ambulance Paramedics</v>
      </c>
      <c r="C499">
        <v>999087</v>
      </c>
      <c r="D499" s="5" t="str">
        <f>_xlfn.XLOOKUP(role_course_map[[#This Row],[course_id]],course_data[course_id],course_data[title],"")</f>
        <v>Extrication Training (IPSP)</v>
      </c>
      <c r="E499" s="5" t="str">
        <f>_xlfn.XLOOKUP(role_course_map[[#This Row],[course_id]],course_data[course_id],course_data[topic],"")</f>
        <v>SAS : ScotSTAR</v>
      </c>
      <c r="F499" s="5" t="str">
        <f>_xlfn.XLOOKUP(role_course_map[[#This Row],[course_id]],course_data[course_id],course_data[type],"")</f>
        <v>Course</v>
      </c>
      <c r="K499" t="str">
        <f>role_course_map[[#This Row],[role_id]] &amp; "|" &amp; role_course_map[[#This Row],[course_id]]</f>
        <v>R0130|999087</v>
      </c>
      <c r="L499" t="str">
        <f>IF(COUNTIF(role_course_map[mapping_key],role_course_map[[#This Row],[mapping_key]])&gt;1,"DUPLICATE","OK")</f>
        <v>OK</v>
      </c>
      <c r="M499" t="str">
        <f>IF(COUNTIF(role_data[role_id],role_course_map[[#This Row],[role_id]])=0, "INVALID","VALID")</f>
        <v>VALID</v>
      </c>
      <c r="N499" t="str">
        <f>IF(COUNTIF(course_data[course_id],role_course_map[[#This Row],[course_id]])=0, "INVALID","VALID")</f>
        <v>VALID</v>
      </c>
    </row>
    <row r="500" spans="1:14" x14ac:dyDescent="0.35">
      <c r="A500" t="s">
        <v>272</v>
      </c>
      <c r="B500" s="5" t="str">
        <f>_xlfn.XLOOKUP(role_course_map[[#This Row],[role_id]], role_data[role_id], role_data[Role],"")</f>
        <v>Air Ambulance Paramedics</v>
      </c>
      <c r="C500">
        <v>999088</v>
      </c>
      <c r="D500" s="5" t="str">
        <f>_xlfn.XLOOKUP(role_course_map[[#This Row],[course_id]],course_data[course_id],course_data[title],"")</f>
        <v>PHECC (Adult)</v>
      </c>
      <c r="E500" s="5" t="str">
        <f>_xlfn.XLOOKUP(role_course_map[[#This Row],[course_id]],course_data[course_id],course_data[topic],"")</f>
        <v>SAS : ScotSTAR</v>
      </c>
      <c r="F500" s="5" t="str">
        <f>_xlfn.XLOOKUP(role_course_map[[#This Row],[course_id]],course_data[course_id],course_data[type],"")</f>
        <v>Course</v>
      </c>
      <c r="K500" t="str">
        <f>role_course_map[[#This Row],[role_id]] &amp; "|" &amp; role_course_map[[#This Row],[course_id]]</f>
        <v>R0130|999088</v>
      </c>
      <c r="L500" t="str">
        <f>IF(COUNTIF(role_course_map[mapping_key],role_course_map[[#This Row],[mapping_key]])&gt;1,"DUPLICATE","OK")</f>
        <v>OK</v>
      </c>
      <c r="M500" t="str">
        <f>IF(COUNTIF(role_data[role_id],role_course_map[[#This Row],[role_id]])=0, "INVALID","VALID")</f>
        <v>VALID</v>
      </c>
      <c r="N500" t="str">
        <f>IF(COUNTIF(course_data[course_id],role_course_map[[#This Row],[course_id]])=0, "INVALID","VALID")</f>
        <v>VALID</v>
      </c>
    </row>
    <row r="501" spans="1:14" x14ac:dyDescent="0.35">
      <c r="A501" t="s">
        <v>272</v>
      </c>
      <c r="B501" s="5" t="str">
        <f>_xlfn.XLOOKUP(role_course_map[[#This Row],[role_id]], role_data[role_id], role_data[Role],"")</f>
        <v>Air Ambulance Paramedics</v>
      </c>
      <c r="C501">
        <v>999089</v>
      </c>
      <c r="D501" s="5" t="str">
        <f>_xlfn.XLOOKUP(role_course_map[[#This Row],[course_id]],course_data[course_id],course_data[title],"")</f>
        <v xml:space="preserve"> </v>
      </c>
      <c r="E501" s="5" t="str">
        <f>_xlfn.XLOOKUP(role_course_map[[#This Row],[course_id]],course_data[course_id],course_data[topic],"")</f>
        <v>SAS : ScotSTAR</v>
      </c>
      <c r="F501" s="5" t="str">
        <f>_xlfn.XLOOKUP(role_course_map[[#This Row],[course_id]],course_data[course_id],course_data[type],"")</f>
        <v>Course</v>
      </c>
      <c r="K501" t="str">
        <f>role_course_map[[#This Row],[role_id]] &amp; "|" &amp; role_course_map[[#This Row],[course_id]]</f>
        <v>R0130|999089</v>
      </c>
      <c r="L501" t="str">
        <f>IF(COUNTIF(role_course_map[mapping_key],role_course_map[[#This Row],[mapping_key]])&gt;1,"DUPLICATE","OK")</f>
        <v>OK</v>
      </c>
      <c r="M501" t="str">
        <f>IF(COUNTIF(role_data[role_id],role_course_map[[#This Row],[role_id]])=0, "INVALID","VALID")</f>
        <v>VALID</v>
      </c>
      <c r="N501" t="str">
        <f>IF(COUNTIF(course_data[course_id],role_course_map[[#This Row],[course_id]])=0, "INVALID","VALID")</f>
        <v>VALID</v>
      </c>
    </row>
    <row r="502" spans="1:14" x14ac:dyDescent="0.35">
      <c r="A502" t="s">
        <v>274</v>
      </c>
      <c r="B502" s="5" t="str">
        <f>_xlfn.XLOOKUP(role_course_map[[#This Row],[role_id]], role_data[role_id], role_data[Role],"")</f>
        <v>EMRS Administrator</v>
      </c>
      <c r="C502">
        <v>999009</v>
      </c>
      <c r="D502" s="5" t="str">
        <f>_xlfn.XLOOKUP(role_course_map[[#This Row],[course_id]],course_data[course_id],course_data[title],"")</f>
        <v>Life Support</v>
      </c>
      <c r="E502" s="5" t="str">
        <f>_xlfn.XLOOKUP(role_course_map[[#This Row],[course_id]],course_data[course_id],course_data[topic],"")</f>
        <v>SAS : Clinical Practice</v>
      </c>
      <c r="F502" s="5" t="str">
        <f>_xlfn.XLOOKUP(role_course_map[[#This Row],[course_id]],course_data[course_id],course_data[type],"")</f>
        <v>Course</v>
      </c>
      <c r="K502" t="str">
        <f>role_course_map[[#This Row],[role_id]] &amp; "|" &amp; role_course_map[[#This Row],[course_id]]</f>
        <v>R0131|999009</v>
      </c>
      <c r="L502" t="str">
        <f>IF(COUNTIF(role_course_map[mapping_key],role_course_map[[#This Row],[mapping_key]])&gt;1,"DUPLICATE","OK")</f>
        <v>OK</v>
      </c>
      <c r="M502" t="str">
        <f>IF(COUNTIF(role_data[role_id],role_course_map[[#This Row],[role_id]])=0, "INVALID","VALID")</f>
        <v>VALID</v>
      </c>
      <c r="N502" t="str">
        <f>IF(COUNTIF(course_data[course_id],role_course_map[[#This Row],[course_id]])=0, "INVALID","VALID")</f>
        <v>VALID</v>
      </c>
    </row>
    <row r="503" spans="1:14" x14ac:dyDescent="0.35">
      <c r="A503" t="s">
        <v>274</v>
      </c>
      <c r="B503" s="5" t="str">
        <f>_xlfn.XLOOKUP(role_course_map[[#This Row],[role_id]], role_data[role_id], role_data[Role],"")</f>
        <v>EMRS Administrator</v>
      </c>
      <c r="C503">
        <v>999007</v>
      </c>
      <c r="D503" s="5" t="str">
        <f>_xlfn.XLOOKUP(role_course_map[[#This Row],[course_id]],course_data[course_id],course_data[title],"")</f>
        <v>Obstetrics</v>
      </c>
      <c r="E503" s="5" t="str">
        <f>_xlfn.XLOOKUP(role_course_map[[#This Row],[course_id]],course_data[course_id],course_data[topic],"")</f>
        <v>SAS : Clinical Practice</v>
      </c>
      <c r="F503" s="5" t="str">
        <f>_xlfn.XLOOKUP(role_course_map[[#This Row],[course_id]],course_data[course_id],course_data[type],"")</f>
        <v>Course</v>
      </c>
      <c r="K503" t="str">
        <f>role_course_map[[#This Row],[role_id]] &amp; "|" &amp; role_course_map[[#This Row],[course_id]]</f>
        <v>R0131|999007</v>
      </c>
      <c r="L503" t="str">
        <f>IF(COUNTIF(role_course_map[mapping_key],role_course_map[[#This Row],[mapping_key]])&gt;1,"DUPLICATE","OK")</f>
        <v>OK</v>
      </c>
      <c r="M503" t="str">
        <f>IF(COUNTIF(role_data[role_id],role_course_map[[#This Row],[role_id]])=0, "INVALID","VALID")</f>
        <v>VALID</v>
      </c>
      <c r="N503" t="str">
        <f>IF(COUNTIF(course_data[course_id],role_course_map[[#This Row],[course_id]])=0, "INVALID","VALID")</f>
        <v>VALID</v>
      </c>
    </row>
    <row r="504" spans="1:14" x14ac:dyDescent="0.35">
      <c r="A504" t="s">
        <v>274</v>
      </c>
      <c r="B504" s="5" t="str">
        <f>_xlfn.XLOOKUP(role_course_map[[#This Row],[role_id]], role_data[role_id], role_data[Role],"")</f>
        <v>EMRS Administrator</v>
      </c>
      <c r="C504">
        <v>999008</v>
      </c>
      <c r="D504" s="5" t="str">
        <f>_xlfn.XLOOKUP(role_course_map[[#This Row],[course_id]],course_data[course_id],course_data[title],"")</f>
        <v>Obstetrics</v>
      </c>
      <c r="E504" s="5" t="str">
        <f>_xlfn.XLOOKUP(role_course_map[[#This Row],[course_id]],course_data[course_id],course_data[topic],"")</f>
        <v>SAS : Clinical Practice</v>
      </c>
      <c r="F504" s="5" t="str">
        <f>_xlfn.XLOOKUP(role_course_map[[#This Row],[course_id]],course_data[course_id],course_data[type],"")</f>
        <v>eLearning</v>
      </c>
      <c r="K504" t="str">
        <f>role_course_map[[#This Row],[role_id]] &amp; "|" &amp; role_course_map[[#This Row],[course_id]]</f>
        <v>R0131|999008</v>
      </c>
      <c r="L504" t="str">
        <f>IF(COUNTIF(role_course_map[mapping_key],role_course_map[[#This Row],[mapping_key]])&gt;1,"DUPLICATE","OK")</f>
        <v>OK</v>
      </c>
      <c r="M504" t="str">
        <f>IF(COUNTIF(role_data[role_id],role_course_map[[#This Row],[role_id]])=0, "INVALID","VALID")</f>
        <v>VALID</v>
      </c>
      <c r="N504" t="str">
        <f>IF(COUNTIF(course_data[course_id],role_course_map[[#This Row],[course_id]])=0, "INVALID","VALID")</f>
        <v>VALID</v>
      </c>
    </row>
    <row r="505" spans="1:14" x14ac:dyDescent="0.35">
      <c r="A505" t="s">
        <v>274</v>
      </c>
      <c r="B505" s="5" t="str">
        <f>_xlfn.XLOOKUP(role_course_map[[#This Row],[role_id]], role_data[role_id], role_data[Role],"")</f>
        <v>EMRS Administrator</v>
      </c>
      <c r="C505">
        <v>999010</v>
      </c>
      <c r="D505" s="5" t="str">
        <f>_xlfn.XLOOKUP(role_course_map[[#This Row],[course_id]],course_data[course_id],course_data[title],"")</f>
        <v>Paediatrics</v>
      </c>
      <c r="E505" s="5" t="str">
        <f>_xlfn.XLOOKUP(role_course_map[[#This Row],[course_id]],course_data[course_id],course_data[topic],"")</f>
        <v>SAS : Clinical Practice</v>
      </c>
      <c r="F505" s="5" t="str">
        <f>_xlfn.XLOOKUP(role_course_map[[#This Row],[course_id]],course_data[course_id],course_data[type],"")</f>
        <v>Course</v>
      </c>
      <c r="K505" t="str">
        <f>role_course_map[[#This Row],[role_id]] &amp; "|" &amp; role_course_map[[#This Row],[course_id]]</f>
        <v>R0131|999010</v>
      </c>
      <c r="L505" t="str">
        <f>IF(COUNTIF(role_course_map[mapping_key],role_course_map[[#This Row],[mapping_key]])&gt;1,"DUPLICATE","OK")</f>
        <v>OK</v>
      </c>
      <c r="M505" t="str">
        <f>IF(COUNTIF(role_data[role_id],role_course_map[[#This Row],[role_id]])=0, "INVALID","VALID")</f>
        <v>VALID</v>
      </c>
      <c r="N505" t="str">
        <f>IF(COUNTIF(course_data[course_id],role_course_map[[#This Row],[course_id]])=0, "INVALID","VALID")</f>
        <v>VALID</v>
      </c>
    </row>
    <row r="506" spans="1:14" x14ac:dyDescent="0.35">
      <c r="A506" t="s">
        <v>274</v>
      </c>
      <c r="B506" s="5" t="str">
        <f>_xlfn.XLOOKUP(role_course_map[[#This Row],[role_id]], role_data[role_id], role_data[Role],"")</f>
        <v>EMRS Administrator</v>
      </c>
      <c r="C506">
        <v>999011</v>
      </c>
      <c r="D506" s="5" t="str">
        <f>_xlfn.XLOOKUP(role_course_map[[#This Row],[course_id]],course_data[course_id],course_data[title],"")</f>
        <v>Paediatrics</v>
      </c>
      <c r="E506" s="5" t="str">
        <f>_xlfn.XLOOKUP(role_course_map[[#This Row],[course_id]],course_data[course_id],course_data[topic],"")</f>
        <v>SAS : Clinical Practice</v>
      </c>
      <c r="F506" s="5" t="str">
        <f>_xlfn.XLOOKUP(role_course_map[[#This Row],[course_id]],course_data[course_id],course_data[type],"")</f>
        <v>eLearning</v>
      </c>
      <c r="K506" t="str">
        <f>role_course_map[[#This Row],[role_id]] &amp; "|" &amp; role_course_map[[#This Row],[course_id]]</f>
        <v>R0131|999011</v>
      </c>
      <c r="L506" t="str">
        <f>IF(COUNTIF(role_course_map[mapping_key],role_course_map[[#This Row],[mapping_key]])&gt;1,"DUPLICATE","OK")</f>
        <v>OK</v>
      </c>
      <c r="M506" t="str">
        <f>IF(COUNTIF(role_data[role_id],role_course_map[[#This Row],[role_id]])=0, "INVALID","VALID")</f>
        <v>VALID</v>
      </c>
      <c r="N506" t="str">
        <f>IF(COUNTIF(course_data[course_id],role_course_map[[#This Row],[course_id]])=0, "INVALID","VALID")</f>
        <v>VALID</v>
      </c>
    </row>
    <row r="507" spans="1:14" x14ac:dyDescent="0.35">
      <c r="A507" t="s">
        <v>274</v>
      </c>
      <c r="B507" s="5" t="str">
        <f>_xlfn.XLOOKUP(role_course_map[[#This Row],[role_id]], role_data[role_id], role_data[Role],"")</f>
        <v>EMRS Administrator</v>
      </c>
      <c r="C507">
        <v>999012</v>
      </c>
      <c r="D507" s="5" t="str">
        <f>_xlfn.XLOOKUP(role_course_map[[#This Row],[course_id]],course_data[course_id],course_data[title],"")</f>
        <v>Trauma</v>
      </c>
      <c r="E507" s="5" t="str">
        <f>_xlfn.XLOOKUP(role_course_map[[#This Row],[course_id]],course_data[course_id],course_data[topic],"")</f>
        <v>SAS : Clinical Practice</v>
      </c>
      <c r="F507" s="5" t="str">
        <f>_xlfn.XLOOKUP(role_course_map[[#This Row],[course_id]],course_data[course_id],course_data[type],"")</f>
        <v>Course</v>
      </c>
      <c r="K507" t="str">
        <f>role_course_map[[#This Row],[role_id]] &amp; "|" &amp; role_course_map[[#This Row],[course_id]]</f>
        <v>R0131|999012</v>
      </c>
      <c r="L507" t="str">
        <f>IF(COUNTIF(role_course_map[mapping_key],role_course_map[[#This Row],[mapping_key]])&gt;1,"DUPLICATE","OK")</f>
        <v>OK</v>
      </c>
      <c r="M507" t="str">
        <f>IF(COUNTIF(role_data[role_id],role_course_map[[#This Row],[role_id]])=0, "INVALID","VALID")</f>
        <v>VALID</v>
      </c>
      <c r="N507" t="str">
        <f>IF(COUNTIF(course_data[course_id],role_course_map[[#This Row],[course_id]])=0, "INVALID","VALID")</f>
        <v>VALID</v>
      </c>
    </row>
    <row r="508" spans="1:14" x14ac:dyDescent="0.35">
      <c r="A508" t="s">
        <v>274</v>
      </c>
      <c r="B508" s="5" t="str">
        <f>_xlfn.XLOOKUP(role_course_map[[#This Row],[role_id]], role_data[role_id], role_data[Role],"")</f>
        <v>EMRS Administrator</v>
      </c>
      <c r="C508">
        <v>999013</v>
      </c>
      <c r="D508" s="5" t="str">
        <f>_xlfn.XLOOKUP(role_course_map[[#This Row],[course_id]],course_data[course_id],course_data[title],"")</f>
        <v>Trauma</v>
      </c>
      <c r="E508" s="5" t="str">
        <f>_xlfn.XLOOKUP(role_course_map[[#This Row],[course_id]],course_data[course_id],course_data[topic],"")</f>
        <v>SAS : Clinical Practice</v>
      </c>
      <c r="F508" s="5" t="str">
        <f>_xlfn.XLOOKUP(role_course_map[[#This Row],[course_id]],course_data[course_id],course_data[type],"")</f>
        <v>eLearning</v>
      </c>
      <c r="K508" t="str">
        <f>role_course_map[[#This Row],[role_id]] &amp; "|" &amp; role_course_map[[#This Row],[course_id]]</f>
        <v>R0131|999013</v>
      </c>
      <c r="L508" t="str">
        <f>IF(COUNTIF(role_course_map[mapping_key],role_course_map[[#This Row],[mapping_key]])&gt;1,"DUPLICATE","OK")</f>
        <v>OK</v>
      </c>
      <c r="M508" t="str">
        <f>IF(COUNTIF(role_data[role_id],role_course_map[[#This Row],[role_id]])=0, "INVALID","VALID")</f>
        <v>VALID</v>
      </c>
      <c r="N508" t="str">
        <f>IF(COUNTIF(course_data[course_id],role_course_map[[#This Row],[course_id]])=0, "INVALID","VALID")</f>
        <v>VALID</v>
      </c>
    </row>
    <row r="509" spans="1:14" x14ac:dyDescent="0.35">
      <c r="A509" t="s">
        <v>274</v>
      </c>
      <c r="B509" s="5" t="str">
        <f>_xlfn.XLOOKUP(role_course_map[[#This Row],[role_id]], role_data[role_id], role_data[Role],"")</f>
        <v>EMRS Administrator</v>
      </c>
      <c r="C509">
        <v>999014</v>
      </c>
      <c r="D509" s="5" t="str">
        <f>_xlfn.XLOOKUP(role_course_map[[#This Row],[course_id]],course_data[course_id],course_data[title],"")</f>
        <v>Patient Assessment</v>
      </c>
      <c r="E509" s="5" t="str">
        <f>_xlfn.XLOOKUP(role_course_map[[#This Row],[course_id]],course_data[course_id],course_data[topic],"")</f>
        <v>SAS : Clinical Practice</v>
      </c>
      <c r="F509" s="5" t="str">
        <f>_xlfn.XLOOKUP(role_course_map[[#This Row],[course_id]],course_data[course_id],course_data[type],"")</f>
        <v>Course</v>
      </c>
      <c r="K509" t="str">
        <f>role_course_map[[#This Row],[role_id]] &amp; "|" &amp; role_course_map[[#This Row],[course_id]]</f>
        <v>R0131|999014</v>
      </c>
      <c r="L509" t="str">
        <f>IF(COUNTIF(role_course_map[mapping_key],role_course_map[[#This Row],[mapping_key]])&gt;1,"DUPLICATE","OK")</f>
        <v>OK</v>
      </c>
      <c r="M509" t="str">
        <f>IF(COUNTIF(role_data[role_id],role_course_map[[#This Row],[role_id]])=0, "INVALID","VALID")</f>
        <v>VALID</v>
      </c>
      <c r="N509" t="str">
        <f>IF(COUNTIF(course_data[course_id],role_course_map[[#This Row],[course_id]])=0, "INVALID","VALID")</f>
        <v>VALID</v>
      </c>
    </row>
    <row r="510" spans="1:14" x14ac:dyDescent="0.35">
      <c r="A510" t="s">
        <v>274</v>
      </c>
      <c r="B510" s="5" t="str">
        <f>_xlfn.XLOOKUP(role_course_map[[#This Row],[role_id]], role_data[role_id], role_data[Role],"")</f>
        <v>EMRS Administrator</v>
      </c>
      <c r="C510">
        <v>999015</v>
      </c>
      <c r="D510" s="5" t="str">
        <f>_xlfn.XLOOKUP(role_course_map[[#This Row],[course_id]],course_data[course_id],course_data[title],"")</f>
        <v>Patient Assessment</v>
      </c>
      <c r="E510" s="5" t="str">
        <f>_xlfn.XLOOKUP(role_course_map[[#This Row],[course_id]],course_data[course_id],course_data[topic],"")</f>
        <v>SAS : Clinical Practice</v>
      </c>
      <c r="F510" s="5" t="str">
        <f>_xlfn.XLOOKUP(role_course_map[[#This Row],[course_id]],course_data[course_id],course_data[type],"")</f>
        <v>eLearning</v>
      </c>
      <c r="K510" t="str">
        <f>role_course_map[[#This Row],[role_id]] &amp; "|" &amp; role_course_map[[#This Row],[course_id]]</f>
        <v>R0131|999015</v>
      </c>
      <c r="L510" t="str">
        <f>IF(COUNTIF(role_course_map[mapping_key],role_course_map[[#This Row],[mapping_key]])&gt;1,"DUPLICATE","OK")</f>
        <v>OK</v>
      </c>
      <c r="M510" t="str">
        <f>IF(COUNTIF(role_data[role_id],role_course_map[[#This Row],[role_id]])=0, "INVALID","VALID")</f>
        <v>VALID</v>
      </c>
      <c r="N510" t="str">
        <f>IF(COUNTIF(course_data[course_id],role_course_map[[#This Row],[course_id]])=0, "INVALID","VALID")</f>
        <v>VALID</v>
      </c>
    </row>
    <row r="511" spans="1:14" x14ac:dyDescent="0.35">
      <c r="A511" t="s">
        <v>272</v>
      </c>
      <c r="B511" s="5" t="str">
        <f>_xlfn.XLOOKUP(role_course_map[[#This Row],[role_id]], role_data[role_id], role_data[Role],"")</f>
        <v>Air Ambulance Paramedics</v>
      </c>
      <c r="C511">
        <v>999016</v>
      </c>
      <c r="D511" s="5" t="str">
        <f>_xlfn.XLOOKUP(role_course_map[[#This Row],[course_id]],course_data[course_id],course_data[title],"")</f>
        <v>Clinical Skills</v>
      </c>
      <c r="E511" s="5" t="str">
        <f>_xlfn.XLOOKUP(role_course_map[[#This Row],[course_id]],course_data[course_id],course_data[topic],"")</f>
        <v>SAS : Clinical Practice</v>
      </c>
      <c r="F511" s="5" t="str">
        <f>_xlfn.XLOOKUP(role_course_map[[#This Row],[course_id]],course_data[course_id],course_data[type],"")</f>
        <v>Course</v>
      </c>
      <c r="K511" t="str">
        <f>role_course_map[[#This Row],[role_id]] &amp; "|" &amp; role_course_map[[#This Row],[course_id]]</f>
        <v>R0130|999016</v>
      </c>
      <c r="L511" t="str">
        <f>IF(COUNTIF(role_course_map[mapping_key],role_course_map[[#This Row],[mapping_key]])&gt;1,"DUPLICATE","OK")</f>
        <v>OK</v>
      </c>
      <c r="M511" t="str">
        <f>IF(COUNTIF(role_data[role_id],role_course_map[[#This Row],[role_id]])=0, "INVALID","VALID")</f>
        <v>VALID</v>
      </c>
      <c r="N511" t="str">
        <f>IF(COUNTIF(course_data[course_id],role_course_map[[#This Row],[course_id]])=0, "INVALID","VALID")</f>
        <v>VALID</v>
      </c>
    </row>
    <row r="512" spans="1:14" x14ac:dyDescent="0.35">
      <c r="A512" t="s">
        <v>274</v>
      </c>
      <c r="B512" s="5" t="str">
        <f>_xlfn.XLOOKUP(role_course_map[[#This Row],[role_id]], role_data[role_id], role_data[Role],"")</f>
        <v>EMRS Administrator</v>
      </c>
      <c r="C512">
        <v>999018</v>
      </c>
      <c r="D512" s="5" t="str">
        <f>_xlfn.XLOOKUP(role_course_map[[#This Row],[course_id]],course_data[course_id],course_data[title],"")</f>
        <v>Learning from Events</v>
      </c>
      <c r="E512" s="5" t="str">
        <f>_xlfn.XLOOKUP(role_course_map[[#This Row],[course_id]],course_data[course_id],course_data[topic],"")</f>
        <v>SAS : Clinical Practice</v>
      </c>
      <c r="F512" s="5" t="str">
        <f>_xlfn.XLOOKUP(role_course_map[[#This Row],[course_id]],course_data[course_id],course_data[type],"")</f>
        <v>eLearning</v>
      </c>
      <c r="K512" t="str">
        <f>role_course_map[[#This Row],[role_id]] &amp; "|" &amp; role_course_map[[#This Row],[course_id]]</f>
        <v>R0131|999018</v>
      </c>
      <c r="L512" t="str">
        <f>IF(COUNTIF(role_course_map[mapping_key],role_course_map[[#This Row],[mapping_key]])&gt;1,"DUPLICATE","OK")</f>
        <v>OK</v>
      </c>
      <c r="M512" t="str">
        <f>IF(COUNTIF(role_data[role_id],role_course_map[[#This Row],[role_id]])=0, "INVALID","VALID")</f>
        <v>VALID</v>
      </c>
      <c r="N512" t="str">
        <f>IF(COUNTIF(course_data[course_id],role_course_map[[#This Row],[course_id]])=0, "INVALID","VALID")</f>
        <v>VALID</v>
      </c>
    </row>
    <row r="513" spans="1:14" x14ac:dyDescent="0.35">
      <c r="A513" t="s">
        <v>274</v>
      </c>
      <c r="B513" s="5" t="str">
        <f>_xlfn.XLOOKUP(role_course_map[[#This Row],[role_id]], role_data[role_id], role_data[Role],"")</f>
        <v>EMRS Administrator</v>
      </c>
      <c r="C513">
        <v>999019</v>
      </c>
      <c r="D513" s="5" t="str">
        <f>_xlfn.XLOOKUP(role_course_map[[#This Row],[course_id]],course_data[course_id],course_data[title],"")</f>
        <v>Medicines Management</v>
      </c>
      <c r="E513" s="5" t="str">
        <f>_xlfn.XLOOKUP(role_course_map[[#This Row],[course_id]],course_data[course_id],course_data[topic],"")</f>
        <v>SAS : Clinical Practice</v>
      </c>
      <c r="F513" s="5" t="str">
        <f>_xlfn.XLOOKUP(role_course_map[[#This Row],[course_id]],course_data[course_id],course_data[type],"")</f>
        <v>eLearning</v>
      </c>
      <c r="K513" t="str">
        <f>role_course_map[[#This Row],[role_id]] &amp; "|" &amp; role_course_map[[#This Row],[course_id]]</f>
        <v>R0131|999019</v>
      </c>
      <c r="L513" t="str">
        <f>IF(COUNTIF(role_course_map[mapping_key],role_course_map[[#This Row],[mapping_key]])&gt;1,"DUPLICATE","OK")</f>
        <v>OK</v>
      </c>
      <c r="M513" t="str">
        <f>IF(COUNTIF(role_data[role_id],role_course_map[[#This Row],[role_id]])=0, "INVALID","VALID")</f>
        <v>VALID</v>
      </c>
      <c r="N513" t="str">
        <f>IF(COUNTIF(course_data[course_id],role_course_map[[#This Row],[course_id]])=0, "INVALID","VALID")</f>
        <v>VALID</v>
      </c>
    </row>
    <row r="514" spans="1:14" x14ac:dyDescent="0.35">
      <c r="A514" t="s">
        <v>274</v>
      </c>
      <c r="B514" s="5" t="str">
        <f>_xlfn.XLOOKUP(role_course_map[[#This Row],[role_id]], role_data[role_id], role_data[Role],"")</f>
        <v>EMRS Administrator</v>
      </c>
      <c r="C514">
        <v>999020</v>
      </c>
      <c r="D514" s="5" t="str">
        <f>_xlfn.XLOOKUP(role_course_map[[#This Row],[course_id]],course_data[course_id],course_data[title],"")</f>
        <v>JRCALC Update</v>
      </c>
      <c r="E514" s="5" t="str">
        <f>_xlfn.XLOOKUP(role_course_map[[#This Row],[course_id]],course_data[course_id],course_data[topic],"")</f>
        <v>SAS : Clinical Practice</v>
      </c>
      <c r="F514" s="5" t="str">
        <f>_xlfn.XLOOKUP(role_course_map[[#This Row],[course_id]],course_data[course_id],course_data[type],"")</f>
        <v>eLearning</v>
      </c>
      <c r="K514" t="str">
        <f>role_course_map[[#This Row],[role_id]] &amp; "|" &amp; role_course_map[[#This Row],[course_id]]</f>
        <v>R0131|999020</v>
      </c>
      <c r="L514" t="str">
        <f>IF(COUNTIF(role_course_map[mapping_key],role_course_map[[#This Row],[mapping_key]])&gt;1,"DUPLICATE","OK")</f>
        <v>OK</v>
      </c>
      <c r="M514" t="str">
        <f>IF(COUNTIF(role_data[role_id],role_course_map[[#This Row],[role_id]])=0, "INVALID","VALID")</f>
        <v>VALID</v>
      </c>
      <c r="N514" t="str">
        <f>IF(COUNTIF(course_data[course_id],role_course_map[[#This Row],[course_id]])=0, "INVALID","VALID")</f>
        <v>VALID</v>
      </c>
    </row>
    <row r="515" spans="1:14" x14ac:dyDescent="0.35">
      <c r="A515" t="s">
        <v>274</v>
      </c>
      <c r="B515" s="5" t="str">
        <f>_xlfn.XLOOKUP(role_course_map[[#This Row],[role_id]], role_data[role_id], role_data[Role],"")</f>
        <v>EMRS Administrator</v>
      </c>
      <c r="C515">
        <v>999021</v>
      </c>
      <c r="D515" s="5" t="str">
        <f>_xlfn.XLOOKUP(role_course_map[[#This Row],[course_id]],course_data[course_id],course_data[title],"")</f>
        <v>Mental Health</v>
      </c>
      <c r="E515" s="5" t="str">
        <f>_xlfn.XLOOKUP(role_course_map[[#This Row],[course_id]],course_data[course_id],course_data[topic],"")</f>
        <v>SAS : Clinical Practice</v>
      </c>
      <c r="F515" s="5" t="str">
        <f>_xlfn.XLOOKUP(role_course_map[[#This Row],[course_id]],course_data[course_id],course_data[type],"")</f>
        <v>eLearning</v>
      </c>
      <c r="K515" t="str">
        <f>role_course_map[[#This Row],[role_id]] &amp; "|" &amp; role_course_map[[#This Row],[course_id]]</f>
        <v>R0131|999021</v>
      </c>
      <c r="L515" t="str">
        <f>IF(COUNTIF(role_course_map[mapping_key],role_course_map[[#This Row],[mapping_key]])&gt;1,"DUPLICATE","OK")</f>
        <v>OK</v>
      </c>
      <c r="M515" t="str">
        <f>IF(COUNTIF(role_data[role_id],role_course_map[[#This Row],[role_id]])=0, "INVALID","VALID")</f>
        <v>VALID</v>
      </c>
      <c r="N515" t="str">
        <f>IF(COUNTIF(course_data[course_id],role_course_map[[#This Row],[course_id]])=0, "INVALID","VALID")</f>
        <v>VALID</v>
      </c>
    </row>
    <row r="516" spans="1:14" x14ac:dyDescent="0.35">
      <c r="A516" t="s">
        <v>274</v>
      </c>
      <c r="B516" s="5" t="str">
        <f>_xlfn.XLOOKUP(role_course_map[[#This Row],[role_id]], role_data[role_id], role_data[Role],"")</f>
        <v>EMRS Administrator</v>
      </c>
      <c r="C516">
        <v>999022</v>
      </c>
      <c r="D516" s="5" t="str">
        <f>_xlfn.XLOOKUP(role_course_map[[#This Row],[course_id]],course_data[course_id],course_data[title],"")</f>
        <v>Learning Disabilities</v>
      </c>
      <c r="E516" s="5" t="str">
        <f>_xlfn.XLOOKUP(role_course_map[[#This Row],[course_id]],course_data[course_id],course_data[topic],"")</f>
        <v>SAS : Clinical Practice</v>
      </c>
      <c r="F516" s="5" t="str">
        <f>_xlfn.XLOOKUP(role_course_map[[#This Row],[course_id]],course_data[course_id],course_data[type],"")</f>
        <v>eLearning</v>
      </c>
      <c r="K516" t="str">
        <f>role_course_map[[#This Row],[role_id]] &amp; "|" &amp; role_course_map[[#This Row],[course_id]]</f>
        <v>R0131|999022</v>
      </c>
      <c r="L516" t="str">
        <f>IF(COUNTIF(role_course_map[mapping_key],role_course_map[[#This Row],[mapping_key]])&gt;1,"DUPLICATE","OK")</f>
        <v>OK</v>
      </c>
      <c r="M516" t="str">
        <f>IF(COUNTIF(role_data[role_id],role_course_map[[#This Row],[role_id]])=0, "INVALID","VALID")</f>
        <v>VALID</v>
      </c>
      <c r="N516" t="str">
        <f>IF(COUNTIF(course_data[course_id],role_course_map[[#This Row],[course_id]])=0, "INVALID","VALID")</f>
        <v>VALID</v>
      </c>
    </row>
    <row r="517" spans="1:14" x14ac:dyDescent="0.35">
      <c r="A517" t="s">
        <v>274</v>
      </c>
      <c r="B517" s="5" t="str">
        <f>_xlfn.XLOOKUP(role_course_map[[#This Row],[role_id]], role_data[role_id], role_data[Role],"")</f>
        <v>EMRS Administrator</v>
      </c>
      <c r="C517">
        <v>75202</v>
      </c>
      <c r="D517" s="5" t="str">
        <f>_xlfn.XLOOKUP(role_course_map[[#This Row],[course_id]],course_data[course_id],course_data[title],"")</f>
        <v>SAS : Clinical Practice</v>
      </c>
      <c r="E517" s="5" t="str">
        <f>_xlfn.XLOOKUP(role_course_map[[#This Row],[course_id]],course_data[course_id],course_data[topic],"")</f>
        <v>SAS : Clinical Practice</v>
      </c>
      <c r="F517" s="5" t="str">
        <f>_xlfn.XLOOKUP(role_course_map[[#This Row],[course_id]],course_data[course_id],course_data[type],"")</f>
        <v>Page</v>
      </c>
      <c r="K517" t="str">
        <f>role_course_map[[#This Row],[role_id]] &amp; "|" &amp; role_course_map[[#This Row],[course_id]]</f>
        <v>R0131|75202</v>
      </c>
      <c r="L517" t="str">
        <f>IF(COUNTIF(role_course_map[mapping_key],role_course_map[[#This Row],[mapping_key]])&gt;1,"DUPLICATE","OK")</f>
        <v>OK</v>
      </c>
      <c r="M517" t="str">
        <f>IF(COUNTIF(role_data[role_id],role_course_map[[#This Row],[role_id]])=0, "INVALID","VALID")</f>
        <v>VALID</v>
      </c>
      <c r="N517" t="str">
        <f>IF(COUNTIF(course_data[course_id],role_course_map[[#This Row],[course_id]])=0, "INVALID","VALID")</f>
        <v>VALID</v>
      </c>
    </row>
    <row r="518" spans="1:14" x14ac:dyDescent="0.35">
      <c r="A518" t="s">
        <v>274</v>
      </c>
      <c r="B518" s="5" t="str">
        <f>_xlfn.XLOOKUP(role_course_map[[#This Row],[role_id]], role_data[role_id], role_data[Role],"")</f>
        <v>EMRS Administrator</v>
      </c>
      <c r="C518">
        <v>999023</v>
      </c>
      <c r="D518" s="5" t="str">
        <f>_xlfn.XLOOKUP(role_course_map[[#This Row],[course_id]],course_data[course_id],course_data[title],"")</f>
        <v>Dementia</v>
      </c>
      <c r="E518" s="5" t="str">
        <f>_xlfn.XLOOKUP(role_course_map[[#This Row],[course_id]],course_data[course_id],course_data[topic],"")</f>
        <v>SAS : Clinical Practice</v>
      </c>
      <c r="F518" s="5" t="str">
        <f>_xlfn.XLOOKUP(role_course_map[[#This Row],[course_id]],course_data[course_id],course_data[type],"")</f>
        <v>eLearning</v>
      </c>
      <c r="K518" t="str">
        <f>role_course_map[[#This Row],[role_id]] &amp; "|" &amp; role_course_map[[#This Row],[course_id]]</f>
        <v>R0131|999023</v>
      </c>
      <c r="L518" t="str">
        <f>IF(COUNTIF(role_course_map[mapping_key],role_course_map[[#This Row],[mapping_key]])&gt;1,"DUPLICATE","OK")</f>
        <v>OK</v>
      </c>
      <c r="M518" t="str">
        <f>IF(COUNTIF(role_data[role_id],role_course_map[[#This Row],[role_id]])=0, "INVALID","VALID")</f>
        <v>VALID</v>
      </c>
      <c r="N518" t="str">
        <f>IF(COUNTIF(course_data[course_id],role_course_map[[#This Row],[course_id]])=0, "INVALID","VALID")</f>
        <v>VALID</v>
      </c>
    </row>
    <row r="519" spans="1:14" x14ac:dyDescent="0.35">
      <c r="A519" t="s">
        <v>272</v>
      </c>
      <c r="B519" s="5" t="str">
        <f>_xlfn.XLOOKUP(role_course_map[[#This Row],[role_id]], role_data[role_id], role_data[Role],"")</f>
        <v>Air Ambulance Paramedics</v>
      </c>
      <c r="C519">
        <v>999024</v>
      </c>
      <c r="D519" s="5" t="str">
        <f>_xlfn.XLOOKUP(role_course_map[[#This Row],[course_id]],course_data[course_id],course_data[title],"")</f>
        <v>Conditions requiring specific hospital management. I.e. Parkinsons</v>
      </c>
      <c r="E519" s="5" t="str">
        <f>_xlfn.XLOOKUP(role_course_map[[#This Row],[course_id]],course_data[course_id],course_data[topic],"")</f>
        <v>SAS : Clinical Practice</v>
      </c>
      <c r="F519" s="5" t="str">
        <f>_xlfn.XLOOKUP(role_course_map[[#This Row],[course_id]],course_data[course_id],course_data[type],"")</f>
        <v>eLearning</v>
      </c>
      <c r="K519" t="str">
        <f>role_course_map[[#This Row],[role_id]] &amp; "|" &amp; role_course_map[[#This Row],[course_id]]</f>
        <v>R0130|999024</v>
      </c>
      <c r="L519" t="str">
        <f>IF(COUNTIF(role_course_map[mapping_key],role_course_map[[#This Row],[mapping_key]])&gt;1,"DUPLICATE","OK")</f>
        <v>OK</v>
      </c>
      <c r="M519" t="str">
        <f>IF(COUNTIF(role_data[role_id],role_course_map[[#This Row],[role_id]])=0, "INVALID","VALID")</f>
        <v>VALID</v>
      </c>
      <c r="N519" t="str">
        <f>IF(COUNTIF(course_data[course_id],role_course_map[[#This Row],[course_id]])=0, "INVALID","VALID")</f>
        <v>VALID</v>
      </c>
    </row>
    <row r="520" spans="1:14" x14ac:dyDescent="0.35">
      <c r="A520" t="s">
        <v>274</v>
      </c>
      <c r="B520" s="5" t="str">
        <f>_xlfn.XLOOKUP(role_course_map[[#This Row],[role_id]], role_data[role_id], role_data[Role],"")</f>
        <v>EMRS Administrator</v>
      </c>
      <c r="C520">
        <v>999095</v>
      </c>
      <c r="D520" s="5" t="str">
        <f>_xlfn.XLOOKUP(role_course_map[[#This Row],[course_id]],course_data[course_id],course_data[title],"")</f>
        <v>Mentoring</v>
      </c>
      <c r="E520" s="5" t="str">
        <f>_xlfn.XLOOKUP(role_course_map[[#This Row],[course_id]],course_data[course_id],course_data[topic],"")</f>
        <v>SAS: Staff development and experience</v>
      </c>
      <c r="F520" s="5" t="str">
        <f>_xlfn.XLOOKUP(role_course_map[[#This Row],[course_id]],course_data[course_id],course_data[type],"")</f>
        <v>eLearning</v>
      </c>
      <c r="K520" t="str">
        <f>role_course_map[[#This Row],[role_id]] &amp; "|" &amp; role_course_map[[#This Row],[course_id]]</f>
        <v>R0131|999095</v>
      </c>
      <c r="L520" t="str">
        <f>IF(COUNTIF(role_course_map[mapping_key],role_course_map[[#This Row],[mapping_key]])&gt;1,"DUPLICATE","OK")</f>
        <v>OK</v>
      </c>
      <c r="M520" t="str">
        <f>IF(COUNTIF(role_data[role_id],role_course_map[[#This Row],[role_id]])=0, "INVALID","VALID")</f>
        <v>VALID</v>
      </c>
      <c r="N520" t="str">
        <f>IF(COUNTIF(course_data[course_id],role_course_map[[#This Row],[course_id]])=0, "INVALID","VALID")</f>
        <v>VALID</v>
      </c>
    </row>
    <row r="521" spans="1:14" x14ac:dyDescent="0.35">
      <c r="A521" t="s">
        <v>274</v>
      </c>
      <c r="B521" s="5" t="str">
        <f>_xlfn.XLOOKUP(role_course_map[[#This Row],[role_id]], role_data[role_id], role_data[Role],"")</f>
        <v>EMRS Administrator</v>
      </c>
      <c r="C521">
        <v>999096</v>
      </c>
      <c r="D521" s="5" t="str">
        <f>_xlfn.XLOOKUP(role_course_map[[#This Row],[course_id]],course_data[course_id],course_data[title],"")</f>
        <v>Supporting others in practice (Supervision)</v>
      </c>
      <c r="E521" s="5" t="str">
        <f>_xlfn.XLOOKUP(role_course_map[[#This Row],[course_id]],course_data[course_id],course_data[topic],"")</f>
        <v>SAS: Staff development and experience</v>
      </c>
      <c r="F521" s="5" t="str">
        <f>_xlfn.XLOOKUP(role_course_map[[#This Row],[course_id]],course_data[course_id],course_data[type],"")</f>
        <v>Course</v>
      </c>
      <c r="K521" t="str">
        <f>role_course_map[[#This Row],[role_id]] &amp; "|" &amp; role_course_map[[#This Row],[course_id]]</f>
        <v>R0131|999096</v>
      </c>
      <c r="L521" t="str">
        <f>IF(COUNTIF(role_course_map[mapping_key],role_course_map[[#This Row],[mapping_key]])&gt;1,"DUPLICATE","OK")</f>
        <v>OK</v>
      </c>
      <c r="M521" t="str">
        <f>IF(COUNTIF(role_data[role_id],role_course_map[[#This Row],[role_id]])=0, "INVALID","VALID")</f>
        <v>VALID</v>
      </c>
      <c r="N521" t="str">
        <f>IF(COUNTIF(course_data[course_id],role_course_map[[#This Row],[course_id]])=0, "INVALID","VALID")</f>
        <v>VALID</v>
      </c>
    </row>
    <row r="522" spans="1:14" x14ac:dyDescent="0.35">
      <c r="A522" t="s">
        <v>274</v>
      </c>
      <c r="B522" s="5" t="str">
        <f>_xlfn.XLOOKUP(role_course_map[[#This Row],[role_id]], role_data[role_id], role_data[Role],"")</f>
        <v>EMRS Administrator</v>
      </c>
      <c r="C522">
        <v>999097</v>
      </c>
      <c r="D522" s="5" t="str">
        <f>_xlfn.XLOOKUP(role_course_map[[#This Row],[course_id]],course_data[course_id],course_data[title],"")</f>
        <v>Personal Wellbeing</v>
      </c>
      <c r="E522" s="5" t="str">
        <f>_xlfn.XLOOKUP(role_course_map[[#This Row],[course_id]],course_data[course_id],course_data[topic],"")</f>
        <v>SAS: Staff development and experience</v>
      </c>
      <c r="F522" s="5" t="str">
        <f>_xlfn.XLOOKUP(role_course_map[[#This Row],[course_id]],course_data[course_id],course_data[type],"")</f>
        <v>eLearning</v>
      </c>
      <c r="K522" t="str">
        <f>role_course_map[[#This Row],[role_id]] &amp; "|" &amp; role_course_map[[#This Row],[course_id]]</f>
        <v>R0131|999097</v>
      </c>
      <c r="L522" t="str">
        <f>IF(COUNTIF(role_course_map[mapping_key],role_course_map[[#This Row],[mapping_key]])&gt;1,"DUPLICATE","OK")</f>
        <v>OK</v>
      </c>
      <c r="M522" t="str">
        <f>IF(COUNTIF(role_data[role_id],role_course_map[[#This Row],[role_id]])=0, "INVALID","VALID")</f>
        <v>VALID</v>
      </c>
      <c r="N522" t="str">
        <f>IF(COUNTIF(course_data[course_id],role_course_map[[#This Row],[course_id]])=0, "INVALID","VALID")</f>
        <v>VALID</v>
      </c>
    </row>
    <row r="523" spans="1:14" x14ac:dyDescent="0.35">
      <c r="A523" t="s">
        <v>274</v>
      </c>
      <c r="B523" s="5" t="str">
        <f>_xlfn.XLOOKUP(role_course_map[[#This Row],[role_id]], role_data[role_id], role_data[Role],"")</f>
        <v>EMRS Administrator</v>
      </c>
      <c r="C523">
        <v>999058</v>
      </c>
      <c r="D523" s="5" t="str">
        <f>_xlfn.XLOOKUP(role_course_map[[#This Row],[course_id]],course_data[course_id],course_data[title],"")</f>
        <v>Stress Identification &amp; Stress Management</v>
      </c>
      <c r="E523" s="5" t="str">
        <f>_xlfn.XLOOKUP(role_course_map[[#This Row],[course_id]],course_data[course_id],course_data[topic],"")</f>
        <v>SAS : Health and Safety</v>
      </c>
      <c r="F523" s="5" t="str">
        <f>_xlfn.XLOOKUP(role_course_map[[#This Row],[course_id]],course_data[course_id],course_data[type],"")</f>
        <v>eLearning</v>
      </c>
      <c r="K523" t="str">
        <f>role_course_map[[#This Row],[role_id]] &amp; "|" &amp; role_course_map[[#This Row],[course_id]]</f>
        <v>R0131|999058</v>
      </c>
      <c r="L523" t="str">
        <f>IF(COUNTIF(role_course_map[mapping_key],role_course_map[[#This Row],[mapping_key]])&gt;1,"DUPLICATE","OK")</f>
        <v>OK</v>
      </c>
      <c r="M523" t="str">
        <f>IF(COUNTIF(role_data[role_id],role_course_map[[#This Row],[role_id]])=0, "INVALID","VALID")</f>
        <v>VALID</v>
      </c>
      <c r="N523" t="str">
        <f>IF(COUNTIF(course_data[course_id],role_course_map[[#This Row],[course_id]])=0, "INVALID","VALID")</f>
        <v>VALID</v>
      </c>
    </row>
    <row r="524" spans="1:14" x14ac:dyDescent="0.35">
      <c r="A524" t="s">
        <v>272</v>
      </c>
      <c r="B524" s="5" t="str">
        <f>_xlfn.XLOOKUP(role_course_map[[#This Row],[role_id]], role_data[role_id], role_data[Role],"")</f>
        <v>Air Ambulance Paramedics</v>
      </c>
      <c r="C524">
        <v>999056</v>
      </c>
      <c r="D524" s="5" t="str">
        <f>_xlfn.XLOOKUP(role_course_map[[#This Row],[course_id]],course_data[course_id],course_data[title],"")</f>
        <v>Driver Assessment &amp; Training</v>
      </c>
      <c r="E524" s="5" t="str">
        <f>_xlfn.XLOOKUP(role_course_map[[#This Row],[course_id]],course_data[course_id],course_data[topic],"")</f>
        <v>SAS : Health and Safety</v>
      </c>
      <c r="F524" s="5" t="str">
        <f>_xlfn.XLOOKUP(role_course_map[[#This Row],[course_id]],course_data[course_id],course_data[type],"")</f>
        <v>eLearning</v>
      </c>
      <c r="K524" t="str">
        <f>role_course_map[[#This Row],[role_id]] &amp; "|" &amp; role_course_map[[#This Row],[course_id]]</f>
        <v>R0130|999056</v>
      </c>
      <c r="L524" t="str">
        <f>IF(COUNTIF(role_course_map[mapping_key],role_course_map[[#This Row],[mapping_key]])&gt;1,"DUPLICATE","OK")</f>
        <v>OK</v>
      </c>
      <c r="M524" t="str">
        <f>IF(COUNTIF(role_data[role_id],role_course_map[[#This Row],[role_id]])=0, "INVALID","VALID")</f>
        <v>VALID</v>
      </c>
      <c r="N524" t="str">
        <f>IF(COUNTIF(course_data[course_id],role_course_map[[#This Row],[course_id]])=0, "INVALID","VALID")</f>
        <v>VALID</v>
      </c>
    </row>
    <row r="525" spans="1:14" x14ac:dyDescent="0.35">
      <c r="A525" t="s">
        <v>274</v>
      </c>
      <c r="B525" s="5" t="str">
        <f>_xlfn.XLOOKUP(role_course_map[[#This Row],[role_id]], role_data[role_id], role_data[Role],"")</f>
        <v>EMRS Administrator</v>
      </c>
      <c r="C525">
        <v>999061</v>
      </c>
      <c r="D525" s="5" t="str">
        <f>_xlfn.XLOOKUP(role_course_map[[#This Row],[course_id]],course_data[course_id],course_data[title],"")</f>
        <v>Skin Awareness</v>
      </c>
      <c r="E525" s="5" t="str">
        <f>_xlfn.XLOOKUP(role_course_map[[#This Row],[course_id]],course_data[course_id],course_data[topic],"")</f>
        <v>SAS : Health and Safety</v>
      </c>
      <c r="F525" s="5" t="str">
        <f>_xlfn.XLOOKUP(role_course_map[[#This Row],[course_id]],course_data[course_id],course_data[type],"")</f>
        <v>eLearning</v>
      </c>
      <c r="K525" t="str">
        <f>role_course_map[[#This Row],[role_id]] &amp; "|" &amp; role_course_map[[#This Row],[course_id]]</f>
        <v>R0131|999061</v>
      </c>
      <c r="L525" t="str">
        <f>IF(COUNTIF(role_course_map[mapping_key],role_course_map[[#This Row],[mapping_key]])&gt;1,"DUPLICATE","OK")</f>
        <v>OK</v>
      </c>
      <c r="M525" t="str">
        <f>IF(COUNTIF(role_data[role_id],role_course_map[[#This Row],[role_id]])=0, "INVALID","VALID")</f>
        <v>VALID</v>
      </c>
      <c r="N525" t="str">
        <f>IF(COUNTIF(course_data[course_id],role_course_map[[#This Row],[course_id]])=0, "INVALID","VALID")</f>
        <v>VALID</v>
      </c>
    </row>
    <row r="526" spans="1:14" x14ac:dyDescent="0.35">
      <c r="A526" t="s">
        <v>272</v>
      </c>
      <c r="B526" s="5" t="str">
        <f>_xlfn.XLOOKUP(role_course_map[[#This Row],[role_id]], role_data[role_id], role_data[Role],"")</f>
        <v>Air Ambulance Paramedics</v>
      </c>
      <c r="C526">
        <v>999057</v>
      </c>
      <c r="D526" s="5" t="str">
        <f>_xlfn.XLOOKUP(role_course_map[[#This Row],[course_id]],course_data[course_id],course_data[title],"")</f>
        <v>Fatigue Awareness</v>
      </c>
      <c r="E526" s="5" t="str">
        <f>_xlfn.XLOOKUP(role_course_map[[#This Row],[course_id]],course_data[course_id],course_data[topic],"")</f>
        <v>SAS : Health and Safety</v>
      </c>
      <c r="F526" s="5" t="str">
        <f>_xlfn.XLOOKUP(role_course_map[[#This Row],[course_id]],course_data[course_id],course_data[type],"")</f>
        <v>eLearning</v>
      </c>
      <c r="K526" t="str">
        <f>role_course_map[[#This Row],[role_id]] &amp; "|" &amp; role_course_map[[#This Row],[course_id]]</f>
        <v>R0130|999057</v>
      </c>
      <c r="L526" t="str">
        <f>IF(COUNTIF(role_course_map[mapping_key],role_course_map[[#This Row],[mapping_key]])&gt;1,"DUPLICATE","OK")</f>
        <v>OK</v>
      </c>
      <c r="M526" t="str">
        <f>IF(COUNTIF(role_data[role_id],role_course_map[[#This Row],[role_id]])=0, "INVALID","VALID")</f>
        <v>VALID</v>
      </c>
      <c r="N526" t="str">
        <f>IF(COUNTIF(course_data[course_id],role_course_map[[#This Row],[course_id]])=0, "INVALID","VALID")</f>
        <v>VALID</v>
      </c>
    </row>
    <row r="527" spans="1:14" x14ac:dyDescent="0.35">
      <c r="A527" t="s">
        <v>274</v>
      </c>
      <c r="B527" s="5" t="str">
        <f>_xlfn.XLOOKUP(role_course_map[[#This Row],[role_id]], role_data[role_id], role_data[Role],"")</f>
        <v>EMRS Administrator</v>
      </c>
      <c r="C527">
        <v>999027</v>
      </c>
      <c r="D527" s="5" t="str">
        <f>_xlfn.XLOOKUP(role_course_map[[#This Row],[course_id]],course_data[course_id],course_data[title],"")</f>
        <v>Manual and Patient Handling Foundation Training - Level 2</v>
      </c>
      <c r="E527" s="5" t="str">
        <f>_xlfn.XLOOKUP(role_course_map[[#This Row],[course_id]],course_data[course_id],course_data[topic],"")</f>
        <v>SAS : Clinical Practice</v>
      </c>
      <c r="F527" s="5" t="str">
        <f>_xlfn.XLOOKUP(role_course_map[[#This Row],[course_id]],course_data[course_id],course_data[type],"")</f>
        <v>Course</v>
      </c>
      <c r="K527" t="str">
        <f>role_course_map[[#This Row],[role_id]] &amp; "|" &amp; role_course_map[[#This Row],[course_id]]</f>
        <v>R0131|999027</v>
      </c>
      <c r="L527" t="str">
        <f>IF(COUNTIF(role_course_map[mapping_key],role_course_map[[#This Row],[mapping_key]])&gt;1,"DUPLICATE","OK")</f>
        <v>OK</v>
      </c>
      <c r="M527" t="str">
        <f>IF(COUNTIF(role_data[role_id],role_course_map[[#This Row],[role_id]])=0, "INVALID","VALID")</f>
        <v>VALID</v>
      </c>
      <c r="N527" t="str">
        <f>IF(COUNTIF(course_data[course_id],role_course_map[[#This Row],[course_id]])=0, "INVALID","VALID")</f>
        <v>VALID</v>
      </c>
    </row>
    <row r="528" spans="1:14" x14ac:dyDescent="0.35">
      <c r="A528" t="s">
        <v>274</v>
      </c>
      <c r="B528" s="5" t="str">
        <f>_xlfn.XLOOKUP(role_course_map[[#This Row],[role_id]], role_data[role_id], role_data[Role],"")</f>
        <v>EMRS Administrator</v>
      </c>
      <c r="C528">
        <v>999028</v>
      </c>
      <c r="D528" s="5" t="str">
        <f>_xlfn.XLOOKUP(role_course_map[[#This Row],[course_id]],course_data[course_id],course_data[title],"")</f>
        <v>Manual and Patient Handling Competency Assessment - Level 3</v>
      </c>
      <c r="E528" s="5" t="str">
        <f>_xlfn.XLOOKUP(role_course_map[[#This Row],[course_id]],course_data[course_id],course_data[topic],"")</f>
        <v>SAS : Clinical Practice</v>
      </c>
      <c r="F528" s="5" t="str">
        <f>_xlfn.XLOOKUP(role_course_map[[#This Row],[course_id]],course_data[course_id],course_data[type],"")</f>
        <v>Course</v>
      </c>
      <c r="K528" t="str">
        <f>role_course_map[[#This Row],[role_id]] &amp; "|" &amp; role_course_map[[#This Row],[course_id]]</f>
        <v>R0131|999028</v>
      </c>
      <c r="L528" t="str">
        <f>IF(COUNTIF(role_course_map[mapping_key],role_course_map[[#This Row],[mapping_key]])&gt;1,"DUPLICATE","OK")</f>
        <v>OK</v>
      </c>
      <c r="M528" t="str">
        <f>IF(COUNTIF(role_data[role_id],role_course_map[[#This Row],[role_id]])=0, "INVALID","VALID")</f>
        <v>VALID</v>
      </c>
      <c r="N528" t="str">
        <f>IF(COUNTIF(course_data[course_id],role_course_map[[#This Row],[course_id]])=0, "INVALID","VALID")</f>
        <v>VALID</v>
      </c>
    </row>
    <row r="529" spans="1:14" x14ac:dyDescent="0.35">
      <c r="A529" t="s">
        <v>274</v>
      </c>
      <c r="B529" s="5" t="str">
        <f>_xlfn.XLOOKUP(role_course_map[[#This Row],[role_id]], role_data[role_id], role_data[Role],"")</f>
        <v>EMRS Administrator</v>
      </c>
      <c r="C529">
        <v>999029</v>
      </c>
      <c r="D529" s="5" t="str">
        <f>_xlfn.XLOOKUP(role_course_map[[#This Row],[course_id]],course_data[course_id],course_data[title],"")</f>
        <v>Manual and Patient Handling Competency Assessment Theory - Level 3</v>
      </c>
      <c r="E529" s="5" t="str">
        <f>_xlfn.XLOOKUP(role_course_map[[#This Row],[course_id]],course_data[course_id],course_data[topic],"")</f>
        <v>SAS : Clinical Practice</v>
      </c>
      <c r="F529" s="5" t="str">
        <f>_xlfn.XLOOKUP(role_course_map[[#This Row],[course_id]],course_data[course_id],course_data[type],"")</f>
        <v>Course</v>
      </c>
      <c r="K529" t="str">
        <f>role_course_map[[#This Row],[role_id]] &amp; "|" &amp; role_course_map[[#This Row],[course_id]]</f>
        <v>R0131|999029</v>
      </c>
      <c r="L529" t="str">
        <f>IF(COUNTIF(role_course_map[mapping_key],role_course_map[[#This Row],[mapping_key]])&gt;1,"DUPLICATE","OK")</f>
        <v>OK</v>
      </c>
      <c r="M529" t="str">
        <f>IF(COUNTIF(role_data[role_id],role_course_map[[#This Row],[role_id]])=0, "INVALID","VALID")</f>
        <v>VALID</v>
      </c>
      <c r="N529" t="str">
        <f>IF(COUNTIF(course_data[course_id],role_course_map[[#This Row],[course_id]])=0, "INVALID","VALID")</f>
        <v>VALID</v>
      </c>
    </row>
    <row r="530" spans="1:14" x14ac:dyDescent="0.35">
      <c r="A530" t="s">
        <v>274</v>
      </c>
      <c r="B530" s="5" t="str">
        <f>_xlfn.XLOOKUP(role_course_map[[#This Row],[role_id]], role_data[role_id], role_data[Role],"")</f>
        <v>EMRS Administrator</v>
      </c>
      <c r="C530" t="s">
        <v>659</v>
      </c>
      <c r="D530" s="5" t="str">
        <f>_xlfn.XLOOKUP(role_course_map[[#This Row],[course_id]],course_data[course_id],course_data[title],"")</f>
        <v>Prevention and Management of Violence and Aggression - Breakaway training Level 2 /Restrictive movement Level 3</v>
      </c>
      <c r="E530" s="5" t="str">
        <f>_xlfn.XLOOKUP(role_course_map[[#This Row],[course_id]],course_data[course_id],course_data[topic],"")</f>
        <v>SAS : Health and Safety</v>
      </c>
      <c r="F530" s="5" t="str">
        <f>_xlfn.XLOOKUP(role_course_map[[#This Row],[course_id]],course_data[course_id],course_data[type],"")</f>
        <v>Course</v>
      </c>
      <c r="K530" t="str">
        <f>role_course_map[[#This Row],[role_id]] &amp; "|" &amp; role_course_map[[#This Row],[course_id]]</f>
        <v>R0131|2025-6 edition</v>
      </c>
      <c r="L530" t="str">
        <f>IF(COUNTIF(role_course_map[mapping_key],role_course_map[[#This Row],[mapping_key]])&gt;1,"DUPLICATE","OK")</f>
        <v>OK</v>
      </c>
      <c r="M530" t="str">
        <f>IF(COUNTIF(role_data[role_id],role_course_map[[#This Row],[role_id]])=0, "INVALID","VALID")</f>
        <v>VALID</v>
      </c>
      <c r="N530" t="str">
        <f>IF(COUNTIF(course_data[course_id],role_course_map[[#This Row],[course_id]])=0, "INVALID","VALID")</f>
        <v>VALID</v>
      </c>
    </row>
    <row r="531" spans="1:14" x14ac:dyDescent="0.35">
      <c r="A531" t="s">
        <v>274</v>
      </c>
      <c r="B531" s="5" t="str">
        <f>_xlfn.XLOOKUP(role_course_map[[#This Row],[role_id]], role_data[role_id], role_data[Role],"")</f>
        <v>EMRS Administrator</v>
      </c>
      <c r="C531">
        <v>999055</v>
      </c>
      <c r="D531" s="5" t="str">
        <f>_xlfn.XLOOKUP(role_course_map[[#This Row],[course_id]],course_data[course_id],course_data[title],"")</f>
        <v>Prevention and Management of Violence and Aggression - Refresher</v>
      </c>
      <c r="E531" s="5" t="str">
        <f>_xlfn.XLOOKUP(role_course_map[[#This Row],[course_id]],course_data[course_id],course_data[topic],"")</f>
        <v>SAS : Health and Safety</v>
      </c>
      <c r="F531" s="5" t="str">
        <f>_xlfn.XLOOKUP(role_course_map[[#This Row],[course_id]],course_data[course_id],course_data[type],"")</f>
        <v>Course</v>
      </c>
      <c r="K531" t="str">
        <f>role_course_map[[#This Row],[role_id]] &amp; "|" &amp; role_course_map[[#This Row],[course_id]]</f>
        <v>R0131|999055</v>
      </c>
      <c r="L531" t="str">
        <f>IF(COUNTIF(role_course_map[mapping_key],role_course_map[[#This Row],[mapping_key]])&gt;1,"DUPLICATE","OK")</f>
        <v>OK</v>
      </c>
      <c r="M531" t="str">
        <f>IF(COUNTIF(role_data[role_id],role_course_map[[#This Row],[role_id]])=0, "INVALID","VALID")</f>
        <v>VALID</v>
      </c>
      <c r="N531" t="str">
        <f>IF(COUNTIF(course_data[course_id],role_course_map[[#This Row],[course_id]])=0, "INVALID","VALID")</f>
        <v>VALID</v>
      </c>
    </row>
    <row r="532" spans="1:14" x14ac:dyDescent="0.35">
      <c r="A532" t="s">
        <v>274</v>
      </c>
      <c r="B532" s="5" t="str">
        <f>_xlfn.XLOOKUP(role_course_map[[#This Row],[role_id]], role_data[role_id], role_data[Role],"")</f>
        <v>EMRS Administrator</v>
      </c>
      <c r="C532">
        <v>89161</v>
      </c>
      <c r="D532" s="5" t="str">
        <f>_xlfn.XLOOKUP(role_course_map[[#This Row],[course_id]],course_data[course_id],course_data[title],"")</f>
        <v>Personal Protective Equipment</v>
      </c>
      <c r="E532" s="5" t="str">
        <f>_xlfn.XLOOKUP(role_course_map[[#This Row],[course_id]],course_data[course_id],course_data[topic],"")</f>
        <v>SAS : Infection Prevention and Control (IPC)</v>
      </c>
      <c r="F532" s="5" t="str">
        <f>_xlfn.XLOOKUP(role_course_map[[#This Row],[course_id]],course_data[course_id],course_data[type],"")</f>
        <v>eLearning</v>
      </c>
      <c r="K532" t="str">
        <f>role_course_map[[#This Row],[role_id]] &amp; "|" &amp; role_course_map[[#This Row],[course_id]]</f>
        <v>R0131|89161</v>
      </c>
      <c r="L532" t="str">
        <f>IF(COUNTIF(role_course_map[mapping_key],role_course_map[[#This Row],[mapping_key]])&gt;1,"DUPLICATE","OK")</f>
        <v>OK</v>
      </c>
      <c r="M532" t="str">
        <f>IF(COUNTIF(role_data[role_id],role_course_map[[#This Row],[role_id]])=0, "INVALID","VALID")</f>
        <v>VALID</v>
      </c>
      <c r="N532" t="str">
        <f>IF(COUNTIF(course_data[course_id],role_course_map[[#This Row],[course_id]])=0, "INVALID","VALID")</f>
        <v>VALID</v>
      </c>
    </row>
    <row r="533" spans="1:14" x14ac:dyDescent="0.35">
      <c r="A533" t="s">
        <v>274</v>
      </c>
      <c r="B533" s="5" t="str">
        <f>_xlfn.XLOOKUP(role_course_map[[#This Row],[role_id]], role_data[role_id], role_data[Role],"")</f>
        <v>EMRS Administrator</v>
      </c>
      <c r="C533">
        <v>89157</v>
      </c>
      <c r="D533" s="5" t="str">
        <f>_xlfn.XLOOKUP(role_course_map[[#This Row],[course_id]],course_data[course_id],course_data[title],"")</f>
        <v>Safe Management of Care Equipment</v>
      </c>
      <c r="E533" s="5" t="str">
        <f>_xlfn.XLOOKUP(role_course_map[[#This Row],[course_id]],course_data[course_id],course_data[topic],"")</f>
        <v>SAS : Infection Prevention and Control (IPC)</v>
      </c>
      <c r="F533" s="5" t="str">
        <f>_xlfn.XLOOKUP(role_course_map[[#This Row],[course_id]],course_data[course_id],course_data[type],"")</f>
        <v>eLearning</v>
      </c>
      <c r="K533" t="str">
        <f>role_course_map[[#This Row],[role_id]] &amp; "|" &amp; role_course_map[[#This Row],[course_id]]</f>
        <v>R0131|89157</v>
      </c>
      <c r="L533" t="str">
        <f>IF(COUNTIF(role_course_map[mapping_key],role_course_map[[#This Row],[mapping_key]])&gt;1,"DUPLICATE","OK")</f>
        <v>OK</v>
      </c>
      <c r="M533" t="str">
        <f>IF(COUNTIF(role_data[role_id],role_course_map[[#This Row],[role_id]])=0, "INVALID","VALID")</f>
        <v>VALID</v>
      </c>
      <c r="N533" t="str">
        <f>IF(COUNTIF(course_data[course_id],role_course_map[[#This Row],[course_id]])=0, "INVALID","VALID")</f>
        <v>VALID</v>
      </c>
    </row>
    <row r="534" spans="1:14" x14ac:dyDescent="0.35">
      <c r="A534" t="s">
        <v>274</v>
      </c>
      <c r="B534" s="5" t="str">
        <f>_xlfn.XLOOKUP(role_course_map[[#This Row],[role_id]], role_data[role_id], role_data[Role],"")</f>
        <v>EMRS Administrator</v>
      </c>
      <c r="C534">
        <v>89158</v>
      </c>
      <c r="D534" s="5" t="str">
        <f>_xlfn.XLOOKUP(role_course_map[[#This Row],[course_id]],course_data[course_id],course_data[title],"")</f>
        <v>Safe Management of Care Environment</v>
      </c>
      <c r="E534" s="5" t="str">
        <f>_xlfn.XLOOKUP(role_course_map[[#This Row],[course_id]],course_data[course_id],course_data[topic],"")</f>
        <v>SAS : Infection Prevention and Control (IPC)</v>
      </c>
      <c r="F534" s="5" t="str">
        <f>_xlfn.XLOOKUP(role_course_map[[#This Row],[course_id]],course_data[course_id],course_data[type],"")</f>
        <v>eLearning</v>
      </c>
      <c r="K534" t="str">
        <f>role_course_map[[#This Row],[role_id]] &amp; "|" &amp; role_course_map[[#This Row],[course_id]]</f>
        <v>R0131|89158</v>
      </c>
      <c r="L534" t="str">
        <f>IF(COUNTIF(role_course_map[mapping_key],role_course_map[[#This Row],[mapping_key]])&gt;1,"DUPLICATE","OK")</f>
        <v>OK</v>
      </c>
      <c r="M534" t="str">
        <f>IF(COUNTIF(role_data[role_id],role_course_map[[#This Row],[role_id]])=0, "INVALID","VALID")</f>
        <v>VALID</v>
      </c>
      <c r="N534" t="str">
        <f>IF(COUNTIF(course_data[course_id],role_course_map[[#This Row],[course_id]])=0, "INVALID","VALID")</f>
        <v>VALID</v>
      </c>
    </row>
    <row r="535" spans="1:14" x14ac:dyDescent="0.35">
      <c r="A535" t="s">
        <v>274</v>
      </c>
      <c r="B535" s="5" t="str">
        <f>_xlfn.XLOOKUP(role_course_map[[#This Row],[role_id]], role_data[role_id], role_data[Role],"")</f>
        <v>EMRS Administrator</v>
      </c>
      <c r="C535">
        <v>89159</v>
      </c>
      <c r="D535" s="5" t="str">
        <f>_xlfn.XLOOKUP(role_course_map[[#This Row],[course_id]],course_data[course_id],course_data[title],"")</f>
        <v>Safe Management of Linen</v>
      </c>
      <c r="E535" s="5" t="str">
        <f>_xlfn.XLOOKUP(role_course_map[[#This Row],[course_id]],course_data[course_id],course_data[topic],"")</f>
        <v>SAS : Infection Prevention and Control (IPC)</v>
      </c>
      <c r="F535" s="5" t="str">
        <f>_xlfn.XLOOKUP(role_course_map[[#This Row],[course_id]],course_data[course_id],course_data[type],"")</f>
        <v>eLearning</v>
      </c>
      <c r="K535" t="str">
        <f>role_course_map[[#This Row],[role_id]] &amp; "|" &amp; role_course_map[[#This Row],[course_id]]</f>
        <v>R0131|89159</v>
      </c>
      <c r="L535" t="str">
        <f>IF(COUNTIF(role_course_map[mapping_key],role_course_map[[#This Row],[mapping_key]])&gt;1,"DUPLICATE","OK")</f>
        <v>OK</v>
      </c>
      <c r="M535" t="str">
        <f>IF(COUNTIF(role_data[role_id],role_course_map[[#This Row],[role_id]])=0, "INVALID","VALID")</f>
        <v>VALID</v>
      </c>
      <c r="N535" t="str">
        <f>IF(COUNTIF(course_data[course_id],role_course_map[[#This Row],[course_id]])=0, "INVALID","VALID")</f>
        <v>VALID</v>
      </c>
    </row>
    <row r="536" spans="1:14" x14ac:dyDescent="0.35">
      <c r="A536" t="s">
        <v>274</v>
      </c>
      <c r="B536" s="5" t="str">
        <f>_xlfn.XLOOKUP(role_course_map[[#This Row],[role_id]], role_data[role_id], role_data[Role],"")</f>
        <v>EMRS Administrator</v>
      </c>
      <c r="C536">
        <v>89160</v>
      </c>
      <c r="D536" s="5" t="str">
        <f>_xlfn.XLOOKUP(role_course_map[[#This Row],[course_id]],course_data[course_id],course_data[title],"")</f>
        <v>Safe Management of blood and body fluids</v>
      </c>
      <c r="E536" s="5" t="str">
        <f>_xlfn.XLOOKUP(role_course_map[[#This Row],[course_id]],course_data[course_id],course_data[topic],"")</f>
        <v>SAS : Infection Prevention and Control (IPC)</v>
      </c>
      <c r="F536" s="5" t="str">
        <f>_xlfn.XLOOKUP(role_course_map[[#This Row],[course_id]],course_data[course_id],course_data[type],"")</f>
        <v>eLearning</v>
      </c>
      <c r="K536" t="str">
        <f>role_course_map[[#This Row],[role_id]] &amp; "|" &amp; role_course_map[[#This Row],[course_id]]</f>
        <v>R0131|89160</v>
      </c>
      <c r="L536" t="str">
        <f>IF(COUNTIF(role_course_map[mapping_key],role_course_map[[#This Row],[mapping_key]])&gt;1,"DUPLICATE","OK")</f>
        <v>OK</v>
      </c>
      <c r="M536" t="str">
        <f>IF(COUNTIF(role_data[role_id],role_course_map[[#This Row],[role_id]])=0, "INVALID","VALID")</f>
        <v>VALID</v>
      </c>
      <c r="N536" t="str">
        <f>IF(COUNTIF(course_data[course_id],role_course_map[[#This Row],[course_id]])=0, "INVALID","VALID")</f>
        <v>VALID</v>
      </c>
    </row>
    <row r="537" spans="1:14" x14ac:dyDescent="0.35">
      <c r="A537" t="s">
        <v>274</v>
      </c>
      <c r="B537" s="5" t="str">
        <f>_xlfn.XLOOKUP(role_course_map[[#This Row],[role_id]], role_data[role_id], role_data[Role],"")</f>
        <v>EMRS Administrator</v>
      </c>
      <c r="C537">
        <v>89154</v>
      </c>
      <c r="D537" s="5" t="str">
        <f>_xlfn.XLOOKUP(role_course_map[[#This Row],[course_id]],course_data[course_id],course_data[title],"")</f>
        <v>Safe disposal of waste</v>
      </c>
      <c r="E537" s="5" t="str">
        <f>_xlfn.XLOOKUP(role_course_map[[#This Row],[course_id]],course_data[course_id],course_data[topic],"")</f>
        <v>SAS : Infection Prevention and Control (IPC)</v>
      </c>
      <c r="F537" s="5" t="str">
        <f>_xlfn.XLOOKUP(role_course_map[[#This Row],[course_id]],course_data[course_id],course_data[type],"")</f>
        <v>eLearning</v>
      </c>
      <c r="K537" t="str">
        <f>role_course_map[[#This Row],[role_id]] &amp; "|" &amp; role_course_map[[#This Row],[course_id]]</f>
        <v>R0131|89154</v>
      </c>
      <c r="L537" t="str">
        <f>IF(COUNTIF(role_course_map[mapping_key],role_course_map[[#This Row],[mapping_key]])&gt;1,"DUPLICATE","OK")</f>
        <v>OK</v>
      </c>
      <c r="M537" t="str">
        <f>IF(COUNTIF(role_data[role_id],role_course_map[[#This Row],[role_id]])=0, "INVALID","VALID")</f>
        <v>VALID</v>
      </c>
      <c r="N537" t="str">
        <f>IF(COUNTIF(course_data[course_id],role_course_map[[#This Row],[course_id]])=0, "INVALID","VALID")</f>
        <v>VALID</v>
      </c>
    </row>
    <row r="538" spans="1:14" x14ac:dyDescent="0.35">
      <c r="A538" t="s">
        <v>274</v>
      </c>
      <c r="B538" s="5" t="str">
        <f>_xlfn.XLOOKUP(role_course_map[[#This Row],[role_id]], role_data[role_id], role_data[Role],"")</f>
        <v>EMRS Administrator</v>
      </c>
      <c r="C538">
        <v>89155</v>
      </c>
      <c r="D538" s="5" t="str">
        <f>_xlfn.XLOOKUP(role_course_map[[#This Row],[course_id]],course_data[course_id],course_data[title],"")</f>
        <v>Prevention &amp; management of occupational exposure</v>
      </c>
      <c r="E538" s="5" t="str">
        <f>_xlfn.XLOOKUP(role_course_map[[#This Row],[course_id]],course_data[course_id],course_data[topic],"")</f>
        <v>SAS : Infection Prevention and Control (IPC)</v>
      </c>
      <c r="F538" s="5" t="str">
        <f>_xlfn.XLOOKUP(role_course_map[[#This Row],[course_id]],course_data[course_id],course_data[type],"")</f>
        <v>eLearning</v>
      </c>
      <c r="K538" t="str">
        <f>role_course_map[[#This Row],[role_id]] &amp; "|" &amp; role_course_map[[#This Row],[course_id]]</f>
        <v>R0131|89155</v>
      </c>
      <c r="L538" t="str">
        <f>IF(COUNTIF(role_course_map[mapping_key],role_course_map[[#This Row],[mapping_key]])&gt;1,"DUPLICATE","OK")</f>
        <v>OK</v>
      </c>
      <c r="M538" t="str">
        <f>IF(COUNTIF(role_data[role_id],role_course_map[[#This Row],[role_id]])=0, "INVALID","VALID")</f>
        <v>VALID</v>
      </c>
      <c r="N538" t="str">
        <f>IF(COUNTIF(course_data[course_id],role_course_map[[#This Row],[course_id]])=0, "INVALID","VALID")</f>
        <v>VALID</v>
      </c>
    </row>
    <row r="539" spans="1:14" x14ac:dyDescent="0.35">
      <c r="A539" t="s">
        <v>274</v>
      </c>
      <c r="B539" s="5" t="str">
        <f>_xlfn.XLOOKUP(role_course_map[[#This Row],[role_id]], role_data[role_id], role_data[Role],"")</f>
        <v>EMRS Administrator</v>
      </c>
      <c r="C539">
        <v>999064</v>
      </c>
      <c r="D539" s="5" t="str">
        <f>_xlfn.XLOOKUP(role_course_map[[#This Row],[course_id]],course_data[course_id],course_data[title],"")</f>
        <v>Infection prevention and control: Clostridioides difficile infection</v>
      </c>
      <c r="E539" s="5" t="str">
        <f>_xlfn.XLOOKUP(role_course_map[[#This Row],[course_id]],course_data[course_id],course_data[topic],"")</f>
        <v>SAS : Infection Prevention and Control (IPC)</v>
      </c>
      <c r="F539" s="5" t="str">
        <f>_xlfn.XLOOKUP(role_course_map[[#This Row],[course_id]],course_data[course_id],course_data[type],"")</f>
        <v>eLearning</v>
      </c>
      <c r="K539" t="str">
        <f>role_course_map[[#This Row],[role_id]] &amp; "|" &amp; role_course_map[[#This Row],[course_id]]</f>
        <v>R0131|999064</v>
      </c>
      <c r="L539" t="str">
        <f>IF(COUNTIF(role_course_map[mapping_key],role_course_map[[#This Row],[mapping_key]])&gt;1,"DUPLICATE","OK")</f>
        <v>OK</v>
      </c>
      <c r="M539" t="str">
        <f>IF(COUNTIF(role_data[role_id],role_course_map[[#This Row],[role_id]])=0, "INVALID","VALID")</f>
        <v>VALID</v>
      </c>
      <c r="N539" t="str">
        <f>IF(COUNTIF(course_data[course_id],role_course_map[[#This Row],[course_id]])=0, "INVALID","VALID")</f>
        <v>VALID</v>
      </c>
    </row>
    <row r="540" spans="1:14" x14ac:dyDescent="0.35">
      <c r="A540" t="s">
        <v>274</v>
      </c>
      <c r="B540" s="5" t="str">
        <f>_xlfn.XLOOKUP(role_course_map[[#This Row],[role_id]], role_data[role_id], role_data[Role],"")</f>
        <v>EMRS Administrator</v>
      </c>
      <c r="C540">
        <v>3886</v>
      </c>
      <c r="D540" s="5" t="str">
        <f>_xlfn.XLOOKUP(role_course_map[[#This Row],[course_id]],course_data[course_id],course_data[title],"")</f>
        <v>Prevention and management of pressure ulcers</v>
      </c>
      <c r="E540" s="5" t="str">
        <f>_xlfn.XLOOKUP(role_course_map[[#This Row],[course_id]],course_data[course_id],course_data[topic],"")</f>
        <v>SAS : Clinical Practice</v>
      </c>
      <c r="F540" s="5" t="str">
        <f>_xlfn.XLOOKUP(role_course_map[[#This Row],[course_id]],course_data[course_id],course_data[type],"")</f>
        <v>Page</v>
      </c>
      <c r="K540" t="str">
        <f>role_course_map[[#This Row],[role_id]] &amp; "|" &amp; role_course_map[[#This Row],[course_id]]</f>
        <v>R0131|3886</v>
      </c>
      <c r="L540" t="str">
        <f>IF(COUNTIF(role_course_map[mapping_key],role_course_map[[#This Row],[mapping_key]])&gt;1,"DUPLICATE","OK")</f>
        <v>OK</v>
      </c>
      <c r="M540" t="str">
        <f>IF(COUNTIF(role_data[role_id],role_course_map[[#This Row],[role_id]])=0, "INVALID","VALID")</f>
        <v>VALID</v>
      </c>
      <c r="N540" t="str">
        <f>IF(COUNTIF(course_data[course_id],role_course_map[[#This Row],[course_id]])=0, "INVALID","VALID")</f>
        <v>VALID</v>
      </c>
    </row>
    <row r="541" spans="1:14" x14ac:dyDescent="0.35">
      <c r="A541" t="s">
        <v>276</v>
      </c>
      <c r="B541" s="5" t="str">
        <f>_xlfn.XLOOKUP(role_course_map[[#This Row],[role_id]], role_data[role_id], role_data[Role],"")</f>
        <v>EMRS Advanced Retrieval Practitioner</v>
      </c>
      <c r="C541">
        <v>999009</v>
      </c>
      <c r="D541" s="5" t="str">
        <f>_xlfn.XLOOKUP(role_course_map[[#This Row],[course_id]],course_data[course_id],course_data[title],"")</f>
        <v>Life Support</v>
      </c>
      <c r="E541" s="5" t="str">
        <f>_xlfn.XLOOKUP(role_course_map[[#This Row],[course_id]],course_data[course_id],course_data[topic],"")</f>
        <v>SAS : Clinical Practice</v>
      </c>
      <c r="F541" s="5" t="str">
        <f>_xlfn.XLOOKUP(role_course_map[[#This Row],[course_id]],course_data[course_id],course_data[type],"")</f>
        <v>Course</v>
      </c>
      <c r="K541" t="str">
        <f>role_course_map[[#This Row],[role_id]] &amp; "|" &amp; role_course_map[[#This Row],[course_id]]</f>
        <v>R0132|999009</v>
      </c>
      <c r="L541" t="str">
        <f>IF(COUNTIF(role_course_map[mapping_key],role_course_map[[#This Row],[mapping_key]])&gt;1,"DUPLICATE","OK")</f>
        <v>OK</v>
      </c>
      <c r="M541" t="str">
        <f>IF(COUNTIF(role_data[role_id],role_course_map[[#This Row],[role_id]])=0, "INVALID","VALID")</f>
        <v>VALID</v>
      </c>
      <c r="N541" t="str">
        <f>IF(COUNTIF(course_data[course_id],role_course_map[[#This Row],[course_id]])=0, "INVALID","VALID")</f>
        <v>VALID</v>
      </c>
    </row>
    <row r="542" spans="1:14" x14ac:dyDescent="0.35">
      <c r="A542" t="s">
        <v>276</v>
      </c>
      <c r="B542" s="5" t="str">
        <f>_xlfn.XLOOKUP(role_course_map[[#This Row],[role_id]], role_data[role_id], role_data[Role],"")</f>
        <v>EMRS Advanced Retrieval Practitioner</v>
      </c>
      <c r="C542">
        <v>999007</v>
      </c>
      <c r="D542" s="5" t="str">
        <f>_xlfn.XLOOKUP(role_course_map[[#This Row],[course_id]],course_data[course_id],course_data[title],"")</f>
        <v>Obstetrics</v>
      </c>
      <c r="E542" s="5" t="str">
        <f>_xlfn.XLOOKUP(role_course_map[[#This Row],[course_id]],course_data[course_id],course_data[topic],"")</f>
        <v>SAS : Clinical Practice</v>
      </c>
      <c r="F542" s="5" t="str">
        <f>_xlfn.XLOOKUP(role_course_map[[#This Row],[course_id]],course_data[course_id],course_data[type],"")</f>
        <v>Course</v>
      </c>
      <c r="K542" t="str">
        <f>role_course_map[[#This Row],[role_id]] &amp; "|" &amp; role_course_map[[#This Row],[course_id]]</f>
        <v>R0132|999007</v>
      </c>
      <c r="L542" t="str">
        <f>IF(COUNTIF(role_course_map[mapping_key],role_course_map[[#This Row],[mapping_key]])&gt;1,"DUPLICATE","OK")</f>
        <v>OK</v>
      </c>
      <c r="M542" t="str">
        <f>IF(COUNTIF(role_data[role_id],role_course_map[[#This Row],[role_id]])=0, "INVALID","VALID")</f>
        <v>VALID</v>
      </c>
      <c r="N542" t="str">
        <f>IF(COUNTIF(course_data[course_id],role_course_map[[#This Row],[course_id]])=0, "INVALID","VALID")</f>
        <v>VALID</v>
      </c>
    </row>
    <row r="543" spans="1:14" x14ac:dyDescent="0.35">
      <c r="A543" t="s">
        <v>276</v>
      </c>
      <c r="B543" s="5" t="str">
        <f>_xlfn.XLOOKUP(role_course_map[[#This Row],[role_id]], role_data[role_id], role_data[Role],"")</f>
        <v>EMRS Advanced Retrieval Practitioner</v>
      </c>
      <c r="C543">
        <v>999008</v>
      </c>
      <c r="D543" s="5" t="str">
        <f>_xlfn.XLOOKUP(role_course_map[[#This Row],[course_id]],course_data[course_id],course_data[title],"")</f>
        <v>Obstetrics</v>
      </c>
      <c r="E543" s="5" t="str">
        <f>_xlfn.XLOOKUP(role_course_map[[#This Row],[course_id]],course_data[course_id],course_data[topic],"")</f>
        <v>SAS : Clinical Practice</v>
      </c>
      <c r="F543" s="5" t="str">
        <f>_xlfn.XLOOKUP(role_course_map[[#This Row],[course_id]],course_data[course_id],course_data[type],"")</f>
        <v>eLearning</v>
      </c>
      <c r="K543" t="str">
        <f>role_course_map[[#This Row],[role_id]] &amp; "|" &amp; role_course_map[[#This Row],[course_id]]</f>
        <v>R0132|999008</v>
      </c>
      <c r="L543" t="str">
        <f>IF(COUNTIF(role_course_map[mapping_key],role_course_map[[#This Row],[mapping_key]])&gt;1,"DUPLICATE","OK")</f>
        <v>OK</v>
      </c>
      <c r="M543" t="str">
        <f>IF(COUNTIF(role_data[role_id],role_course_map[[#This Row],[role_id]])=0, "INVALID","VALID")</f>
        <v>VALID</v>
      </c>
      <c r="N543" t="str">
        <f>IF(COUNTIF(course_data[course_id],role_course_map[[#This Row],[course_id]])=0, "INVALID","VALID")</f>
        <v>VALID</v>
      </c>
    </row>
    <row r="544" spans="1:14" x14ac:dyDescent="0.35">
      <c r="A544" t="s">
        <v>276</v>
      </c>
      <c r="B544" s="5" t="str">
        <f>_xlfn.XLOOKUP(role_course_map[[#This Row],[role_id]], role_data[role_id], role_data[Role],"")</f>
        <v>EMRS Advanced Retrieval Practitioner</v>
      </c>
      <c r="C544">
        <v>999010</v>
      </c>
      <c r="D544" s="5" t="str">
        <f>_xlfn.XLOOKUP(role_course_map[[#This Row],[course_id]],course_data[course_id],course_data[title],"")</f>
        <v>Paediatrics</v>
      </c>
      <c r="E544" s="5" t="str">
        <f>_xlfn.XLOOKUP(role_course_map[[#This Row],[course_id]],course_data[course_id],course_data[topic],"")</f>
        <v>SAS : Clinical Practice</v>
      </c>
      <c r="F544" s="5" t="str">
        <f>_xlfn.XLOOKUP(role_course_map[[#This Row],[course_id]],course_data[course_id],course_data[type],"")</f>
        <v>Course</v>
      </c>
      <c r="K544" t="str">
        <f>role_course_map[[#This Row],[role_id]] &amp; "|" &amp; role_course_map[[#This Row],[course_id]]</f>
        <v>R0132|999010</v>
      </c>
      <c r="L544" t="str">
        <f>IF(COUNTIF(role_course_map[mapping_key],role_course_map[[#This Row],[mapping_key]])&gt;1,"DUPLICATE","OK")</f>
        <v>OK</v>
      </c>
      <c r="M544" t="str">
        <f>IF(COUNTIF(role_data[role_id],role_course_map[[#This Row],[role_id]])=0, "INVALID","VALID")</f>
        <v>VALID</v>
      </c>
      <c r="N544" t="str">
        <f>IF(COUNTIF(course_data[course_id],role_course_map[[#This Row],[course_id]])=0, "INVALID","VALID")</f>
        <v>VALID</v>
      </c>
    </row>
    <row r="545" spans="1:14" x14ac:dyDescent="0.35">
      <c r="A545" t="s">
        <v>276</v>
      </c>
      <c r="B545" s="5" t="str">
        <f>_xlfn.XLOOKUP(role_course_map[[#This Row],[role_id]], role_data[role_id], role_data[Role],"")</f>
        <v>EMRS Advanced Retrieval Practitioner</v>
      </c>
      <c r="C545">
        <v>999011</v>
      </c>
      <c r="D545" s="5" t="str">
        <f>_xlfn.XLOOKUP(role_course_map[[#This Row],[course_id]],course_data[course_id],course_data[title],"")</f>
        <v>Paediatrics</v>
      </c>
      <c r="E545" s="5" t="str">
        <f>_xlfn.XLOOKUP(role_course_map[[#This Row],[course_id]],course_data[course_id],course_data[topic],"")</f>
        <v>SAS : Clinical Practice</v>
      </c>
      <c r="F545" s="5" t="str">
        <f>_xlfn.XLOOKUP(role_course_map[[#This Row],[course_id]],course_data[course_id],course_data[type],"")</f>
        <v>eLearning</v>
      </c>
      <c r="K545" t="str">
        <f>role_course_map[[#This Row],[role_id]] &amp; "|" &amp; role_course_map[[#This Row],[course_id]]</f>
        <v>R0132|999011</v>
      </c>
      <c r="L545" t="str">
        <f>IF(COUNTIF(role_course_map[mapping_key],role_course_map[[#This Row],[mapping_key]])&gt;1,"DUPLICATE","OK")</f>
        <v>OK</v>
      </c>
      <c r="M545" t="str">
        <f>IF(COUNTIF(role_data[role_id],role_course_map[[#This Row],[role_id]])=0, "INVALID","VALID")</f>
        <v>VALID</v>
      </c>
      <c r="N545" t="str">
        <f>IF(COUNTIF(course_data[course_id],role_course_map[[#This Row],[course_id]])=0, "INVALID","VALID")</f>
        <v>VALID</v>
      </c>
    </row>
    <row r="546" spans="1:14" x14ac:dyDescent="0.35">
      <c r="A546" t="s">
        <v>276</v>
      </c>
      <c r="B546" s="5" t="str">
        <f>_xlfn.XLOOKUP(role_course_map[[#This Row],[role_id]], role_data[role_id], role_data[Role],"")</f>
        <v>EMRS Advanced Retrieval Practitioner</v>
      </c>
      <c r="C546">
        <v>999012</v>
      </c>
      <c r="D546" s="5" t="str">
        <f>_xlfn.XLOOKUP(role_course_map[[#This Row],[course_id]],course_data[course_id],course_data[title],"")</f>
        <v>Trauma</v>
      </c>
      <c r="E546" s="5" t="str">
        <f>_xlfn.XLOOKUP(role_course_map[[#This Row],[course_id]],course_data[course_id],course_data[topic],"")</f>
        <v>SAS : Clinical Practice</v>
      </c>
      <c r="F546" s="5" t="str">
        <f>_xlfn.XLOOKUP(role_course_map[[#This Row],[course_id]],course_data[course_id],course_data[type],"")</f>
        <v>Course</v>
      </c>
      <c r="K546" t="str">
        <f>role_course_map[[#This Row],[role_id]] &amp; "|" &amp; role_course_map[[#This Row],[course_id]]</f>
        <v>R0132|999012</v>
      </c>
      <c r="L546" t="str">
        <f>IF(COUNTIF(role_course_map[mapping_key],role_course_map[[#This Row],[mapping_key]])&gt;1,"DUPLICATE","OK")</f>
        <v>OK</v>
      </c>
      <c r="M546" t="str">
        <f>IF(COUNTIF(role_data[role_id],role_course_map[[#This Row],[role_id]])=0, "INVALID","VALID")</f>
        <v>VALID</v>
      </c>
      <c r="N546" t="str">
        <f>IF(COUNTIF(course_data[course_id],role_course_map[[#This Row],[course_id]])=0, "INVALID","VALID")</f>
        <v>VALID</v>
      </c>
    </row>
    <row r="547" spans="1:14" x14ac:dyDescent="0.35">
      <c r="A547" t="s">
        <v>276</v>
      </c>
      <c r="B547" s="5" t="str">
        <f>_xlfn.XLOOKUP(role_course_map[[#This Row],[role_id]], role_data[role_id], role_data[Role],"")</f>
        <v>EMRS Advanced Retrieval Practitioner</v>
      </c>
      <c r="C547">
        <v>999013</v>
      </c>
      <c r="D547" s="5" t="str">
        <f>_xlfn.XLOOKUP(role_course_map[[#This Row],[course_id]],course_data[course_id],course_data[title],"")</f>
        <v>Trauma</v>
      </c>
      <c r="E547" s="5" t="str">
        <f>_xlfn.XLOOKUP(role_course_map[[#This Row],[course_id]],course_data[course_id],course_data[topic],"")</f>
        <v>SAS : Clinical Practice</v>
      </c>
      <c r="F547" s="5" t="str">
        <f>_xlfn.XLOOKUP(role_course_map[[#This Row],[course_id]],course_data[course_id],course_data[type],"")</f>
        <v>eLearning</v>
      </c>
      <c r="K547" t="str">
        <f>role_course_map[[#This Row],[role_id]] &amp; "|" &amp; role_course_map[[#This Row],[course_id]]</f>
        <v>R0132|999013</v>
      </c>
      <c r="L547" t="str">
        <f>IF(COUNTIF(role_course_map[mapping_key],role_course_map[[#This Row],[mapping_key]])&gt;1,"DUPLICATE","OK")</f>
        <v>OK</v>
      </c>
      <c r="M547" t="str">
        <f>IF(COUNTIF(role_data[role_id],role_course_map[[#This Row],[role_id]])=0, "INVALID","VALID")</f>
        <v>VALID</v>
      </c>
      <c r="N547" t="str">
        <f>IF(COUNTIF(course_data[course_id],role_course_map[[#This Row],[course_id]])=0, "INVALID","VALID")</f>
        <v>VALID</v>
      </c>
    </row>
    <row r="548" spans="1:14" x14ac:dyDescent="0.35">
      <c r="A548" t="s">
        <v>276</v>
      </c>
      <c r="B548" s="5" t="str">
        <f>_xlfn.XLOOKUP(role_course_map[[#This Row],[role_id]], role_data[role_id], role_data[Role],"")</f>
        <v>EMRS Advanced Retrieval Practitioner</v>
      </c>
      <c r="C548">
        <v>999014</v>
      </c>
      <c r="D548" s="5" t="str">
        <f>_xlfn.XLOOKUP(role_course_map[[#This Row],[course_id]],course_data[course_id],course_data[title],"")</f>
        <v>Patient Assessment</v>
      </c>
      <c r="E548" s="5" t="str">
        <f>_xlfn.XLOOKUP(role_course_map[[#This Row],[course_id]],course_data[course_id],course_data[topic],"")</f>
        <v>SAS : Clinical Practice</v>
      </c>
      <c r="F548" s="5" t="str">
        <f>_xlfn.XLOOKUP(role_course_map[[#This Row],[course_id]],course_data[course_id],course_data[type],"")</f>
        <v>Course</v>
      </c>
      <c r="K548" t="str">
        <f>role_course_map[[#This Row],[role_id]] &amp; "|" &amp; role_course_map[[#This Row],[course_id]]</f>
        <v>R0132|999014</v>
      </c>
      <c r="L548" t="str">
        <f>IF(COUNTIF(role_course_map[mapping_key],role_course_map[[#This Row],[mapping_key]])&gt;1,"DUPLICATE","OK")</f>
        <v>OK</v>
      </c>
      <c r="M548" t="str">
        <f>IF(COUNTIF(role_data[role_id],role_course_map[[#This Row],[role_id]])=0, "INVALID","VALID")</f>
        <v>VALID</v>
      </c>
      <c r="N548" t="str">
        <f>IF(COUNTIF(course_data[course_id],role_course_map[[#This Row],[course_id]])=0, "INVALID","VALID")</f>
        <v>VALID</v>
      </c>
    </row>
    <row r="549" spans="1:14" x14ac:dyDescent="0.35">
      <c r="A549" t="s">
        <v>276</v>
      </c>
      <c r="B549" s="5" t="str">
        <f>_xlfn.XLOOKUP(role_course_map[[#This Row],[role_id]], role_data[role_id], role_data[Role],"")</f>
        <v>EMRS Advanced Retrieval Practitioner</v>
      </c>
      <c r="C549">
        <v>999015</v>
      </c>
      <c r="D549" s="5" t="str">
        <f>_xlfn.XLOOKUP(role_course_map[[#This Row],[course_id]],course_data[course_id],course_data[title],"")</f>
        <v>Patient Assessment</v>
      </c>
      <c r="E549" s="5" t="str">
        <f>_xlfn.XLOOKUP(role_course_map[[#This Row],[course_id]],course_data[course_id],course_data[topic],"")</f>
        <v>SAS : Clinical Practice</v>
      </c>
      <c r="F549" s="5" t="str">
        <f>_xlfn.XLOOKUP(role_course_map[[#This Row],[course_id]],course_data[course_id],course_data[type],"")</f>
        <v>eLearning</v>
      </c>
      <c r="K549" t="str">
        <f>role_course_map[[#This Row],[role_id]] &amp; "|" &amp; role_course_map[[#This Row],[course_id]]</f>
        <v>R0132|999015</v>
      </c>
      <c r="L549" t="str">
        <f>IF(COUNTIF(role_course_map[mapping_key],role_course_map[[#This Row],[mapping_key]])&gt;1,"DUPLICATE","OK")</f>
        <v>OK</v>
      </c>
      <c r="M549" t="str">
        <f>IF(COUNTIF(role_data[role_id],role_course_map[[#This Row],[role_id]])=0, "INVALID","VALID")</f>
        <v>VALID</v>
      </c>
      <c r="N549" t="str">
        <f>IF(COUNTIF(course_data[course_id],role_course_map[[#This Row],[course_id]])=0, "INVALID","VALID")</f>
        <v>VALID</v>
      </c>
    </row>
    <row r="550" spans="1:14" x14ac:dyDescent="0.35">
      <c r="A550" t="s">
        <v>274</v>
      </c>
      <c r="B550" s="5" t="str">
        <f>_xlfn.XLOOKUP(role_course_map[[#This Row],[role_id]], role_data[role_id], role_data[Role],"")</f>
        <v>EMRS Administrator</v>
      </c>
      <c r="C550">
        <v>999016</v>
      </c>
      <c r="D550" s="5" t="str">
        <f>_xlfn.XLOOKUP(role_course_map[[#This Row],[course_id]],course_data[course_id],course_data[title],"")</f>
        <v>Clinical Skills</v>
      </c>
      <c r="E550" s="5" t="str">
        <f>_xlfn.XLOOKUP(role_course_map[[#This Row],[course_id]],course_data[course_id],course_data[topic],"")</f>
        <v>SAS : Clinical Practice</v>
      </c>
      <c r="F550" s="5" t="str">
        <f>_xlfn.XLOOKUP(role_course_map[[#This Row],[course_id]],course_data[course_id],course_data[type],"")</f>
        <v>Course</v>
      </c>
      <c r="K550" t="str">
        <f>role_course_map[[#This Row],[role_id]] &amp; "|" &amp; role_course_map[[#This Row],[course_id]]</f>
        <v>R0131|999016</v>
      </c>
      <c r="L550" t="str">
        <f>IF(COUNTIF(role_course_map[mapping_key],role_course_map[[#This Row],[mapping_key]])&gt;1,"DUPLICATE","OK")</f>
        <v>OK</v>
      </c>
      <c r="M550" t="str">
        <f>IF(COUNTIF(role_data[role_id],role_course_map[[#This Row],[role_id]])=0, "INVALID","VALID")</f>
        <v>VALID</v>
      </c>
      <c r="N550" t="str">
        <f>IF(COUNTIF(course_data[course_id],role_course_map[[#This Row],[course_id]])=0, "INVALID","VALID")</f>
        <v>VALID</v>
      </c>
    </row>
    <row r="551" spans="1:14" x14ac:dyDescent="0.35">
      <c r="A551" t="s">
        <v>276</v>
      </c>
      <c r="B551" s="5" t="str">
        <f>_xlfn.XLOOKUP(role_course_map[[#This Row],[role_id]], role_data[role_id], role_data[Role],"")</f>
        <v>EMRS Advanced Retrieval Practitioner</v>
      </c>
      <c r="C551">
        <v>999018</v>
      </c>
      <c r="D551" s="5" t="str">
        <f>_xlfn.XLOOKUP(role_course_map[[#This Row],[course_id]],course_data[course_id],course_data[title],"")</f>
        <v>Learning from Events</v>
      </c>
      <c r="E551" s="5" t="str">
        <f>_xlfn.XLOOKUP(role_course_map[[#This Row],[course_id]],course_data[course_id],course_data[topic],"")</f>
        <v>SAS : Clinical Practice</v>
      </c>
      <c r="F551" s="5" t="str">
        <f>_xlfn.XLOOKUP(role_course_map[[#This Row],[course_id]],course_data[course_id],course_data[type],"")</f>
        <v>eLearning</v>
      </c>
      <c r="K551" t="str">
        <f>role_course_map[[#This Row],[role_id]] &amp; "|" &amp; role_course_map[[#This Row],[course_id]]</f>
        <v>R0132|999018</v>
      </c>
      <c r="L551" t="str">
        <f>IF(COUNTIF(role_course_map[mapping_key],role_course_map[[#This Row],[mapping_key]])&gt;1,"DUPLICATE","OK")</f>
        <v>OK</v>
      </c>
      <c r="M551" t="str">
        <f>IF(COUNTIF(role_data[role_id],role_course_map[[#This Row],[role_id]])=0, "INVALID","VALID")</f>
        <v>VALID</v>
      </c>
      <c r="N551" t="str">
        <f>IF(COUNTIF(course_data[course_id],role_course_map[[#This Row],[course_id]])=0, "INVALID","VALID")</f>
        <v>VALID</v>
      </c>
    </row>
    <row r="552" spans="1:14" x14ac:dyDescent="0.35">
      <c r="A552" t="s">
        <v>276</v>
      </c>
      <c r="B552" s="5" t="str">
        <f>_xlfn.XLOOKUP(role_course_map[[#This Row],[role_id]], role_data[role_id], role_data[Role],"")</f>
        <v>EMRS Advanced Retrieval Practitioner</v>
      </c>
      <c r="C552">
        <v>999019</v>
      </c>
      <c r="D552" s="5" t="str">
        <f>_xlfn.XLOOKUP(role_course_map[[#This Row],[course_id]],course_data[course_id],course_data[title],"")</f>
        <v>Medicines Management</v>
      </c>
      <c r="E552" s="5" t="str">
        <f>_xlfn.XLOOKUP(role_course_map[[#This Row],[course_id]],course_data[course_id],course_data[topic],"")</f>
        <v>SAS : Clinical Practice</v>
      </c>
      <c r="F552" s="5" t="str">
        <f>_xlfn.XLOOKUP(role_course_map[[#This Row],[course_id]],course_data[course_id],course_data[type],"")</f>
        <v>eLearning</v>
      </c>
      <c r="K552" t="str">
        <f>role_course_map[[#This Row],[role_id]] &amp; "|" &amp; role_course_map[[#This Row],[course_id]]</f>
        <v>R0132|999019</v>
      </c>
      <c r="L552" t="str">
        <f>IF(COUNTIF(role_course_map[mapping_key],role_course_map[[#This Row],[mapping_key]])&gt;1,"DUPLICATE","OK")</f>
        <v>OK</v>
      </c>
      <c r="M552" t="str">
        <f>IF(COUNTIF(role_data[role_id],role_course_map[[#This Row],[role_id]])=0, "INVALID","VALID")</f>
        <v>VALID</v>
      </c>
      <c r="N552" t="str">
        <f>IF(COUNTIF(course_data[course_id],role_course_map[[#This Row],[course_id]])=0, "INVALID","VALID")</f>
        <v>VALID</v>
      </c>
    </row>
    <row r="553" spans="1:14" x14ac:dyDescent="0.35">
      <c r="A553" t="s">
        <v>276</v>
      </c>
      <c r="B553" s="5" t="str">
        <f>_xlfn.XLOOKUP(role_course_map[[#This Row],[role_id]], role_data[role_id], role_data[Role],"")</f>
        <v>EMRS Advanced Retrieval Practitioner</v>
      </c>
      <c r="C553">
        <v>999020</v>
      </c>
      <c r="D553" s="5" t="str">
        <f>_xlfn.XLOOKUP(role_course_map[[#This Row],[course_id]],course_data[course_id],course_data[title],"")</f>
        <v>JRCALC Update</v>
      </c>
      <c r="E553" s="5" t="str">
        <f>_xlfn.XLOOKUP(role_course_map[[#This Row],[course_id]],course_data[course_id],course_data[topic],"")</f>
        <v>SAS : Clinical Practice</v>
      </c>
      <c r="F553" s="5" t="str">
        <f>_xlfn.XLOOKUP(role_course_map[[#This Row],[course_id]],course_data[course_id],course_data[type],"")</f>
        <v>eLearning</v>
      </c>
      <c r="K553" t="str">
        <f>role_course_map[[#This Row],[role_id]] &amp; "|" &amp; role_course_map[[#This Row],[course_id]]</f>
        <v>R0132|999020</v>
      </c>
      <c r="L553" t="str">
        <f>IF(COUNTIF(role_course_map[mapping_key],role_course_map[[#This Row],[mapping_key]])&gt;1,"DUPLICATE","OK")</f>
        <v>OK</v>
      </c>
      <c r="M553" t="str">
        <f>IF(COUNTIF(role_data[role_id],role_course_map[[#This Row],[role_id]])=0, "INVALID","VALID")</f>
        <v>VALID</v>
      </c>
      <c r="N553" t="str">
        <f>IF(COUNTIF(course_data[course_id],role_course_map[[#This Row],[course_id]])=0, "INVALID","VALID")</f>
        <v>VALID</v>
      </c>
    </row>
    <row r="554" spans="1:14" x14ac:dyDescent="0.35">
      <c r="A554" t="s">
        <v>276</v>
      </c>
      <c r="B554" s="5" t="str">
        <f>_xlfn.XLOOKUP(role_course_map[[#This Row],[role_id]], role_data[role_id], role_data[Role],"")</f>
        <v>EMRS Advanced Retrieval Practitioner</v>
      </c>
      <c r="C554">
        <v>999021</v>
      </c>
      <c r="D554" s="5" t="str">
        <f>_xlfn.XLOOKUP(role_course_map[[#This Row],[course_id]],course_data[course_id],course_data[title],"")</f>
        <v>Mental Health</v>
      </c>
      <c r="E554" s="5" t="str">
        <f>_xlfn.XLOOKUP(role_course_map[[#This Row],[course_id]],course_data[course_id],course_data[topic],"")</f>
        <v>SAS : Clinical Practice</v>
      </c>
      <c r="F554" s="5" t="str">
        <f>_xlfn.XLOOKUP(role_course_map[[#This Row],[course_id]],course_data[course_id],course_data[type],"")</f>
        <v>eLearning</v>
      </c>
      <c r="K554" t="str">
        <f>role_course_map[[#This Row],[role_id]] &amp; "|" &amp; role_course_map[[#This Row],[course_id]]</f>
        <v>R0132|999021</v>
      </c>
      <c r="L554" t="str">
        <f>IF(COUNTIF(role_course_map[mapping_key],role_course_map[[#This Row],[mapping_key]])&gt;1,"DUPLICATE","OK")</f>
        <v>OK</v>
      </c>
      <c r="M554" t="str">
        <f>IF(COUNTIF(role_data[role_id],role_course_map[[#This Row],[role_id]])=0, "INVALID","VALID")</f>
        <v>VALID</v>
      </c>
      <c r="N554" t="str">
        <f>IF(COUNTIF(course_data[course_id],role_course_map[[#This Row],[course_id]])=0, "INVALID","VALID")</f>
        <v>VALID</v>
      </c>
    </row>
    <row r="555" spans="1:14" x14ac:dyDescent="0.35">
      <c r="A555" t="s">
        <v>276</v>
      </c>
      <c r="B555" s="5" t="str">
        <f>_xlfn.XLOOKUP(role_course_map[[#This Row],[role_id]], role_data[role_id], role_data[Role],"")</f>
        <v>EMRS Advanced Retrieval Practitioner</v>
      </c>
      <c r="C555">
        <v>999022</v>
      </c>
      <c r="D555" s="5" t="str">
        <f>_xlfn.XLOOKUP(role_course_map[[#This Row],[course_id]],course_data[course_id],course_data[title],"")</f>
        <v>Learning Disabilities</v>
      </c>
      <c r="E555" s="5" t="str">
        <f>_xlfn.XLOOKUP(role_course_map[[#This Row],[course_id]],course_data[course_id],course_data[topic],"")</f>
        <v>SAS : Clinical Practice</v>
      </c>
      <c r="F555" s="5" t="str">
        <f>_xlfn.XLOOKUP(role_course_map[[#This Row],[course_id]],course_data[course_id],course_data[type],"")</f>
        <v>eLearning</v>
      </c>
      <c r="K555" t="str">
        <f>role_course_map[[#This Row],[role_id]] &amp; "|" &amp; role_course_map[[#This Row],[course_id]]</f>
        <v>R0132|999022</v>
      </c>
      <c r="L555" t="str">
        <f>IF(COUNTIF(role_course_map[mapping_key],role_course_map[[#This Row],[mapping_key]])&gt;1,"DUPLICATE","OK")</f>
        <v>OK</v>
      </c>
      <c r="M555" t="str">
        <f>IF(COUNTIF(role_data[role_id],role_course_map[[#This Row],[role_id]])=0, "INVALID","VALID")</f>
        <v>VALID</v>
      </c>
      <c r="N555" t="str">
        <f>IF(COUNTIF(course_data[course_id],role_course_map[[#This Row],[course_id]])=0, "INVALID","VALID")</f>
        <v>VALID</v>
      </c>
    </row>
    <row r="556" spans="1:14" x14ac:dyDescent="0.35">
      <c r="A556" t="s">
        <v>276</v>
      </c>
      <c r="B556" s="5" t="str">
        <f>_xlfn.XLOOKUP(role_course_map[[#This Row],[role_id]], role_data[role_id], role_data[Role],"")</f>
        <v>EMRS Advanced Retrieval Practitioner</v>
      </c>
      <c r="C556">
        <v>75202</v>
      </c>
      <c r="D556" s="5" t="str">
        <f>_xlfn.XLOOKUP(role_course_map[[#This Row],[course_id]],course_data[course_id],course_data[title],"")</f>
        <v>SAS : Clinical Practice</v>
      </c>
      <c r="E556" s="5" t="str">
        <f>_xlfn.XLOOKUP(role_course_map[[#This Row],[course_id]],course_data[course_id],course_data[topic],"")</f>
        <v>SAS : Clinical Practice</v>
      </c>
      <c r="F556" s="5" t="str">
        <f>_xlfn.XLOOKUP(role_course_map[[#This Row],[course_id]],course_data[course_id],course_data[type],"")</f>
        <v>Page</v>
      </c>
      <c r="K556" t="str">
        <f>role_course_map[[#This Row],[role_id]] &amp; "|" &amp; role_course_map[[#This Row],[course_id]]</f>
        <v>R0132|75202</v>
      </c>
      <c r="L556" t="str">
        <f>IF(COUNTIF(role_course_map[mapping_key],role_course_map[[#This Row],[mapping_key]])&gt;1,"DUPLICATE","OK")</f>
        <v>OK</v>
      </c>
      <c r="M556" t="str">
        <f>IF(COUNTIF(role_data[role_id],role_course_map[[#This Row],[role_id]])=0, "INVALID","VALID")</f>
        <v>VALID</v>
      </c>
      <c r="N556" t="str">
        <f>IF(COUNTIF(course_data[course_id],role_course_map[[#This Row],[course_id]])=0, "INVALID","VALID")</f>
        <v>VALID</v>
      </c>
    </row>
    <row r="557" spans="1:14" x14ac:dyDescent="0.35">
      <c r="A557" t="s">
        <v>276</v>
      </c>
      <c r="B557" s="5" t="str">
        <f>_xlfn.XLOOKUP(role_course_map[[#This Row],[role_id]], role_data[role_id], role_data[Role],"")</f>
        <v>EMRS Advanced Retrieval Practitioner</v>
      </c>
      <c r="C557">
        <v>999023</v>
      </c>
      <c r="D557" s="5" t="str">
        <f>_xlfn.XLOOKUP(role_course_map[[#This Row],[course_id]],course_data[course_id],course_data[title],"")</f>
        <v>Dementia</v>
      </c>
      <c r="E557" s="5" t="str">
        <f>_xlfn.XLOOKUP(role_course_map[[#This Row],[course_id]],course_data[course_id],course_data[topic],"")</f>
        <v>SAS : Clinical Practice</v>
      </c>
      <c r="F557" s="5" t="str">
        <f>_xlfn.XLOOKUP(role_course_map[[#This Row],[course_id]],course_data[course_id],course_data[type],"")</f>
        <v>eLearning</v>
      </c>
      <c r="K557" t="str">
        <f>role_course_map[[#This Row],[role_id]] &amp; "|" &amp; role_course_map[[#This Row],[course_id]]</f>
        <v>R0132|999023</v>
      </c>
      <c r="L557" t="str">
        <f>IF(COUNTIF(role_course_map[mapping_key],role_course_map[[#This Row],[mapping_key]])&gt;1,"DUPLICATE","OK")</f>
        <v>OK</v>
      </c>
      <c r="M557" t="str">
        <f>IF(COUNTIF(role_data[role_id],role_course_map[[#This Row],[role_id]])=0, "INVALID","VALID")</f>
        <v>VALID</v>
      </c>
      <c r="N557" t="str">
        <f>IF(COUNTIF(course_data[course_id],role_course_map[[#This Row],[course_id]])=0, "INVALID","VALID")</f>
        <v>VALID</v>
      </c>
    </row>
    <row r="558" spans="1:14" x14ac:dyDescent="0.35">
      <c r="A558" t="s">
        <v>274</v>
      </c>
      <c r="B558" s="5" t="str">
        <f>_xlfn.XLOOKUP(role_course_map[[#This Row],[role_id]], role_data[role_id], role_data[Role],"")</f>
        <v>EMRS Administrator</v>
      </c>
      <c r="C558">
        <v>999024</v>
      </c>
      <c r="D558" s="5" t="str">
        <f>_xlfn.XLOOKUP(role_course_map[[#This Row],[course_id]],course_data[course_id],course_data[title],"")</f>
        <v>Conditions requiring specific hospital management. I.e. Parkinsons</v>
      </c>
      <c r="E558" s="5" t="str">
        <f>_xlfn.XLOOKUP(role_course_map[[#This Row],[course_id]],course_data[course_id],course_data[topic],"")</f>
        <v>SAS : Clinical Practice</v>
      </c>
      <c r="F558" s="5" t="str">
        <f>_xlfn.XLOOKUP(role_course_map[[#This Row],[course_id]],course_data[course_id],course_data[type],"")</f>
        <v>eLearning</v>
      </c>
      <c r="K558" t="str">
        <f>role_course_map[[#This Row],[role_id]] &amp; "|" &amp; role_course_map[[#This Row],[course_id]]</f>
        <v>R0131|999024</v>
      </c>
      <c r="L558" t="str">
        <f>IF(COUNTIF(role_course_map[mapping_key],role_course_map[[#This Row],[mapping_key]])&gt;1,"DUPLICATE","OK")</f>
        <v>OK</v>
      </c>
      <c r="M558" t="str">
        <f>IF(COUNTIF(role_data[role_id],role_course_map[[#This Row],[role_id]])=0, "INVALID","VALID")</f>
        <v>VALID</v>
      </c>
      <c r="N558" t="str">
        <f>IF(COUNTIF(course_data[course_id],role_course_map[[#This Row],[course_id]])=0, "INVALID","VALID")</f>
        <v>VALID</v>
      </c>
    </row>
    <row r="559" spans="1:14" x14ac:dyDescent="0.35">
      <c r="A559" t="s">
        <v>276</v>
      </c>
      <c r="B559" s="5" t="str">
        <f>_xlfn.XLOOKUP(role_course_map[[#This Row],[role_id]], role_data[role_id], role_data[Role],"")</f>
        <v>EMRS Advanced Retrieval Practitioner</v>
      </c>
      <c r="C559">
        <v>999095</v>
      </c>
      <c r="D559" s="5" t="str">
        <f>_xlfn.XLOOKUP(role_course_map[[#This Row],[course_id]],course_data[course_id],course_data[title],"")</f>
        <v>Mentoring</v>
      </c>
      <c r="E559" s="5" t="str">
        <f>_xlfn.XLOOKUP(role_course_map[[#This Row],[course_id]],course_data[course_id],course_data[topic],"")</f>
        <v>SAS: Staff development and experience</v>
      </c>
      <c r="F559" s="5" t="str">
        <f>_xlfn.XLOOKUP(role_course_map[[#This Row],[course_id]],course_data[course_id],course_data[type],"")</f>
        <v>eLearning</v>
      </c>
      <c r="K559" t="str">
        <f>role_course_map[[#This Row],[role_id]] &amp; "|" &amp; role_course_map[[#This Row],[course_id]]</f>
        <v>R0132|999095</v>
      </c>
      <c r="L559" t="str">
        <f>IF(COUNTIF(role_course_map[mapping_key],role_course_map[[#This Row],[mapping_key]])&gt;1,"DUPLICATE","OK")</f>
        <v>OK</v>
      </c>
      <c r="M559" t="str">
        <f>IF(COUNTIF(role_data[role_id],role_course_map[[#This Row],[role_id]])=0, "INVALID","VALID")</f>
        <v>VALID</v>
      </c>
      <c r="N559" t="str">
        <f>IF(COUNTIF(course_data[course_id],role_course_map[[#This Row],[course_id]])=0, "INVALID","VALID")</f>
        <v>VALID</v>
      </c>
    </row>
    <row r="560" spans="1:14" x14ac:dyDescent="0.35">
      <c r="A560" t="s">
        <v>276</v>
      </c>
      <c r="B560" s="5" t="str">
        <f>_xlfn.XLOOKUP(role_course_map[[#This Row],[role_id]], role_data[role_id], role_data[Role],"")</f>
        <v>EMRS Advanced Retrieval Practitioner</v>
      </c>
      <c r="C560">
        <v>999096</v>
      </c>
      <c r="D560" s="5" t="str">
        <f>_xlfn.XLOOKUP(role_course_map[[#This Row],[course_id]],course_data[course_id],course_data[title],"")</f>
        <v>Supporting others in practice (Supervision)</v>
      </c>
      <c r="E560" s="5" t="str">
        <f>_xlfn.XLOOKUP(role_course_map[[#This Row],[course_id]],course_data[course_id],course_data[topic],"")</f>
        <v>SAS: Staff development and experience</v>
      </c>
      <c r="F560" s="5" t="str">
        <f>_xlfn.XLOOKUP(role_course_map[[#This Row],[course_id]],course_data[course_id],course_data[type],"")</f>
        <v>Course</v>
      </c>
      <c r="K560" t="str">
        <f>role_course_map[[#This Row],[role_id]] &amp; "|" &amp; role_course_map[[#This Row],[course_id]]</f>
        <v>R0132|999096</v>
      </c>
      <c r="L560" t="str">
        <f>IF(COUNTIF(role_course_map[mapping_key],role_course_map[[#This Row],[mapping_key]])&gt;1,"DUPLICATE","OK")</f>
        <v>OK</v>
      </c>
      <c r="M560" t="str">
        <f>IF(COUNTIF(role_data[role_id],role_course_map[[#This Row],[role_id]])=0, "INVALID","VALID")</f>
        <v>VALID</v>
      </c>
      <c r="N560" t="str">
        <f>IF(COUNTIF(course_data[course_id],role_course_map[[#This Row],[course_id]])=0, "INVALID","VALID")</f>
        <v>VALID</v>
      </c>
    </row>
    <row r="561" spans="1:14" x14ac:dyDescent="0.35">
      <c r="A561" t="s">
        <v>276</v>
      </c>
      <c r="B561" s="5" t="str">
        <f>_xlfn.XLOOKUP(role_course_map[[#This Row],[role_id]], role_data[role_id], role_data[Role],"")</f>
        <v>EMRS Advanced Retrieval Practitioner</v>
      </c>
      <c r="C561">
        <v>999097</v>
      </c>
      <c r="D561" s="5" t="str">
        <f>_xlfn.XLOOKUP(role_course_map[[#This Row],[course_id]],course_data[course_id],course_data[title],"")</f>
        <v>Personal Wellbeing</v>
      </c>
      <c r="E561" s="5" t="str">
        <f>_xlfn.XLOOKUP(role_course_map[[#This Row],[course_id]],course_data[course_id],course_data[topic],"")</f>
        <v>SAS: Staff development and experience</v>
      </c>
      <c r="F561" s="5" t="str">
        <f>_xlfn.XLOOKUP(role_course_map[[#This Row],[course_id]],course_data[course_id],course_data[type],"")</f>
        <v>eLearning</v>
      </c>
      <c r="K561" t="str">
        <f>role_course_map[[#This Row],[role_id]] &amp; "|" &amp; role_course_map[[#This Row],[course_id]]</f>
        <v>R0132|999097</v>
      </c>
      <c r="L561" t="str">
        <f>IF(COUNTIF(role_course_map[mapping_key],role_course_map[[#This Row],[mapping_key]])&gt;1,"DUPLICATE","OK")</f>
        <v>OK</v>
      </c>
      <c r="M561" t="str">
        <f>IF(COUNTIF(role_data[role_id],role_course_map[[#This Row],[role_id]])=0, "INVALID","VALID")</f>
        <v>VALID</v>
      </c>
      <c r="N561" t="str">
        <f>IF(COUNTIF(course_data[course_id],role_course_map[[#This Row],[course_id]])=0, "INVALID","VALID")</f>
        <v>VALID</v>
      </c>
    </row>
    <row r="562" spans="1:14" x14ac:dyDescent="0.35">
      <c r="A562" t="s">
        <v>276</v>
      </c>
      <c r="B562" s="5" t="str">
        <f>_xlfn.XLOOKUP(role_course_map[[#This Row],[role_id]], role_data[role_id], role_data[Role],"")</f>
        <v>EMRS Advanced Retrieval Practitioner</v>
      </c>
      <c r="C562">
        <v>79147</v>
      </c>
      <c r="D562" s="5" t="str">
        <f>_xlfn.XLOOKUP(role_course_map[[#This Row],[course_id]],course_data[course_id],course_data[title],"")</f>
        <v>Driving risks at work</v>
      </c>
      <c r="E562" s="5" t="str">
        <f>_xlfn.XLOOKUP(role_course_map[[#This Row],[course_id]],course_data[course_id],course_data[topic],"")</f>
        <v>SAS : Health and Safety</v>
      </c>
      <c r="F562" s="5" t="str">
        <f>_xlfn.XLOOKUP(role_course_map[[#This Row],[course_id]],course_data[course_id],course_data[type],"")</f>
        <v>eLearning</v>
      </c>
      <c r="K562" t="str">
        <f>role_course_map[[#This Row],[role_id]] &amp; "|" &amp; role_course_map[[#This Row],[course_id]]</f>
        <v>R0132|79147</v>
      </c>
      <c r="L562" t="str">
        <f>IF(COUNTIF(role_course_map[mapping_key],role_course_map[[#This Row],[mapping_key]])&gt;1,"DUPLICATE","OK")</f>
        <v>OK</v>
      </c>
      <c r="M562" t="str">
        <f>IF(COUNTIF(role_data[role_id],role_course_map[[#This Row],[role_id]])=0, "INVALID","VALID")</f>
        <v>VALID</v>
      </c>
      <c r="N562" t="str">
        <f>IF(COUNTIF(course_data[course_id],role_course_map[[#This Row],[course_id]])=0, "INVALID","VALID")</f>
        <v>VALID</v>
      </c>
    </row>
    <row r="563" spans="1:14" x14ac:dyDescent="0.35">
      <c r="A563" t="s">
        <v>272</v>
      </c>
      <c r="B563" s="5" t="str">
        <f>_xlfn.XLOOKUP(role_course_map[[#This Row],[role_id]], role_data[role_id], role_data[Role],"")</f>
        <v>Air Ambulance Paramedics</v>
      </c>
      <c r="C563">
        <v>999060</v>
      </c>
      <c r="D563" s="5" t="str">
        <f>_xlfn.XLOOKUP(role_course_map[[#This Row],[course_id]],course_data[course_id],course_data[title],"")</f>
        <v>COSHH</v>
      </c>
      <c r="E563" s="5" t="str">
        <f>_xlfn.XLOOKUP(role_course_map[[#This Row],[course_id]],course_data[course_id],course_data[topic],"")</f>
        <v>SAS : Health and Safety</v>
      </c>
      <c r="F563" s="5" t="str">
        <f>_xlfn.XLOOKUP(role_course_map[[#This Row],[course_id]],course_data[course_id],course_data[type],"")</f>
        <v>eLearning</v>
      </c>
      <c r="K563" t="str">
        <f>role_course_map[[#This Row],[role_id]] &amp; "|" &amp; role_course_map[[#This Row],[course_id]]</f>
        <v>R0130|999060</v>
      </c>
      <c r="L563" t="str">
        <f>IF(COUNTIF(role_course_map[mapping_key],role_course_map[[#This Row],[mapping_key]])&gt;1,"DUPLICATE","OK")</f>
        <v>OK</v>
      </c>
      <c r="M563" t="str">
        <f>IF(COUNTIF(role_data[role_id],role_course_map[[#This Row],[role_id]])=0, "INVALID","VALID")</f>
        <v>VALID</v>
      </c>
      <c r="N563" t="str">
        <f>IF(COUNTIF(course_data[course_id],role_course_map[[#This Row],[course_id]])=0, "INVALID","VALID")</f>
        <v>VALID</v>
      </c>
    </row>
    <row r="564" spans="1:14" x14ac:dyDescent="0.35">
      <c r="A564" t="s">
        <v>276</v>
      </c>
      <c r="B564" s="5" t="str">
        <f>_xlfn.XLOOKUP(role_course_map[[#This Row],[role_id]], role_data[role_id], role_data[Role],"")</f>
        <v>EMRS Advanced Retrieval Practitioner</v>
      </c>
      <c r="C564">
        <v>999066</v>
      </c>
      <c r="D564" s="5" t="str">
        <f>_xlfn.XLOOKUP(role_course_map[[#This Row],[course_id]],course_data[course_id],course_data[title],"")</f>
        <v>NRRD Update i.e. Major Incidents/Methane/ Multiple Casualities</v>
      </c>
      <c r="E564" s="5" t="str">
        <f>_xlfn.XLOOKUP(role_course_map[[#This Row],[course_id]],course_data[course_id],course_data[topic],"")</f>
        <v>SAS : National Risk and Resilience Department (NRRD)</v>
      </c>
      <c r="F564" s="5" t="str">
        <f>_xlfn.XLOOKUP(role_course_map[[#This Row],[course_id]],course_data[course_id],course_data[type],"")</f>
        <v>eLearning</v>
      </c>
      <c r="K564" t="str">
        <f>role_course_map[[#This Row],[role_id]] &amp; "|" &amp; role_course_map[[#This Row],[course_id]]</f>
        <v>R0132|999066</v>
      </c>
      <c r="L564" t="str">
        <f>IF(COUNTIF(role_course_map[mapping_key],role_course_map[[#This Row],[mapping_key]])&gt;1,"DUPLICATE","OK")</f>
        <v>OK</v>
      </c>
      <c r="M564" t="str">
        <f>IF(COUNTIF(role_data[role_id],role_course_map[[#This Row],[role_id]])=0, "INVALID","VALID")</f>
        <v>VALID</v>
      </c>
      <c r="N564" t="str">
        <f>IF(COUNTIF(course_data[course_id],role_course_map[[#This Row],[course_id]])=0, "INVALID","VALID")</f>
        <v>VALID</v>
      </c>
    </row>
    <row r="565" spans="1:14" x14ac:dyDescent="0.35">
      <c r="A565" t="s">
        <v>276</v>
      </c>
      <c r="B565" s="5" t="str">
        <f>_xlfn.XLOOKUP(role_course_map[[#This Row],[role_id]], role_data[role_id], role_data[Role],"")</f>
        <v>EMRS Advanced Retrieval Practitioner</v>
      </c>
      <c r="C565">
        <v>999025</v>
      </c>
      <c r="D565" s="5" t="str">
        <f>_xlfn.XLOOKUP(role_course_map[[#This Row],[course_id]],course_data[course_id],course_data[title],"")</f>
        <v>Professional Standards</v>
      </c>
      <c r="E565" s="5" t="str">
        <f>_xlfn.XLOOKUP(role_course_map[[#This Row],[course_id]],course_data[course_id],course_data[topic],"")</f>
        <v>SAS : Clinical Practice</v>
      </c>
      <c r="F565" s="5" t="str">
        <f>_xlfn.XLOOKUP(role_course_map[[#This Row],[course_id]],course_data[course_id],course_data[type],"")</f>
        <v>eLearning</v>
      </c>
      <c r="K565" t="str">
        <f>role_course_map[[#This Row],[role_id]] &amp; "|" &amp; role_course_map[[#This Row],[course_id]]</f>
        <v>R0132|999025</v>
      </c>
      <c r="L565" t="str">
        <f>IF(COUNTIF(role_course_map[mapping_key],role_course_map[[#This Row],[mapping_key]])&gt;1,"DUPLICATE","OK")</f>
        <v>OK</v>
      </c>
      <c r="M565" t="str">
        <f>IF(COUNTIF(role_data[role_id],role_course_map[[#This Row],[role_id]])=0, "INVALID","VALID")</f>
        <v>VALID</v>
      </c>
      <c r="N565" t="str">
        <f>IF(COUNTIF(course_data[course_id],role_course_map[[#This Row],[course_id]])=0, "INVALID","VALID")</f>
        <v>VALID</v>
      </c>
    </row>
    <row r="566" spans="1:14" x14ac:dyDescent="0.35">
      <c r="A566" t="s">
        <v>272</v>
      </c>
      <c r="B566" s="5" t="str">
        <f>_xlfn.XLOOKUP(role_course_map[[#This Row],[role_id]], role_data[role_id], role_data[Role],"")</f>
        <v>Air Ambulance Paramedics</v>
      </c>
      <c r="C566">
        <v>999026</v>
      </c>
      <c r="D566" s="5" t="str">
        <f>_xlfn.XLOOKUP(role_course_map[[#This Row],[course_id]],course_data[course_id],course_data[title],"")</f>
        <v>Communication Standards</v>
      </c>
      <c r="E566" s="5" t="str">
        <f>_xlfn.XLOOKUP(role_course_map[[#This Row],[course_id]],course_data[course_id],course_data[topic],"")</f>
        <v>SAS : Clinical Practice</v>
      </c>
      <c r="F566" s="5" t="str">
        <f>_xlfn.XLOOKUP(role_course_map[[#This Row],[course_id]],course_data[course_id],course_data[type],"")</f>
        <v>eLearning</v>
      </c>
      <c r="K566" t="str">
        <f>role_course_map[[#This Row],[role_id]] &amp; "|" &amp; role_course_map[[#This Row],[course_id]]</f>
        <v>R0130|999026</v>
      </c>
      <c r="L566" t="str">
        <f>IF(COUNTIF(role_course_map[mapping_key],role_course_map[[#This Row],[mapping_key]])&gt;1,"DUPLICATE","OK")</f>
        <v>OK</v>
      </c>
      <c r="M566" t="str">
        <f>IF(COUNTIF(role_data[role_id],role_course_map[[#This Row],[role_id]])=0, "INVALID","VALID")</f>
        <v>VALID</v>
      </c>
      <c r="N566" t="str">
        <f>IF(COUNTIF(course_data[course_id],role_course_map[[#This Row],[course_id]])=0, "INVALID","VALID")</f>
        <v>VALID</v>
      </c>
    </row>
    <row r="567" spans="1:14" x14ac:dyDescent="0.35">
      <c r="A567" t="s">
        <v>276</v>
      </c>
      <c r="B567" s="5" t="str">
        <f>_xlfn.XLOOKUP(role_course_map[[#This Row],[role_id]], role_data[role_id], role_data[Role],"")</f>
        <v>EMRS Advanced Retrieval Practitioner</v>
      </c>
      <c r="C567">
        <v>999058</v>
      </c>
      <c r="D567" s="5" t="str">
        <f>_xlfn.XLOOKUP(role_course_map[[#This Row],[course_id]],course_data[course_id],course_data[title],"")</f>
        <v>Stress Identification &amp; Stress Management</v>
      </c>
      <c r="E567" s="5" t="str">
        <f>_xlfn.XLOOKUP(role_course_map[[#This Row],[course_id]],course_data[course_id],course_data[topic],"")</f>
        <v>SAS : Health and Safety</v>
      </c>
      <c r="F567" s="5" t="str">
        <f>_xlfn.XLOOKUP(role_course_map[[#This Row],[course_id]],course_data[course_id],course_data[type],"")</f>
        <v>eLearning</v>
      </c>
      <c r="K567" t="str">
        <f>role_course_map[[#This Row],[role_id]] &amp; "|" &amp; role_course_map[[#This Row],[course_id]]</f>
        <v>R0132|999058</v>
      </c>
      <c r="L567" t="str">
        <f>IF(COUNTIF(role_course_map[mapping_key],role_course_map[[#This Row],[mapping_key]])&gt;1,"DUPLICATE","OK")</f>
        <v>OK</v>
      </c>
      <c r="M567" t="str">
        <f>IF(COUNTIF(role_data[role_id],role_course_map[[#This Row],[role_id]])=0, "INVALID","VALID")</f>
        <v>VALID</v>
      </c>
      <c r="N567" t="str">
        <f>IF(COUNTIF(course_data[course_id],role_course_map[[#This Row],[course_id]])=0, "INVALID","VALID")</f>
        <v>VALID</v>
      </c>
    </row>
    <row r="568" spans="1:14" x14ac:dyDescent="0.35">
      <c r="A568" t="s">
        <v>274</v>
      </c>
      <c r="B568" s="5" t="str">
        <f>_xlfn.XLOOKUP(role_course_map[[#This Row],[role_id]], role_data[role_id], role_data[Role],"")</f>
        <v>EMRS Administrator</v>
      </c>
      <c r="C568">
        <v>999056</v>
      </c>
      <c r="D568" s="5" t="str">
        <f>_xlfn.XLOOKUP(role_course_map[[#This Row],[course_id]],course_data[course_id],course_data[title],"")</f>
        <v>Driver Assessment &amp; Training</v>
      </c>
      <c r="E568" s="5" t="str">
        <f>_xlfn.XLOOKUP(role_course_map[[#This Row],[course_id]],course_data[course_id],course_data[topic],"")</f>
        <v>SAS : Health and Safety</v>
      </c>
      <c r="F568" s="5" t="str">
        <f>_xlfn.XLOOKUP(role_course_map[[#This Row],[course_id]],course_data[course_id],course_data[type],"")</f>
        <v>eLearning</v>
      </c>
      <c r="K568" t="str">
        <f>role_course_map[[#This Row],[role_id]] &amp; "|" &amp; role_course_map[[#This Row],[course_id]]</f>
        <v>R0131|999056</v>
      </c>
      <c r="L568" t="str">
        <f>IF(COUNTIF(role_course_map[mapping_key],role_course_map[[#This Row],[mapping_key]])&gt;1,"DUPLICATE","OK")</f>
        <v>OK</v>
      </c>
      <c r="M568" t="str">
        <f>IF(COUNTIF(role_data[role_id],role_course_map[[#This Row],[role_id]])=0, "INVALID","VALID")</f>
        <v>VALID</v>
      </c>
      <c r="N568" t="str">
        <f>IF(COUNTIF(course_data[course_id],role_course_map[[#This Row],[course_id]])=0, "INVALID","VALID")</f>
        <v>VALID</v>
      </c>
    </row>
    <row r="569" spans="1:14" x14ac:dyDescent="0.35">
      <c r="A569" t="s">
        <v>276</v>
      </c>
      <c r="B569" s="5" t="str">
        <f>_xlfn.XLOOKUP(role_course_map[[#This Row],[role_id]], role_data[role_id], role_data[Role],"")</f>
        <v>EMRS Advanced Retrieval Practitioner</v>
      </c>
      <c r="C569">
        <v>999061</v>
      </c>
      <c r="D569" s="5" t="str">
        <f>_xlfn.XLOOKUP(role_course_map[[#This Row],[course_id]],course_data[course_id],course_data[title],"")</f>
        <v>Skin Awareness</v>
      </c>
      <c r="E569" s="5" t="str">
        <f>_xlfn.XLOOKUP(role_course_map[[#This Row],[course_id]],course_data[course_id],course_data[topic],"")</f>
        <v>SAS : Health and Safety</v>
      </c>
      <c r="F569" s="5" t="str">
        <f>_xlfn.XLOOKUP(role_course_map[[#This Row],[course_id]],course_data[course_id],course_data[type],"")</f>
        <v>eLearning</v>
      </c>
      <c r="K569" t="str">
        <f>role_course_map[[#This Row],[role_id]] &amp; "|" &amp; role_course_map[[#This Row],[course_id]]</f>
        <v>R0132|999061</v>
      </c>
      <c r="L569" t="str">
        <f>IF(COUNTIF(role_course_map[mapping_key],role_course_map[[#This Row],[mapping_key]])&gt;1,"DUPLICATE","OK")</f>
        <v>OK</v>
      </c>
      <c r="M569" t="str">
        <f>IF(COUNTIF(role_data[role_id],role_course_map[[#This Row],[role_id]])=0, "INVALID","VALID")</f>
        <v>VALID</v>
      </c>
      <c r="N569" t="str">
        <f>IF(COUNTIF(course_data[course_id],role_course_map[[#This Row],[course_id]])=0, "INVALID","VALID")</f>
        <v>VALID</v>
      </c>
    </row>
    <row r="570" spans="1:14" x14ac:dyDescent="0.35">
      <c r="A570" t="s">
        <v>274</v>
      </c>
      <c r="B570" s="5" t="str">
        <f>_xlfn.XLOOKUP(role_course_map[[#This Row],[role_id]], role_data[role_id], role_data[Role],"")</f>
        <v>EMRS Administrator</v>
      </c>
      <c r="C570">
        <v>999057</v>
      </c>
      <c r="D570" s="5" t="str">
        <f>_xlfn.XLOOKUP(role_course_map[[#This Row],[course_id]],course_data[course_id],course_data[title],"")</f>
        <v>Fatigue Awareness</v>
      </c>
      <c r="E570" s="5" t="str">
        <f>_xlfn.XLOOKUP(role_course_map[[#This Row],[course_id]],course_data[course_id],course_data[topic],"")</f>
        <v>SAS : Health and Safety</v>
      </c>
      <c r="F570" s="5" t="str">
        <f>_xlfn.XLOOKUP(role_course_map[[#This Row],[course_id]],course_data[course_id],course_data[type],"")</f>
        <v>eLearning</v>
      </c>
      <c r="K570" t="str">
        <f>role_course_map[[#This Row],[role_id]] &amp; "|" &amp; role_course_map[[#This Row],[course_id]]</f>
        <v>R0131|999057</v>
      </c>
      <c r="L570" t="str">
        <f>IF(COUNTIF(role_course_map[mapping_key],role_course_map[[#This Row],[mapping_key]])&gt;1,"DUPLICATE","OK")</f>
        <v>OK</v>
      </c>
      <c r="M570" t="str">
        <f>IF(COUNTIF(role_data[role_id],role_course_map[[#This Row],[role_id]])=0, "INVALID","VALID")</f>
        <v>VALID</v>
      </c>
      <c r="N570" t="str">
        <f>IF(COUNTIF(course_data[course_id],role_course_map[[#This Row],[course_id]])=0, "INVALID","VALID")</f>
        <v>VALID</v>
      </c>
    </row>
    <row r="571" spans="1:14" x14ac:dyDescent="0.35">
      <c r="A571" t="s">
        <v>276</v>
      </c>
      <c r="B571" s="5" t="str">
        <f>_xlfn.XLOOKUP(role_course_map[[#This Row],[role_id]], role_data[role_id], role_data[Role],"")</f>
        <v>EMRS Advanced Retrieval Practitioner</v>
      </c>
      <c r="C571">
        <v>999027</v>
      </c>
      <c r="D571" s="5" t="str">
        <f>_xlfn.XLOOKUP(role_course_map[[#This Row],[course_id]],course_data[course_id],course_data[title],"")</f>
        <v>Manual and Patient Handling Foundation Training - Level 2</v>
      </c>
      <c r="E571" s="5" t="str">
        <f>_xlfn.XLOOKUP(role_course_map[[#This Row],[course_id]],course_data[course_id],course_data[topic],"")</f>
        <v>SAS : Clinical Practice</v>
      </c>
      <c r="F571" s="5" t="str">
        <f>_xlfn.XLOOKUP(role_course_map[[#This Row],[course_id]],course_data[course_id],course_data[type],"")</f>
        <v>Course</v>
      </c>
      <c r="K571" t="str">
        <f>role_course_map[[#This Row],[role_id]] &amp; "|" &amp; role_course_map[[#This Row],[course_id]]</f>
        <v>R0132|999027</v>
      </c>
      <c r="L571" t="str">
        <f>IF(COUNTIF(role_course_map[mapping_key],role_course_map[[#This Row],[mapping_key]])&gt;1,"DUPLICATE","OK")</f>
        <v>OK</v>
      </c>
      <c r="M571" t="str">
        <f>IF(COUNTIF(role_data[role_id],role_course_map[[#This Row],[role_id]])=0, "INVALID","VALID")</f>
        <v>VALID</v>
      </c>
      <c r="N571" t="str">
        <f>IF(COUNTIF(course_data[course_id],role_course_map[[#This Row],[course_id]])=0, "INVALID","VALID")</f>
        <v>VALID</v>
      </c>
    </row>
    <row r="572" spans="1:14" x14ac:dyDescent="0.35">
      <c r="A572" t="s">
        <v>276</v>
      </c>
      <c r="B572" s="5" t="str">
        <f>_xlfn.XLOOKUP(role_course_map[[#This Row],[role_id]], role_data[role_id], role_data[Role],"")</f>
        <v>EMRS Advanced Retrieval Practitioner</v>
      </c>
      <c r="C572">
        <v>999028</v>
      </c>
      <c r="D572" s="5" t="str">
        <f>_xlfn.XLOOKUP(role_course_map[[#This Row],[course_id]],course_data[course_id],course_data[title],"")</f>
        <v>Manual and Patient Handling Competency Assessment - Level 3</v>
      </c>
      <c r="E572" s="5" t="str">
        <f>_xlfn.XLOOKUP(role_course_map[[#This Row],[course_id]],course_data[course_id],course_data[topic],"")</f>
        <v>SAS : Clinical Practice</v>
      </c>
      <c r="F572" s="5" t="str">
        <f>_xlfn.XLOOKUP(role_course_map[[#This Row],[course_id]],course_data[course_id],course_data[type],"")</f>
        <v>Course</v>
      </c>
      <c r="K572" t="str">
        <f>role_course_map[[#This Row],[role_id]] &amp; "|" &amp; role_course_map[[#This Row],[course_id]]</f>
        <v>R0132|999028</v>
      </c>
      <c r="L572" t="str">
        <f>IF(COUNTIF(role_course_map[mapping_key],role_course_map[[#This Row],[mapping_key]])&gt;1,"DUPLICATE","OK")</f>
        <v>OK</v>
      </c>
      <c r="M572" t="str">
        <f>IF(COUNTIF(role_data[role_id],role_course_map[[#This Row],[role_id]])=0, "INVALID","VALID")</f>
        <v>VALID</v>
      </c>
      <c r="N572" t="str">
        <f>IF(COUNTIF(course_data[course_id],role_course_map[[#This Row],[course_id]])=0, "INVALID","VALID")</f>
        <v>VALID</v>
      </c>
    </row>
    <row r="573" spans="1:14" x14ac:dyDescent="0.35">
      <c r="A573" t="s">
        <v>276</v>
      </c>
      <c r="B573" s="5" t="str">
        <f>_xlfn.XLOOKUP(role_course_map[[#This Row],[role_id]], role_data[role_id], role_data[Role],"")</f>
        <v>EMRS Advanced Retrieval Practitioner</v>
      </c>
      <c r="C573">
        <v>999029</v>
      </c>
      <c r="D573" s="5" t="str">
        <f>_xlfn.XLOOKUP(role_course_map[[#This Row],[course_id]],course_data[course_id],course_data[title],"")</f>
        <v>Manual and Patient Handling Competency Assessment Theory - Level 3</v>
      </c>
      <c r="E573" s="5" t="str">
        <f>_xlfn.XLOOKUP(role_course_map[[#This Row],[course_id]],course_data[course_id],course_data[topic],"")</f>
        <v>SAS : Clinical Practice</v>
      </c>
      <c r="F573" s="5" t="str">
        <f>_xlfn.XLOOKUP(role_course_map[[#This Row],[course_id]],course_data[course_id],course_data[type],"")</f>
        <v>Course</v>
      </c>
      <c r="K573" t="str">
        <f>role_course_map[[#This Row],[role_id]] &amp; "|" &amp; role_course_map[[#This Row],[course_id]]</f>
        <v>R0132|999029</v>
      </c>
      <c r="L573" t="str">
        <f>IF(COUNTIF(role_course_map[mapping_key],role_course_map[[#This Row],[mapping_key]])&gt;1,"DUPLICATE","OK")</f>
        <v>OK</v>
      </c>
      <c r="M573" t="str">
        <f>IF(COUNTIF(role_data[role_id],role_course_map[[#This Row],[role_id]])=0, "INVALID","VALID")</f>
        <v>VALID</v>
      </c>
      <c r="N573" t="str">
        <f>IF(COUNTIF(course_data[course_id],role_course_map[[#This Row],[course_id]])=0, "INVALID","VALID")</f>
        <v>VALID</v>
      </c>
    </row>
    <row r="574" spans="1:14" x14ac:dyDescent="0.35">
      <c r="A574" t="s">
        <v>276</v>
      </c>
      <c r="B574" s="5" t="str">
        <f>_xlfn.XLOOKUP(role_course_map[[#This Row],[role_id]], role_data[role_id], role_data[Role],"")</f>
        <v>EMRS Advanced Retrieval Practitioner</v>
      </c>
      <c r="C574" t="s">
        <v>659</v>
      </c>
      <c r="D574" s="5" t="str">
        <f>_xlfn.XLOOKUP(role_course_map[[#This Row],[course_id]],course_data[course_id],course_data[title],"")</f>
        <v>Prevention and Management of Violence and Aggression - Breakaway training Level 2 /Restrictive movement Level 3</v>
      </c>
      <c r="E574" s="5" t="str">
        <f>_xlfn.XLOOKUP(role_course_map[[#This Row],[course_id]],course_data[course_id],course_data[topic],"")</f>
        <v>SAS : Health and Safety</v>
      </c>
      <c r="F574" s="5" t="str">
        <f>_xlfn.XLOOKUP(role_course_map[[#This Row],[course_id]],course_data[course_id],course_data[type],"")</f>
        <v>Course</v>
      </c>
      <c r="K574" t="str">
        <f>role_course_map[[#This Row],[role_id]] &amp; "|" &amp; role_course_map[[#This Row],[course_id]]</f>
        <v>R0132|2025-6 edition</v>
      </c>
      <c r="L574" t="str">
        <f>IF(COUNTIF(role_course_map[mapping_key],role_course_map[[#This Row],[mapping_key]])&gt;1,"DUPLICATE","OK")</f>
        <v>OK</v>
      </c>
      <c r="M574" t="str">
        <f>IF(COUNTIF(role_data[role_id],role_course_map[[#This Row],[role_id]])=0, "INVALID","VALID")</f>
        <v>VALID</v>
      </c>
      <c r="N574" t="str">
        <f>IF(COUNTIF(course_data[course_id],role_course_map[[#This Row],[course_id]])=0, "INVALID","VALID")</f>
        <v>VALID</v>
      </c>
    </row>
    <row r="575" spans="1:14" x14ac:dyDescent="0.35">
      <c r="A575" t="s">
        <v>276</v>
      </c>
      <c r="B575" s="5" t="str">
        <f>_xlfn.XLOOKUP(role_course_map[[#This Row],[role_id]], role_data[role_id], role_data[Role],"")</f>
        <v>EMRS Advanced Retrieval Practitioner</v>
      </c>
      <c r="C575">
        <v>999055</v>
      </c>
      <c r="D575" s="5" t="str">
        <f>_xlfn.XLOOKUP(role_course_map[[#This Row],[course_id]],course_data[course_id],course_data[title],"")</f>
        <v>Prevention and Management of Violence and Aggression - Refresher</v>
      </c>
      <c r="E575" s="5" t="str">
        <f>_xlfn.XLOOKUP(role_course_map[[#This Row],[course_id]],course_data[course_id],course_data[topic],"")</f>
        <v>SAS : Health and Safety</v>
      </c>
      <c r="F575" s="5" t="str">
        <f>_xlfn.XLOOKUP(role_course_map[[#This Row],[course_id]],course_data[course_id],course_data[type],"")</f>
        <v>Course</v>
      </c>
      <c r="K575" t="str">
        <f>role_course_map[[#This Row],[role_id]] &amp; "|" &amp; role_course_map[[#This Row],[course_id]]</f>
        <v>R0132|999055</v>
      </c>
      <c r="L575" t="str">
        <f>IF(COUNTIF(role_course_map[mapping_key],role_course_map[[#This Row],[mapping_key]])&gt;1,"DUPLICATE","OK")</f>
        <v>OK</v>
      </c>
      <c r="M575" t="str">
        <f>IF(COUNTIF(role_data[role_id],role_course_map[[#This Row],[role_id]])=0, "INVALID","VALID")</f>
        <v>VALID</v>
      </c>
      <c r="N575" t="str">
        <f>IF(COUNTIF(course_data[course_id],role_course_map[[#This Row],[course_id]])=0, "INVALID","VALID")</f>
        <v>VALID</v>
      </c>
    </row>
    <row r="576" spans="1:14" x14ac:dyDescent="0.35">
      <c r="A576" t="s">
        <v>276</v>
      </c>
      <c r="B576" s="5" t="str">
        <f>_xlfn.XLOOKUP(role_course_map[[#This Row],[role_id]], role_data[role_id], role_data[Role],"")</f>
        <v>EMRS Advanced Retrieval Practitioner</v>
      </c>
      <c r="C576">
        <v>64322</v>
      </c>
      <c r="D576" s="5" t="str">
        <f>_xlfn.XLOOKUP(role_course_map[[#This Row],[course_id]],course_data[course_id],course_data[title],"")</f>
        <v>Adult support and protection: practice level 2 [skilled]</v>
      </c>
      <c r="E576" s="5" t="str">
        <f>_xlfn.XLOOKUP(role_course_map[[#This Row],[course_id]],course_data[course_id],course_data[topic],"")</f>
        <v>SAS : Public Protection</v>
      </c>
      <c r="F576" s="5" t="str">
        <f>_xlfn.XLOOKUP(role_course_map[[#This Row],[course_id]],course_data[course_id],course_data[type],"")</f>
        <v>eLearning</v>
      </c>
      <c r="K576" t="str">
        <f>role_course_map[[#This Row],[role_id]] &amp; "|" &amp; role_course_map[[#This Row],[course_id]]</f>
        <v>R0132|64322</v>
      </c>
      <c r="L576" t="str">
        <f>IF(COUNTIF(role_course_map[mapping_key],role_course_map[[#This Row],[mapping_key]])&gt;1,"DUPLICATE","OK")</f>
        <v>OK</v>
      </c>
      <c r="M576" t="str">
        <f>IF(COUNTIF(role_data[role_id],role_course_map[[#This Row],[role_id]])=0, "INVALID","VALID")</f>
        <v>VALID</v>
      </c>
      <c r="N576" t="str">
        <f>IF(COUNTIF(course_data[course_id],role_course_map[[#This Row],[course_id]])=0, "INVALID","VALID")</f>
        <v>VALID</v>
      </c>
    </row>
    <row r="577" spans="1:14" x14ac:dyDescent="0.35">
      <c r="A577" t="s">
        <v>276</v>
      </c>
      <c r="B577" s="5" t="str">
        <f>_xlfn.XLOOKUP(role_course_map[[#This Row],[role_id]], role_data[role_id], role_data[Role],"")</f>
        <v>EMRS Advanced Retrieval Practitioner</v>
      </c>
      <c r="C577">
        <v>64324</v>
      </c>
      <c r="D577" s="5" t="str">
        <f>_xlfn.XLOOKUP(role_course_map[[#This Row],[course_id]],course_data[course_id],course_data[title],"")</f>
        <v>Child protection: practice level 2 [skilled]</v>
      </c>
      <c r="E577" s="5" t="str">
        <f>_xlfn.XLOOKUP(role_course_map[[#This Row],[course_id]],course_data[course_id],course_data[topic],"")</f>
        <v>SAS : Public Protection</v>
      </c>
      <c r="F577" s="5" t="str">
        <f>_xlfn.XLOOKUP(role_course_map[[#This Row],[course_id]],course_data[course_id],course_data[type],"")</f>
        <v>eLearning</v>
      </c>
      <c r="K577" t="str">
        <f>role_course_map[[#This Row],[role_id]] &amp; "|" &amp; role_course_map[[#This Row],[course_id]]</f>
        <v>R0132|64324</v>
      </c>
      <c r="L577" t="str">
        <f>IF(COUNTIF(role_course_map[mapping_key],role_course_map[[#This Row],[mapping_key]])&gt;1,"DUPLICATE","OK")</f>
        <v>OK</v>
      </c>
      <c r="M577" t="str">
        <f>IF(COUNTIF(role_data[role_id],role_course_map[[#This Row],[role_id]])=0, "INVALID","VALID")</f>
        <v>VALID</v>
      </c>
      <c r="N577" t="str">
        <f>IF(COUNTIF(course_data[course_id],role_course_map[[#This Row],[course_id]])=0, "INVALID","VALID")</f>
        <v>VALID</v>
      </c>
    </row>
    <row r="578" spans="1:14" x14ac:dyDescent="0.35">
      <c r="A578" t="s">
        <v>272</v>
      </c>
      <c r="B578" s="5" t="str">
        <f>_xlfn.XLOOKUP(role_course_map[[#This Row],[role_id]], role_data[role_id], role_data[Role],"")</f>
        <v>Air Ambulance Paramedics</v>
      </c>
      <c r="C578">
        <v>76716</v>
      </c>
      <c r="D578" s="5" t="str">
        <f>_xlfn.XLOOKUP(role_course_map[[#This Row],[course_id]],course_data[course_id],course_data[title],"")</f>
        <v>Domestic abuse awareness training tool (DAART)</v>
      </c>
      <c r="E578" s="5" t="str">
        <f>_xlfn.XLOOKUP(role_course_map[[#This Row],[course_id]],course_data[course_id],course_data[topic],"")</f>
        <v>SAS : Public Protection</v>
      </c>
      <c r="F578" s="5" t="str">
        <f>_xlfn.XLOOKUP(role_course_map[[#This Row],[course_id]],course_data[course_id],course_data[type],"")</f>
        <v>eLearning</v>
      </c>
      <c r="K578" t="str">
        <f>role_course_map[[#This Row],[role_id]] &amp; "|" &amp; role_course_map[[#This Row],[course_id]]</f>
        <v>R0130|76716</v>
      </c>
      <c r="L578" t="str">
        <f>IF(COUNTIF(role_course_map[mapping_key],role_course_map[[#This Row],[mapping_key]])&gt;1,"DUPLICATE","OK")</f>
        <v>OK</v>
      </c>
      <c r="M578" t="str">
        <f>IF(COUNTIF(role_data[role_id],role_course_map[[#This Row],[role_id]])=0, "INVALID","VALID")</f>
        <v>VALID</v>
      </c>
      <c r="N578" t="str">
        <f>IF(COUNTIF(course_data[course_id],role_course_map[[#This Row],[course_id]])=0, "INVALID","VALID")</f>
        <v>VALID</v>
      </c>
    </row>
    <row r="579" spans="1:14" x14ac:dyDescent="0.35">
      <c r="A579" t="s">
        <v>276</v>
      </c>
      <c r="B579" s="5" t="str">
        <f>_xlfn.XLOOKUP(role_course_map[[#This Row],[role_id]], role_data[role_id], role_data[Role],"")</f>
        <v>EMRS Advanced Retrieval Practitioner</v>
      </c>
      <c r="C579">
        <v>79666</v>
      </c>
      <c r="D579" s="5" t="str">
        <f>_xlfn.XLOOKUP(role_course_map[[#This Row],[course_id]],course_data[course_id],course_data[title],"")</f>
        <v>Getting it right for every child (GIRFEC): informed level</v>
      </c>
      <c r="E579" s="5" t="str">
        <f>_xlfn.XLOOKUP(role_course_map[[#This Row],[course_id]],course_data[course_id],course_data[topic],"")</f>
        <v>SAS : Public Protection</v>
      </c>
      <c r="F579" s="5" t="str">
        <f>_xlfn.XLOOKUP(role_course_map[[#This Row],[course_id]],course_data[course_id],course_data[type],"")</f>
        <v>eLearning</v>
      </c>
      <c r="K579" t="str">
        <f>role_course_map[[#This Row],[role_id]] &amp; "|" &amp; role_course_map[[#This Row],[course_id]]</f>
        <v>R0132|79666</v>
      </c>
      <c r="L579" t="str">
        <f>IF(COUNTIF(role_course_map[mapping_key],role_course_map[[#This Row],[mapping_key]])&gt;1,"DUPLICATE","OK")</f>
        <v>OK</v>
      </c>
      <c r="M579" t="str">
        <f>IF(COUNTIF(role_data[role_id],role_course_map[[#This Row],[role_id]])=0, "INVALID","VALID")</f>
        <v>VALID</v>
      </c>
      <c r="N579" t="str">
        <f>IF(COUNTIF(course_data[course_id],role_course_map[[#This Row],[course_id]])=0, "INVALID","VALID")</f>
        <v>VALID</v>
      </c>
    </row>
    <row r="580" spans="1:14" x14ac:dyDescent="0.35">
      <c r="A580" t="s">
        <v>276</v>
      </c>
      <c r="B580" s="5" t="str">
        <f>_xlfn.XLOOKUP(role_course_map[[#This Row],[role_id]], role_data[role_id], role_data[Role],"")</f>
        <v>EMRS Advanced Retrieval Practitioner</v>
      </c>
      <c r="C580">
        <v>999074</v>
      </c>
      <c r="D580" s="5" t="str">
        <f>_xlfn.XLOOKUP(role_course_map[[#This Row],[course_id]],course_data[course_id],course_data[title],"")</f>
        <v>SAS-specific Children’s rights</v>
      </c>
      <c r="E580" s="5" t="str">
        <f>_xlfn.XLOOKUP(role_course_map[[#This Row],[course_id]],course_data[course_id],course_data[topic],"")</f>
        <v>SAS : Public Protection</v>
      </c>
      <c r="F580" s="5" t="str">
        <f>_xlfn.XLOOKUP(role_course_map[[#This Row],[course_id]],course_data[course_id],course_data[type],"")</f>
        <v>eLearning</v>
      </c>
      <c r="K580" t="str">
        <f>role_course_map[[#This Row],[role_id]] &amp; "|" &amp; role_course_map[[#This Row],[course_id]]</f>
        <v>R0132|999074</v>
      </c>
      <c r="L580" t="str">
        <f>IF(COUNTIF(role_course_map[mapping_key],role_course_map[[#This Row],[mapping_key]])&gt;1,"DUPLICATE","OK")</f>
        <v>OK</v>
      </c>
      <c r="M580" t="str">
        <f>IF(COUNTIF(role_data[role_id],role_course_map[[#This Row],[role_id]])=0, "INVALID","VALID")</f>
        <v>VALID</v>
      </c>
      <c r="N580" t="str">
        <f>IF(COUNTIF(course_data[course_id],role_course_map[[#This Row],[course_id]])=0, "INVALID","VALID")</f>
        <v>VALID</v>
      </c>
    </row>
    <row r="581" spans="1:14" x14ac:dyDescent="0.35">
      <c r="A581" t="s">
        <v>276</v>
      </c>
      <c r="B581" s="5" t="str">
        <f>_xlfn.XLOOKUP(role_course_map[[#This Row],[role_id]], role_data[role_id], role_data[Role],"")</f>
        <v>EMRS Advanced Retrieval Practitioner</v>
      </c>
      <c r="C581">
        <v>999075</v>
      </c>
      <c r="D581" s="5" t="str">
        <f>_xlfn.XLOOKUP(role_course_map[[#This Row],[course_id]],course_data[course_id],course_data[title],"")</f>
        <v>Multiagency local or bespoke Level 3 delivery training</v>
      </c>
      <c r="E581" s="5" t="str">
        <f>_xlfn.XLOOKUP(role_course_map[[#This Row],[course_id]],course_data[course_id],course_data[topic],"")</f>
        <v>SAS : Public Protection</v>
      </c>
      <c r="F581" s="5" t="str">
        <f>_xlfn.XLOOKUP(role_course_map[[#This Row],[course_id]],course_data[course_id],course_data[type],"")</f>
        <v>eLearning</v>
      </c>
      <c r="K581" t="str">
        <f>role_course_map[[#This Row],[role_id]] &amp; "|" &amp; role_course_map[[#This Row],[course_id]]</f>
        <v>R0132|999075</v>
      </c>
      <c r="L581" t="str">
        <f>IF(COUNTIF(role_course_map[mapping_key],role_course_map[[#This Row],[mapping_key]])&gt;1,"DUPLICATE","OK")</f>
        <v>OK</v>
      </c>
      <c r="M581" t="str">
        <f>IF(COUNTIF(role_data[role_id],role_course_map[[#This Row],[role_id]])=0, "INVALID","VALID")</f>
        <v>VALID</v>
      </c>
      <c r="N581" t="str">
        <f>IF(COUNTIF(course_data[course_id],role_course_map[[#This Row],[course_id]])=0, "INVALID","VALID")</f>
        <v>VALID</v>
      </c>
    </row>
    <row r="582" spans="1:14" x14ac:dyDescent="0.35">
      <c r="A582" t="s">
        <v>276</v>
      </c>
      <c r="B582" s="5" t="str">
        <f>_xlfn.XLOOKUP(role_course_map[[#This Row],[role_id]], role_data[role_id], role_data[Role],"")</f>
        <v>EMRS Advanced Retrieval Practitioner</v>
      </c>
      <c r="C582">
        <v>15249</v>
      </c>
      <c r="D582" s="5" t="str">
        <f>_xlfn.XLOOKUP(role_course_map[[#This Row],[course_id]],course_data[course_id],course_data[title],"")</f>
        <v>Human trafficking</v>
      </c>
      <c r="E582" s="5" t="str">
        <f>_xlfn.XLOOKUP(role_course_map[[#This Row],[course_id]],course_data[course_id],course_data[topic],"")</f>
        <v>SAS : Public Protection</v>
      </c>
      <c r="F582" s="5" t="str">
        <f>_xlfn.XLOOKUP(role_course_map[[#This Row],[course_id]],course_data[course_id],course_data[type],"")</f>
        <v>eLearning</v>
      </c>
      <c r="K582" t="str">
        <f>role_course_map[[#This Row],[role_id]] &amp; "|" &amp; role_course_map[[#This Row],[course_id]]</f>
        <v>R0132|15249</v>
      </c>
      <c r="L582" t="str">
        <f>IF(COUNTIF(role_course_map[mapping_key],role_course_map[[#This Row],[mapping_key]])&gt;1,"DUPLICATE","OK")</f>
        <v>OK</v>
      </c>
      <c r="M582" t="str">
        <f>IF(COUNTIF(role_data[role_id],role_course_map[[#This Row],[role_id]])=0, "INVALID","VALID")</f>
        <v>VALID</v>
      </c>
      <c r="N582" t="str">
        <f>IF(COUNTIF(course_data[course_id],role_course_map[[#This Row],[course_id]])=0, "INVALID","VALID")</f>
        <v>VALID</v>
      </c>
    </row>
    <row r="583" spans="1:14" x14ac:dyDescent="0.35">
      <c r="A583" t="s">
        <v>276</v>
      </c>
      <c r="B583" s="5" t="str">
        <f>_xlfn.XLOOKUP(role_course_map[[#This Row],[role_id]], role_data[role_id], role_data[Role],"")</f>
        <v>EMRS Advanced Retrieval Practitioner</v>
      </c>
      <c r="C583">
        <v>89161</v>
      </c>
      <c r="D583" s="5" t="str">
        <f>_xlfn.XLOOKUP(role_course_map[[#This Row],[course_id]],course_data[course_id],course_data[title],"")</f>
        <v>Personal Protective Equipment</v>
      </c>
      <c r="E583" s="5" t="str">
        <f>_xlfn.XLOOKUP(role_course_map[[#This Row],[course_id]],course_data[course_id],course_data[topic],"")</f>
        <v>SAS : Infection Prevention and Control (IPC)</v>
      </c>
      <c r="F583" s="5" t="str">
        <f>_xlfn.XLOOKUP(role_course_map[[#This Row],[course_id]],course_data[course_id],course_data[type],"")</f>
        <v>eLearning</v>
      </c>
      <c r="K583" t="str">
        <f>role_course_map[[#This Row],[role_id]] &amp; "|" &amp; role_course_map[[#This Row],[course_id]]</f>
        <v>R0132|89161</v>
      </c>
      <c r="L583" t="str">
        <f>IF(COUNTIF(role_course_map[mapping_key],role_course_map[[#This Row],[mapping_key]])&gt;1,"DUPLICATE","OK")</f>
        <v>OK</v>
      </c>
      <c r="M583" t="str">
        <f>IF(COUNTIF(role_data[role_id],role_course_map[[#This Row],[role_id]])=0, "INVALID","VALID")</f>
        <v>VALID</v>
      </c>
      <c r="N583" t="str">
        <f>IF(COUNTIF(course_data[course_id],role_course_map[[#This Row],[course_id]])=0, "INVALID","VALID")</f>
        <v>VALID</v>
      </c>
    </row>
    <row r="584" spans="1:14" x14ac:dyDescent="0.35">
      <c r="A584" t="s">
        <v>276</v>
      </c>
      <c r="B584" s="5" t="str">
        <f>_xlfn.XLOOKUP(role_course_map[[#This Row],[role_id]], role_data[role_id], role_data[Role],"")</f>
        <v>EMRS Advanced Retrieval Practitioner</v>
      </c>
      <c r="C584">
        <v>89157</v>
      </c>
      <c r="D584" s="5" t="str">
        <f>_xlfn.XLOOKUP(role_course_map[[#This Row],[course_id]],course_data[course_id],course_data[title],"")</f>
        <v>Safe Management of Care Equipment</v>
      </c>
      <c r="E584" s="5" t="str">
        <f>_xlfn.XLOOKUP(role_course_map[[#This Row],[course_id]],course_data[course_id],course_data[topic],"")</f>
        <v>SAS : Infection Prevention and Control (IPC)</v>
      </c>
      <c r="F584" s="5" t="str">
        <f>_xlfn.XLOOKUP(role_course_map[[#This Row],[course_id]],course_data[course_id],course_data[type],"")</f>
        <v>eLearning</v>
      </c>
      <c r="K584" t="str">
        <f>role_course_map[[#This Row],[role_id]] &amp; "|" &amp; role_course_map[[#This Row],[course_id]]</f>
        <v>R0132|89157</v>
      </c>
      <c r="L584" t="str">
        <f>IF(COUNTIF(role_course_map[mapping_key],role_course_map[[#This Row],[mapping_key]])&gt;1,"DUPLICATE","OK")</f>
        <v>OK</v>
      </c>
      <c r="M584" t="str">
        <f>IF(COUNTIF(role_data[role_id],role_course_map[[#This Row],[role_id]])=0, "INVALID","VALID")</f>
        <v>VALID</v>
      </c>
      <c r="N584" t="str">
        <f>IF(COUNTIF(course_data[course_id],role_course_map[[#This Row],[course_id]])=0, "INVALID","VALID")</f>
        <v>VALID</v>
      </c>
    </row>
    <row r="585" spans="1:14" x14ac:dyDescent="0.35">
      <c r="A585" t="s">
        <v>276</v>
      </c>
      <c r="B585" s="5" t="str">
        <f>_xlfn.XLOOKUP(role_course_map[[#This Row],[role_id]], role_data[role_id], role_data[Role],"")</f>
        <v>EMRS Advanced Retrieval Practitioner</v>
      </c>
      <c r="C585">
        <v>89158</v>
      </c>
      <c r="D585" s="5" t="str">
        <f>_xlfn.XLOOKUP(role_course_map[[#This Row],[course_id]],course_data[course_id],course_data[title],"")</f>
        <v>Safe Management of Care Environment</v>
      </c>
      <c r="E585" s="5" t="str">
        <f>_xlfn.XLOOKUP(role_course_map[[#This Row],[course_id]],course_data[course_id],course_data[topic],"")</f>
        <v>SAS : Infection Prevention and Control (IPC)</v>
      </c>
      <c r="F585" s="5" t="str">
        <f>_xlfn.XLOOKUP(role_course_map[[#This Row],[course_id]],course_data[course_id],course_data[type],"")</f>
        <v>eLearning</v>
      </c>
      <c r="K585" t="str">
        <f>role_course_map[[#This Row],[role_id]] &amp; "|" &amp; role_course_map[[#This Row],[course_id]]</f>
        <v>R0132|89158</v>
      </c>
      <c r="L585" t="str">
        <f>IF(COUNTIF(role_course_map[mapping_key],role_course_map[[#This Row],[mapping_key]])&gt;1,"DUPLICATE","OK")</f>
        <v>OK</v>
      </c>
      <c r="M585" t="str">
        <f>IF(COUNTIF(role_data[role_id],role_course_map[[#This Row],[role_id]])=0, "INVALID","VALID")</f>
        <v>VALID</v>
      </c>
      <c r="N585" t="str">
        <f>IF(COUNTIF(course_data[course_id],role_course_map[[#This Row],[course_id]])=0, "INVALID","VALID")</f>
        <v>VALID</v>
      </c>
    </row>
    <row r="586" spans="1:14" x14ac:dyDescent="0.35">
      <c r="A586" t="s">
        <v>276</v>
      </c>
      <c r="B586" s="5" t="str">
        <f>_xlfn.XLOOKUP(role_course_map[[#This Row],[role_id]], role_data[role_id], role_data[Role],"")</f>
        <v>EMRS Advanced Retrieval Practitioner</v>
      </c>
      <c r="C586">
        <v>89159</v>
      </c>
      <c r="D586" s="5" t="str">
        <f>_xlfn.XLOOKUP(role_course_map[[#This Row],[course_id]],course_data[course_id],course_data[title],"")</f>
        <v>Safe Management of Linen</v>
      </c>
      <c r="E586" s="5" t="str">
        <f>_xlfn.XLOOKUP(role_course_map[[#This Row],[course_id]],course_data[course_id],course_data[topic],"")</f>
        <v>SAS : Infection Prevention and Control (IPC)</v>
      </c>
      <c r="F586" s="5" t="str">
        <f>_xlfn.XLOOKUP(role_course_map[[#This Row],[course_id]],course_data[course_id],course_data[type],"")</f>
        <v>eLearning</v>
      </c>
      <c r="K586" t="str">
        <f>role_course_map[[#This Row],[role_id]] &amp; "|" &amp; role_course_map[[#This Row],[course_id]]</f>
        <v>R0132|89159</v>
      </c>
      <c r="L586" t="str">
        <f>IF(COUNTIF(role_course_map[mapping_key],role_course_map[[#This Row],[mapping_key]])&gt;1,"DUPLICATE","OK")</f>
        <v>OK</v>
      </c>
      <c r="M586" t="str">
        <f>IF(COUNTIF(role_data[role_id],role_course_map[[#This Row],[role_id]])=0, "INVALID","VALID")</f>
        <v>VALID</v>
      </c>
      <c r="N586" t="str">
        <f>IF(COUNTIF(course_data[course_id],role_course_map[[#This Row],[course_id]])=0, "INVALID","VALID")</f>
        <v>VALID</v>
      </c>
    </row>
    <row r="587" spans="1:14" x14ac:dyDescent="0.35">
      <c r="A587" t="s">
        <v>276</v>
      </c>
      <c r="B587" s="5" t="str">
        <f>_xlfn.XLOOKUP(role_course_map[[#This Row],[role_id]], role_data[role_id], role_data[Role],"")</f>
        <v>EMRS Advanced Retrieval Practitioner</v>
      </c>
      <c r="C587">
        <v>89160</v>
      </c>
      <c r="D587" s="5" t="str">
        <f>_xlfn.XLOOKUP(role_course_map[[#This Row],[course_id]],course_data[course_id],course_data[title],"")</f>
        <v>Safe Management of blood and body fluids</v>
      </c>
      <c r="E587" s="5" t="str">
        <f>_xlfn.XLOOKUP(role_course_map[[#This Row],[course_id]],course_data[course_id],course_data[topic],"")</f>
        <v>SAS : Infection Prevention and Control (IPC)</v>
      </c>
      <c r="F587" s="5" t="str">
        <f>_xlfn.XLOOKUP(role_course_map[[#This Row],[course_id]],course_data[course_id],course_data[type],"")</f>
        <v>eLearning</v>
      </c>
      <c r="K587" t="str">
        <f>role_course_map[[#This Row],[role_id]] &amp; "|" &amp; role_course_map[[#This Row],[course_id]]</f>
        <v>R0132|89160</v>
      </c>
      <c r="L587" t="str">
        <f>IF(COUNTIF(role_course_map[mapping_key],role_course_map[[#This Row],[mapping_key]])&gt;1,"DUPLICATE","OK")</f>
        <v>OK</v>
      </c>
      <c r="M587" t="str">
        <f>IF(COUNTIF(role_data[role_id],role_course_map[[#This Row],[role_id]])=0, "INVALID","VALID")</f>
        <v>VALID</v>
      </c>
      <c r="N587" t="str">
        <f>IF(COUNTIF(course_data[course_id],role_course_map[[#This Row],[course_id]])=0, "INVALID","VALID")</f>
        <v>VALID</v>
      </c>
    </row>
    <row r="588" spans="1:14" x14ac:dyDescent="0.35">
      <c r="A588" t="s">
        <v>276</v>
      </c>
      <c r="B588" s="5" t="str">
        <f>_xlfn.XLOOKUP(role_course_map[[#This Row],[role_id]], role_data[role_id], role_data[Role],"")</f>
        <v>EMRS Advanced Retrieval Practitioner</v>
      </c>
      <c r="C588">
        <v>89154</v>
      </c>
      <c r="D588" s="5" t="str">
        <f>_xlfn.XLOOKUP(role_course_map[[#This Row],[course_id]],course_data[course_id],course_data[title],"")</f>
        <v>Safe disposal of waste</v>
      </c>
      <c r="E588" s="5" t="str">
        <f>_xlfn.XLOOKUP(role_course_map[[#This Row],[course_id]],course_data[course_id],course_data[topic],"")</f>
        <v>SAS : Infection Prevention and Control (IPC)</v>
      </c>
      <c r="F588" s="5" t="str">
        <f>_xlfn.XLOOKUP(role_course_map[[#This Row],[course_id]],course_data[course_id],course_data[type],"")</f>
        <v>eLearning</v>
      </c>
      <c r="K588" t="str">
        <f>role_course_map[[#This Row],[role_id]] &amp; "|" &amp; role_course_map[[#This Row],[course_id]]</f>
        <v>R0132|89154</v>
      </c>
      <c r="L588" t="str">
        <f>IF(COUNTIF(role_course_map[mapping_key],role_course_map[[#This Row],[mapping_key]])&gt;1,"DUPLICATE","OK")</f>
        <v>OK</v>
      </c>
      <c r="M588" t="str">
        <f>IF(COUNTIF(role_data[role_id],role_course_map[[#This Row],[role_id]])=0, "INVALID","VALID")</f>
        <v>VALID</v>
      </c>
      <c r="N588" t="str">
        <f>IF(COUNTIF(course_data[course_id],role_course_map[[#This Row],[course_id]])=0, "INVALID","VALID")</f>
        <v>VALID</v>
      </c>
    </row>
    <row r="589" spans="1:14" x14ac:dyDescent="0.35">
      <c r="A589" t="s">
        <v>276</v>
      </c>
      <c r="B589" s="5" t="str">
        <f>_xlfn.XLOOKUP(role_course_map[[#This Row],[role_id]], role_data[role_id], role_data[Role],"")</f>
        <v>EMRS Advanced Retrieval Practitioner</v>
      </c>
      <c r="C589">
        <v>89155</v>
      </c>
      <c r="D589" s="5" t="str">
        <f>_xlfn.XLOOKUP(role_course_map[[#This Row],[course_id]],course_data[course_id],course_data[title],"")</f>
        <v>Prevention &amp; management of occupational exposure</v>
      </c>
      <c r="E589" s="5" t="str">
        <f>_xlfn.XLOOKUP(role_course_map[[#This Row],[course_id]],course_data[course_id],course_data[topic],"")</f>
        <v>SAS : Infection Prevention and Control (IPC)</v>
      </c>
      <c r="F589" s="5" t="str">
        <f>_xlfn.XLOOKUP(role_course_map[[#This Row],[course_id]],course_data[course_id],course_data[type],"")</f>
        <v>eLearning</v>
      </c>
      <c r="K589" t="str">
        <f>role_course_map[[#This Row],[role_id]] &amp; "|" &amp; role_course_map[[#This Row],[course_id]]</f>
        <v>R0132|89155</v>
      </c>
      <c r="L589" t="str">
        <f>IF(COUNTIF(role_course_map[mapping_key],role_course_map[[#This Row],[mapping_key]])&gt;1,"DUPLICATE","OK")</f>
        <v>OK</v>
      </c>
      <c r="M589" t="str">
        <f>IF(COUNTIF(role_data[role_id],role_course_map[[#This Row],[role_id]])=0, "INVALID","VALID")</f>
        <v>VALID</v>
      </c>
      <c r="N589" t="str">
        <f>IF(COUNTIF(course_data[course_id],role_course_map[[#This Row],[course_id]])=0, "INVALID","VALID")</f>
        <v>VALID</v>
      </c>
    </row>
    <row r="590" spans="1:14" x14ac:dyDescent="0.35">
      <c r="A590" t="s">
        <v>276</v>
      </c>
      <c r="B590" s="5" t="str">
        <f>_xlfn.XLOOKUP(role_course_map[[#This Row],[role_id]], role_data[role_id], role_data[Role],"")</f>
        <v>EMRS Advanced Retrieval Practitioner</v>
      </c>
      <c r="C590">
        <v>999064</v>
      </c>
      <c r="D590" s="5" t="str">
        <f>_xlfn.XLOOKUP(role_course_map[[#This Row],[course_id]],course_data[course_id],course_data[title],"")</f>
        <v>Infection prevention and control: Clostridioides difficile infection</v>
      </c>
      <c r="E590" s="5" t="str">
        <f>_xlfn.XLOOKUP(role_course_map[[#This Row],[course_id]],course_data[course_id],course_data[topic],"")</f>
        <v>SAS : Infection Prevention and Control (IPC)</v>
      </c>
      <c r="F590" s="5" t="str">
        <f>_xlfn.XLOOKUP(role_course_map[[#This Row],[course_id]],course_data[course_id],course_data[type],"")</f>
        <v>eLearning</v>
      </c>
      <c r="K590" t="str">
        <f>role_course_map[[#This Row],[role_id]] &amp; "|" &amp; role_course_map[[#This Row],[course_id]]</f>
        <v>R0132|999064</v>
      </c>
      <c r="L590" t="str">
        <f>IF(COUNTIF(role_course_map[mapping_key],role_course_map[[#This Row],[mapping_key]])&gt;1,"DUPLICATE","OK")</f>
        <v>OK</v>
      </c>
      <c r="M590" t="str">
        <f>IF(COUNTIF(role_data[role_id],role_course_map[[#This Row],[role_id]])=0, "INVALID","VALID")</f>
        <v>VALID</v>
      </c>
      <c r="N590" t="str">
        <f>IF(COUNTIF(course_data[course_id],role_course_map[[#This Row],[course_id]])=0, "INVALID","VALID")</f>
        <v>VALID</v>
      </c>
    </row>
    <row r="591" spans="1:14" x14ac:dyDescent="0.35">
      <c r="A591" t="s">
        <v>276</v>
      </c>
      <c r="B591" s="5" t="str">
        <f>_xlfn.XLOOKUP(role_course_map[[#This Row],[role_id]], role_data[role_id], role_data[Role],"")</f>
        <v>EMRS Advanced Retrieval Practitioner</v>
      </c>
      <c r="C591">
        <v>3886</v>
      </c>
      <c r="D591" s="5" t="str">
        <f>_xlfn.XLOOKUP(role_course_map[[#This Row],[course_id]],course_data[course_id],course_data[title],"")</f>
        <v>Prevention and management of pressure ulcers</v>
      </c>
      <c r="E591" s="5" t="str">
        <f>_xlfn.XLOOKUP(role_course_map[[#This Row],[course_id]],course_data[course_id],course_data[topic],"")</f>
        <v>SAS : Clinical Practice</v>
      </c>
      <c r="F591" s="5" t="str">
        <f>_xlfn.XLOOKUP(role_course_map[[#This Row],[course_id]],course_data[course_id],course_data[type],"")</f>
        <v>Page</v>
      </c>
      <c r="K591" t="str">
        <f>role_course_map[[#This Row],[role_id]] &amp; "|" &amp; role_course_map[[#This Row],[course_id]]</f>
        <v>R0132|3886</v>
      </c>
      <c r="L591" t="str">
        <f>IF(COUNTIF(role_course_map[mapping_key],role_course_map[[#This Row],[mapping_key]])&gt;1,"DUPLICATE","OK")</f>
        <v>OK</v>
      </c>
      <c r="M591" t="str">
        <f>IF(COUNTIF(role_data[role_id],role_course_map[[#This Row],[role_id]])=0, "INVALID","VALID")</f>
        <v>VALID</v>
      </c>
      <c r="N591" t="str">
        <f>IF(COUNTIF(course_data[course_id],role_course_map[[#This Row],[course_id]])=0, "INVALID","VALID")</f>
        <v>VALID</v>
      </c>
    </row>
    <row r="592" spans="1:14" x14ac:dyDescent="0.35">
      <c r="A592" t="s">
        <v>276</v>
      </c>
      <c r="B592" s="5" t="str">
        <f>_xlfn.XLOOKUP(role_course_map[[#This Row],[role_id]], role_data[role_id], role_data[Role],"")</f>
        <v>EMRS Advanced Retrieval Practitioner</v>
      </c>
      <c r="C592">
        <v>999077</v>
      </c>
      <c r="D592" s="5" t="str">
        <f>_xlfn.XLOOKUP(role_course_map[[#This Row],[course_id]],course_data[course_id],course_data[title],"")</f>
        <v>ScotSTAR: Role specific Orientation &amp; Induction</v>
      </c>
      <c r="E592" s="5" t="str">
        <f>_xlfn.XLOOKUP(role_course_map[[#This Row],[course_id]],course_data[course_id],course_data[topic],"")</f>
        <v>SAS : ScotSTAR</v>
      </c>
      <c r="F592" s="5" t="str">
        <f>_xlfn.XLOOKUP(role_course_map[[#This Row],[course_id]],course_data[course_id],course_data[type],"")</f>
        <v>Course</v>
      </c>
      <c r="K592" t="str">
        <f>role_course_map[[#This Row],[role_id]] &amp; "|" &amp; role_course_map[[#This Row],[course_id]]</f>
        <v>R0132|999077</v>
      </c>
      <c r="L592" t="str">
        <f>IF(COUNTIF(role_course_map[mapping_key],role_course_map[[#This Row],[mapping_key]])&gt;1,"DUPLICATE","OK")</f>
        <v>OK</v>
      </c>
      <c r="M592" t="str">
        <f>IF(COUNTIF(role_data[role_id],role_course_map[[#This Row],[role_id]])=0, "INVALID","VALID")</f>
        <v>VALID</v>
      </c>
      <c r="N592" t="str">
        <f>IF(COUNTIF(course_data[course_id],role_course_map[[#This Row],[course_id]])=0, "INVALID","VALID")</f>
        <v>VALID</v>
      </c>
    </row>
    <row r="593" spans="1:14" x14ac:dyDescent="0.35">
      <c r="A593" t="s">
        <v>272</v>
      </c>
      <c r="B593" s="5" t="str">
        <f>_xlfn.XLOOKUP(role_course_map[[#This Row],[role_id]], role_data[role_id], role_data[Role],"")</f>
        <v>Air Ambulance Paramedics</v>
      </c>
      <c r="C593">
        <v>999079</v>
      </c>
      <c r="D593" s="5" t="str">
        <f>_xlfn.XLOOKUP(role_course_map[[#This Row],[course_id]],course_data[course_id],course_data[title],"")</f>
        <v>HUET</v>
      </c>
      <c r="E593" s="5" t="str">
        <f>_xlfn.XLOOKUP(role_course_map[[#This Row],[course_id]],course_data[course_id],course_data[topic],"")</f>
        <v>SAS : ScotSTAR</v>
      </c>
      <c r="F593" s="5" t="str">
        <f>_xlfn.XLOOKUP(role_course_map[[#This Row],[course_id]],course_data[course_id],course_data[type],"")</f>
        <v>Course</v>
      </c>
      <c r="K593" t="str">
        <f>role_course_map[[#This Row],[role_id]] &amp; "|" &amp; role_course_map[[#This Row],[course_id]]</f>
        <v>R0130|999079</v>
      </c>
      <c r="L593" t="str">
        <f>IF(COUNTIF(role_course_map[mapping_key],role_course_map[[#This Row],[mapping_key]])&gt;1,"DUPLICATE","OK")</f>
        <v>OK</v>
      </c>
      <c r="M593" t="str">
        <f>IF(COUNTIF(role_data[role_id],role_course_map[[#This Row],[role_id]])=0, "INVALID","VALID")</f>
        <v>VALID</v>
      </c>
      <c r="N593" t="str">
        <f>IF(COUNTIF(course_data[course_id],role_course_map[[#This Row],[course_id]])=0, "INVALID","VALID")</f>
        <v>VALID</v>
      </c>
    </row>
    <row r="594" spans="1:14" x14ac:dyDescent="0.35">
      <c r="A594" t="s">
        <v>276</v>
      </c>
      <c r="B594" s="5" t="str">
        <f>_xlfn.XLOOKUP(role_course_map[[#This Row],[role_id]], role_data[role_id], role_data[Role],"")</f>
        <v>EMRS Advanced Retrieval Practitioner</v>
      </c>
      <c r="D594" s="5" t="s">
        <v>1058</v>
      </c>
      <c r="E594" s="5" t="s">
        <v>1057</v>
      </c>
      <c r="F594" s="5" t="str">
        <f>_xlfn.XLOOKUP(role_course_map[[#This Row],[course_id]],course_data[course_id],course_data[type],"")</f>
        <v/>
      </c>
      <c r="K594" t="str">
        <f>role_course_map[[#This Row],[role_id]] &amp; "|" &amp; role_course_map[[#This Row],[course_id]]</f>
        <v>R0132|</v>
      </c>
      <c r="L594" t="str">
        <f>IF(COUNTIF(role_course_map[mapping_key],role_course_map[[#This Row],[mapping_key]])&gt;1,"DUPLICATE","OK")</f>
        <v>OK</v>
      </c>
      <c r="M594" t="str">
        <f>IF(COUNTIF(role_data[role_id],role_course_map[[#This Row],[role_id]])=0, "INVALID","VALID")</f>
        <v>VALID</v>
      </c>
      <c r="N594" t="str">
        <f>IF(COUNTIF(course_data[course_id],role_course_map[[#This Row],[course_id]])=0, "INVALID","VALID")</f>
        <v>INVALID</v>
      </c>
    </row>
    <row r="595" spans="1:14" x14ac:dyDescent="0.35">
      <c r="A595" t="s">
        <v>276</v>
      </c>
      <c r="B595" s="5" t="str">
        <f>_xlfn.XLOOKUP(role_course_map[[#This Row],[role_id]], role_data[role_id], role_data[Role],"")</f>
        <v>EMRS Advanced Retrieval Practitioner</v>
      </c>
      <c r="C595">
        <v>999081</v>
      </c>
      <c r="D595" s="5" t="str">
        <f>_xlfn.XLOOKUP(role_course_map[[#This Row],[course_id]],course_data[course_id],course_data[title],"")</f>
        <v>Major Incident Training- Operational Commander</v>
      </c>
      <c r="E595" s="5" t="str">
        <f>_xlfn.XLOOKUP(role_course_map[[#This Row],[course_id]],course_data[course_id],course_data[topic],"")</f>
        <v>SAS : ScotSTAR</v>
      </c>
      <c r="F595" s="5" t="str">
        <f>_xlfn.XLOOKUP(role_course_map[[#This Row],[course_id]],course_data[course_id],course_data[type],"")</f>
        <v>Course</v>
      </c>
      <c r="K595" t="str">
        <f>role_course_map[[#This Row],[role_id]] &amp; "|" &amp; role_course_map[[#This Row],[course_id]]</f>
        <v>R0132|999081</v>
      </c>
      <c r="L595" t="str">
        <f>IF(COUNTIF(role_course_map[mapping_key],role_course_map[[#This Row],[mapping_key]])&gt;1,"DUPLICATE","OK")</f>
        <v>OK</v>
      </c>
      <c r="M595" t="str">
        <f>IF(COUNTIF(role_data[role_id],role_course_map[[#This Row],[role_id]])=0, "INVALID","VALID")</f>
        <v>VALID</v>
      </c>
      <c r="N595" t="str">
        <f>IF(COUNTIF(course_data[course_id],role_course_map[[#This Row],[course_id]])=0, "INVALID","VALID")</f>
        <v>VALID</v>
      </c>
    </row>
    <row r="596" spans="1:14" x14ac:dyDescent="0.35">
      <c r="A596" t="s">
        <v>276</v>
      </c>
      <c r="B596" s="5" t="str">
        <f>_xlfn.XLOOKUP(role_course_map[[#This Row],[role_id]], role_data[role_id], role_data[Role],"")</f>
        <v>EMRS Advanced Retrieval Practitioner</v>
      </c>
      <c r="C596">
        <v>999084</v>
      </c>
      <c r="D596" s="5" t="str">
        <f>_xlfn.XLOOKUP(role_course_map[[#This Row],[course_id]],course_data[course_id],course_data[title],"")</f>
        <v>Paediatric Life Support (PLS)</v>
      </c>
      <c r="E596" s="5" t="str">
        <f>_xlfn.XLOOKUP(role_course_map[[#This Row],[course_id]],course_data[course_id],course_data[topic],"")</f>
        <v>SAS : ScotSTAR</v>
      </c>
      <c r="F596" s="5" t="str">
        <f>_xlfn.XLOOKUP(role_course_map[[#This Row],[course_id]],course_data[course_id],course_data[type],"")</f>
        <v>Course</v>
      </c>
      <c r="K596" t="str">
        <f>role_course_map[[#This Row],[role_id]] &amp; "|" &amp; role_course_map[[#This Row],[course_id]]</f>
        <v>R0132|999084</v>
      </c>
      <c r="L596" t="str">
        <f>IF(COUNTIF(role_course_map[mapping_key],role_course_map[[#This Row],[mapping_key]])&gt;1,"DUPLICATE","OK")</f>
        <v>OK</v>
      </c>
      <c r="M596" t="str">
        <f>IF(COUNTIF(role_data[role_id],role_course_map[[#This Row],[role_id]])=0, "INVALID","VALID")</f>
        <v>VALID</v>
      </c>
      <c r="N596" t="str">
        <f>IF(COUNTIF(course_data[course_id],role_course_map[[#This Row],[course_id]])=0, "INVALID","VALID")</f>
        <v>VALID</v>
      </c>
    </row>
    <row r="597" spans="1:14" x14ac:dyDescent="0.35">
      <c r="A597" t="s">
        <v>276</v>
      </c>
      <c r="B597" s="5" t="str">
        <f>_xlfn.XLOOKUP(role_course_map[[#This Row],[role_id]], role_data[role_id], role_data[Role],"")</f>
        <v>EMRS Advanced Retrieval Practitioner</v>
      </c>
      <c r="C597">
        <v>999088</v>
      </c>
      <c r="D597" s="5" t="str">
        <f>_xlfn.XLOOKUP(role_course_map[[#This Row],[course_id]],course_data[course_id],course_data[title],"")</f>
        <v>PHECC (Adult)</v>
      </c>
      <c r="E597" s="5" t="str">
        <f>_xlfn.XLOOKUP(role_course_map[[#This Row],[course_id]],course_data[course_id],course_data[topic],"")</f>
        <v>SAS : ScotSTAR</v>
      </c>
      <c r="F597" s="5" t="str">
        <f>_xlfn.XLOOKUP(role_course_map[[#This Row],[course_id]],course_data[course_id],course_data[type],"")</f>
        <v>Course</v>
      </c>
      <c r="K597" t="str">
        <f>role_course_map[[#This Row],[role_id]] &amp; "|" &amp; role_course_map[[#This Row],[course_id]]</f>
        <v>R0132|999088</v>
      </c>
      <c r="L597" t="str">
        <f>IF(COUNTIF(role_course_map[mapping_key],role_course_map[[#This Row],[mapping_key]])&gt;1,"DUPLICATE","OK")</f>
        <v>OK</v>
      </c>
      <c r="M597" t="str">
        <f>IF(COUNTIF(role_data[role_id],role_course_map[[#This Row],[role_id]])=0, "INVALID","VALID")</f>
        <v>VALID</v>
      </c>
      <c r="N597" t="str">
        <f>IF(COUNTIF(course_data[course_id],role_course_map[[#This Row],[course_id]])=0, "INVALID","VALID")</f>
        <v>VALID</v>
      </c>
    </row>
    <row r="598" spans="1:14" x14ac:dyDescent="0.35">
      <c r="A598" t="s">
        <v>278</v>
      </c>
      <c r="B598" s="5" t="str">
        <f>_xlfn.XLOOKUP(role_course_map[[#This Row],[role_id]], role_data[role_id], role_data[Role],"")</f>
        <v>EMRS Consultant</v>
      </c>
      <c r="C598">
        <v>999009</v>
      </c>
      <c r="D598" s="5" t="str">
        <f>_xlfn.XLOOKUP(role_course_map[[#This Row],[course_id]],course_data[course_id],course_data[title],"")</f>
        <v>Life Support</v>
      </c>
      <c r="E598" s="5" t="str">
        <f>_xlfn.XLOOKUP(role_course_map[[#This Row],[course_id]],course_data[course_id],course_data[topic],"")</f>
        <v>SAS : Clinical Practice</v>
      </c>
      <c r="F598" s="5" t="str">
        <f>_xlfn.XLOOKUP(role_course_map[[#This Row],[course_id]],course_data[course_id],course_data[type],"")</f>
        <v>Course</v>
      </c>
      <c r="K598" t="str">
        <f>role_course_map[[#This Row],[role_id]] &amp; "|" &amp; role_course_map[[#This Row],[course_id]]</f>
        <v>R0133|999009</v>
      </c>
      <c r="L598" t="str">
        <f>IF(COUNTIF(role_course_map[mapping_key],role_course_map[[#This Row],[mapping_key]])&gt;1,"DUPLICATE","OK")</f>
        <v>OK</v>
      </c>
      <c r="M598" t="str">
        <f>IF(COUNTIF(role_data[role_id],role_course_map[[#This Row],[role_id]])=0, "INVALID","VALID")</f>
        <v>VALID</v>
      </c>
      <c r="N598" t="str">
        <f>IF(COUNTIF(course_data[course_id],role_course_map[[#This Row],[course_id]])=0, "INVALID","VALID")</f>
        <v>VALID</v>
      </c>
    </row>
    <row r="599" spans="1:14" x14ac:dyDescent="0.35">
      <c r="A599" t="s">
        <v>278</v>
      </c>
      <c r="B599" s="5" t="str">
        <f>_xlfn.XLOOKUP(role_course_map[[#This Row],[role_id]], role_data[role_id], role_data[Role],"")</f>
        <v>EMRS Consultant</v>
      </c>
      <c r="C599">
        <v>999007</v>
      </c>
      <c r="D599" s="5" t="str">
        <f>_xlfn.XLOOKUP(role_course_map[[#This Row],[course_id]],course_data[course_id],course_data[title],"")</f>
        <v>Obstetrics</v>
      </c>
      <c r="E599" s="5" t="str">
        <f>_xlfn.XLOOKUP(role_course_map[[#This Row],[course_id]],course_data[course_id],course_data[topic],"")</f>
        <v>SAS : Clinical Practice</v>
      </c>
      <c r="F599" s="5" t="str">
        <f>_xlfn.XLOOKUP(role_course_map[[#This Row],[course_id]],course_data[course_id],course_data[type],"")</f>
        <v>Course</v>
      </c>
      <c r="K599" t="str">
        <f>role_course_map[[#This Row],[role_id]] &amp; "|" &amp; role_course_map[[#This Row],[course_id]]</f>
        <v>R0133|999007</v>
      </c>
      <c r="L599" t="str">
        <f>IF(COUNTIF(role_course_map[mapping_key],role_course_map[[#This Row],[mapping_key]])&gt;1,"DUPLICATE","OK")</f>
        <v>OK</v>
      </c>
      <c r="M599" t="str">
        <f>IF(COUNTIF(role_data[role_id],role_course_map[[#This Row],[role_id]])=0, "INVALID","VALID")</f>
        <v>VALID</v>
      </c>
      <c r="N599" t="str">
        <f>IF(COUNTIF(course_data[course_id],role_course_map[[#This Row],[course_id]])=0, "INVALID","VALID")</f>
        <v>VALID</v>
      </c>
    </row>
    <row r="600" spans="1:14" x14ac:dyDescent="0.35">
      <c r="A600" t="s">
        <v>278</v>
      </c>
      <c r="B600" s="5" t="str">
        <f>_xlfn.XLOOKUP(role_course_map[[#This Row],[role_id]], role_data[role_id], role_data[Role],"")</f>
        <v>EMRS Consultant</v>
      </c>
      <c r="C600">
        <v>999008</v>
      </c>
      <c r="D600" s="5" t="str">
        <f>_xlfn.XLOOKUP(role_course_map[[#This Row],[course_id]],course_data[course_id],course_data[title],"")</f>
        <v>Obstetrics</v>
      </c>
      <c r="E600" s="5" t="str">
        <f>_xlfn.XLOOKUP(role_course_map[[#This Row],[course_id]],course_data[course_id],course_data[topic],"")</f>
        <v>SAS : Clinical Practice</v>
      </c>
      <c r="F600" s="5" t="str">
        <f>_xlfn.XLOOKUP(role_course_map[[#This Row],[course_id]],course_data[course_id],course_data[type],"")</f>
        <v>eLearning</v>
      </c>
      <c r="K600" t="str">
        <f>role_course_map[[#This Row],[role_id]] &amp; "|" &amp; role_course_map[[#This Row],[course_id]]</f>
        <v>R0133|999008</v>
      </c>
      <c r="L600" t="str">
        <f>IF(COUNTIF(role_course_map[mapping_key],role_course_map[[#This Row],[mapping_key]])&gt;1,"DUPLICATE","OK")</f>
        <v>OK</v>
      </c>
      <c r="M600" t="str">
        <f>IF(COUNTIF(role_data[role_id],role_course_map[[#This Row],[role_id]])=0, "INVALID","VALID")</f>
        <v>VALID</v>
      </c>
      <c r="N600" t="str">
        <f>IF(COUNTIF(course_data[course_id],role_course_map[[#This Row],[course_id]])=0, "INVALID","VALID")</f>
        <v>VALID</v>
      </c>
    </row>
    <row r="601" spans="1:14" x14ac:dyDescent="0.35">
      <c r="A601" t="s">
        <v>278</v>
      </c>
      <c r="B601" s="5" t="str">
        <f>_xlfn.XLOOKUP(role_course_map[[#This Row],[role_id]], role_data[role_id], role_data[Role],"")</f>
        <v>EMRS Consultant</v>
      </c>
      <c r="C601">
        <v>999010</v>
      </c>
      <c r="D601" s="5" t="str">
        <f>_xlfn.XLOOKUP(role_course_map[[#This Row],[course_id]],course_data[course_id],course_data[title],"")</f>
        <v>Paediatrics</v>
      </c>
      <c r="E601" s="5" t="str">
        <f>_xlfn.XLOOKUP(role_course_map[[#This Row],[course_id]],course_data[course_id],course_data[topic],"")</f>
        <v>SAS : Clinical Practice</v>
      </c>
      <c r="F601" s="5" t="str">
        <f>_xlfn.XLOOKUP(role_course_map[[#This Row],[course_id]],course_data[course_id],course_data[type],"")</f>
        <v>Course</v>
      </c>
      <c r="K601" t="str">
        <f>role_course_map[[#This Row],[role_id]] &amp; "|" &amp; role_course_map[[#This Row],[course_id]]</f>
        <v>R0133|999010</v>
      </c>
      <c r="L601" t="str">
        <f>IF(COUNTIF(role_course_map[mapping_key],role_course_map[[#This Row],[mapping_key]])&gt;1,"DUPLICATE","OK")</f>
        <v>OK</v>
      </c>
      <c r="M601" t="str">
        <f>IF(COUNTIF(role_data[role_id],role_course_map[[#This Row],[role_id]])=0, "INVALID","VALID")</f>
        <v>VALID</v>
      </c>
      <c r="N601" t="str">
        <f>IF(COUNTIF(course_data[course_id],role_course_map[[#This Row],[course_id]])=0, "INVALID","VALID")</f>
        <v>VALID</v>
      </c>
    </row>
    <row r="602" spans="1:14" x14ac:dyDescent="0.35">
      <c r="A602" t="s">
        <v>278</v>
      </c>
      <c r="B602" s="5" t="str">
        <f>_xlfn.XLOOKUP(role_course_map[[#This Row],[role_id]], role_data[role_id], role_data[Role],"")</f>
        <v>EMRS Consultant</v>
      </c>
      <c r="C602">
        <v>999011</v>
      </c>
      <c r="D602" s="5" t="str">
        <f>_xlfn.XLOOKUP(role_course_map[[#This Row],[course_id]],course_data[course_id],course_data[title],"")</f>
        <v>Paediatrics</v>
      </c>
      <c r="E602" s="5" t="str">
        <f>_xlfn.XLOOKUP(role_course_map[[#This Row],[course_id]],course_data[course_id],course_data[topic],"")</f>
        <v>SAS : Clinical Practice</v>
      </c>
      <c r="F602" s="5" t="str">
        <f>_xlfn.XLOOKUP(role_course_map[[#This Row],[course_id]],course_data[course_id],course_data[type],"")</f>
        <v>eLearning</v>
      </c>
      <c r="K602" t="str">
        <f>role_course_map[[#This Row],[role_id]] &amp; "|" &amp; role_course_map[[#This Row],[course_id]]</f>
        <v>R0133|999011</v>
      </c>
      <c r="L602" t="str">
        <f>IF(COUNTIF(role_course_map[mapping_key],role_course_map[[#This Row],[mapping_key]])&gt;1,"DUPLICATE","OK")</f>
        <v>OK</v>
      </c>
      <c r="M602" t="str">
        <f>IF(COUNTIF(role_data[role_id],role_course_map[[#This Row],[role_id]])=0, "INVALID","VALID")</f>
        <v>VALID</v>
      </c>
      <c r="N602" t="str">
        <f>IF(COUNTIF(course_data[course_id],role_course_map[[#This Row],[course_id]])=0, "INVALID","VALID")</f>
        <v>VALID</v>
      </c>
    </row>
    <row r="603" spans="1:14" x14ac:dyDescent="0.35">
      <c r="A603" t="s">
        <v>278</v>
      </c>
      <c r="B603" s="5" t="str">
        <f>_xlfn.XLOOKUP(role_course_map[[#This Row],[role_id]], role_data[role_id], role_data[Role],"")</f>
        <v>EMRS Consultant</v>
      </c>
      <c r="C603">
        <v>999012</v>
      </c>
      <c r="D603" s="5" t="str">
        <f>_xlfn.XLOOKUP(role_course_map[[#This Row],[course_id]],course_data[course_id],course_data[title],"")</f>
        <v>Trauma</v>
      </c>
      <c r="E603" s="5" t="str">
        <f>_xlfn.XLOOKUP(role_course_map[[#This Row],[course_id]],course_data[course_id],course_data[topic],"")</f>
        <v>SAS : Clinical Practice</v>
      </c>
      <c r="F603" s="5" t="str">
        <f>_xlfn.XLOOKUP(role_course_map[[#This Row],[course_id]],course_data[course_id],course_data[type],"")</f>
        <v>Course</v>
      </c>
      <c r="K603" t="str">
        <f>role_course_map[[#This Row],[role_id]] &amp; "|" &amp; role_course_map[[#This Row],[course_id]]</f>
        <v>R0133|999012</v>
      </c>
      <c r="L603" t="str">
        <f>IF(COUNTIF(role_course_map[mapping_key],role_course_map[[#This Row],[mapping_key]])&gt;1,"DUPLICATE","OK")</f>
        <v>OK</v>
      </c>
      <c r="M603" t="str">
        <f>IF(COUNTIF(role_data[role_id],role_course_map[[#This Row],[role_id]])=0, "INVALID","VALID")</f>
        <v>VALID</v>
      </c>
      <c r="N603" t="str">
        <f>IF(COUNTIF(course_data[course_id],role_course_map[[#This Row],[course_id]])=0, "INVALID","VALID")</f>
        <v>VALID</v>
      </c>
    </row>
    <row r="604" spans="1:14" x14ac:dyDescent="0.35">
      <c r="A604" t="s">
        <v>278</v>
      </c>
      <c r="B604" s="5" t="str">
        <f>_xlfn.XLOOKUP(role_course_map[[#This Row],[role_id]], role_data[role_id], role_data[Role],"")</f>
        <v>EMRS Consultant</v>
      </c>
      <c r="C604">
        <v>999013</v>
      </c>
      <c r="D604" s="5" t="str">
        <f>_xlfn.XLOOKUP(role_course_map[[#This Row],[course_id]],course_data[course_id],course_data[title],"")</f>
        <v>Trauma</v>
      </c>
      <c r="E604" s="5" t="str">
        <f>_xlfn.XLOOKUP(role_course_map[[#This Row],[course_id]],course_data[course_id],course_data[topic],"")</f>
        <v>SAS : Clinical Practice</v>
      </c>
      <c r="F604" s="5" t="str">
        <f>_xlfn.XLOOKUP(role_course_map[[#This Row],[course_id]],course_data[course_id],course_data[type],"")</f>
        <v>eLearning</v>
      </c>
      <c r="K604" t="str">
        <f>role_course_map[[#This Row],[role_id]] &amp; "|" &amp; role_course_map[[#This Row],[course_id]]</f>
        <v>R0133|999013</v>
      </c>
      <c r="L604" t="str">
        <f>IF(COUNTIF(role_course_map[mapping_key],role_course_map[[#This Row],[mapping_key]])&gt;1,"DUPLICATE","OK")</f>
        <v>OK</v>
      </c>
      <c r="M604" t="str">
        <f>IF(COUNTIF(role_data[role_id],role_course_map[[#This Row],[role_id]])=0, "INVALID","VALID")</f>
        <v>VALID</v>
      </c>
      <c r="N604" t="str">
        <f>IF(COUNTIF(course_data[course_id],role_course_map[[#This Row],[course_id]])=0, "INVALID","VALID")</f>
        <v>VALID</v>
      </c>
    </row>
    <row r="605" spans="1:14" x14ac:dyDescent="0.35">
      <c r="A605" t="s">
        <v>278</v>
      </c>
      <c r="B605" s="5" t="str">
        <f>_xlfn.XLOOKUP(role_course_map[[#This Row],[role_id]], role_data[role_id], role_data[Role],"")</f>
        <v>EMRS Consultant</v>
      </c>
      <c r="C605">
        <v>999014</v>
      </c>
      <c r="D605" s="5" t="str">
        <f>_xlfn.XLOOKUP(role_course_map[[#This Row],[course_id]],course_data[course_id],course_data[title],"")</f>
        <v>Patient Assessment</v>
      </c>
      <c r="E605" s="5" t="str">
        <f>_xlfn.XLOOKUP(role_course_map[[#This Row],[course_id]],course_data[course_id],course_data[topic],"")</f>
        <v>SAS : Clinical Practice</v>
      </c>
      <c r="F605" s="5" t="str">
        <f>_xlfn.XLOOKUP(role_course_map[[#This Row],[course_id]],course_data[course_id],course_data[type],"")</f>
        <v>Course</v>
      </c>
      <c r="K605" t="str">
        <f>role_course_map[[#This Row],[role_id]] &amp; "|" &amp; role_course_map[[#This Row],[course_id]]</f>
        <v>R0133|999014</v>
      </c>
      <c r="L605" t="str">
        <f>IF(COUNTIF(role_course_map[mapping_key],role_course_map[[#This Row],[mapping_key]])&gt;1,"DUPLICATE","OK")</f>
        <v>OK</v>
      </c>
      <c r="M605" t="str">
        <f>IF(COUNTIF(role_data[role_id],role_course_map[[#This Row],[role_id]])=0, "INVALID","VALID")</f>
        <v>VALID</v>
      </c>
      <c r="N605" t="str">
        <f>IF(COUNTIF(course_data[course_id],role_course_map[[#This Row],[course_id]])=0, "INVALID","VALID")</f>
        <v>VALID</v>
      </c>
    </row>
    <row r="606" spans="1:14" x14ac:dyDescent="0.35">
      <c r="A606" t="s">
        <v>278</v>
      </c>
      <c r="B606" s="5" t="str">
        <f>_xlfn.XLOOKUP(role_course_map[[#This Row],[role_id]], role_data[role_id], role_data[Role],"")</f>
        <v>EMRS Consultant</v>
      </c>
      <c r="C606">
        <v>999015</v>
      </c>
      <c r="D606" s="5" t="str">
        <f>_xlfn.XLOOKUP(role_course_map[[#This Row],[course_id]],course_data[course_id],course_data[title],"")</f>
        <v>Patient Assessment</v>
      </c>
      <c r="E606" s="5" t="str">
        <f>_xlfn.XLOOKUP(role_course_map[[#This Row],[course_id]],course_data[course_id],course_data[topic],"")</f>
        <v>SAS : Clinical Practice</v>
      </c>
      <c r="F606" s="5" t="str">
        <f>_xlfn.XLOOKUP(role_course_map[[#This Row],[course_id]],course_data[course_id],course_data[type],"")</f>
        <v>eLearning</v>
      </c>
      <c r="K606" t="str">
        <f>role_course_map[[#This Row],[role_id]] &amp; "|" &amp; role_course_map[[#This Row],[course_id]]</f>
        <v>R0133|999015</v>
      </c>
      <c r="L606" t="str">
        <f>IF(COUNTIF(role_course_map[mapping_key],role_course_map[[#This Row],[mapping_key]])&gt;1,"DUPLICATE","OK")</f>
        <v>OK</v>
      </c>
      <c r="M606" t="str">
        <f>IF(COUNTIF(role_data[role_id],role_course_map[[#This Row],[role_id]])=0, "INVALID","VALID")</f>
        <v>VALID</v>
      </c>
      <c r="N606" t="str">
        <f>IF(COUNTIF(course_data[course_id],role_course_map[[#This Row],[course_id]])=0, "INVALID","VALID")</f>
        <v>VALID</v>
      </c>
    </row>
    <row r="607" spans="1:14" x14ac:dyDescent="0.35">
      <c r="A607" t="s">
        <v>276</v>
      </c>
      <c r="B607" s="5" t="str">
        <f>_xlfn.XLOOKUP(role_course_map[[#This Row],[role_id]], role_data[role_id], role_data[Role],"")</f>
        <v>EMRS Advanced Retrieval Practitioner</v>
      </c>
      <c r="C607">
        <v>999016</v>
      </c>
      <c r="D607" s="5" t="str">
        <f>_xlfn.XLOOKUP(role_course_map[[#This Row],[course_id]],course_data[course_id],course_data[title],"")</f>
        <v>Clinical Skills</v>
      </c>
      <c r="E607" s="5" t="str">
        <f>_xlfn.XLOOKUP(role_course_map[[#This Row],[course_id]],course_data[course_id],course_data[topic],"")</f>
        <v>SAS : Clinical Practice</v>
      </c>
      <c r="F607" s="5" t="str">
        <f>_xlfn.XLOOKUP(role_course_map[[#This Row],[course_id]],course_data[course_id],course_data[type],"")</f>
        <v>Course</v>
      </c>
      <c r="K607" t="str">
        <f>role_course_map[[#This Row],[role_id]] &amp; "|" &amp; role_course_map[[#This Row],[course_id]]</f>
        <v>R0132|999016</v>
      </c>
      <c r="L607" t="str">
        <f>IF(COUNTIF(role_course_map[mapping_key],role_course_map[[#This Row],[mapping_key]])&gt;1,"DUPLICATE","OK")</f>
        <v>OK</v>
      </c>
      <c r="M607" t="str">
        <f>IF(COUNTIF(role_data[role_id],role_course_map[[#This Row],[role_id]])=0, "INVALID","VALID")</f>
        <v>VALID</v>
      </c>
      <c r="N607" t="str">
        <f>IF(COUNTIF(course_data[course_id],role_course_map[[#This Row],[course_id]])=0, "INVALID","VALID")</f>
        <v>VALID</v>
      </c>
    </row>
    <row r="608" spans="1:14" x14ac:dyDescent="0.35">
      <c r="A608" t="s">
        <v>278</v>
      </c>
      <c r="B608" s="5" t="str">
        <f>_xlfn.XLOOKUP(role_course_map[[#This Row],[role_id]], role_data[role_id], role_data[Role],"")</f>
        <v>EMRS Consultant</v>
      </c>
      <c r="C608">
        <v>999018</v>
      </c>
      <c r="D608" s="5" t="str">
        <f>_xlfn.XLOOKUP(role_course_map[[#This Row],[course_id]],course_data[course_id],course_data[title],"")</f>
        <v>Learning from Events</v>
      </c>
      <c r="E608" s="5" t="str">
        <f>_xlfn.XLOOKUP(role_course_map[[#This Row],[course_id]],course_data[course_id],course_data[topic],"")</f>
        <v>SAS : Clinical Practice</v>
      </c>
      <c r="F608" s="5" t="str">
        <f>_xlfn.XLOOKUP(role_course_map[[#This Row],[course_id]],course_data[course_id],course_data[type],"")</f>
        <v>eLearning</v>
      </c>
      <c r="K608" t="str">
        <f>role_course_map[[#This Row],[role_id]] &amp; "|" &amp; role_course_map[[#This Row],[course_id]]</f>
        <v>R0133|999018</v>
      </c>
      <c r="L608" t="str">
        <f>IF(COUNTIF(role_course_map[mapping_key],role_course_map[[#This Row],[mapping_key]])&gt;1,"DUPLICATE","OK")</f>
        <v>OK</v>
      </c>
      <c r="M608" t="str">
        <f>IF(COUNTIF(role_data[role_id],role_course_map[[#This Row],[role_id]])=0, "INVALID","VALID")</f>
        <v>VALID</v>
      </c>
      <c r="N608" t="str">
        <f>IF(COUNTIF(course_data[course_id],role_course_map[[#This Row],[course_id]])=0, "INVALID","VALID")</f>
        <v>VALID</v>
      </c>
    </row>
    <row r="609" spans="1:14" x14ac:dyDescent="0.35">
      <c r="A609" t="s">
        <v>278</v>
      </c>
      <c r="B609" s="5" t="str">
        <f>_xlfn.XLOOKUP(role_course_map[[#This Row],[role_id]], role_data[role_id], role_data[Role],"")</f>
        <v>EMRS Consultant</v>
      </c>
      <c r="C609">
        <v>999019</v>
      </c>
      <c r="D609" s="5" t="str">
        <f>_xlfn.XLOOKUP(role_course_map[[#This Row],[course_id]],course_data[course_id],course_data[title],"")</f>
        <v>Medicines Management</v>
      </c>
      <c r="E609" s="5" t="str">
        <f>_xlfn.XLOOKUP(role_course_map[[#This Row],[course_id]],course_data[course_id],course_data[topic],"")</f>
        <v>SAS : Clinical Practice</v>
      </c>
      <c r="F609" s="5" t="str">
        <f>_xlfn.XLOOKUP(role_course_map[[#This Row],[course_id]],course_data[course_id],course_data[type],"")</f>
        <v>eLearning</v>
      </c>
      <c r="K609" t="str">
        <f>role_course_map[[#This Row],[role_id]] &amp; "|" &amp; role_course_map[[#This Row],[course_id]]</f>
        <v>R0133|999019</v>
      </c>
      <c r="L609" t="str">
        <f>IF(COUNTIF(role_course_map[mapping_key],role_course_map[[#This Row],[mapping_key]])&gt;1,"DUPLICATE","OK")</f>
        <v>OK</v>
      </c>
      <c r="M609" t="str">
        <f>IF(COUNTIF(role_data[role_id],role_course_map[[#This Row],[role_id]])=0, "INVALID","VALID")</f>
        <v>VALID</v>
      </c>
      <c r="N609" t="str">
        <f>IF(COUNTIF(course_data[course_id],role_course_map[[#This Row],[course_id]])=0, "INVALID","VALID")</f>
        <v>VALID</v>
      </c>
    </row>
    <row r="610" spans="1:14" x14ac:dyDescent="0.35">
      <c r="A610" t="s">
        <v>278</v>
      </c>
      <c r="B610" s="5" t="str">
        <f>_xlfn.XLOOKUP(role_course_map[[#This Row],[role_id]], role_data[role_id], role_data[Role],"")</f>
        <v>EMRS Consultant</v>
      </c>
      <c r="C610">
        <v>999020</v>
      </c>
      <c r="D610" s="5" t="str">
        <f>_xlfn.XLOOKUP(role_course_map[[#This Row],[course_id]],course_data[course_id],course_data[title],"")</f>
        <v>JRCALC Update</v>
      </c>
      <c r="E610" s="5" t="str">
        <f>_xlfn.XLOOKUP(role_course_map[[#This Row],[course_id]],course_data[course_id],course_data[topic],"")</f>
        <v>SAS : Clinical Practice</v>
      </c>
      <c r="F610" s="5" t="str">
        <f>_xlfn.XLOOKUP(role_course_map[[#This Row],[course_id]],course_data[course_id],course_data[type],"")</f>
        <v>eLearning</v>
      </c>
      <c r="K610" t="str">
        <f>role_course_map[[#This Row],[role_id]] &amp; "|" &amp; role_course_map[[#This Row],[course_id]]</f>
        <v>R0133|999020</v>
      </c>
      <c r="L610" t="str">
        <f>IF(COUNTIF(role_course_map[mapping_key],role_course_map[[#This Row],[mapping_key]])&gt;1,"DUPLICATE","OK")</f>
        <v>OK</v>
      </c>
      <c r="M610" t="str">
        <f>IF(COUNTIF(role_data[role_id],role_course_map[[#This Row],[role_id]])=0, "INVALID","VALID")</f>
        <v>VALID</v>
      </c>
      <c r="N610" t="str">
        <f>IF(COUNTIF(course_data[course_id],role_course_map[[#This Row],[course_id]])=0, "INVALID","VALID")</f>
        <v>VALID</v>
      </c>
    </row>
    <row r="611" spans="1:14" x14ac:dyDescent="0.35">
      <c r="A611" t="s">
        <v>278</v>
      </c>
      <c r="B611" s="5" t="str">
        <f>_xlfn.XLOOKUP(role_course_map[[#This Row],[role_id]], role_data[role_id], role_data[Role],"")</f>
        <v>EMRS Consultant</v>
      </c>
      <c r="C611">
        <v>999021</v>
      </c>
      <c r="D611" s="5" t="str">
        <f>_xlfn.XLOOKUP(role_course_map[[#This Row],[course_id]],course_data[course_id],course_data[title],"")</f>
        <v>Mental Health</v>
      </c>
      <c r="E611" s="5" t="str">
        <f>_xlfn.XLOOKUP(role_course_map[[#This Row],[course_id]],course_data[course_id],course_data[topic],"")</f>
        <v>SAS : Clinical Practice</v>
      </c>
      <c r="F611" s="5" t="str">
        <f>_xlfn.XLOOKUP(role_course_map[[#This Row],[course_id]],course_data[course_id],course_data[type],"")</f>
        <v>eLearning</v>
      </c>
      <c r="K611" t="str">
        <f>role_course_map[[#This Row],[role_id]] &amp; "|" &amp; role_course_map[[#This Row],[course_id]]</f>
        <v>R0133|999021</v>
      </c>
      <c r="L611" t="str">
        <f>IF(COUNTIF(role_course_map[mapping_key],role_course_map[[#This Row],[mapping_key]])&gt;1,"DUPLICATE","OK")</f>
        <v>OK</v>
      </c>
      <c r="M611" t="str">
        <f>IF(COUNTIF(role_data[role_id],role_course_map[[#This Row],[role_id]])=0, "INVALID","VALID")</f>
        <v>VALID</v>
      </c>
      <c r="N611" t="str">
        <f>IF(COUNTIF(course_data[course_id],role_course_map[[#This Row],[course_id]])=0, "INVALID","VALID")</f>
        <v>VALID</v>
      </c>
    </row>
    <row r="612" spans="1:14" x14ac:dyDescent="0.35">
      <c r="A612" t="s">
        <v>278</v>
      </c>
      <c r="B612" s="5" t="str">
        <f>_xlfn.XLOOKUP(role_course_map[[#This Row],[role_id]], role_data[role_id], role_data[Role],"")</f>
        <v>EMRS Consultant</v>
      </c>
      <c r="C612">
        <v>999022</v>
      </c>
      <c r="D612" s="5" t="str">
        <f>_xlfn.XLOOKUP(role_course_map[[#This Row],[course_id]],course_data[course_id],course_data[title],"")</f>
        <v>Learning Disabilities</v>
      </c>
      <c r="E612" s="5" t="str">
        <f>_xlfn.XLOOKUP(role_course_map[[#This Row],[course_id]],course_data[course_id],course_data[topic],"")</f>
        <v>SAS : Clinical Practice</v>
      </c>
      <c r="F612" s="5" t="str">
        <f>_xlfn.XLOOKUP(role_course_map[[#This Row],[course_id]],course_data[course_id],course_data[type],"")</f>
        <v>eLearning</v>
      </c>
      <c r="K612" t="str">
        <f>role_course_map[[#This Row],[role_id]] &amp; "|" &amp; role_course_map[[#This Row],[course_id]]</f>
        <v>R0133|999022</v>
      </c>
      <c r="L612" t="str">
        <f>IF(COUNTIF(role_course_map[mapping_key],role_course_map[[#This Row],[mapping_key]])&gt;1,"DUPLICATE","OK")</f>
        <v>OK</v>
      </c>
      <c r="M612" t="str">
        <f>IF(COUNTIF(role_data[role_id],role_course_map[[#This Row],[role_id]])=0, "INVALID","VALID")</f>
        <v>VALID</v>
      </c>
      <c r="N612" t="str">
        <f>IF(COUNTIF(course_data[course_id],role_course_map[[#This Row],[course_id]])=0, "INVALID","VALID")</f>
        <v>VALID</v>
      </c>
    </row>
    <row r="613" spans="1:14" x14ac:dyDescent="0.35">
      <c r="A613" t="s">
        <v>278</v>
      </c>
      <c r="B613" s="5" t="str">
        <f>_xlfn.XLOOKUP(role_course_map[[#This Row],[role_id]], role_data[role_id], role_data[Role],"")</f>
        <v>EMRS Consultant</v>
      </c>
      <c r="C613">
        <v>75202</v>
      </c>
      <c r="D613" s="5" t="str">
        <f>_xlfn.XLOOKUP(role_course_map[[#This Row],[course_id]],course_data[course_id],course_data[title],"")</f>
        <v>SAS : Clinical Practice</v>
      </c>
      <c r="E613" s="5" t="str">
        <f>_xlfn.XLOOKUP(role_course_map[[#This Row],[course_id]],course_data[course_id],course_data[topic],"")</f>
        <v>SAS : Clinical Practice</v>
      </c>
      <c r="F613" s="5" t="str">
        <f>_xlfn.XLOOKUP(role_course_map[[#This Row],[course_id]],course_data[course_id],course_data[type],"")</f>
        <v>Page</v>
      </c>
      <c r="K613" t="str">
        <f>role_course_map[[#This Row],[role_id]] &amp; "|" &amp; role_course_map[[#This Row],[course_id]]</f>
        <v>R0133|75202</v>
      </c>
      <c r="L613" t="str">
        <f>IF(COUNTIF(role_course_map[mapping_key],role_course_map[[#This Row],[mapping_key]])&gt;1,"DUPLICATE","OK")</f>
        <v>OK</v>
      </c>
      <c r="M613" t="str">
        <f>IF(COUNTIF(role_data[role_id],role_course_map[[#This Row],[role_id]])=0, "INVALID","VALID")</f>
        <v>VALID</v>
      </c>
      <c r="N613" t="str">
        <f>IF(COUNTIF(course_data[course_id],role_course_map[[#This Row],[course_id]])=0, "INVALID","VALID")</f>
        <v>VALID</v>
      </c>
    </row>
    <row r="614" spans="1:14" x14ac:dyDescent="0.35">
      <c r="A614" t="s">
        <v>278</v>
      </c>
      <c r="B614" s="5" t="str">
        <f>_xlfn.XLOOKUP(role_course_map[[#This Row],[role_id]], role_data[role_id], role_data[Role],"")</f>
        <v>EMRS Consultant</v>
      </c>
      <c r="C614">
        <v>999023</v>
      </c>
      <c r="D614" s="5" t="str">
        <f>_xlfn.XLOOKUP(role_course_map[[#This Row],[course_id]],course_data[course_id],course_data[title],"")</f>
        <v>Dementia</v>
      </c>
      <c r="E614" s="5" t="str">
        <f>_xlfn.XLOOKUP(role_course_map[[#This Row],[course_id]],course_data[course_id],course_data[topic],"")</f>
        <v>SAS : Clinical Practice</v>
      </c>
      <c r="F614" s="5" t="str">
        <f>_xlfn.XLOOKUP(role_course_map[[#This Row],[course_id]],course_data[course_id],course_data[type],"")</f>
        <v>eLearning</v>
      </c>
      <c r="K614" t="str">
        <f>role_course_map[[#This Row],[role_id]] &amp; "|" &amp; role_course_map[[#This Row],[course_id]]</f>
        <v>R0133|999023</v>
      </c>
      <c r="L614" t="str">
        <f>IF(COUNTIF(role_course_map[mapping_key],role_course_map[[#This Row],[mapping_key]])&gt;1,"DUPLICATE","OK")</f>
        <v>OK</v>
      </c>
      <c r="M614" t="str">
        <f>IF(COUNTIF(role_data[role_id],role_course_map[[#This Row],[role_id]])=0, "INVALID","VALID")</f>
        <v>VALID</v>
      </c>
      <c r="N614" t="str">
        <f>IF(COUNTIF(course_data[course_id],role_course_map[[#This Row],[course_id]])=0, "INVALID","VALID")</f>
        <v>VALID</v>
      </c>
    </row>
    <row r="615" spans="1:14" x14ac:dyDescent="0.35">
      <c r="A615" t="s">
        <v>276</v>
      </c>
      <c r="B615" s="5" t="str">
        <f>_xlfn.XLOOKUP(role_course_map[[#This Row],[role_id]], role_data[role_id], role_data[Role],"")</f>
        <v>EMRS Advanced Retrieval Practitioner</v>
      </c>
      <c r="C615">
        <v>999024</v>
      </c>
      <c r="D615" s="5" t="str">
        <f>_xlfn.XLOOKUP(role_course_map[[#This Row],[course_id]],course_data[course_id],course_data[title],"")</f>
        <v>Conditions requiring specific hospital management. I.e. Parkinsons</v>
      </c>
      <c r="E615" s="5" t="str">
        <f>_xlfn.XLOOKUP(role_course_map[[#This Row],[course_id]],course_data[course_id],course_data[topic],"")</f>
        <v>SAS : Clinical Practice</v>
      </c>
      <c r="F615" s="5" t="str">
        <f>_xlfn.XLOOKUP(role_course_map[[#This Row],[course_id]],course_data[course_id],course_data[type],"")</f>
        <v>eLearning</v>
      </c>
      <c r="K615" t="str">
        <f>role_course_map[[#This Row],[role_id]] &amp; "|" &amp; role_course_map[[#This Row],[course_id]]</f>
        <v>R0132|999024</v>
      </c>
      <c r="L615" t="str">
        <f>IF(COUNTIF(role_course_map[mapping_key],role_course_map[[#This Row],[mapping_key]])&gt;1,"DUPLICATE","OK")</f>
        <v>OK</v>
      </c>
      <c r="M615" t="str">
        <f>IF(COUNTIF(role_data[role_id],role_course_map[[#This Row],[role_id]])=0, "INVALID","VALID")</f>
        <v>VALID</v>
      </c>
      <c r="N615" t="str">
        <f>IF(COUNTIF(course_data[course_id],role_course_map[[#This Row],[course_id]])=0, "INVALID","VALID")</f>
        <v>VALID</v>
      </c>
    </row>
    <row r="616" spans="1:14" x14ac:dyDescent="0.35">
      <c r="A616" t="s">
        <v>278</v>
      </c>
      <c r="B616" s="5" t="str">
        <f>_xlfn.XLOOKUP(role_course_map[[#This Row],[role_id]], role_data[role_id], role_data[Role],"")</f>
        <v>EMRS Consultant</v>
      </c>
      <c r="C616">
        <v>999095</v>
      </c>
      <c r="D616" s="5" t="str">
        <f>_xlfn.XLOOKUP(role_course_map[[#This Row],[course_id]],course_data[course_id],course_data[title],"")</f>
        <v>Mentoring</v>
      </c>
      <c r="E616" s="5" t="str">
        <f>_xlfn.XLOOKUP(role_course_map[[#This Row],[course_id]],course_data[course_id],course_data[topic],"")</f>
        <v>SAS: Staff development and experience</v>
      </c>
      <c r="F616" s="5" t="str">
        <f>_xlfn.XLOOKUP(role_course_map[[#This Row],[course_id]],course_data[course_id],course_data[type],"")</f>
        <v>eLearning</v>
      </c>
      <c r="K616" t="str">
        <f>role_course_map[[#This Row],[role_id]] &amp; "|" &amp; role_course_map[[#This Row],[course_id]]</f>
        <v>R0133|999095</v>
      </c>
      <c r="L616" t="str">
        <f>IF(COUNTIF(role_course_map[mapping_key],role_course_map[[#This Row],[mapping_key]])&gt;1,"DUPLICATE","OK")</f>
        <v>OK</v>
      </c>
      <c r="M616" t="str">
        <f>IF(COUNTIF(role_data[role_id],role_course_map[[#This Row],[role_id]])=0, "INVALID","VALID")</f>
        <v>VALID</v>
      </c>
      <c r="N616" t="str">
        <f>IF(COUNTIF(course_data[course_id],role_course_map[[#This Row],[course_id]])=0, "INVALID","VALID")</f>
        <v>VALID</v>
      </c>
    </row>
    <row r="617" spans="1:14" x14ac:dyDescent="0.35">
      <c r="A617" t="s">
        <v>278</v>
      </c>
      <c r="B617" s="5" t="str">
        <f>_xlfn.XLOOKUP(role_course_map[[#This Row],[role_id]], role_data[role_id], role_data[Role],"")</f>
        <v>EMRS Consultant</v>
      </c>
      <c r="C617">
        <v>999096</v>
      </c>
      <c r="D617" s="5" t="str">
        <f>_xlfn.XLOOKUP(role_course_map[[#This Row],[course_id]],course_data[course_id],course_data[title],"")</f>
        <v>Supporting others in practice (Supervision)</v>
      </c>
      <c r="E617" s="5" t="str">
        <f>_xlfn.XLOOKUP(role_course_map[[#This Row],[course_id]],course_data[course_id],course_data[topic],"")</f>
        <v>SAS: Staff development and experience</v>
      </c>
      <c r="F617" s="5" t="str">
        <f>_xlfn.XLOOKUP(role_course_map[[#This Row],[course_id]],course_data[course_id],course_data[type],"")</f>
        <v>Course</v>
      </c>
      <c r="K617" t="str">
        <f>role_course_map[[#This Row],[role_id]] &amp; "|" &amp; role_course_map[[#This Row],[course_id]]</f>
        <v>R0133|999096</v>
      </c>
      <c r="L617" t="str">
        <f>IF(COUNTIF(role_course_map[mapping_key],role_course_map[[#This Row],[mapping_key]])&gt;1,"DUPLICATE","OK")</f>
        <v>OK</v>
      </c>
      <c r="M617" t="str">
        <f>IF(COUNTIF(role_data[role_id],role_course_map[[#This Row],[role_id]])=0, "INVALID","VALID")</f>
        <v>VALID</v>
      </c>
      <c r="N617" t="str">
        <f>IF(COUNTIF(course_data[course_id],role_course_map[[#This Row],[course_id]])=0, "INVALID","VALID")</f>
        <v>VALID</v>
      </c>
    </row>
    <row r="618" spans="1:14" x14ac:dyDescent="0.35">
      <c r="A618" t="s">
        <v>278</v>
      </c>
      <c r="B618" s="5" t="str">
        <f>_xlfn.XLOOKUP(role_course_map[[#This Row],[role_id]], role_data[role_id], role_data[Role],"")</f>
        <v>EMRS Consultant</v>
      </c>
      <c r="C618">
        <v>999097</v>
      </c>
      <c r="D618" s="5" t="str">
        <f>_xlfn.XLOOKUP(role_course_map[[#This Row],[course_id]],course_data[course_id],course_data[title],"")</f>
        <v>Personal Wellbeing</v>
      </c>
      <c r="E618" s="5" t="str">
        <f>_xlfn.XLOOKUP(role_course_map[[#This Row],[course_id]],course_data[course_id],course_data[topic],"")</f>
        <v>SAS: Staff development and experience</v>
      </c>
      <c r="F618" s="5" t="str">
        <f>_xlfn.XLOOKUP(role_course_map[[#This Row],[course_id]],course_data[course_id],course_data[type],"")</f>
        <v>eLearning</v>
      </c>
      <c r="K618" t="str">
        <f>role_course_map[[#This Row],[role_id]] &amp; "|" &amp; role_course_map[[#This Row],[course_id]]</f>
        <v>R0133|999097</v>
      </c>
      <c r="L618" t="str">
        <f>IF(COUNTIF(role_course_map[mapping_key],role_course_map[[#This Row],[mapping_key]])&gt;1,"DUPLICATE","OK")</f>
        <v>OK</v>
      </c>
      <c r="M618" t="str">
        <f>IF(COUNTIF(role_data[role_id],role_course_map[[#This Row],[role_id]])=0, "INVALID","VALID")</f>
        <v>VALID</v>
      </c>
      <c r="N618" t="str">
        <f>IF(COUNTIF(course_data[course_id],role_course_map[[#This Row],[course_id]])=0, "INVALID","VALID")</f>
        <v>VALID</v>
      </c>
    </row>
    <row r="619" spans="1:14" x14ac:dyDescent="0.35">
      <c r="A619" t="s">
        <v>278</v>
      </c>
      <c r="B619" s="5" t="str">
        <f>_xlfn.XLOOKUP(role_course_map[[#This Row],[role_id]], role_data[role_id], role_data[Role],"")</f>
        <v>EMRS Consultant</v>
      </c>
      <c r="C619">
        <v>79147</v>
      </c>
      <c r="D619" s="5" t="str">
        <f>_xlfn.XLOOKUP(role_course_map[[#This Row],[course_id]],course_data[course_id],course_data[title],"")</f>
        <v>Driving risks at work</v>
      </c>
      <c r="E619" s="5" t="str">
        <f>_xlfn.XLOOKUP(role_course_map[[#This Row],[course_id]],course_data[course_id],course_data[topic],"")</f>
        <v>SAS : Health and Safety</v>
      </c>
      <c r="F619" s="5" t="str">
        <f>_xlfn.XLOOKUP(role_course_map[[#This Row],[course_id]],course_data[course_id],course_data[type],"")</f>
        <v>eLearning</v>
      </c>
      <c r="K619" t="str">
        <f>role_course_map[[#This Row],[role_id]] &amp; "|" &amp; role_course_map[[#This Row],[course_id]]</f>
        <v>R0133|79147</v>
      </c>
      <c r="L619" t="str">
        <f>IF(COUNTIF(role_course_map[mapping_key],role_course_map[[#This Row],[mapping_key]])&gt;1,"DUPLICATE","OK")</f>
        <v>OK</v>
      </c>
      <c r="M619" t="str">
        <f>IF(COUNTIF(role_data[role_id],role_course_map[[#This Row],[role_id]])=0, "INVALID","VALID")</f>
        <v>VALID</v>
      </c>
      <c r="N619" t="str">
        <f>IF(COUNTIF(course_data[course_id],role_course_map[[#This Row],[course_id]])=0, "INVALID","VALID")</f>
        <v>VALID</v>
      </c>
    </row>
    <row r="620" spans="1:14" x14ac:dyDescent="0.35">
      <c r="A620" t="s">
        <v>276</v>
      </c>
      <c r="B620" s="5" t="str">
        <f>_xlfn.XLOOKUP(role_course_map[[#This Row],[role_id]], role_data[role_id], role_data[Role],"")</f>
        <v>EMRS Advanced Retrieval Practitioner</v>
      </c>
      <c r="C620">
        <v>999060</v>
      </c>
      <c r="D620" s="5" t="str">
        <f>_xlfn.XLOOKUP(role_course_map[[#This Row],[course_id]],course_data[course_id],course_data[title],"")</f>
        <v>COSHH</v>
      </c>
      <c r="E620" s="5" t="str">
        <f>_xlfn.XLOOKUP(role_course_map[[#This Row],[course_id]],course_data[course_id],course_data[topic],"")</f>
        <v>SAS : Health and Safety</v>
      </c>
      <c r="F620" s="5" t="str">
        <f>_xlfn.XLOOKUP(role_course_map[[#This Row],[course_id]],course_data[course_id],course_data[type],"")</f>
        <v>eLearning</v>
      </c>
      <c r="K620" t="str">
        <f>role_course_map[[#This Row],[role_id]] &amp; "|" &amp; role_course_map[[#This Row],[course_id]]</f>
        <v>R0132|999060</v>
      </c>
      <c r="L620" t="str">
        <f>IF(COUNTIF(role_course_map[mapping_key],role_course_map[[#This Row],[mapping_key]])&gt;1,"DUPLICATE","OK")</f>
        <v>OK</v>
      </c>
      <c r="M620" t="str">
        <f>IF(COUNTIF(role_data[role_id],role_course_map[[#This Row],[role_id]])=0, "INVALID","VALID")</f>
        <v>VALID</v>
      </c>
      <c r="N620" t="str">
        <f>IF(COUNTIF(course_data[course_id],role_course_map[[#This Row],[course_id]])=0, "INVALID","VALID")</f>
        <v>VALID</v>
      </c>
    </row>
    <row r="621" spans="1:14" x14ac:dyDescent="0.35">
      <c r="A621" t="s">
        <v>278</v>
      </c>
      <c r="B621" s="5" t="str">
        <f>_xlfn.XLOOKUP(role_course_map[[#This Row],[role_id]], role_data[role_id], role_data[Role],"")</f>
        <v>EMRS Consultant</v>
      </c>
      <c r="C621">
        <v>999066</v>
      </c>
      <c r="D621" s="5" t="str">
        <f>_xlfn.XLOOKUP(role_course_map[[#This Row],[course_id]],course_data[course_id],course_data[title],"")</f>
        <v>NRRD Update i.e. Major Incidents/Methane/ Multiple Casualities</v>
      </c>
      <c r="E621" s="5" t="str">
        <f>_xlfn.XLOOKUP(role_course_map[[#This Row],[course_id]],course_data[course_id],course_data[topic],"")</f>
        <v>SAS : National Risk and Resilience Department (NRRD)</v>
      </c>
      <c r="F621" s="5" t="str">
        <f>_xlfn.XLOOKUP(role_course_map[[#This Row],[course_id]],course_data[course_id],course_data[type],"")</f>
        <v>eLearning</v>
      </c>
      <c r="K621" t="str">
        <f>role_course_map[[#This Row],[role_id]] &amp; "|" &amp; role_course_map[[#This Row],[course_id]]</f>
        <v>R0133|999066</v>
      </c>
      <c r="L621" t="str">
        <f>IF(COUNTIF(role_course_map[mapping_key],role_course_map[[#This Row],[mapping_key]])&gt;1,"DUPLICATE","OK")</f>
        <v>OK</v>
      </c>
      <c r="M621" t="str">
        <f>IF(COUNTIF(role_data[role_id],role_course_map[[#This Row],[role_id]])=0, "INVALID","VALID")</f>
        <v>VALID</v>
      </c>
      <c r="N621" t="str">
        <f>IF(COUNTIF(course_data[course_id],role_course_map[[#This Row],[course_id]])=0, "INVALID","VALID")</f>
        <v>VALID</v>
      </c>
    </row>
    <row r="622" spans="1:14" x14ac:dyDescent="0.35">
      <c r="A622" t="s">
        <v>278</v>
      </c>
      <c r="B622" s="5" t="str">
        <f>_xlfn.XLOOKUP(role_course_map[[#This Row],[role_id]], role_data[role_id], role_data[Role],"")</f>
        <v>EMRS Consultant</v>
      </c>
      <c r="C622">
        <v>999025</v>
      </c>
      <c r="D622" s="5" t="str">
        <f>_xlfn.XLOOKUP(role_course_map[[#This Row],[course_id]],course_data[course_id],course_data[title],"")</f>
        <v>Professional Standards</v>
      </c>
      <c r="E622" s="5" t="str">
        <f>_xlfn.XLOOKUP(role_course_map[[#This Row],[course_id]],course_data[course_id],course_data[topic],"")</f>
        <v>SAS : Clinical Practice</v>
      </c>
      <c r="F622" s="5" t="str">
        <f>_xlfn.XLOOKUP(role_course_map[[#This Row],[course_id]],course_data[course_id],course_data[type],"")</f>
        <v>eLearning</v>
      </c>
      <c r="K622" t="str">
        <f>role_course_map[[#This Row],[role_id]] &amp; "|" &amp; role_course_map[[#This Row],[course_id]]</f>
        <v>R0133|999025</v>
      </c>
      <c r="L622" t="str">
        <f>IF(COUNTIF(role_course_map[mapping_key],role_course_map[[#This Row],[mapping_key]])&gt;1,"DUPLICATE","OK")</f>
        <v>OK</v>
      </c>
      <c r="M622" t="str">
        <f>IF(COUNTIF(role_data[role_id],role_course_map[[#This Row],[role_id]])=0, "INVALID","VALID")</f>
        <v>VALID</v>
      </c>
      <c r="N622" t="str">
        <f>IF(COUNTIF(course_data[course_id],role_course_map[[#This Row],[course_id]])=0, "INVALID","VALID")</f>
        <v>VALID</v>
      </c>
    </row>
    <row r="623" spans="1:14" x14ac:dyDescent="0.35">
      <c r="A623" t="s">
        <v>276</v>
      </c>
      <c r="B623" s="5" t="str">
        <f>_xlfn.XLOOKUP(role_course_map[[#This Row],[role_id]], role_data[role_id], role_data[Role],"")</f>
        <v>EMRS Advanced Retrieval Practitioner</v>
      </c>
      <c r="C623">
        <v>999026</v>
      </c>
      <c r="D623" s="5" t="str">
        <f>_xlfn.XLOOKUP(role_course_map[[#This Row],[course_id]],course_data[course_id],course_data[title],"")</f>
        <v>Communication Standards</v>
      </c>
      <c r="E623" s="5" t="str">
        <f>_xlfn.XLOOKUP(role_course_map[[#This Row],[course_id]],course_data[course_id],course_data[topic],"")</f>
        <v>SAS : Clinical Practice</v>
      </c>
      <c r="F623" s="5" t="str">
        <f>_xlfn.XLOOKUP(role_course_map[[#This Row],[course_id]],course_data[course_id],course_data[type],"")</f>
        <v>eLearning</v>
      </c>
      <c r="K623" t="str">
        <f>role_course_map[[#This Row],[role_id]] &amp; "|" &amp; role_course_map[[#This Row],[course_id]]</f>
        <v>R0132|999026</v>
      </c>
      <c r="L623" t="str">
        <f>IF(COUNTIF(role_course_map[mapping_key],role_course_map[[#This Row],[mapping_key]])&gt;1,"DUPLICATE","OK")</f>
        <v>OK</v>
      </c>
      <c r="M623" t="str">
        <f>IF(COUNTIF(role_data[role_id],role_course_map[[#This Row],[role_id]])=0, "INVALID","VALID")</f>
        <v>VALID</v>
      </c>
      <c r="N623" t="str">
        <f>IF(COUNTIF(course_data[course_id],role_course_map[[#This Row],[course_id]])=0, "INVALID","VALID")</f>
        <v>VALID</v>
      </c>
    </row>
    <row r="624" spans="1:14" x14ac:dyDescent="0.35">
      <c r="A624" t="s">
        <v>278</v>
      </c>
      <c r="B624" s="5" t="str">
        <f>_xlfn.XLOOKUP(role_course_map[[#This Row],[role_id]], role_data[role_id], role_data[Role],"")</f>
        <v>EMRS Consultant</v>
      </c>
      <c r="C624">
        <v>999058</v>
      </c>
      <c r="D624" s="5" t="str">
        <f>_xlfn.XLOOKUP(role_course_map[[#This Row],[course_id]],course_data[course_id],course_data[title],"")</f>
        <v>Stress Identification &amp; Stress Management</v>
      </c>
      <c r="E624" s="5" t="str">
        <f>_xlfn.XLOOKUP(role_course_map[[#This Row],[course_id]],course_data[course_id],course_data[topic],"")</f>
        <v>SAS : Health and Safety</v>
      </c>
      <c r="F624" s="5" t="str">
        <f>_xlfn.XLOOKUP(role_course_map[[#This Row],[course_id]],course_data[course_id],course_data[type],"")</f>
        <v>eLearning</v>
      </c>
      <c r="K624" t="str">
        <f>role_course_map[[#This Row],[role_id]] &amp; "|" &amp; role_course_map[[#This Row],[course_id]]</f>
        <v>R0133|999058</v>
      </c>
      <c r="L624" t="str">
        <f>IF(COUNTIF(role_course_map[mapping_key],role_course_map[[#This Row],[mapping_key]])&gt;1,"DUPLICATE","OK")</f>
        <v>OK</v>
      </c>
      <c r="M624" t="str">
        <f>IF(COUNTIF(role_data[role_id],role_course_map[[#This Row],[role_id]])=0, "INVALID","VALID")</f>
        <v>VALID</v>
      </c>
      <c r="N624" t="str">
        <f>IF(COUNTIF(course_data[course_id],role_course_map[[#This Row],[course_id]])=0, "INVALID","VALID")</f>
        <v>VALID</v>
      </c>
    </row>
    <row r="625" spans="1:14" x14ac:dyDescent="0.35">
      <c r="A625" t="s">
        <v>276</v>
      </c>
      <c r="B625" s="5" t="str">
        <f>_xlfn.XLOOKUP(role_course_map[[#This Row],[role_id]], role_data[role_id], role_data[Role],"")</f>
        <v>EMRS Advanced Retrieval Practitioner</v>
      </c>
      <c r="C625">
        <v>999056</v>
      </c>
      <c r="D625" s="5" t="str">
        <f>_xlfn.XLOOKUP(role_course_map[[#This Row],[course_id]],course_data[course_id],course_data[title],"")</f>
        <v>Driver Assessment &amp; Training</v>
      </c>
      <c r="E625" s="5" t="str">
        <f>_xlfn.XLOOKUP(role_course_map[[#This Row],[course_id]],course_data[course_id],course_data[topic],"")</f>
        <v>SAS : Health and Safety</v>
      </c>
      <c r="F625" s="5" t="str">
        <f>_xlfn.XLOOKUP(role_course_map[[#This Row],[course_id]],course_data[course_id],course_data[type],"")</f>
        <v>eLearning</v>
      </c>
      <c r="K625" t="str">
        <f>role_course_map[[#This Row],[role_id]] &amp; "|" &amp; role_course_map[[#This Row],[course_id]]</f>
        <v>R0132|999056</v>
      </c>
      <c r="L625" t="str">
        <f>IF(COUNTIF(role_course_map[mapping_key],role_course_map[[#This Row],[mapping_key]])&gt;1,"DUPLICATE","OK")</f>
        <v>OK</v>
      </c>
      <c r="M625" t="str">
        <f>IF(COUNTIF(role_data[role_id],role_course_map[[#This Row],[role_id]])=0, "INVALID","VALID")</f>
        <v>VALID</v>
      </c>
      <c r="N625" t="str">
        <f>IF(COUNTIF(course_data[course_id],role_course_map[[#This Row],[course_id]])=0, "INVALID","VALID")</f>
        <v>VALID</v>
      </c>
    </row>
    <row r="626" spans="1:14" x14ac:dyDescent="0.35">
      <c r="A626" t="s">
        <v>278</v>
      </c>
      <c r="B626" s="5" t="str">
        <f>_xlfn.XLOOKUP(role_course_map[[#This Row],[role_id]], role_data[role_id], role_data[Role],"")</f>
        <v>EMRS Consultant</v>
      </c>
      <c r="C626">
        <v>999061</v>
      </c>
      <c r="D626" s="5" t="str">
        <f>_xlfn.XLOOKUP(role_course_map[[#This Row],[course_id]],course_data[course_id],course_data[title],"")</f>
        <v>Skin Awareness</v>
      </c>
      <c r="E626" s="5" t="str">
        <f>_xlfn.XLOOKUP(role_course_map[[#This Row],[course_id]],course_data[course_id],course_data[topic],"")</f>
        <v>SAS : Health and Safety</v>
      </c>
      <c r="F626" s="5" t="str">
        <f>_xlfn.XLOOKUP(role_course_map[[#This Row],[course_id]],course_data[course_id],course_data[type],"")</f>
        <v>eLearning</v>
      </c>
      <c r="K626" t="str">
        <f>role_course_map[[#This Row],[role_id]] &amp; "|" &amp; role_course_map[[#This Row],[course_id]]</f>
        <v>R0133|999061</v>
      </c>
      <c r="L626" t="str">
        <f>IF(COUNTIF(role_course_map[mapping_key],role_course_map[[#This Row],[mapping_key]])&gt;1,"DUPLICATE","OK")</f>
        <v>OK</v>
      </c>
      <c r="M626" t="str">
        <f>IF(COUNTIF(role_data[role_id],role_course_map[[#This Row],[role_id]])=0, "INVALID","VALID")</f>
        <v>VALID</v>
      </c>
      <c r="N626" t="str">
        <f>IF(COUNTIF(course_data[course_id],role_course_map[[#This Row],[course_id]])=0, "INVALID","VALID")</f>
        <v>VALID</v>
      </c>
    </row>
    <row r="627" spans="1:14" x14ac:dyDescent="0.35">
      <c r="A627" t="s">
        <v>276</v>
      </c>
      <c r="B627" s="5" t="str">
        <f>_xlfn.XLOOKUP(role_course_map[[#This Row],[role_id]], role_data[role_id], role_data[Role],"")</f>
        <v>EMRS Advanced Retrieval Practitioner</v>
      </c>
      <c r="C627">
        <v>999057</v>
      </c>
      <c r="D627" s="5" t="str">
        <f>_xlfn.XLOOKUP(role_course_map[[#This Row],[course_id]],course_data[course_id],course_data[title],"")</f>
        <v>Fatigue Awareness</v>
      </c>
      <c r="E627" s="5" t="str">
        <f>_xlfn.XLOOKUP(role_course_map[[#This Row],[course_id]],course_data[course_id],course_data[topic],"")</f>
        <v>SAS : Health and Safety</v>
      </c>
      <c r="F627" s="5" t="str">
        <f>_xlfn.XLOOKUP(role_course_map[[#This Row],[course_id]],course_data[course_id],course_data[type],"")</f>
        <v>eLearning</v>
      </c>
      <c r="K627" t="str">
        <f>role_course_map[[#This Row],[role_id]] &amp; "|" &amp; role_course_map[[#This Row],[course_id]]</f>
        <v>R0132|999057</v>
      </c>
      <c r="L627" t="str">
        <f>IF(COUNTIF(role_course_map[mapping_key],role_course_map[[#This Row],[mapping_key]])&gt;1,"DUPLICATE","OK")</f>
        <v>OK</v>
      </c>
      <c r="M627" t="str">
        <f>IF(COUNTIF(role_data[role_id],role_course_map[[#This Row],[role_id]])=0, "INVALID","VALID")</f>
        <v>VALID</v>
      </c>
      <c r="N627" t="str">
        <f>IF(COUNTIF(course_data[course_id],role_course_map[[#This Row],[course_id]])=0, "INVALID","VALID")</f>
        <v>VALID</v>
      </c>
    </row>
    <row r="628" spans="1:14" x14ac:dyDescent="0.35">
      <c r="A628" t="s">
        <v>278</v>
      </c>
      <c r="B628" s="5" t="str">
        <f>_xlfn.XLOOKUP(role_course_map[[#This Row],[role_id]], role_data[role_id], role_data[Role],"")</f>
        <v>EMRS Consultant</v>
      </c>
      <c r="C628">
        <v>999027</v>
      </c>
      <c r="D628" s="5" t="str">
        <f>_xlfn.XLOOKUP(role_course_map[[#This Row],[course_id]],course_data[course_id],course_data[title],"")</f>
        <v>Manual and Patient Handling Foundation Training - Level 2</v>
      </c>
      <c r="E628" s="5" t="str">
        <f>_xlfn.XLOOKUP(role_course_map[[#This Row],[course_id]],course_data[course_id],course_data[topic],"")</f>
        <v>SAS : Clinical Practice</v>
      </c>
      <c r="F628" s="5" t="str">
        <f>_xlfn.XLOOKUP(role_course_map[[#This Row],[course_id]],course_data[course_id],course_data[type],"")</f>
        <v>Course</v>
      </c>
      <c r="K628" t="str">
        <f>role_course_map[[#This Row],[role_id]] &amp; "|" &amp; role_course_map[[#This Row],[course_id]]</f>
        <v>R0133|999027</v>
      </c>
      <c r="L628" t="str">
        <f>IF(COUNTIF(role_course_map[mapping_key],role_course_map[[#This Row],[mapping_key]])&gt;1,"DUPLICATE","OK")</f>
        <v>OK</v>
      </c>
      <c r="M628" t="str">
        <f>IF(COUNTIF(role_data[role_id],role_course_map[[#This Row],[role_id]])=0, "INVALID","VALID")</f>
        <v>VALID</v>
      </c>
      <c r="N628" t="str">
        <f>IF(COUNTIF(course_data[course_id],role_course_map[[#This Row],[course_id]])=0, "INVALID","VALID")</f>
        <v>VALID</v>
      </c>
    </row>
    <row r="629" spans="1:14" x14ac:dyDescent="0.35">
      <c r="A629" t="s">
        <v>278</v>
      </c>
      <c r="B629" s="5" t="str">
        <f>_xlfn.XLOOKUP(role_course_map[[#This Row],[role_id]], role_data[role_id], role_data[Role],"")</f>
        <v>EMRS Consultant</v>
      </c>
      <c r="C629">
        <v>999028</v>
      </c>
      <c r="D629" s="5" t="str">
        <f>_xlfn.XLOOKUP(role_course_map[[#This Row],[course_id]],course_data[course_id],course_data[title],"")</f>
        <v>Manual and Patient Handling Competency Assessment - Level 3</v>
      </c>
      <c r="E629" s="5" t="str">
        <f>_xlfn.XLOOKUP(role_course_map[[#This Row],[course_id]],course_data[course_id],course_data[topic],"")</f>
        <v>SAS : Clinical Practice</v>
      </c>
      <c r="F629" s="5" t="str">
        <f>_xlfn.XLOOKUP(role_course_map[[#This Row],[course_id]],course_data[course_id],course_data[type],"")</f>
        <v>Course</v>
      </c>
      <c r="K629" t="str">
        <f>role_course_map[[#This Row],[role_id]] &amp; "|" &amp; role_course_map[[#This Row],[course_id]]</f>
        <v>R0133|999028</v>
      </c>
      <c r="L629" t="str">
        <f>IF(COUNTIF(role_course_map[mapping_key],role_course_map[[#This Row],[mapping_key]])&gt;1,"DUPLICATE","OK")</f>
        <v>OK</v>
      </c>
      <c r="M629" t="str">
        <f>IF(COUNTIF(role_data[role_id],role_course_map[[#This Row],[role_id]])=0, "INVALID","VALID")</f>
        <v>VALID</v>
      </c>
      <c r="N629" t="str">
        <f>IF(COUNTIF(course_data[course_id],role_course_map[[#This Row],[course_id]])=0, "INVALID","VALID")</f>
        <v>VALID</v>
      </c>
    </row>
    <row r="630" spans="1:14" x14ac:dyDescent="0.35">
      <c r="A630" t="s">
        <v>278</v>
      </c>
      <c r="B630" s="5" t="str">
        <f>_xlfn.XLOOKUP(role_course_map[[#This Row],[role_id]], role_data[role_id], role_data[Role],"")</f>
        <v>EMRS Consultant</v>
      </c>
      <c r="C630">
        <v>999029</v>
      </c>
      <c r="D630" s="5" t="str">
        <f>_xlfn.XLOOKUP(role_course_map[[#This Row],[course_id]],course_data[course_id],course_data[title],"")</f>
        <v>Manual and Patient Handling Competency Assessment Theory - Level 3</v>
      </c>
      <c r="E630" s="5" t="str">
        <f>_xlfn.XLOOKUP(role_course_map[[#This Row],[course_id]],course_data[course_id],course_data[topic],"")</f>
        <v>SAS : Clinical Practice</v>
      </c>
      <c r="F630" s="5" t="str">
        <f>_xlfn.XLOOKUP(role_course_map[[#This Row],[course_id]],course_data[course_id],course_data[type],"")</f>
        <v>Course</v>
      </c>
      <c r="K630" t="str">
        <f>role_course_map[[#This Row],[role_id]] &amp; "|" &amp; role_course_map[[#This Row],[course_id]]</f>
        <v>R0133|999029</v>
      </c>
      <c r="L630" t="str">
        <f>IF(COUNTIF(role_course_map[mapping_key],role_course_map[[#This Row],[mapping_key]])&gt;1,"DUPLICATE","OK")</f>
        <v>OK</v>
      </c>
      <c r="M630" t="str">
        <f>IF(COUNTIF(role_data[role_id],role_course_map[[#This Row],[role_id]])=0, "INVALID","VALID")</f>
        <v>VALID</v>
      </c>
      <c r="N630" t="str">
        <f>IF(COUNTIF(course_data[course_id],role_course_map[[#This Row],[course_id]])=0, "INVALID","VALID")</f>
        <v>VALID</v>
      </c>
    </row>
    <row r="631" spans="1:14" x14ac:dyDescent="0.35">
      <c r="A631" t="s">
        <v>278</v>
      </c>
      <c r="B631" s="5" t="str">
        <f>_xlfn.XLOOKUP(role_course_map[[#This Row],[role_id]], role_data[role_id], role_data[Role],"")</f>
        <v>EMRS Consultant</v>
      </c>
      <c r="C631" t="s">
        <v>659</v>
      </c>
      <c r="D631" s="5" t="str">
        <f>_xlfn.XLOOKUP(role_course_map[[#This Row],[course_id]],course_data[course_id],course_data[title],"")</f>
        <v>Prevention and Management of Violence and Aggression - Breakaway training Level 2 /Restrictive movement Level 3</v>
      </c>
      <c r="E631" s="5" t="str">
        <f>_xlfn.XLOOKUP(role_course_map[[#This Row],[course_id]],course_data[course_id],course_data[topic],"")</f>
        <v>SAS : Health and Safety</v>
      </c>
      <c r="F631" s="5" t="str">
        <f>_xlfn.XLOOKUP(role_course_map[[#This Row],[course_id]],course_data[course_id],course_data[type],"")</f>
        <v>Course</v>
      </c>
      <c r="K631" t="str">
        <f>role_course_map[[#This Row],[role_id]] &amp; "|" &amp; role_course_map[[#This Row],[course_id]]</f>
        <v>R0133|2025-6 edition</v>
      </c>
      <c r="L631" t="str">
        <f>IF(COUNTIF(role_course_map[mapping_key],role_course_map[[#This Row],[mapping_key]])&gt;1,"DUPLICATE","OK")</f>
        <v>OK</v>
      </c>
      <c r="M631" t="str">
        <f>IF(COUNTIF(role_data[role_id],role_course_map[[#This Row],[role_id]])=0, "INVALID","VALID")</f>
        <v>VALID</v>
      </c>
      <c r="N631" t="str">
        <f>IF(COUNTIF(course_data[course_id],role_course_map[[#This Row],[course_id]])=0, "INVALID","VALID")</f>
        <v>VALID</v>
      </c>
    </row>
    <row r="632" spans="1:14" x14ac:dyDescent="0.35">
      <c r="A632" t="s">
        <v>278</v>
      </c>
      <c r="B632" s="5" t="str">
        <f>_xlfn.XLOOKUP(role_course_map[[#This Row],[role_id]], role_data[role_id], role_data[Role],"")</f>
        <v>EMRS Consultant</v>
      </c>
      <c r="C632">
        <v>999055</v>
      </c>
      <c r="D632" s="5" t="str">
        <f>_xlfn.XLOOKUP(role_course_map[[#This Row],[course_id]],course_data[course_id],course_data[title],"")</f>
        <v>Prevention and Management of Violence and Aggression - Refresher</v>
      </c>
      <c r="E632" s="5" t="str">
        <f>_xlfn.XLOOKUP(role_course_map[[#This Row],[course_id]],course_data[course_id],course_data[topic],"")</f>
        <v>SAS : Health and Safety</v>
      </c>
      <c r="F632" s="5" t="str">
        <f>_xlfn.XLOOKUP(role_course_map[[#This Row],[course_id]],course_data[course_id],course_data[type],"")</f>
        <v>Course</v>
      </c>
      <c r="K632" t="str">
        <f>role_course_map[[#This Row],[role_id]] &amp; "|" &amp; role_course_map[[#This Row],[course_id]]</f>
        <v>R0133|999055</v>
      </c>
      <c r="L632" t="str">
        <f>IF(COUNTIF(role_course_map[mapping_key],role_course_map[[#This Row],[mapping_key]])&gt;1,"DUPLICATE","OK")</f>
        <v>OK</v>
      </c>
      <c r="M632" t="str">
        <f>IF(COUNTIF(role_data[role_id],role_course_map[[#This Row],[role_id]])=0, "INVALID","VALID")</f>
        <v>VALID</v>
      </c>
      <c r="N632" t="str">
        <f>IF(COUNTIF(course_data[course_id],role_course_map[[#This Row],[course_id]])=0, "INVALID","VALID")</f>
        <v>VALID</v>
      </c>
    </row>
    <row r="633" spans="1:14" x14ac:dyDescent="0.35">
      <c r="A633" t="s">
        <v>278</v>
      </c>
      <c r="B633" s="5" t="str">
        <f>_xlfn.XLOOKUP(role_course_map[[#This Row],[role_id]], role_data[role_id], role_data[Role],"")</f>
        <v>EMRS Consultant</v>
      </c>
      <c r="C633">
        <v>64322</v>
      </c>
      <c r="D633" s="5" t="str">
        <f>_xlfn.XLOOKUP(role_course_map[[#This Row],[course_id]],course_data[course_id],course_data[title],"")</f>
        <v>Adult support and protection: practice level 2 [skilled]</v>
      </c>
      <c r="E633" s="5" t="str">
        <f>_xlfn.XLOOKUP(role_course_map[[#This Row],[course_id]],course_data[course_id],course_data[topic],"")</f>
        <v>SAS : Public Protection</v>
      </c>
      <c r="F633" s="5" t="str">
        <f>_xlfn.XLOOKUP(role_course_map[[#This Row],[course_id]],course_data[course_id],course_data[type],"")</f>
        <v>eLearning</v>
      </c>
      <c r="K633" t="str">
        <f>role_course_map[[#This Row],[role_id]] &amp; "|" &amp; role_course_map[[#This Row],[course_id]]</f>
        <v>R0133|64322</v>
      </c>
      <c r="L633" t="str">
        <f>IF(COUNTIF(role_course_map[mapping_key],role_course_map[[#This Row],[mapping_key]])&gt;1,"DUPLICATE","OK")</f>
        <v>OK</v>
      </c>
      <c r="M633" t="str">
        <f>IF(COUNTIF(role_data[role_id],role_course_map[[#This Row],[role_id]])=0, "INVALID","VALID")</f>
        <v>VALID</v>
      </c>
      <c r="N633" t="str">
        <f>IF(COUNTIF(course_data[course_id],role_course_map[[#This Row],[course_id]])=0, "INVALID","VALID")</f>
        <v>VALID</v>
      </c>
    </row>
    <row r="634" spans="1:14" x14ac:dyDescent="0.35">
      <c r="A634" t="s">
        <v>278</v>
      </c>
      <c r="B634" s="5" t="str">
        <f>_xlfn.XLOOKUP(role_course_map[[#This Row],[role_id]], role_data[role_id], role_data[Role],"")</f>
        <v>EMRS Consultant</v>
      </c>
      <c r="C634">
        <v>64324</v>
      </c>
      <c r="D634" s="5" t="str">
        <f>_xlfn.XLOOKUP(role_course_map[[#This Row],[course_id]],course_data[course_id],course_data[title],"")</f>
        <v>Child protection: practice level 2 [skilled]</v>
      </c>
      <c r="E634" s="5" t="str">
        <f>_xlfn.XLOOKUP(role_course_map[[#This Row],[course_id]],course_data[course_id],course_data[topic],"")</f>
        <v>SAS : Public Protection</v>
      </c>
      <c r="F634" s="5" t="str">
        <f>_xlfn.XLOOKUP(role_course_map[[#This Row],[course_id]],course_data[course_id],course_data[type],"")</f>
        <v>eLearning</v>
      </c>
      <c r="K634" t="str">
        <f>role_course_map[[#This Row],[role_id]] &amp; "|" &amp; role_course_map[[#This Row],[course_id]]</f>
        <v>R0133|64324</v>
      </c>
      <c r="L634" t="str">
        <f>IF(COUNTIF(role_course_map[mapping_key],role_course_map[[#This Row],[mapping_key]])&gt;1,"DUPLICATE","OK")</f>
        <v>OK</v>
      </c>
      <c r="M634" t="str">
        <f>IF(COUNTIF(role_data[role_id],role_course_map[[#This Row],[role_id]])=0, "INVALID","VALID")</f>
        <v>VALID</v>
      </c>
      <c r="N634" t="str">
        <f>IF(COUNTIF(course_data[course_id],role_course_map[[#This Row],[course_id]])=0, "INVALID","VALID")</f>
        <v>VALID</v>
      </c>
    </row>
    <row r="635" spans="1:14" x14ac:dyDescent="0.35">
      <c r="A635" t="s">
        <v>276</v>
      </c>
      <c r="B635" s="5" t="str">
        <f>_xlfn.XLOOKUP(role_course_map[[#This Row],[role_id]], role_data[role_id], role_data[Role],"")</f>
        <v>EMRS Advanced Retrieval Practitioner</v>
      </c>
      <c r="C635">
        <v>76716</v>
      </c>
      <c r="D635" s="5" t="str">
        <f>_xlfn.XLOOKUP(role_course_map[[#This Row],[course_id]],course_data[course_id],course_data[title],"")</f>
        <v>Domestic abuse awareness training tool (DAART)</v>
      </c>
      <c r="E635" s="5" t="str">
        <f>_xlfn.XLOOKUP(role_course_map[[#This Row],[course_id]],course_data[course_id],course_data[topic],"")</f>
        <v>SAS : Public Protection</v>
      </c>
      <c r="F635" s="5" t="str">
        <f>_xlfn.XLOOKUP(role_course_map[[#This Row],[course_id]],course_data[course_id],course_data[type],"")</f>
        <v>eLearning</v>
      </c>
      <c r="K635" t="str">
        <f>role_course_map[[#This Row],[role_id]] &amp; "|" &amp; role_course_map[[#This Row],[course_id]]</f>
        <v>R0132|76716</v>
      </c>
      <c r="L635" t="str">
        <f>IF(COUNTIF(role_course_map[mapping_key],role_course_map[[#This Row],[mapping_key]])&gt;1,"DUPLICATE","OK")</f>
        <v>OK</v>
      </c>
      <c r="M635" t="str">
        <f>IF(COUNTIF(role_data[role_id],role_course_map[[#This Row],[role_id]])=0, "INVALID","VALID")</f>
        <v>VALID</v>
      </c>
      <c r="N635" t="str">
        <f>IF(COUNTIF(course_data[course_id],role_course_map[[#This Row],[course_id]])=0, "INVALID","VALID")</f>
        <v>VALID</v>
      </c>
    </row>
    <row r="636" spans="1:14" x14ac:dyDescent="0.35">
      <c r="A636" t="s">
        <v>278</v>
      </c>
      <c r="B636" s="5" t="str">
        <f>_xlfn.XLOOKUP(role_course_map[[#This Row],[role_id]], role_data[role_id], role_data[Role],"")</f>
        <v>EMRS Consultant</v>
      </c>
      <c r="C636">
        <v>79666</v>
      </c>
      <c r="D636" s="5" t="str">
        <f>_xlfn.XLOOKUP(role_course_map[[#This Row],[course_id]],course_data[course_id],course_data[title],"")</f>
        <v>Getting it right for every child (GIRFEC): informed level</v>
      </c>
      <c r="E636" s="5" t="str">
        <f>_xlfn.XLOOKUP(role_course_map[[#This Row],[course_id]],course_data[course_id],course_data[topic],"")</f>
        <v>SAS : Public Protection</v>
      </c>
      <c r="F636" s="5" t="str">
        <f>_xlfn.XLOOKUP(role_course_map[[#This Row],[course_id]],course_data[course_id],course_data[type],"")</f>
        <v>eLearning</v>
      </c>
      <c r="K636" t="str">
        <f>role_course_map[[#This Row],[role_id]] &amp; "|" &amp; role_course_map[[#This Row],[course_id]]</f>
        <v>R0133|79666</v>
      </c>
      <c r="L636" t="str">
        <f>IF(COUNTIF(role_course_map[mapping_key],role_course_map[[#This Row],[mapping_key]])&gt;1,"DUPLICATE","OK")</f>
        <v>OK</v>
      </c>
      <c r="M636" t="str">
        <f>IF(COUNTIF(role_data[role_id],role_course_map[[#This Row],[role_id]])=0, "INVALID","VALID")</f>
        <v>VALID</v>
      </c>
      <c r="N636" t="str">
        <f>IF(COUNTIF(course_data[course_id],role_course_map[[#This Row],[course_id]])=0, "INVALID","VALID")</f>
        <v>VALID</v>
      </c>
    </row>
    <row r="637" spans="1:14" x14ac:dyDescent="0.35">
      <c r="A637" t="s">
        <v>278</v>
      </c>
      <c r="B637" s="5" t="str">
        <f>_xlfn.XLOOKUP(role_course_map[[#This Row],[role_id]], role_data[role_id], role_data[Role],"")</f>
        <v>EMRS Consultant</v>
      </c>
      <c r="C637">
        <v>999074</v>
      </c>
      <c r="D637" s="5" t="str">
        <f>_xlfn.XLOOKUP(role_course_map[[#This Row],[course_id]],course_data[course_id],course_data[title],"")</f>
        <v>SAS-specific Children’s rights</v>
      </c>
      <c r="E637" s="5" t="str">
        <f>_xlfn.XLOOKUP(role_course_map[[#This Row],[course_id]],course_data[course_id],course_data[topic],"")</f>
        <v>SAS : Public Protection</v>
      </c>
      <c r="F637" s="5" t="str">
        <f>_xlfn.XLOOKUP(role_course_map[[#This Row],[course_id]],course_data[course_id],course_data[type],"")</f>
        <v>eLearning</v>
      </c>
      <c r="K637" t="str">
        <f>role_course_map[[#This Row],[role_id]] &amp; "|" &amp; role_course_map[[#This Row],[course_id]]</f>
        <v>R0133|999074</v>
      </c>
      <c r="L637" t="str">
        <f>IF(COUNTIF(role_course_map[mapping_key],role_course_map[[#This Row],[mapping_key]])&gt;1,"DUPLICATE","OK")</f>
        <v>OK</v>
      </c>
      <c r="M637" t="str">
        <f>IF(COUNTIF(role_data[role_id],role_course_map[[#This Row],[role_id]])=0, "INVALID","VALID")</f>
        <v>VALID</v>
      </c>
      <c r="N637" t="str">
        <f>IF(COUNTIF(course_data[course_id],role_course_map[[#This Row],[course_id]])=0, "INVALID","VALID")</f>
        <v>VALID</v>
      </c>
    </row>
    <row r="638" spans="1:14" x14ac:dyDescent="0.35">
      <c r="A638" t="s">
        <v>278</v>
      </c>
      <c r="B638" s="5" t="str">
        <f>_xlfn.XLOOKUP(role_course_map[[#This Row],[role_id]], role_data[role_id], role_data[Role],"")</f>
        <v>EMRS Consultant</v>
      </c>
      <c r="C638">
        <v>999075</v>
      </c>
      <c r="D638" s="5" t="str">
        <f>_xlfn.XLOOKUP(role_course_map[[#This Row],[course_id]],course_data[course_id],course_data[title],"")</f>
        <v>Multiagency local or bespoke Level 3 delivery training</v>
      </c>
      <c r="E638" s="5" t="str">
        <f>_xlfn.XLOOKUP(role_course_map[[#This Row],[course_id]],course_data[course_id],course_data[topic],"")</f>
        <v>SAS : Public Protection</v>
      </c>
      <c r="F638" s="5" t="str">
        <f>_xlfn.XLOOKUP(role_course_map[[#This Row],[course_id]],course_data[course_id],course_data[type],"")</f>
        <v>eLearning</v>
      </c>
      <c r="K638" t="str">
        <f>role_course_map[[#This Row],[role_id]] &amp; "|" &amp; role_course_map[[#This Row],[course_id]]</f>
        <v>R0133|999075</v>
      </c>
      <c r="L638" t="str">
        <f>IF(COUNTIF(role_course_map[mapping_key],role_course_map[[#This Row],[mapping_key]])&gt;1,"DUPLICATE","OK")</f>
        <v>OK</v>
      </c>
      <c r="M638" t="str">
        <f>IF(COUNTIF(role_data[role_id],role_course_map[[#This Row],[role_id]])=0, "INVALID","VALID")</f>
        <v>VALID</v>
      </c>
      <c r="N638" t="str">
        <f>IF(COUNTIF(course_data[course_id],role_course_map[[#This Row],[course_id]])=0, "INVALID","VALID")</f>
        <v>VALID</v>
      </c>
    </row>
    <row r="639" spans="1:14" x14ac:dyDescent="0.35">
      <c r="A639" t="s">
        <v>278</v>
      </c>
      <c r="B639" s="5" t="str">
        <f>_xlfn.XLOOKUP(role_course_map[[#This Row],[role_id]], role_data[role_id], role_data[Role],"")</f>
        <v>EMRS Consultant</v>
      </c>
      <c r="C639">
        <v>15249</v>
      </c>
      <c r="D639" s="5" t="str">
        <f>_xlfn.XLOOKUP(role_course_map[[#This Row],[course_id]],course_data[course_id],course_data[title],"")</f>
        <v>Human trafficking</v>
      </c>
      <c r="E639" s="5" t="str">
        <f>_xlfn.XLOOKUP(role_course_map[[#This Row],[course_id]],course_data[course_id],course_data[topic],"")</f>
        <v>SAS : Public Protection</v>
      </c>
      <c r="F639" s="5" t="str">
        <f>_xlfn.XLOOKUP(role_course_map[[#This Row],[course_id]],course_data[course_id],course_data[type],"")</f>
        <v>eLearning</v>
      </c>
      <c r="K639" t="str">
        <f>role_course_map[[#This Row],[role_id]] &amp; "|" &amp; role_course_map[[#This Row],[course_id]]</f>
        <v>R0133|15249</v>
      </c>
      <c r="L639" t="str">
        <f>IF(COUNTIF(role_course_map[mapping_key],role_course_map[[#This Row],[mapping_key]])&gt;1,"DUPLICATE","OK")</f>
        <v>OK</v>
      </c>
      <c r="M639" t="str">
        <f>IF(COUNTIF(role_data[role_id],role_course_map[[#This Row],[role_id]])=0, "INVALID","VALID")</f>
        <v>VALID</v>
      </c>
      <c r="N639" t="str">
        <f>IF(COUNTIF(course_data[course_id],role_course_map[[#This Row],[course_id]])=0, "INVALID","VALID")</f>
        <v>VALID</v>
      </c>
    </row>
    <row r="640" spans="1:14" x14ac:dyDescent="0.35">
      <c r="A640" t="s">
        <v>278</v>
      </c>
      <c r="B640" s="5" t="str">
        <f>_xlfn.XLOOKUP(role_course_map[[#This Row],[role_id]], role_data[role_id], role_data[Role],"")</f>
        <v>EMRS Consultant</v>
      </c>
      <c r="C640">
        <v>89161</v>
      </c>
      <c r="D640" s="5" t="str">
        <f>_xlfn.XLOOKUP(role_course_map[[#This Row],[course_id]],course_data[course_id],course_data[title],"")</f>
        <v>Personal Protective Equipment</v>
      </c>
      <c r="E640" s="5" t="str">
        <f>_xlfn.XLOOKUP(role_course_map[[#This Row],[course_id]],course_data[course_id],course_data[topic],"")</f>
        <v>SAS : Infection Prevention and Control (IPC)</v>
      </c>
      <c r="F640" s="5" t="str">
        <f>_xlfn.XLOOKUP(role_course_map[[#This Row],[course_id]],course_data[course_id],course_data[type],"")</f>
        <v>eLearning</v>
      </c>
      <c r="K640" t="str">
        <f>role_course_map[[#This Row],[role_id]] &amp; "|" &amp; role_course_map[[#This Row],[course_id]]</f>
        <v>R0133|89161</v>
      </c>
      <c r="L640" t="str">
        <f>IF(COUNTIF(role_course_map[mapping_key],role_course_map[[#This Row],[mapping_key]])&gt;1,"DUPLICATE","OK")</f>
        <v>OK</v>
      </c>
      <c r="M640" t="str">
        <f>IF(COUNTIF(role_data[role_id],role_course_map[[#This Row],[role_id]])=0, "INVALID","VALID")</f>
        <v>VALID</v>
      </c>
      <c r="N640" t="str">
        <f>IF(COUNTIF(course_data[course_id],role_course_map[[#This Row],[course_id]])=0, "INVALID","VALID")</f>
        <v>VALID</v>
      </c>
    </row>
    <row r="641" spans="1:14" x14ac:dyDescent="0.35">
      <c r="A641" t="s">
        <v>278</v>
      </c>
      <c r="B641" s="5" t="str">
        <f>_xlfn.XLOOKUP(role_course_map[[#This Row],[role_id]], role_data[role_id], role_data[Role],"")</f>
        <v>EMRS Consultant</v>
      </c>
      <c r="C641">
        <v>89157</v>
      </c>
      <c r="D641" s="5" t="str">
        <f>_xlfn.XLOOKUP(role_course_map[[#This Row],[course_id]],course_data[course_id],course_data[title],"")</f>
        <v>Safe Management of Care Equipment</v>
      </c>
      <c r="E641" s="5" t="str">
        <f>_xlfn.XLOOKUP(role_course_map[[#This Row],[course_id]],course_data[course_id],course_data[topic],"")</f>
        <v>SAS : Infection Prevention and Control (IPC)</v>
      </c>
      <c r="F641" s="5" t="str">
        <f>_xlfn.XLOOKUP(role_course_map[[#This Row],[course_id]],course_data[course_id],course_data[type],"")</f>
        <v>eLearning</v>
      </c>
      <c r="K641" t="str">
        <f>role_course_map[[#This Row],[role_id]] &amp; "|" &amp; role_course_map[[#This Row],[course_id]]</f>
        <v>R0133|89157</v>
      </c>
      <c r="L641" t="str">
        <f>IF(COUNTIF(role_course_map[mapping_key],role_course_map[[#This Row],[mapping_key]])&gt;1,"DUPLICATE","OK")</f>
        <v>OK</v>
      </c>
      <c r="M641" t="str">
        <f>IF(COUNTIF(role_data[role_id],role_course_map[[#This Row],[role_id]])=0, "INVALID","VALID")</f>
        <v>VALID</v>
      </c>
      <c r="N641" t="str">
        <f>IF(COUNTIF(course_data[course_id],role_course_map[[#This Row],[course_id]])=0, "INVALID","VALID")</f>
        <v>VALID</v>
      </c>
    </row>
    <row r="642" spans="1:14" x14ac:dyDescent="0.35">
      <c r="A642" t="s">
        <v>278</v>
      </c>
      <c r="B642" s="5" t="str">
        <f>_xlfn.XLOOKUP(role_course_map[[#This Row],[role_id]], role_data[role_id], role_data[Role],"")</f>
        <v>EMRS Consultant</v>
      </c>
      <c r="C642">
        <v>89158</v>
      </c>
      <c r="D642" s="5" t="str">
        <f>_xlfn.XLOOKUP(role_course_map[[#This Row],[course_id]],course_data[course_id],course_data[title],"")</f>
        <v>Safe Management of Care Environment</v>
      </c>
      <c r="E642" s="5" t="str">
        <f>_xlfn.XLOOKUP(role_course_map[[#This Row],[course_id]],course_data[course_id],course_data[topic],"")</f>
        <v>SAS : Infection Prevention and Control (IPC)</v>
      </c>
      <c r="F642" s="5" t="str">
        <f>_xlfn.XLOOKUP(role_course_map[[#This Row],[course_id]],course_data[course_id],course_data[type],"")</f>
        <v>eLearning</v>
      </c>
      <c r="K642" t="str">
        <f>role_course_map[[#This Row],[role_id]] &amp; "|" &amp; role_course_map[[#This Row],[course_id]]</f>
        <v>R0133|89158</v>
      </c>
      <c r="L642" t="str">
        <f>IF(COUNTIF(role_course_map[mapping_key],role_course_map[[#This Row],[mapping_key]])&gt;1,"DUPLICATE","OK")</f>
        <v>OK</v>
      </c>
      <c r="M642" t="str">
        <f>IF(COUNTIF(role_data[role_id],role_course_map[[#This Row],[role_id]])=0, "INVALID","VALID")</f>
        <v>VALID</v>
      </c>
      <c r="N642" t="str">
        <f>IF(COUNTIF(course_data[course_id],role_course_map[[#This Row],[course_id]])=0, "INVALID","VALID")</f>
        <v>VALID</v>
      </c>
    </row>
    <row r="643" spans="1:14" x14ac:dyDescent="0.35">
      <c r="A643" t="s">
        <v>278</v>
      </c>
      <c r="B643" s="5" t="str">
        <f>_xlfn.XLOOKUP(role_course_map[[#This Row],[role_id]], role_data[role_id], role_data[Role],"")</f>
        <v>EMRS Consultant</v>
      </c>
      <c r="C643">
        <v>89159</v>
      </c>
      <c r="D643" s="5" t="str">
        <f>_xlfn.XLOOKUP(role_course_map[[#This Row],[course_id]],course_data[course_id],course_data[title],"")</f>
        <v>Safe Management of Linen</v>
      </c>
      <c r="E643" s="5" t="str">
        <f>_xlfn.XLOOKUP(role_course_map[[#This Row],[course_id]],course_data[course_id],course_data[topic],"")</f>
        <v>SAS : Infection Prevention and Control (IPC)</v>
      </c>
      <c r="F643" s="5" t="str">
        <f>_xlfn.XLOOKUP(role_course_map[[#This Row],[course_id]],course_data[course_id],course_data[type],"")</f>
        <v>eLearning</v>
      </c>
      <c r="K643" t="str">
        <f>role_course_map[[#This Row],[role_id]] &amp; "|" &amp; role_course_map[[#This Row],[course_id]]</f>
        <v>R0133|89159</v>
      </c>
      <c r="L643" t="str">
        <f>IF(COUNTIF(role_course_map[mapping_key],role_course_map[[#This Row],[mapping_key]])&gt;1,"DUPLICATE","OK")</f>
        <v>OK</v>
      </c>
      <c r="M643" t="str">
        <f>IF(COUNTIF(role_data[role_id],role_course_map[[#This Row],[role_id]])=0, "INVALID","VALID")</f>
        <v>VALID</v>
      </c>
      <c r="N643" t="str">
        <f>IF(COUNTIF(course_data[course_id],role_course_map[[#This Row],[course_id]])=0, "INVALID","VALID")</f>
        <v>VALID</v>
      </c>
    </row>
    <row r="644" spans="1:14" x14ac:dyDescent="0.35">
      <c r="A644" t="s">
        <v>278</v>
      </c>
      <c r="B644" s="5" t="str">
        <f>_xlfn.XLOOKUP(role_course_map[[#This Row],[role_id]], role_data[role_id], role_data[Role],"")</f>
        <v>EMRS Consultant</v>
      </c>
      <c r="C644">
        <v>89160</v>
      </c>
      <c r="D644" s="5" t="str">
        <f>_xlfn.XLOOKUP(role_course_map[[#This Row],[course_id]],course_data[course_id],course_data[title],"")</f>
        <v>Safe Management of blood and body fluids</v>
      </c>
      <c r="E644" s="5" t="str">
        <f>_xlfn.XLOOKUP(role_course_map[[#This Row],[course_id]],course_data[course_id],course_data[topic],"")</f>
        <v>SAS : Infection Prevention and Control (IPC)</v>
      </c>
      <c r="F644" s="5" t="str">
        <f>_xlfn.XLOOKUP(role_course_map[[#This Row],[course_id]],course_data[course_id],course_data[type],"")</f>
        <v>eLearning</v>
      </c>
      <c r="K644" t="str">
        <f>role_course_map[[#This Row],[role_id]] &amp; "|" &amp; role_course_map[[#This Row],[course_id]]</f>
        <v>R0133|89160</v>
      </c>
      <c r="L644" t="str">
        <f>IF(COUNTIF(role_course_map[mapping_key],role_course_map[[#This Row],[mapping_key]])&gt;1,"DUPLICATE","OK")</f>
        <v>OK</v>
      </c>
      <c r="M644" t="str">
        <f>IF(COUNTIF(role_data[role_id],role_course_map[[#This Row],[role_id]])=0, "INVALID","VALID")</f>
        <v>VALID</v>
      </c>
      <c r="N644" t="str">
        <f>IF(COUNTIF(course_data[course_id],role_course_map[[#This Row],[course_id]])=0, "INVALID","VALID")</f>
        <v>VALID</v>
      </c>
    </row>
    <row r="645" spans="1:14" x14ac:dyDescent="0.35">
      <c r="A645" t="s">
        <v>278</v>
      </c>
      <c r="B645" s="5" t="str">
        <f>_xlfn.XLOOKUP(role_course_map[[#This Row],[role_id]], role_data[role_id], role_data[Role],"")</f>
        <v>EMRS Consultant</v>
      </c>
      <c r="C645">
        <v>89154</v>
      </c>
      <c r="D645" s="5" t="str">
        <f>_xlfn.XLOOKUP(role_course_map[[#This Row],[course_id]],course_data[course_id],course_data[title],"")</f>
        <v>Safe disposal of waste</v>
      </c>
      <c r="E645" s="5" t="str">
        <f>_xlfn.XLOOKUP(role_course_map[[#This Row],[course_id]],course_data[course_id],course_data[topic],"")</f>
        <v>SAS : Infection Prevention and Control (IPC)</v>
      </c>
      <c r="F645" s="5" t="str">
        <f>_xlfn.XLOOKUP(role_course_map[[#This Row],[course_id]],course_data[course_id],course_data[type],"")</f>
        <v>eLearning</v>
      </c>
      <c r="K645" t="str">
        <f>role_course_map[[#This Row],[role_id]] &amp; "|" &amp; role_course_map[[#This Row],[course_id]]</f>
        <v>R0133|89154</v>
      </c>
      <c r="L645" t="str">
        <f>IF(COUNTIF(role_course_map[mapping_key],role_course_map[[#This Row],[mapping_key]])&gt;1,"DUPLICATE","OK")</f>
        <v>OK</v>
      </c>
      <c r="M645" t="str">
        <f>IF(COUNTIF(role_data[role_id],role_course_map[[#This Row],[role_id]])=0, "INVALID","VALID")</f>
        <v>VALID</v>
      </c>
      <c r="N645" t="str">
        <f>IF(COUNTIF(course_data[course_id],role_course_map[[#This Row],[course_id]])=0, "INVALID","VALID")</f>
        <v>VALID</v>
      </c>
    </row>
    <row r="646" spans="1:14" x14ac:dyDescent="0.35">
      <c r="A646" t="s">
        <v>278</v>
      </c>
      <c r="B646" s="5" t="str">
        <f>_xlfn.XLOOKUP(role_course_map[[#This Row],[role_id]], role_data[role_id], role_data[Role],"")</f>
        <v>EMRS Consultant</v>
      </c>
      <c r="C646">
        <v>89155</v>
      </c>
      <c r="D646" s="5" t="str">
        <f>_xlfn.XLOOKUP(role_course_map[[#This Row],[course_id]],course_data[course_id],course_data[title],"")</f>
        <v>Prevention &amp; management of occupational exposure</v>
      </c>
      <c r="E646" s="5" t="str">
        <f>_xlfn.XLOOKUP(role_course_map[[#This Row],[course_id]],course_data[course_id],course_data[topic],"")</f>
        <v>SAS : Infection Prevention and Control (IPC)</v>
      </c>
      <c r="F646" s="5" t="str">
        <f>_xlfn.XLOOKUP(role_course_map[[#This Row],[course_id]],course_data[course_id],course_data[type],"")</f>
        <v>eLearning</v>
      </c>
      <c r="K646" t="str">
        <f>role_course_map[[#This Row],[role_id]] &amp; "|" &amp; role_course_map[[#This Row],[course_id]]</f>
        <v>R0133|89155</v>
      </c>
      <c r="L646" t="str">
        <f>IF(COUNTIF(role_course_map[mapping_key],role_course_map[[#This Row],[mapping_key]])&gt;1,"DUPLICATE","OK")</f>
        <v>OK</v>
      </c>
      <c r="M646" t="str">
        <f>IF(COUNTIF(role_data[role_id],role_course_map[[#This Row],[role_id]])=0, "INVALID","VALID")</f>
        <v>VALID</v>
      </c>
      <c r="N646" t="str">
        <f>IF(COUNTIF(course_data[course_id],role_course_map[[#This Row],[course_id]])=0, "INVALID","VALID")</f>
        <v>VALID</v>
      </c>
    </row>
    <row r="647" spans="1:14" x14ac:dyDescent="0.35">
      <c r="A647" t="s">
        <v>278</v>
      </c>
      <c r="B647" s="5" t="str">
        <f>_xlfn.XLOOKUP(role_course_map[[#This Row],[role_id]], role_data[role_id], role_data[Role],"")</f>
        <v>EMRS Consultant</v>
      </c>
      <c r="C647">
        <v>999064</v>
      </c>
      <c r="D647" s="5" t="str">
        <f>_xlfn.XLOOKUP(role_course_map[[#This Row],[course_id]],course_data[course_id],course_data[title],"")</f>
        <v>Infection prevention and control: Clostridioides difficile infection</v>
      </c>
      <c r="E647" s="5" t="str">
        <f>_xlfn.XLOOKUP(role_course_map[[#This Row],[course_id]],course_data[course_id],course_data[topic],"")</f>
        <v>SAS : Infection Prevention and Control (IPC)</v>
      </c>
      <c r="F647" s="5" t="str">
        <f>_xlfn.XLOOKUP(role_course_map[[#This Row],[course_id]],course_data[course_id],course_data[type],"")</f>
        <v>eLearning</v>
      </c>
      <c r="K647" t="str">
        <f>role_course_map[[#This Row],[role_id]] &amp; "|" &amp; role_course_map[[#This Row],[course_id]]</f>
        <v>R0133|999064</v>
      </c>
      <c r="L647" t="str">
        <f>IF(COUNTIF(role_course_map[mapping_key],role_course_map[[#This Row],[mapping_key]])&gt;1,"DUPLICATE","OK")</f>
        <v>OK</v>
      </c>
      <c r="M647" t="str">
        <f>IF(COUNTIF(role_data[role_id],role_course_map[[#This Row],[role_id]])=0, "INVALID","VALID")</f>
        <v>VALID</v>
      </c>
      <c r="N647" t="str">
        <f>IF(COUNTIF(course_data[course_id],role_course_map[[#This Row],[course_id]])=0, "INVALID","VALID")</f>
        <v>VALID</v>
      </c>
    </row>
    <row r="648" spans="1:14" x14ac:dyDescent="0.35">
      <c r="A648" t="s">
        <v>278</v>
      </c>
      <c r="B648" s="5" t="str">
        <f>_xlfn.XLOOKUP(role_course_map[[#This Row],[role_id]], role_data[role_id], role_data[Role],"")</f>
        <v>EMRS Consultant</v>
      </c>
      <c r="C648">
        <v>3886</v>
      </c>
      <c r="D648" s="5" t="str">
        <f>_xlfn.XLOOKUP(role_course_map[[#This Row],[course_id]],course_data[course_id],course_data[title],"")</f>
        <v>Prevention and management of pressure ulcers</v>
      </c>
      <c r="E648" s="5" t="str">
        <f>_xlfn.XLOOKUP(role_course_map[[#This Row],[course_id]],course_data[course_id],course_data[topic],"")</f>
        <v>SAS : Clinical Practice</v>
      </c>
      <c r="F648" s="5" t="str">
        <f>_xlfn.XLOOKUP(role_course_map[[#This Row],[course_id]],course_data[course_id],course_data[type],"")</f>
        <v>Page</v>
      </c>
      <c r="K648" t="str">
        <f>role_course_map[[#This Row],[role_id]] &amp; "|" &amp; role_course_map[[#This Row],[course_id]]</f>
        <v>R0133|3886</v>
      </c>
      <c r="L648" t="str">
        <f>IF(COUNTIF(role_course_map[mapping_key],role_course_map[[#This Row],[mapping_key]])&gt;1,"DUPLICATE","OK")</f>
        <v>OK</v>
      </c>
      <c r="M648" t="str">
        <f>IF(COUNTIF(role_data[role_id],role_course_map[[#This Row],[role_id]])=0, "INVALID","VALID")</f>
        <v>VALID</v>
      </c>
      <c r="N648" t="str">
        <f>IF(COUNTIF(course_data[course_id],role_course_map[[#This Row],[course_id]])=0, "INVALID","VALID")</f>
        <v>VALID</v>
      </c>
    </row>
    <row r="649" spans="1:14" x14ac:dyDescent="0.35">
      <c r="A649" t="s">
        <v>172</v>
      </c>
      <c r="B649" s="5" t="str">
        <f>_xlfn.XLOOKUP(role_course_map[[#This Row],[role_id]], role_data[role_id], role_data[Role],"")</f>
        <v>Scheduled Care Supervisor</v>
      </c>
      <c r="C649">
        <v>999092</v>
      </c>
      <c r="D649" s="5" t="str">
        <f>_xlfn.XLOOKUP(role_course_map[[#This Row],[course_id]],course_data[course_id],course_data[title],"")</f>
        <v>Health &amp; Wellbeing Awareness for Managers</v>
      </c>
      <c r="E649" s="5" t="str">
        <f>_xlfn.XLOOKUP(role_course_map[[#This Row],[course_id]],course_data[course_id],course_data[topic],"")</f>
        <v>SAS: Staff development and experience</v>
      </c>
      <c r="F649" s="5" t="str">
        <f>_xlfn.XLOOKUP(role_course_map[[#This Row],[course_id]],course_data[course_id],course_data[type],"")</f>
        <v>eLearning</v>
      </c>
      <c r="K649" t="str">
        <f>role_course_map[[#This Row],[role_id]] &amp; "|" &amp; role_course_map[[#This Row],[course_id]]</f>
        <v>R0080|999092</v>
      </c>
      <c r="L649" t="str">
        <f>IF(COUNTIF(role_course_map[mapping_key],role_course_map[[#This Row],[mapping_key]])&gt;1,"DUPLICATE","OK")</f>
        <v>OK</v>
      </c>
      <c r="M649" t="str">
        <f>IF(COUNTIF(role_data[role_id],role_course_map[[#This Row],[role_id]])=0, "INVALID","VALID")</f>
        <v>VALID</v>
      </c>
      <c r="N649" t="str">
        <f>IF(COUNTIF(course_data[course_id],role_course_map[[#This Row],[course_id]])=0, "INVALID","VALID")</f>
        <v>VALID</v>
      </c>
    </row>
    <row r="650" spans="1:14" x14ac:dyDescent="0.35">
      <c r="A650" t="s">
        <v>278</v>
      </c>
      <c r="B650" s="5" t="str">
        <f>_xlfn.XLOOKUP(role_course_map[[#This Row],[role_id]], role_data[role_id], role_data[Role],"")</f>
        <v>EMRS Consultant</v>
      </c>
      <c r="C650">
        <v>999093</v>
      </c>
      <c r="D650" s="5" t="str">
        <f>_xlfn.XLOOKUP(role_course_map[[#This Row],[course_id]],course_data[course_id],course_data[title],"")</f>
        <v>Managing Wellbeing Refresher for Managers</v>
      </c>
      <c r="E650" s="5" t="str">
        <f>_xlfn.XLOOKUP(role_course_map[[#This Row],[course_id]],course_data[course_id],course_data[topic],"")</f>
        <v>SAS: Staff development and experience</v>
      </c>
      <c r="F650" s="5" t="str">
        <f>_xlfn.XLOOKUP(role_course_map[[#This Row],[course_id]],course_data[course_id],course_data[type],"")</f>
        <v>eLearning</v>
      </c>
      <c r="K650" t="str">
        <f>role_course_map[[#This Row],[role_id]] &amp; "|" &amp; role_course_map[[#This Row],[course_id]]</f>
        <v>R0133|999093</v>
      </c>
      <c r="L650" t="str">
        <f>IF(COUNTIF(role_course_map[mapping_key],role_course_map[[#This Row],[mapping_key]])&gt;1,"DUPLICATE","OK")</f>
        <v>OK</v>
      </c>
      <c r="M650" t="str">
        <f>IF(COUNTIF(role_data[role_id],role_course_map[[#This Row],[role_id]])=0, "INVALID","VALID")</f>
        <v>VALID</v>
      </c>
      <c r="N650" t="str">
        <f>IF(COUNTIF(course_data[course_id],role_course_map[[#This Row],[course_id]])=0, "INVALID","VALID")</f>
        <v>VALID</v>
      </c>
    </row>
    <row r="651" spans="1:14" x14ac:dyDescent="0.35">
      <c r="A651" t="s">
        <v>270</v>
      </c>
      <c r="B651" s="5" t="str">
        <f>_xlfn.XLOOKUP(role_course_map[[#This Row],[role_id]], role_data[role_id], role_data[Role],"")</f>
        <v>Advanced Retrieval Practitioner</v>
      </c>
      <c r="C651">
        <v>999094</v>
      </c>
      <c r="D651" s="5" t="str">
        <f>_xlfn.XLOOKUP(role_course_map[[#This Row],[course_id]],course_data[course_id],course_data[title],"")</f>
        <v>Being well, Mind, Body &amp; Workplace</v>
      </c>
      <c r="E651" s="5" t="str">
        <f>_xlfn.XLOOKUP(role_course_map[[#This Row],[course_id]],course_data[course_id],course_data[topic],"")</f>
        <v>SAS: Staff development and experience</v>
      </c>
      <c r="F651" s="5" t="str">
        <f>_xlfn.XLOOKUP(role_course_map[[#This Row],[course_id]],course_data[course_id],course_data[type],"")</f>
        <v>eLearning</v>
      </c>
      <c r="K651" t="str">
        <f>role_course_map[[#This Row],[role_id]] &amp; "|" &amp; role_course_map[[#This Row],[course_id]]</f>
        <v>R0129|999094</v>
      </c>
      <c r="L651" t="str">
        <f>IF(COUNTIF(role_course_map[mapping_key],role_course_map[[#This Row],[mapping_key]])&gt;1,"DUPLICATE","OK")</f>
        <v>OK</v>
      </c>
      <c r="M651" t="str">
        <f>IF(COUNTIF(role_data[role_id],role_course_map[[#This Row],[role_id]])=0, "INVALID","VALID")</f>
        <v>VALID</v>
      </c>
      <c r="N651" t="str">
        <f>IF(COUNTIF(course_data[course_id],role_course_map[[#This Row],[course_id]])=0, "INVALID","VALID")</f>
        <v>VALID</v>
      </c>
    </row>
    <row r="652" spans="1:14" x14ac:dyDescent="0.35">
      <c r="A652" t="s">
        <v>278</v>
      </c>
      <c r="B652" s="5" t="str">
        <f>_xlfn.XLOOKUP(role_course_map[[#This Row],[role_id]], role_data[role_id], role_data[Role],"")</f>
        <v>EMRS Consultant</v>
      </c>
      <c r="C652">
        <v>999077</v>
      </c>
      <c r="D652" s="5" t="str">
        <f>_xlfn.XLOOKUP(role_course_map[[#This Row],[course_id]],course_data[course_id],course_data[title],"")</f>
        <v>ScotSTAR: Role specific Orientation &amp; Induction</v>
      </c>
      <c r="E652" s="5" t="str">
        <f>_xlfn.XLOOKUP(role_course_map[[#This Row],[course_id]],course_data[course_id],course_data[topic],"")</f>
        <v>SAS : ScotSTAR</v>
      </c>
      <c r="F652" s="5" t="str">
        <f>_xlfn.XLOOKUP(role_course_map[[#This Row],[course_id]],course_data[course_id],course_data[type],"")</f>
        <v>Course</v>
      </c>
      <c r="K652" t="str">
        <f>role_course_map[[#This Row],[role_id]] &amp; "|" &amp; role_course_map[[#This Row],[course_id]]</f>
        <v>R0133|999077</v>
      </c>
      <c r="L652" t="str">
        <f>IF(COUNTIF(role_course_map[mapping_key],role_course_map[[#This Row],[mapping_key]])&gt;1,"DUPLICATE","OK")</f>
        <v>OK</v>
      </c>
      <c r="M652" t="str">
        <f>IF(COUNTIF(role_data[role_id],role_course_map[[#This Row],[role_id]])=0, "INVALID","VALID")</f>
        <v>VALID</v>
      </c>
      <c r="N652" t="str">
        <f>IF(COUNTIF(course_data[course_id],role_course_map[[#This Row],[course_id]])=0, "INVALID","VALID")</f>
        <v>VALID</v>
      </c>
    </row>
    <row r="653" spans="1:14" x14ac:dyDescent="0.35">
      <c r="A653" t="s">
        <v>276</v>
      </c>
      <c r="B653" s="5" t="str">
        <f>_xlfn.XLOOKUP(role_course_map[[#This Row],[role_id]], role_data[role_id], role_data[Role],"")</f>
        <v>EMRS Advanced Retrieval Practitioner</v>
      </c>
      <c r="C653">
        <v>999079</v>
      </c>
      <c r="D653" s="5" t="str">
        <f>_xlfn.XLOOKUP(role_course_map[[#This Row],[course_id]],course_data[course_id],course_data[title],"")</f>
        <v>HUET</v>
      </c>
      <c r="E653" s="5" t="str">
        <f>_xlfn.XLOOKUP(role_course_map[[#This Row],[course_id]],course_data[course_id],course_data[topic],"")</f>
        <v>SAS : ScotSTAR</v>
      </c>
      <c r="F653" s="5" t="str">
        <f>_xlfn.XLOOKUP(role_course_map[[#This Row],[course_id]],course_data[course_id],course_data[type],"")</f>
        <v>Course</v>
      </c>
      <c r="K653" t="str">
        <f>role_course_map[[#This Row],[role_id]] &amp; "|" &amp; role_course_map[[#This Row],[course_id]]</f>
        <v>R0132|999079</v>
      </c>
      <c r="L653" t="str">
        <f>IF(COUNTIF(role_course_map[mapping_key],role_course_map[[#This Row],[mapping_key]])&gt;1,"DUPLICATE","OK")</f>
        <v>OK</v>
      </c>
      <c r="M653" t="str">
        <f>IF(COUNTIF(role_data[role_id],role_course_map[[#This Row],[role_id]])=0, "INVALID","VALID")</f>
        <v>VALID</v>
      </c>
      <c r="N653" t="str">
        <f>IF(COUNTIF(course_data[course_id],role_course_map[[#This Row],[course_id]])=0, "INVALID","VALID")</f>
        <v>VALID</v>
      </c>
    </row>
    <row r="654" spans="1:14" x14ac:dyDescent="0.35">
      <c r="A654" t="s">
        <v>278</v>
      </c>
      <c r="B654" s="5" t="str">
        <f>_xlfn.XLOOKUP(role_course_map[[#This Row],[role_id]], role_data[role_id], role_data[Role],"")</f>
        <v>EMRS Consultant</v>
      </c>
      <c r="C654">
        <v>999081</v>
      </c>
      <c r="D654" s="5" t="str">
        <f>_xlfn.XLOOKUP(role_course_map[[#This Row],[course_id]],course_data[course_id],course_data[title],"")</f>
        <v>Major Incident Training- Operational Commander</v>
      </c>
      <c r="E654" s="5" t="str">
        <f>_xlfn.XLOOKUP(role_course_map[[#This Row],[course_id]],course_data[course_id],course_data[topic],"")</f>
        <v>SAS : ScotSTAR</v>
      </c>
      <c r="F654" s="5" t="str">
        <f>_xlfn.XLOOKUP(role_course_map[[#This Row],[course_id]],course_data[course_id],course_data[type],"")</f>
        <v>Course</v>
      </c>
      <c r="K654" t="str">
        <f>role_course_map[[#This Row],[role_id]] &amp; "|" &amp; role_course_map[[#This Row],[course_id]]</f>
        <v>R0133|999081</v>
      </c>
      <c r="L654" t="str">
        <f>IF(COUNTIF(role_course_map[mapping_key],role_course_map[[#This Row],[mapping_key]])&gt;1,"DUPLICATE","OK")</f>
        <v>OK</v>
      </c>
      <c r="M654" t="str">
        <f>IF(COUNTIF(role_data[role_id],role_course_map[[#This Row],[role_id]])=0, "INVALID","VALID")</f>
        <v>VALID</v>
      </c>
      <c r="N654" t="str">
        <f>IF(COUNTIF(course_data[course_id],role_course_map[[#This Row],[course_id]])=0, "INVALID","VALID")</f>
        <v>VALID</v>
      </c>
    </row>
    <row r="655" spans="1:14" x14ac:dyDescent="0.35">
      <c r="A655" t="s">
        <v>278</v>
      </c>
      <c r="B655" s="5" t="str">
        <f>_xlfn.XLOOKUP(role_course_map[[#This Row],[role_id]], role_data[role_id], role_data[Role],"")</f>
        <v>EMRS Consultant</v>
      </c>
      <c r="C655">
        <v>999082</v>
      </c>
      <c r="D655" s="5" t="str">
        <f>_xlfn.XLOOKUP(role_course_map[[#This Row],[course_id]],course_data[course_id],course_data[title],"")</f>
        <v>Major Incident Training - MIO</v>
      </c>
      <c r="E655" s="5" t="str">
        <f>_xlfn.XLOOKUP(role_course_map[[#This Row],[course_id]],course_data[course_id],course_data[topic],"")</f>
        <v>SAS : ScotSTAR</v>
      </c>
      <c r="F655" s="5" t="str">
        <f>_xlfn.XLOOKUP(role_course_map[[#This Row],[course_id]],course_data[course_id],course_data[type],"")</f>
        <v>Course</v>
      </c>
      <c r="K655" t="str">
        <f>role_course_map[[#This Row],[role_id]] &amp; "|" &amp; role_course_map[[#This Row],[course_id]]</f>
        <v>R0133|999082</v>
      </c>
      <c r="L655" t="str">
        <f>IF(COUNTIF(role_course_map[mapping_key],role_course_map[[#This Row],[mapping_key]])&gt;1,"DUPLICATE","OK")</f>
        <v>OK</v>
      </c>
      <c r="M655" t="str">
        <f>IF(COUNTIF(role_data[role_id],role_course_map[[#This Row],[role_id]])=0, "INVALID","VALID")</f>
        <v>VALID</v>
      </c>
      <c r="N655" t="str">
        <f>IF(COUNTIF(course_data[course_id],role_course_map[[#This Row],[course_id]])=0, "INVALID","VALID")</f>
        <v>VALID</v>
      </c>
    </row>
    <row r="656" spans="1:14" x14ac:dyDescent="0.35">
      <c r="A656" t="s">
        <v>278</v>
      </c>
      <c r="B656" s="5" t="str">
        <f>_xlfn.XLOOKUP(role_course_map[[#This Row],[role_id]], role_data[role_id], role_data[Role],"")</f>
        <v>EMRS Consultant</v>
      </c>
      <c r="C656">
        <v>999084</v>
      </c>
      <c r="D656" s="5" t="str">
        <f>_xlfn.XLOOKUP(role_course_map[[#This Row],[course_id]],course_data[course_id],course_data[title],"")</f>
        <v>Paediatric Life Support (PLS)</v>
      </c>
      <c r="E656" s="5" t="str">
        <f>_xlfn.XLOOKUP(role_course_map[[#This Row],[course_id]],course_data[course_id],course_data[topic],"")</f>
        <v>SAS : ScotSTAR</v>
      </c>
      <c r="F656" s="5" t="str">
        <f>_xlfn.XLOOKUP(role_course_map[[#This Row],[course_id]],course_data[course_id],course_data[type],"")</f>
        <v>Course</v>
      </c>
      <c r="K656" t="str">
        <f>role_course_map[[#This Row],[role_id]] &amp; "|" &amp; role_course_map[[#This Row],[course_id]]</f>
        <v>R0133|999084</v>
      </c>
      <c r="L656" t="str">
        <f>IF(COUNTIF(role_course_map[mapping_key],role_course_map[[#This Row],[mapping_key]])&gt;1,"DUPLICATE","OK")</f>
        <v>OK</v>
      </c>
      <c r="M656" t="str">
        <f>IF(COUNTIF(role_data[role_id],role_course_map[[#This Row],[role_id]])=0, "INVALID","VALID")</f>
        <v>VALID</v>
      </c>
      <c r="N656" t="str">
        <f>IF(COUNTIF(course_data[course_id],role_course_map[[#This Row],[course_id]])=0, "INVALID","VALID")</f>
        <v>VALID</v>
      </c>
    </row>
    <row r="657" spans="1:14" x14ac:dyDescent="0.35">
      <c r="A657" t="s">
        <v>278</v>
      </c>
      <c r="B657" s="5" t="str">
        <f>_xlfn.XLOOKUP(role_course_map[[#This Row],[role_id]], role_data[role_id], role_data[Role],"")</f>
        <v>EMRS Consultant</v>
      </c>
      <c r="C657">
        <v>999088</v>
      </c>
      <c r="D657" s="5" t="str">
        <f>_xlfn.XLOOKUP(role_course_map[[#This Row],[course_id]],course_data[course_id],course_data[title],"")</f>
        <v>PHECC (Adult)</v>
      </c>
      <c r="E657" s="5" t="str">
        <f>_xlfn.XLOOKUP(role_course_map[[#This Row],[course_id]],course_data[course_id],course_data[topic],"")</f>
        <v>SAS : ScotSTAR</v>
      </c>
      <c r="F657" s="5" t="str">
        <f>_xlfn.XLOOKUP(role_course_map[[#This Row],[course_id]],course_data[course_id],course_data[type],"")</f>
        <v>Course</v>
      </c>
      <c r="K657" t="str">
        <f>role_course_map[[#This Row],[role_id]] &amp; "|" &amp; role_course_map[[#This Row],[course_id]]</f>
        <v>R0133|999088</v>
      </c>
      <c r="L657" t="str">
        <f>IF(COUNTIF(role_course_map[mapping_key],role_course_map[[#This Row],[mapping_key]])&gt;1,"DUPLICATE","OK")</f>
        <v>OK</v>
      </c>
      <c r="M657" t="str">
        <f>IF(COUNTIF(role_data[role_id],role_course_map[[#This Row],[role_id]])=0, "INVALID","VALID")</f>
        <v>VALID</v>
      </c>
      <c r="N657" t="str">
        <f>IF(COUNTIF(course_data[course_id],role_course_map[[#This Row],[course_id]])=0, "INVALID","VALID")</f>
        <v>VALID</v>
      </c>
    </row>
    <row r="658" spans="1:14" x14ac:dyDescent="0.35">
      <c r="A658" t="s">
        <v>278</v>
      </c>
      <c r="B658" s="5" t="str">
        <f>_xlfn.XLOOKUP(role_course_map[[#This Row],[role_id]], role_data[role_id], role_data[Role],"")</f>
        <v>EMRS Consultant</v>
      </c>
      <c r="C658">
        <v>999089</v>
      </c>
      <c r="D658" s="5" t="str">
        <f>_xlfn.XLOOKUP(role_course_map[[#This Row],[course_id]],course_data[course_id],course_data[title],"")</f>
        <v xml:space="preserve"> </v>
      </c>
      <c r="E658" s="5" t="str">
        <f>_xlfn.XLOOKUP(role_course_map[[#This Row],[course_id]],course_data[course_id],course_data[topic],"")</f>
        <v>SAS : ScotSTAR</v>
      </c>
      <c r="F658" s="5" t="str">
        <f>_xlfn.XLOOKUP(role_course_map[[#This Row],[course_id]],course_data[course_id],course_data[type],"")</f>
        <v>Course</v>
      </c>
      <c r="K658" t="str">
        <f>role_course_map[[#This Row],[role_id]] &amp; "|" &amp; role_course_map[[#This Row],[course_id]]</f>
        <v>R0133|999089</v>
      </c>
      <c r="L658" t="str">
        <f>IF(COUNTIF(role_course_map[mapping_key],role_course_map[[#This Row],[mapping_key]])&gt;1,"DUPLICATE","OK")</f>
        <v>OK</v>
      </c>
      <c r="M658" t="str">
        <f>IF(COUNTIF(role_data[role_id],role_course_map[[#This Row],[role_id]])=0, "INVALID","VALID")</f>
        <v>VALID</v>
      </c>
      <c r="N658" t="str">
        <f>IF(COUNTIF(course_data[course_id],role_course_map[[#This Row],[course_id]])=0, "INVALID","VALID")</f>
        <v>VALID</v>
      </c>
    </row>
    <row r="659" spans="1:14" x14ac:dyDescent="0.35">
      <c r="A659" t="s">
        <v>280</v>
      </c>
      <c r="B659" s="5" t="str">
        <f>_xlfn.XLOOKUP(role_course_map[[#This Row],[role_id]], role_data[role_id], role_data[Role],"")</f>
        <v>EMRS Fellow</v>
      </c>
      <c r="C659">
        <v>999009</v>
      </c>
      <c r="D659" s="5" t="str">
        <f>_xlfn.XLOOKUP(role_course_map[[#This Row],[course_id]],course_data[course_id],course_data[title],"")</f>
        <v>Life Support</v>
      </c>
      <c r="E659" s="5" t="str">
        <f>_xlfn.XLOOKUP(role_course_map[[#This Row],[course_id]],course_data[course_id],course_data[topic],"")</f>
        <v>SAS : Clinical Practice</v>
      </c>
      <c r="F659" s="5" t="str">
        <f>_xlfn.XLOOKUP(role_course_map[[#This Row],[course_id]],course_data[course_id],course_data[type],"")</f>
        <v>Course</v>
      </c>
      <c r="K659" t="str">
        <f>role_course_map[[#This Row],[role_id]] &amp; "|" &amp; role_course_map[[#This Row],[course_id]]</f>
        <v>R0134|999009</v>
      </c>
      <c r="L659" t="str">
        <f>IF(COUNTIF(role_course_map[mapping_key],role_course_map[[#This Row],[mapping_key]])&gt;1,"DUPLICATE","OK")</f>
        <v>OK</v>
      </c>
      <c r="M659" t="str">
        <f>IF(COUNTIF(role_data[role_id],role_course_map[[#This Row],[role_id]])=0, "INVALID","VALID")</f>
        <v>VALID</v>
      </c>
      <c r="N659" t="str">
        <f>IF(COUNTIF(course_data[course_id],role_course_map[[#This Row],[course_id]])=0, "INVALID","VALID")</f>
        <v>VALID</v>
      </c>
    </row>
    <row r="660" spans="1:14" x14ac:dyDescent="0.35">
      <c r="A660" t="s">
        <v>280</v>
      </c>
      <c r="B660" s="5" t="str">
        <f>_xlfn.XLOOKUP(role_course_map[[#This Row],[role_id]], role_data[role_id], role_data[Role],"")</f>
        <v>EMRS Fellow</v>
      </c>
      <c r="C660">
        <v>999007</v>
      </c>
      <c r="D660" s="5" t="str">
        <f>_xlfn.XLOOKUP(role_course_map[[#This Row],[course_id]],course_data[course_id],course_data[title],"")</f>
        <v>Obstetrics</v>
      </c>
      <c r="E660" s="5" t="str">
        <f>_xlfn.XLOOKUP(role_course_map[[#This Row],[course_id]],course_data[course_id],course_data[topic],"")</f>
        <v>SAS : Clinical Practice</v>
      </c>
      <c r="F660" s="5" t="str">
        <f>_xlfn.XLOOKUP(role_course_map[[#This Row],[course_id]],course_data[course_id],course_data[type],"")</f>
        <v>Course</v>
      </c>
      <c r="K660" t="str">
        <f>role_course_map[[#This Row],[role_id]] &amp; "|" &amp; role_course_map[[#This Row],[course_id]]</f>
        <v>R0134|999007</v>
      </c>
      <c r="L660" t="str">
        <f>IF(COUNTIF(role_course_map[mapping_key],role_course_map[[#This Row],[mapping_key]])&gt;1,"DUPLICATE","OK")</f>
        <v>OK</v>
      </c>
      <c r="M660" t="str">
        <f>IF(COUNTIF(role_data[role_id],role_course_map[[#This Row],[role_id]])=0, "INVALID","VALID")</f>
        <v>VALID</v>
      </c>
      <c r="N660" t="str">
        <f>IF(COUNTIF(course_data[course_id],role_course_map[[#This Row],[course_id]])=0, "INVALID","VALID")</f>
        <v>VALID</v>
      </c>
    </row>
    <row r="661" spans="1:14" x14ac:dyDescent="0.35">
      <c r="A661" t="s">
        <v>280</v>
      </c>
      <c r="B661" s="5" t="str">
        <f>_xlfn.XLOOKUP(role_course_map[[#This Row],[role_id]], role_data[role_id], role_data[Role],"")</f>
        <v>EMRS Fellow</v>
      </c>
      <c r="C661">
        <v>999008</v>
      </c>
      <c r="D661" s="5" t="str">
        <f>_xlfn.XLOOKUP(role_course_map[[#This Row],[course_id]],course_data[course_id],course_data[title],"")</f>
        <v>Obstetrics</v>
      </c>
      <c r="E661" s="5" t="str">
        <f>_xlfn.XLOOKUP(role_course_map[[#This Row],[course_id]],course_data[course_id],course_data[topic],"")</f>
        <v>SAS : Clinical Practice</v>
      </c>
      <c r="F661" s="5" t="str">
        <f>_xlfn.XLOOKUP(role_course_map[[#This Row],[course_id]],course_data[course_id],course_data[type],"")</f>
        <v>eLearning</v>
      </c>
      <c r="K661" t="str">
        <f>role_course_map[[#This Row],[role_id]] &amp; "|" &amp; role_course_map[[#This Row],[course_id]]</f>
        <v>R0134|999008</v>
      </c>
      <c r="L661" t="str">
        <f>IF(COUNTIF(role_course_map[mapping_key],role_course_map[[#This Row],[mapping_key]])&gt;1,"DUPLICATE","OK")</f>
        <v>OK</v>
      </c>
      <c r="M661" t="str">
        <f>IF(COUNTIF(role_data[role_id],role_course_map[[#This Row],[role_id]])=0, "INVALID","VALID")</f>
        <v>VALID</v>
      </c>
      <c r="N661" t="str">
        <f>IF(COUNTIF(course_data[course_id],role_course_map[[#This Row],[course_id]])=0, "INVALID","VALID")</f>
        <v>VALID</v>
      </c>
    </row>
    <row r="662" spans="1:14" x14ac:dyDescent="0.35">
      <c r="A662" t="s">
        <v>280</v>
      </c>
      <c r="B662" s="5" t="str">
        <f>_xlfn.XLOOKUP(role_course_map[[#This Row],[role_id]], role_data[role_id], role_data[Role],"")</f>
        <v>EMRS Fellow</v>
      </c>
      <c r="C662">
        <v>999010</v>
      </c>
      <c r="D662" s="5" t="str">
        <f>_xlfn.XLOOKUP(role_course_map[[#This Row],[course_id]],course_data[course_id],course_data[title],"")</f>
        <v>Paediatrics</v>
      </c>
      <c r="E662" s="5" t="str">
        <f>_xlfn.XLOOKUP(role_course_map[[#This Row],[course_id]],course_data[course_id],course_data[topic],"")</f>
        <v>SAS : Clinical Practice</v>
      </c>
      <c r="F662" s="5" t="str">
        <f>_xlfn.XLOOKUP(role_course_map[[#This Row],[course_id]],course_data[course_id],course_data[type],"")</f>
        <v>Course</v>
      </c>
      <c r="K662" t="str">
        <f>role_course_map[[#This Row],[role_id]] &amp; "|" &amp; role_course_map[[#This Row],[course_id]]</f>
        <v>R0134|999010</v>
      </c>
      <c r="L662" t="str">
        <f>IF(COUNTIF(role_course_map[mapping_key],role_course_map[[#This Row],[mapping_key]])&gt;1,"DUPLICATE","OK")</f>
        <v>OK</v>
      </c>
      <c r="M662" t="str">
        <f>IF(COUNTIF(role_data[role_id],role_course_map[[#This Row],[role_id]])=0, "INVALID","VALID")</f>
        <v>VALID</v>
      </c>
      <c r="N662" t="str">
        <f>IF(COUNTIF(course_data[course_id],role_course_map[[#This Row],[course_id]])=0, "INVALID","VALID")</f>
        <v>VALID</v>
      </c>
    </row>
    <row r="663" spans="1:14" x14ac:dyDescent="0.35">
      <c r="A663" t="s">
        <v>280</v>
      </c>
      <c r="B663" s="5" t="str">
        <f>_xlfn.XLOOKUP(role_course_map[[#This Row],[role_id]], role_data[role_id], role_data[Role],"")</f>
        <v>EMRS Fellow</v>
      </c>
      <c r="C663">
        <v>999011</v>
      </c>
      <c r="D663" s="5" t="str">
        <f>_xlfn.XLOOKUP(role_course_map[[#This Row],[course_id]],course_data[course_id],course_data[title],"")</f>
        <v>Paediatrics</v>
      </c>
      <c r="E663" s="5" t="str">
        <f>_xlfn.XLOOKUP(role_course_map[[#This Row],[course_id]],course_data[course_id],course_data[topic],"")</f>
        <v>SAS : Clinical Practice</v>
      </c>
      <c r="F663" s="5" t="str">
        <f>_xlfn.XLOOKUP(role_course_map[[#This Row],[course_id]],course_data[course_id],course_data[type],"")</f>
        <v>eLearning</v>
      </c>
      <c r="K663" t="str">
        <f>role_course_map[[#This Row],[role_id]] &amp; "|" &amp; role_course_map[[#This Row],[course_id]]</f>
        <v>R0134|999011</v>
      </c>
      <c r="L663" t="str">
        <f>IF(COUNTIF(role_course_map[mapping_key],role_course_map[[#This Row],[mapping_key]])&gt;1,"DUPLICATE","OK")</f>
        <v>OK</v>
      </c>
      <c r="M663" t="str">
        <f>IF(COUNTIF(role_data[role_id],role_course_map[[#This Row],[role_id]])=0, "INVALID","VALID")</f>
        <v>VALID</v>
      </c>
      <c r="N663" t="str">
        <f>IF(COUNTIF(course_data[course_id],role_course_map[[#This Row],[course_id]])=0, "INVALID","VALID")</f>
        <v>VALID</v>
      </c>
    </row>
    <row r="664" spans="1:14" x14ac:dyDescent="0.35">
      <c r="A664" t="s">
        <v>280</v>
      </c>
      <c r="B664" s="5" t="str">
        <f>_xlfn.XLOOKUP(role_course_map[[#This Row],[role_id]], role_data[role_id], role_data[Role],"")</f>
        <v>EMRS Fellow</v>
      </c>
      <c r="C664">
        <v>999012</v>
      </c>
      <c r="D664" s="5" t="str">
        <f>_xlfn.XLOOKUP(role_course_map[[#This Row],[course_id]],course_data[course_id],course_data[title],"")</f>
        <v>Trauma</v>
      </c>
      <c r="E664" s="5" t="str">
        <f>_xlfn.XLOOKUP(role_course_map[[#This Row],[course_id]],course_data[course_id],course_data[topic],"")</f>
        <v>SAS : Clinical Practice</v>
      </c>
      <c r="F664" s="5" t="str">
        <f>_xlfn.XLOOKUP(role_course_map[[#This Row],[course_id]],course_data[course_id],course_data[type],"")</f>
        <v>Course</v>
      </c>
      <c r="K664" t="str">
        <f>role_course_map[[#This Row],[role_id]] &amp; "|" &amp; role_course_map[[#This Row],[course_id]]</f>
        <v>R0134|999012</v>
      </c>
      <c r="L664" t="str">
        <f>IF(COUNTIF(role_course_map[mapping_key],role_course_map[[#This Row],[mapping_key]])&gt;1,"DUPLICATE","OK")</f>
        <v>OK</v>
      </c>
      <c r="M664" t="str">
        <f>IF(COUNTIF(role_data[role_id],role_course_map[[#This Row],[role_id]])=0, "INVALID","VALID")</f>
        <v>VALID</v>
      </c>
      <c r="N664" t="str">
        <f>IF(COUNTIF(course_data[course_id],role_course_map[[#This Row],[course_id]])=0, "INVALID","VALID")</f>
        <v>VALID</v>
      </c>
    </row>
    <row r="665" spans="1:14" x14ac:dyDescent="0.35">
      <c r="A665" t="s">
        <v>280</v>
      </c>
      <c r="B665" s="5" t="str">
        <f>_xlfn.XLOOKUP(role_course_map[[#This Row],[role_id]], role_data[role_id], role_data[Role],"")</f>
        <v>EMRS Fellow</v>
      </c>
      <c r="C665">
        <v>999013</v>
      </c>
      <c r="D665" s="5" t="str">
        <f>_xlfn.XLOOKUP(role_course_map[[#This Row],[course_id]],course_data[course_id],course_data[title],"")</f>
        <v>Trauma</v>
      </c>
      <c r="E665" s="5" t="str">
        <f>_xlfn.XLOOKUP(role_course_map[[#This Row],[course_id]],course_data[course_id],course_data[topic],"")</f>
        <v>SAS : Clinical Practice</v>
      </c>
      <c r="F665" s="5" t="str">
        <f>_xlfn.XLOOKUP(role_course_map[[#This Row],[course_id]],course_data[course_id],course_data[type],"")</f>
        <v>eLearning</v>
      </c>
      <c r="K665" t="str">
        <f>role_course_map[[#This Row],[role_id]] &amp; "|" &amp; role_course_map[[#This Row],[course_id]]</f>
        <v>R0134|999013</v>
      </c>
      <c r="L665" t="str">
        <f>IF(COUNTIF(role_course_map[mapping_key],role_course_map[[#This Row],[mapping_key]])&gt;1,"DUPLICATE","OK")</f>
        <v>OK</v>
      </c>
      <c r="M665" t="str">
        <f>IF(COUNTIF(role_data[role_id],role_course_map[[#This Row],[role_id]])=0, "INVALID","VALID")</f>
        <v>VALID</v>
      </c>
      <c r="N665" t="str">
        <f>IF(COUNTIF(course_data[course_id],role_course_map[[#This Row],[course_id]])=0, "INVALID","VALID")</f>
        <v>VALID</v>
      </c>
    </row>
    <row r="666" spans="1:14" x14ac:dyDescent="0.35">
      <c r="A666" t="s">
        <v>280</v>
      </c>
      <c r="B666" s="5" t="str">
        <f>_xlfn.XLOOKUP(role_course_map[[#This Row],[role_id]], role_data[role_id], role_data[Role],"")</f>
        <v>EMRS Fellow</v>
      </c>
      <c r="C666">
        <v>999014</v>
      </c>
      <c r="D666" s="5" t="str">
        <f>_xlfn.XLOOKUP(role_course_map[[#This Row],[course_id]],course_data[course_id],course_data[title],"")</f>
        <v>Patient Assessment</v>
      </c>
      <c r="E666" s="5" t="str">
        <f>_xlfn.XLOOKUP(role_course_map[[#This Row],[course_id]],course_data[course_id],course_data[topic],"")</f>
        <v>SAS : Clinical Practice</v>
      </c>
      <c r="F666" s="5" t="str">
        <f>_xlfn.XLOOKUP(role_course_map[[#This Row],[course_id]],course_data[course_id],course_data[type],"")</f>
        <v>Course</v>
      </c>
      <c r="K666" t="str">
        <f>role_course_map[[#This Row],[role_id]] &amp; "|" &amp; role_course_map[[#This Row],[course_id]]</f>
        <v>R0134|999014</v>
      </c>
      <c r="L666" t="str">
        <f>IF(COUNTIF(role_course_map[mapping_key],role_course_map[[#This Row],[mapping_key]])&gt;1,"DUPLICATE","OK")</f>
        <v>OK</v>
      </c>
      <c r="M666" t="str">
        <f>IF(COUNTIF(role_data[role_id],role_course_map[[#This Row],[role_id]])=0, "INVALID","VALID")</f>
        <v>VALID</v>
      </c>
      <c r="N666" t="str">
        <f>IF(COUNTIF(course_data[course_id],role_course_map[[#This Row],[course_id]])=0, "INVALID","VALID")</f>
        <v>VALID</v>
      </c>
    </row>
    <row r="667" spans="1:14" x14ac:dyDescent="0.35">
      <c r="A667" t="s">
        <v>280</v>
      </c>
      <c r="B667" s="5" t="str">
        <f>_xlfn.XLOOKUP(role_course_map[[#This Row],[role_id]], role_data[role_id], role_data[Role],"")</f>
        <v>EMRS Fellow</v>
      </c>
      <c r="C667">
        <v>999015</v>
      </c>
      <c r="D667" s="5" t="str">
        <f>_xlfn.XLOOKUP(role_course_map[[#This Row],[course_id]],course_data[course_id],course_data[title],"")</f>
        <v>Patient Assessment</v>
      </c>
      <c r="E667" s="5" t="str">
        <f>_xlfn.XLOOKUP(role_course_map[[#This Row],[course_id]],course_data[course_id],course_data[topic],"")</f>
        <v>SAS : Clinical Practice</v>
      </c>
      <c r="F667" s="5" t="str">
        <f>_xlfn.XLOOKUP(role_course_map[[#This Row],[course_id]],course_data[course_id],course_data[type],"")</f>
        <v>eLearning</v>
      </c>
      <c r="K667" t="str">
        <f>role_course_map[[#This Row],[role_id]] &amp; "|" &amp; role_course_map[[#This Row],[course_id]]</f>
        <v>R0134|999015</v>
      </c>
      <c r="L667" t="str">
        <f>IF(COUNTIF(role_course_map[mapping_key],role_course_map[[#This Row],[mapping_key]])&gt;1,"DUPLICATE","OK")</f>
        <v>OK</v>
      </c>
      <c r="M667" t="str">
        <f>IF(COUNTIF(role_data[role_id],role_course_map[[#This Row],[role_id]])=0, "INVALID","VALID")</f>
        <v>VALID</v>
      </c>
      <c r="N667" t="str">
        <f>IF(COUNTIF(course_data[course_id],role_course_map[[#This Row],[course_id]])=0, "INVALID","VALID")</f>
        <v>VALID</v>
      </c>
    </row>
    <row r="668" spans="1:14" x14ac:dyDescent="0.35">
      <c r="A668" t="s">
        <v>278</v>
      </c>
      <c r="B668" s="5" t="str">
        <f>_xlfn.XLOOKUP(role_course_map[[#This Row],[role_id]], role_data[role_id], role_data[Role],"")</f>
        <v>EMRS Consultant</v>
      </c>
      <c r="C668">
        <v>999016</v>
      </c>
      <c r="D668" s="5" t="str">
        <f>_xlfn.XLOOKUP(role_course_map[[#This Row],[course_id]],course_data[course_id],course_data[title],"")</f>
        <v>Clinical Skills</v>
      </c>
      <c r="E668" s="5" t="str">
        <f>_xlfn.XLOOKUP(role_course_map[[#This Row],[course_id]],course_data[course_id],course_data[topic],"")</f>
        <v>SAS : Clinical Practice</v>
      </c>
      <c r="F668" s="5" t="str">
        <f>_xlfn.XLOOKUP(role_course_map[[#This Row],[course_id]],course_data[course_id],course_data[type],"")</f>
        <v>Course</v>
      </c>
      <c r="K668" t="str">
        <f>role_course_map[[#This Row],[role_id]] &amp; "|" &amp; role_course_map[[#This Row],[course_id]]</f>
        <v>R0133|999016</v>
      </c>
      <c r="L668" t="str">
        <f>IF(COUNTIF(role_course_map[mapping_key],role_course_map[[#This Row],[mapping_key]])&gt;1,"DUPLICATE","OK")</f>
        <v>OK</v>
      </c>
      <c r="M668" t="str">
        <f>IF(COUNTIF(role_data[role_id],role_course_map[[#This Row],[role_id]])=0, "INVALID","VALID")</f>
        <v>VALID</v>
      </c>
      <c r="N668" t="str">
        <f>IF(COUNTIF(course_data[course_id],role_course_map[[#This Row],[course_id]])=0, "INVALID","VALID")</f>
        <v>VALID</v>
      </c>
    </row>
    <row r="669" spans="1:14" x14ac:dyDescent="0.35">
      <c r="A669" t="s">
        <v>280</v>
      </c>
      <c r="B669" s="5" t="str">
        <f>_xlfn.XLOOKUP(role_course_map[[#This Row],[role_id]], role_data[role_id], role_data[Role],"")</f>
        <v>EMRS Fellow</v>
      </c>
      <c r="C669">
        <v>999018</v>
      </c>
      <c r="D669" s="5" t="str">
        <f>_xlfn.XLOOKUP(role_course_map[[#This Row],[course_id]],course_data[course_id],course_data[title],"")</f>
        <v>Learning from Events</v>
      </c>
      <c r="E669" s="5" t="str">
        <f>_xlfn.XLOOKUP(role_course_map[[#This Row],[course_id]],course_data[course_id],course_data[topic],"")</f>
        <v>SAS : Clinical Practice</v>
      </c>
      <c r="F669" s="5" t="str">
        <f>_xlfn.XLOOKUP(role_course_map[[#This Row],[course_id]],course_data[course_id],course_data[type],"")</f>
        <v>eLearning</v>
      </c>
      <c r="K669" t="str">
        <f>role_course_map[[#This Row],[role_id]] &amp; "|" &amp; role_course_map[[#This Row],[course_id]]</f>
        <v>R0134|999018</v>
      </c>
      <c r="L669" t="str">
        <f>IF(COUNTIF(role_course_map[mapping_key],role_course_map[[#This Row],[mapping_key]])&gt;1,"DUPLICATE","OK")</f>
        <v>OK</v>
      </c>
      <c r="M669" t="str">
        <f>IF(COUNTIF(role_data[role_id],role_course_map[[#This Row],[role_id]])=0, "INVALID","VALID")</f>
        <v>VALID</v>
      </c>
      <c r="N669" t="str">
        <f>IF(COUNTIF(course_data[course_id],role_course_map[[#This Row],[course_id]])=0, "INVALID","VALID")</f>
        <v>VALID</v>
      </c>
    </row>
    <row r="670" spans="1:14" x14ac:dyDescent="0.35">
      <c r="A670" t="s">
        <v>280</v>
      </c>
      <c r="B670" s="5" t="str">
        <f>_xlfn.XLOOKUP(role_course_map[[#This Row],[role_id]], role_data[role_id], role_data[Role],"")</f>
        <v>EMRS Fellow</v>
      </c>
      <c r="C670">
        <v>999019</v>
      </c>
      <c r="D670" s="5" t="str">
        <f>_xlfn.XLOOKUP(role_course_map[[#This Row],[course_id]],course_data[course_id],course_data[title],"")</f>
        <v>Medicines Management</v>
      </c>
      <c r="E670" s="5" t="str">
        <f>_xlfn.XLOOKUP(role_course_map[[#This Row],[course_id]],course_data[course_id],course_data[topic],"")</f>
        <v>SAS : Clinical Practice</v>
      </c>
      <c r="F670" s="5" t="str">
        <f>_xlfn.XLOOKUP(role_course_map[[#This Row],[course_id]],course_data[course_id],course_data[type],"")</f>
        <v>eLearning</v>
      </c>
      <c r="K670" t="str">
        <f>role_course_map[[#This Row],[role_id]] &amp; "|" &amp; role_course_map[[#This Row],[course_id]]</f>
        <v>R0134|999019</v>
      </c>
      <c r="L670" t="str">
        <f>IF(COUNTIF(role_course_map[mapping_key],role_course_map[[#This Row],[mapping_key]])&gt;1,"DUPLICATE","OK")</f>
        <v>OK</v>
      </c>
      <c r="M670" t="str">
        <f>IF(COUNTIF(role_data[role_id],role_course_map[[#This Row],[role_id]])=0, "INVALID","VALID")</f>
        <v>VALID</v>
      </c>
      <c r="N670" t="str">
        <f>IF(COUNTIF(course_data[course_id],role_course_map[[#This Row],[course_id]])=0, "INVALID","VALID")</f>
        <v>VALID</v>
      </c>
    </row>
    <row r="671" spans="1:14" x14ac:dyDescent="0.35">
      <c r="A671" t="s">
        <v>280</v>
      </c>
      <c r="B671" s="5" t="str">
        <f>_xlfn.XLOOKUP(role_course_map[[#This Row],[role_id]], role_data[role_id], role_data[Role],"")</f>
        <v>EMRS Fellow</v>
      </c>
      <c r="C671">
        <v>999020</v>
      </c>
      <c r="D671" s="5" t="str">
        <f>_xlfn.XLOOKUP(role_course_map[[#This Row],[course_id]],course_data[course_id],course_data[title],"")</f>
        <v>JRCALC Update</v>
      </c>
      <c r="E671" s="5" t="str">
        <f>_xlfn.XLOOKUP(role_course_map[[#This Row],[course_id]],course_data[course_id],course_data[topic],"")</f>
        <v>SAS : Clinical Practice</v>
      </c>
      <c r="F671" s="5" t="str">
        <f>_xlfn.XLOOKUP(role_course_map[[#This Row],[course_id]],course_data[course_id],course_data[type],"")</f>
        <v>eLearning</v>
      </c>
      <c r="K671" t="str">
        <f>role_course_map[[#This Row],[role_id]] &amp; "|" &amp; role_course_map[[#This Row],[course_id]]</f>
        <v>R0134|999020</v>
      </c>
      <c r="L671" t="str">
        <f>IF(COUNTIF(role_course_map[mapping_key],role_course_map[[#This Row],[mapping_key]])&gt;1,"DUPLICATE","OK")</f>
        <v>OK</v>
      </c>
      <c r="M671" t="str">
        <f>IF(COUNTIF(role_data[role_id],role_course_map[[#This Row],[role_id]])=0, "INVALID","VALID")</f>
        <v>VALID</v>
      </c>
      <c r="N671" t="str">
        <f>IF(COUNTIF(course_data[course_id],role_course_map[[#This Row],[course_id]])=0, "INVALID","VALID")</f>
        <v>VALID</v>
      </c>
    </row>
    <row r="672" spans="1:14" x14ac:dyDescent="0.35">
      <c r="A672" t="s">
        <v>280</v>
      </c>
      <c r="B672" s="5" t="str">
        <f>_xlfn.XLOOKUP(role_course_map[[#This Row],[role_id]], role_data[role_id], role_data[Role],"")</f>
        <v>EMRS Fellow</v>
      </c>
      <c r="C672">
        <v>999021</v>
      </c>
      <c r="D672" s="5" t="str">
        <f>_xlfn.XLOOKUP(role_course_map[[#This Row],[course_id]],course_data[course_id],course_data[title],"")</f>
        <v>Mental Health</v>
      </c>
      <c r="E672" s="5" t="str">
        <f>_xlfn.XLOOKUP(role_course_map[[#This Row],[course_id]],course_data[course_id],course_data[topic],"")</f>
        <v>SAS : Clinical Practice</v>
      </c>
      <c r="F672" s="5" t="str">
        <f>_xlfn.XLOOKUP(role_course_map[[#This Row],[course_id]],course_data[course_id],course_data[type],"")</f>
        <v>eLearning</v>
      </c>
      <c r="K672" t="str">
        <f>role_course_map[[#This Row],[role_id]] &amp; "|" &amp; role_course_map[[#This Row],[course_id]]</f>
        <v>R0134|999021</v>
      </c>
      <c r="L672" t="str">
        <f>IF(COUNTIF(role_course_map[mapping_key],role_course_map[[#This Row],[mapping_key]])&gt;1,"DUPLICATE","OK")</f>
        <v>OK</v>
      </c>
      <c r="M672" t="str">
        <f>IF(COUNTIF(role_data[role_id],role_course_map[[#This Row],[role_id]])=0, "INVALID","VALID")</f>
        <v>VALID</v>
      </c>
      <c r="N672" t="str">
        <f>IF(COUNTIF(course_data[course_id],role_course_map[[#This Row],[course_id]])=0, "INVALID","VALID")</f>
        <v>VALID</v>
      </c>
    </row>
    <row r="673" spans="1:14" x14ac:dyDescent="0.35">
      <c r="A673" t="s">
        <v>280</v>
      </c>
      <c r="B673" s="5" t="str">
        <f>_xlfn.XLOOKUP(role_course_map[[#This Row],[role_id]], role_data[role_id], role_data[Role],"")</f>
        <v>EMRS Fellow</v>
      </c>
      <c r="C673">
        <v>999022</v>
      </c>
      <c r="D673" s="5" t="str">
        <f>_xlfn.XLOOKUP(role_course_map[[#This Row],[course_id]],course_data[course_id],course_data[title],"")</f>
        <v>Learning Disabilities</v>
      </c>
      <c r="E673" s="5" t="str">
        <f>_xlfn.XLOOKUP(role_course_map[[#This Row],[course_id]],course_data[course_id],course_data[topic],"")</f>
        <v>SAS : Clinical Practice</v>
      </c>
      <c r="F673" s="5" t="str">
        <f>_xlfn.XLOOKUP(role_course_map[[#This Row],[course_id]],course_data[course_id],course_data[type],"")</f>
        <v>eLearning</v>
      </c>
      <c r="K673" t="str">
        <f>role_course_map[[#This Row],[role_id]] &amp; "|" &amp; role_course_map[[#This Row],[course_id]]</f>
        <v>R0134|999022</v>
      </c>
      <c r="L673" t="str">
        <f>IF(COUNTIF(role_course_map[mapping_key],role_course_map[[#This Row],[mapping_key]])&gt;1,"DUPLICATE","OK")</f>
        <v>OK</v>
      </c>
      <c r="M673" t="str">
        <f>IF(COUNTIF(role_data[role_id],role_course_map[[#This Row],[role_id]])=0, "INVALID","VALID")</f>
        <v>VALID</v>
      </c>
      <c r="N673" t="str">
        <f>IF(COUNTIF(course_data[course_id],role_course_map[[#This Row],[course_id]])=0, "INVALID","VALID")</f>
        <v>VALID</v>
      </c>
    </row>
    <row r="674" spans="1:14" x14ac:dyDescent="0.35">
      <c r="A674" t="s">
        <v>280</v>
      </c>
      <c r="B674" s="5" t="str">
        <f>_xlfn.XLOOKUP(role_course_map[[#This Row],[role_id]], role_data[role_id], role_data[Role],"")</f>
        <v>EMRS Fellow</v>
      </c>
      <c r="C674">
        <v>75202</v>
      </c>
      <c r="D674" s="5" t="str">
        <f>_xlfn.XLOOKUP(role_course_map[[#This Row],[course_id]],course_data[course_id],course_data[title],"")</f>
        <v>SAS : Clinical Practice</v>
      </c>
      <c r="E674" s="5" t="str">
        <f>_xlfn.XLOOKUP(role_course_map[[#This Row],[course_id]],course_data[course_id],course_data[topic],"")</f>
        <v>SAS : Clinical Practice</v>
      </c>
      <c r="F674" s="5" t="str">
        <f>_xlfn.XLOOKUP(role_course_map[[#This Row],[course_id]],course_data[course_id],course_data[type],"")</f>
        <v>Page</v>
      </c>
      <c r="K674" t="str">
        <f>role_course_map[[#This Row],[role_id]] &amp; "|" &amp; role_course_map[[#This Row],[course_id]]</f>
        <v>R0134|75202</v>
      </c>
      <c r="L674" t="str">
        <f>IF(COUNTIF(role_course_map[mapping_key],role_course_map[[#This Row],[mapping_key]])&gt;1,"DUPLICATE","OK")</f>
        <v>OK</v>
      </c>
      <c r="M674" t="str">
        <f>IF(COUNTIF(role_data[role_id],role_course_map[[#This Row],[role_id]])=0, "INVALID","VALID")</f>
        <v>VALID</v>
      </c>
      <c r="N674" t="str">
        <f>IF(COUNTIF(course_data[course_id],role_course_map[[#This Row],[course_id]])=0, "INVALID","VALID")</f>
        <v>VALID</v>
      </c>
    </row>
    <row r="675" spans="1:14" x14ac:dyDescent="0.35">
      <c r="A675" t="s">
        <v>280</v>
      </c>
      <c r="B675" s="5" t="str">
        <f>_xlfn.XLOOKUP(role_course_map[[#This Row],[role_id]], role_data[role_id], role_data[Role],"")</f>
        <v>EMRS Fellow</v>
      </c>
      <c r="C675">
        <v>999023</v>
      </c>
      <c r="D675" s="5" t="str">
        <f>_xlfn.XLOOKUP(role_course_map[[#This Row],[course_id]],course_data[course_id],course_data[title],"")</f>
        <v>Dementia</v>
      </c>
      <c r="E675" s="5" t="str">
        <f>_xlfn.XLOOKUP(role_course_map[[#This Row],[course_id]],course_data[course_id],course_data[topic],"")</f>
        <v>SAS : Clinical Practice</v>
      </c>
      <c r="F675" s="5" t="str">
        <f>_xlfn.XLOOKUP(role_course_map[[#This Row],[course_id]],course_data[course_id],course_data[type],"")</f>
        <v>eLearning</v>
      </c>
      <c r="K675" t="str">
        <f>role_course_map[[#This Row],[role_id]] &amp; "|" &amp; role_course_map[[#This Row],[course_id]]</f>
        <v>R0134|999023</v>
      </c>
      <c r="L675" t="str">
        <f>IF(COUNTIF(role_course_map[mapping_key],role_course_map[[#This Row],[mapping_key]])&gt;1,"DUPLICATE","OK")</f>
        <v>OK</v>
      </c>
      <c r="M675" t="str">
        <f>IF(COUNTIF(role_data[role_id],role_course_map[[#This Row],[role_id]])=0, "INVALID","VALID")</f>
        <v>VALID</v>
      </c>
      <c r="N675" t="str">
        <f>IF(COUNTIF(course_data[course_id],role_course_map[[#This Row],[course_id]])=0, "INVALID","VALID")</f>
        <v>VALID</v>
      </c>
    </row>
    <row r="676" spans="1:14" x14ac:dyDescent="0.35">
      <c r="A676" t="s">
        <v>278</v>
      </c>
      <c r="B676" s="5" t="str">
        <f>_xlfn.XLOOKUP(role_course_map[[#This Row],[role_id]], role_data[role_id], role_data[Role],"")</f>
        <v>EMRS Consultant</v>
      </c>
      <c r="C676">
        <v>999024</v>
      </c>
      <c r="D676" s="5" t="str">
        <f>_xlfn.XLOOKUP(role_course_map[[#This Row],[course_id]],course_data[course_id],course_data[title],"")</f>
        <v>Conditions requiring specific hospital management. I.e. Parkinsons</v>
      </c>
      <c r="E676" s="5" t="str">
        <f>_xlfn.XLOOKUP(role_course_map[[#This Row],[course_id]],course_data[course_id],course_data[topic],"")</f>
        <v>SAS : Clinical Practice</v>
      </c>
      <c r="F676" s="5" t="str">
        <f>_xlfn.XLOOKUP(role_course_map[[#This Row],[course_id]],course_data[course_id],course_data[type],"")</f>
        <v>eLearning</v>
      </c>
      <c r="K676" t="str">
        <f>role_course_map[[#This Row],[role_id]] &amp; "|" &amp; role_course_map[[#This Row],[course_id]]</f>
        <v>R0133|999024</v>
      </c>
      <c r="L676" t="str">
        <f>IF(COUNTIF(role_course_map[mapping_key],role_course_map[[#This Row],[mapping_key]])&gt;1,"DUPLICATE","OK")</f>
        <v>OK</v>
      </c>
      <c r="M676" t="str">
        <f>IF(COUNTIF(role_data[role_id],role_course_map[[#This Row],[role_id]])=0, "INVALID","VALID")</f>
        <v>VALID</v>
      </c>
      <c r="N676" t="str">
        <f>IF(COUNTIF(course_data[course_id],role_course_map[[#This Row],[course_id]])=0, "INVALID","VALID")</f>
        <v>VALID</v>
      </c>
    </row>
    <row r="677" spans="1:14" x14ac:dyDescent="0.35">
      <c r="A677" t="s">
        <v>280</v>
      </c>
      <c r="B677" s="5" t="str">
        <f>_xlfn.XLOOKUP(role_course_map[[#This Row],[role_id]], role_data[role_id], role_data[Role],"")</f>
        <v>EMRS Fellow</v>
      </c>
      <c r="C677">
        <v>999095</v>
      </c>
      <c r="D677" s="5" t="str">
        <f>_xlfn.XLOOKUP(role_course_map[[#This Row],[course_id]],course_data[course_id],course_data[title],"")</f>
        <v>Mentoring</v>
      </c>
      <c r="E677" s="5" t="str">
        <f>_xlfn.XLOOKUP(role_course_map[[#This Row],[course_id]],course_data[course_id],course_data[topic],"")</f>
        <v>SAS: Staff development and experience</v>
      </c>
      <c r="F677" s="5" t="str">
        <f>_xlfn.XLOOKUP(role_course_map[[#This Row],[course_id]],course_data[course_id],course_data[type],"")</f>
        <v>eLearning</v>
      </c>
      <c r="K677" t="str">
        <f>role_course_map[[#This Row],[role_id]] &amp; "|" &amp; role_course_map[[#This Row],[course_id]]</f>
        <v>R0134|999095</v>
      </c>
      <c r="L677" t="str">
        <f>IF(COUNTIF(role_course_map[mapping_key],role_course_map[[#This Row],[mapping_key]])&gt;1,"DUPLICATE","OK")</f>
        <v>OK</v>
      </c>
      <c r="M677" t="str">
        <f>IF(COUNTIF(role_data[role_id],role_course_map[[#This Row],[role_id]])=0, "INVALID","VALID")</f>
        <v>VALID</v>
      </c>
      <c r="N677" t="str">
        <f>IF(COUNTIF(course_data[course_id],role_course_map[[#This Row],[course_id]])=0, "INVALID","VALID")</f>
        <v>VALID</v>
      </c>
    </row>
    <row r="678" spans="1:14" x14ac:dyDescent="0.35">
      <c r="A678" t="s">
        <v>280</v>
      </c>
      <c r="B678" s="5" t="str">
        <f>_xlfn.XLOOKUP(role_course_map[[#This Row],[role_id]], role_data[role_id], role_data[Role],"")</f>
        <v>EMRS Fellow</v>
      </c>
      <c r="C678">
        <v>999096</v>
      </c>
      <c r="D678" s="5" t="str">
        <f>_xlfn.XLOOKUP(role_course_map[[#This Row],[course_id]],course_data[course_id],course_data[title],"")</f>
        <v>Supporting others in practice (Supervision)</v>
      </c>
      <c r="E678" s="5" t="str">
        <f>_xlfn.XLOOKUP(role_course_map[[#This Row],[course_id]],course_data[course_id],course_data[topic],"")</f>
        <v>SAS: Staff development and experience</v>
      </c>
      <c r="F678" s="5" t="str">
        <f>_xlfn.XLOOKUP(role_course_map[[#This Row],[course_id]],course_data[course_id],course_data[type],"")</f>
        <v>Course</v>
      </c>
      <c r="K678" t="str">
        <f>role_course_map[[#This Row],[role_id]] &amp; "|" &amp; role_course_map[[#This Row],[course_id]]</f>
        <v>R0134|999096</v>
      </c>
      <c r="L678" t="str">
        <f>IF(COUNTIF(role_course_map[mapping_key],role_course_map[[#This Row],[mapping_key]])&gt;1,"DUPLICATE","OK")</f>
        <v>OK</v>
      </c>
      <c r="M678" t="str">
        <f>IF(COUNTIF(role_data[role_id],role_course_map[[#This Row],[role_id]])=0, "INVALID","VALID")</f>
        <v>VALID</v>
      </c>
      <c r="N678" t="str">
        <f>IF(COUNTIF(course_data[course_id],role_course_map[[#This Row],[course_id]])=0, "INVALID","VALID")</f>
        <v>VALID</v>
      </c>
    </row>
    <row r="679" spans="1:14" x14ac:dyDescent="0.35">
      <c r="A679" t="s">
        <v>280</v>
      </c>
      <c r="B679" s="5" t="str">
        <f>_xlfn.XLOOKUP(role_course_map[[#This Row],[role_id]], role_data[role_id], role_data[Role],"")</f>
        <v>EMRS Fellow</v>
      </c>
      <c r="C679">
        <v>999097</v>
      </c>
      <c r="D679" s="5" t="str">
        <f>_xlfn.XLOOKUP(role_course_map[[#This Row],[course_id]],course_data[course_id],course_data[title],"")</f>
        <v>Personal Wellbeing</v>
      </c>
      <c r="E679" s="5" t="str">
        <f>_xlfn.XLOOKUP(role_course_map[[#This Row],[course_id]],course_data[course_id],course_data[topic],"")</f>
        <v>SAS: Staff development and experience</v>
      </c>
      <c r="F679" s="5" t="str">
        <f>_xlfn.XLOOKUP(role_course_map[[#This Row],[course_id]],course_data[course_id],course_data[type],"")</f>
        <v>eLearning</v>
      </c>
      <c r="K679" t="str">
        <f>role_course_map[[#This Row],[role_id]] &amp; "|" &amp; role_course_map[[#This Row],[course_id]]</f>
        <v>R0134|999097</v>
      </c>
      <c r="L679" t="str">
        <f>IF(COUNTIF(role_course_map[mapping_key],role_course_map[[#This Row],[mapping_key]])&gt;1,"DUPLICATE","OK")</f>
        <v>OK</v>
      </c>
      <c r="M679" t="str">
        <f>IF(COUNTIF(role_data[role_id],role_course_map[[#This Row],[role_id]])=0, "INVALID","VALID")</f>
        <v>VALID</v>
      </c>
      <c r="N679" t="str">
        <f>IF(COUNTIF(course_data[course_id],role_course_map[[#This Row],[course_id]])=0, "INVALID","VALID")</f>
        <v>VALID</v>
      </c>
    </row>
    <row r="680" spans="1:14" x14ac:dyDescent="0.35">
      <c r="A680" t="s">
        <v>280</v>
      </c>
      <c r="B680" s="5" t="str">
        <f>_xlfn.XLOOKUP(role_course_map[[#This Row],[role_id]], role_data[role_id], role_data[Role],"")</f>
        <v>EMRS Fellow</v>
      </c>
      <c r="C680">
        <v>999058</v>
      </c>
      <c r="D680" s="5" t="str">
        <f>_xlfn.XLOOKUP(role_course_map[[#This Row],[course_id]],course_data[course_id],course_data[title],"")</f>
        <v>Stress Identification &amp; Stress Management</v>
      </c>
      <c r="E680" s="5" t="str">
        <f>_xlfn.XLOOKUP(role_course_map[[#This Row],[course_id]],course_data[course_id],course_data[topic],"")</f>
        <v>SAS : Health and Safety</v>
      </c>
      <c r="F680" s="5" t="str">
        <f>_xlfn.XLOOKUP(role_course_map[[#This Row],[course_id]],course_data[course_id],course_data[type],"")</f>
        <v>eLearning</v>
      </c>
      <c r="K680" t="str">
        <f>role_course_map[[#This Row],[role_id]] &amp; "|" &amp; role_course_map[[#This Row],[course_id]]</f>
        <v>R0134|999058</v>
      </c>
      <c r="L680" t="str">
        <f>IF(COUNTIF(role_course_map[mapping_key],role_course_map[[#This Row],[mapping_key]])&gt;1,"DUPLICATE","OK")</f>
        <v>OK</v>
      </c>
      <c r="M680" t="str">
        <f>IF(COUNTIF(role_data[role_id],role_course_map[[#This Row],[role_id]])=0, "INVALID","VALID")</f>
        <v>VALID</v>
      </c>
      <c r="N680" t="str">
        <f>IF(COUNTIF(course_data[course_id],role_course_map[[#This Row],[course_id]])=0, "INVALID","VALID")</f>
        <v>VALID</v>
      </c>
    </row>
    <row r="681" spans="1:14" x14ac:dyDescent="0.35">
      <c r="A681" t="s">
        <v>278</v>
      </c>
      <c r="B681" s="5" t="str">
        <f>_xlfn.XLOOKUP(role_course_map[[#This Row],[role_id]], role_data[role_id], role_data[Role],"")</f>
        <v>EMRS Consultant</v>
      </c>
      <c r="C681">
        <v>999056</v>
      </c>
      <c r="D681" s="5" t="str">
        <f>_xlfn.XLOOKUP(role_course_map[[#This Row],[course_id]],course_data[course_id],course_data[title],"")</f>
        <v>Driver Assessment &amp; Training</v>
      </c>
      <c r="E681" s="5" t="str">
        <f>_xlfn.XLOOKUP(role_course_map[[#This Row],[course_id]],course_data[course_id],course_data[topic],"")</f>
        <v>SAS : Health and Safety</v>
      </c>
      <c r="F681" s="5" t="str">
        <f>_xlfn.XLOOKUP(role_course_map[[#This Row],[course_id]],course_data[course_id],course_data[type],"")</f>
        <v>eLearning</v>
      </c>
      <c r="K681" t="str">
        <f>role_course_map[[#This Row],[role_id]] &amp; "|" &amp; role_course_map[[#This Row],[course_id]]</f>
        <v>R0133|999056</v>
      </c>
      <c r="L681" t="str">
        <f>IF(COUNTIF(role_course_map[mapping_key],role_course_map[[#This Row],[mapping_key]])&gt;1,"DUPLICATE","OK")</f>
        <v>OK</v>
      </c>
      <c r="M681" t="str">
        <f>IF(COUNTIF(role_data[role_id],role_course_map[[#This Row],[role_id]])=0, "INVALID","VALID")</f>
        <v>VALID</v>
      </c>
      <c r="N681" t="str">
        <f>IF(COUNTIF(course_data[course_id],role_course_map[[#This Row],[course_id]])=0, "INVALID","VALID")</f>
        <v>VALID</v>
      </c>
    </row>
    <row r="682" spans="1:14" x14ac:dyDescent="0.35">
      <c r="A682" t="s">
        <v>280</v>
      </c>
      <c r="B682" s="5" t="str">
        <f>_xlfn.XLOOKUP(role_course_map[[#This Row],[role_id]], role_data[role_id], role_data[Role],"")</f>
        <v>EMRS Fellow</v>
      </c>
      <c r="C682">
        <v>999061</v>
      </c>
      <c r="D682" s="5" t="str">
        <f>_xlfn.XLOOKUP(role_course_map[[#This Row],[course_id]],course_data[course_id],course_data[title],"")</f>
        <v>Skin Awareness</v>
      </c>
      <c r="E682" s="5" t="str">
        <f>_xlfn.XLOOKUP(role_course_map[[#This Row],[course_id]],course_data[course_id],course_data[topic],"")</f>
        <v>SAS : Health and Safety</v>
      </c>
      <c r="F682" s="5" t="str">
        <f>_xlfn.XLOOKUP(role_course_map[[#This Row],[course_id]],course_data[course_id],course_data[type],"")</f>
        <v>eLearning</v>
      </c>
      <c r="K682" t="str">
        <f>role_course_map[[#This Row],[role_id]] &amp; "|" &amp; role_course_map[[#This Row],[course_id]]</f>
        <v>R0134|999061</v>
      </c>
      <c r="L682" t="str">
        <f>IF(COUNTIF(role_course_map[mapping_key],role_course_map[[#This Row],[mapping_key]])&gt;1,"DUPLICATE","OK")</f>
        <v>OK</v>
      </c>
      <c r="M682" t="str">
        <f>IF(COUNTIF(role_data[role_id],role_course_map[[#This Row],[role_id]])=0, "INVALID","VALID")</f>
        <v>VALID</v>
      </c>
      <c r="N682" t="str">
        <f>IF(COUNTIF(course_data[course_id],role_course_map[[#This Row],[course_id]])=0, "INVALID","VALID")</f>
        <v>VALID</v>
      </c>
    </row>
    <row r="683" spans="1:14" x14ac:dyDescent="0.35">
      <c r="A683" t="s">
        <v>278</v>
      </c>
      <c r="B683" s="5" t="str">
        <f>_xlfn.XLOOKUP(role_course_map[[#This Row],[role_id]], role_data[role_id], role_data[Role],"")</f>
        <v>EMRS Consultant</v>
      </c>
      <c r="C683">
        <v>999057</v>
      </c>
      <c r="D683" s="5" t="str">
        <f>_xlfn.XLOOKUP(role_course_map[[#This Row],[course_id]],course_data[course_id],course_data[title],"")</f>
        <v>Fatigue Awareness</v>
      </c>
      <c r="E683" s="5" t="str">
        <f>_xlfn.XLOOKUP(role_course_map[[#This Row],[course_id]],course_data[course_id],course_data[topic],"")</f>
        <v>SAS : Health and Safety</v>
      </c>
      <c r="F683" s="5" t="str">
        <f>_xlfn.XLOOKUP(role_course_map[[#This Row],[course_id]],course_data[course_id],course_data[type],"")</f>
        <v>eLearning</v>
      </c>
      <c r="K683" t="str">
        <f>role_course_map[[#This Row],[role_id]] &amp; "|" &amp; role_course_map[[#This Row],[course_id]]</f>
        <v>R0133|999057</v>
      </c>
      <c r="L683" t="str">
        <f>IF(COUNTIF(role_course_map[mapping_key],role_course_map[[#This Row],[mapping_key]])&gt;1,"DUPLICATE","OK")</f>
        <v>OK</v>
      </c>
      <c r="M683" t="str">
        <f>IF(COUNTIF(role_data[role_id],role_course_map[[#This Row],[role_id]])=0, "INVALID","VALID")</f>
        <v>VALID</v>
      </c>
      <c r="N683" t="str">
        <f>IF(COUNTIF(course_data[course_id],role_course_map[[#This Row],[course_id]])=0, "INVALID","VALID")</f>
        <v>VALID</v>
      </c>
    </row>
    <row r="684" spans="1:14" x14ac:dyDescent="0.35">
      <c r="A684" t="s">
        <v>280</v>
      </c>
      <c r="B684" s="5" t="str">
        <f>_xlfn.XLOOKUP(role_course_map[[#This Row],[role_id]], role_data[role_id], role_data[Role],"")</f>
        <v>EMRS Fellow</v>
      </c>
      <c r="C684">
        <v>999027</v>
      </c>
      <c r="D684" s="5" t="str">
        <f>_xlfn.XLOOKUP(role_course_map[[#This Row],[course_id]],course_data[course_id],course_data[title],"")</f>
        <v>Manual and Patient Handling Foundation Training - Level 2</v>
      </c>
      <c r="E684" s="5" t="str">
        <f>_xlfn.XLOOKUP(role_course_map[[#This Row],[course_id]],course_data[course_id],course_data[topic],"")</f>
        <v>SAS : Clinical Practice</v>
      </c>
      <c r="F684" s="5" t="str">
        <f>_xlfn.XLOOKUP(role_course_map[[#This Row],[course_id]],course_data[course_id],course_data[type],"")</f>
        <v>Course</v>
      </c>
      <c r="K684" t="str">
        <f>role_course_map[[#This Row],[role_id]] &amp; "|" &amp; role_course_map[[#This Row],[course_id]]</f>
        <v>R0134|999027</v>
      </c>
      <c r="L684" t="str">
        <f>IF(COUNTIF(role_course_map[mapping_key],role_course_map[[#This Row],[mapping_key]])&gt;1,"DUPLICATE","OK")</f>
        <v>OK</v>
      </c>
      <c r="M684" t="str">
        <f>IF(COUNTIF(role_data[role_id],role_course_map[[#This Row],[role_id]])=0, "INVALID","VALID")</f>
        <v>VALID</v>
      </c>
      <c r="N684" t="str">
        <f>IF(COUNTIF(course_data[course_id],role_course_map[[#This Row],[course_id]])=0, "INVALID","VALID")</f>
        <v>VALID</v>
      </c>
    </row>
    <row r="685" spans="1:14" x14ac:dyDescent="0.35">
      <c r="A685" t="s">
        <v>280</v>
      </c>
      <c r="B685" s="5" t="str">
        <f>_xlfn.XLOOKUP(role_course_map[[#This Row],[role_id]], role_data[role_id], role_data[Role],"")</f>
        <v>EMRS Fellow</v>
      </c>
      <c r="C685">
        <v>999028</v>
      </c>
      <c r="D685" s="5" t="str">
        <f>_xlfn.XLOOKUP(role_course_map[[#This Row],[course_id]],course_data[course_id],course_data[title],"")</f>
        <v>Manual and Patient Handling Competency Assessment - Level 3</v>
      </c>
      <c r="E685" s="5" t="str">
        <f>_xlfn.XLOOKUP(role_course_map[[#This Row],[course_id]],course_data[course_id],course_data[topic],"")</f>
        <v>SAS : Clinical Practice</v>
      </c>
      <c r="F685" s="5" t="str">
        <f>_xlfn.XLOOKUP(role_course_map[[#This Row],[course_id]],course_data[course_id],course_data[type],"")</f>
        <v>Course</v>
      </c>
      <c r="K685" t="str">
        <f>role_course_map[[#This Row],[role_id]] &amp; "|" &amp; role_course_map[[#This Row],[course_id]]</f>
        <v>R0134|999028</v>
      </c>
      <c r="L685" t="str">
        <f>IF(COUNTIF(role_course_map[mapping_key],role_course_map[[#This Row],[mapping_key]])&gt;1,"DUPLICATE","OK")</f>
        <v>OK</v>
      </c>
      <c r="M685" t="str">
        <f>IF(COUNTIF(role_data[role_id],role_course_map[[#This Row],[role_id]])=0, "INVALID","VALID")</f>
        <v>VALID</v>
      </c>
      <c r="N685" t="str">
        <f>IF(COUNTIF(course_data[course_id],role_course_map[[#This Row],[course_id]])=0, "INVALID","VALID")</f>
        <v>VALID</v>
      </c>
    </row>
    <row r="686" spans="1:14" x14ac:dyDescent="0.35">
      <c r="A686" t="s">
        <v>280</v>
      </c>
      <c r="B686" s="5" t="str">
        <f>_xlfn.XLOOKUP(role_course_map[[#This Row],[role_id]], role_data[role_id], role_data[Role],"")</f>
        <v>EMRS Fellow</v>
      </c>
      <c r="C686">
        <v>999029</v>
      </c>
      <c r="D686" s="5" t="str">
        <f>_xlfn.XLOOKUP(role_course_map[[#This Row],[course_id]],course_data[course_id],course_data[title],"")</f>
        <v>Manual and Patient Handling Competency Assessment Theory - Level 3</v>
      </c>
      <c r="E686" s="5" t="str">
        <f>_xlfn.XLOOKUP(role_course_map[[#This Row],[course_id]],course_data[course_id],course_data[topic],"")</f>
        <v>SAS : Clinical Practice</v>
      </c>
      <c r="F686" s="5" t="str">
        <f>_xlfn.XLOOKUP(role_course_map[[#This Row],[course_id]],course_data[course_id],course_data[type],"")</f>
        <v>Course</v>
      </c>
      <c r="K686" t="str">
        <f>role_course_map[[#This Row],[role_id]] &amp; "|" &amp; role_course_map[[#This Row],[course_id]]</f>
        <v>R0134|999029</v>
      </c>
      <c r="L686" t="str">
        <f>IF(COUNTIF(role_course_map[mapping_key],role_course_map[[#This Row],[mapping_key]])&gt;1,"DUPLICATE","OK")</f>
        <v>OK</v>
      </c>
      <c r="M686" t="str">
        <f>IF(COUNTIF(role_data[role_id],role_course_map[[#This Row],[role_id]])=0, "INVALID","VALID")</f>
        <v>VALID</v>
      </c>
      <c r="N686" t="str">
        <f>IF(COUNTIF(course_data[course_id],role_course_map[[#This Row],[course_id]])=0, "INVALID","VALID")</f>
        <v>VALID</v>
      </c>
    </row>
    <row r="687" spans="1:14" x14ac:dyDescent="0.35">
      <c r="A687" t="s">
        <v>280</v>
      </c>
      <c r="B687" s="5" t="str">
        <f>_xlfn.XLOOKUP(role_course_map[[#This Row],[role_id]], role_data[role_id], role_data[Role],"")</f>
        <v>EMRS Fellow</v>
      </c>
      <c r="C687" t="s">
        <v>659</v>
      </c>
      <c r="D687" s="5" t="str">
        <f>_xlfn.XLOOKUP(role_course_map[[#This Row],[course_id]],course_data[course_id],course_data[title],"")</f>
        <v>Prevention and Management of Violence and Aggression - Breakaway training Level 2 /Restrictive movement Level 3</v>
      </c>
      <c r="E687" s="5" t="str">
        <f>_xlfn.XLOOKUP(role_course_map[[#This Row],[course_id]],course_data[course_id],course_data[topic],"")</f>
        <v>SAS : Health and Safety</v>
      </c>
      <c r="F687" s="5" t="str">
        <f>_xlfn.XLOOKUP(role_course_map[[#This Row],[course_id]],course_data[course_id],course_data[type],"")</f>
        <v>Course</v>
      </c>
      <c r="K687" t="str">
        <f>role_course_map[[#This Row],[role_id]] &amp; "|" &amp; role_course_map[[#This Row],[course_id]]</f>
        <v>R0134|2025-6 edition</v>
      </c>
      <c r="L687" t="str">
        <f>IF(COUNTIF(role_course_map[mapping_key],role_course_map[[#This Row],[mapping_key]])&gt;1,"DUPLICATE","OK")</f>
        <v>OK</v>
      </c>
      <c r="M687" t="str">
        <f>IF(COUNTIF(role_data[role_id],role_course_map[[#This Row],[role_id]])=0, "INVALID","VALID")</f>
        <v>VALID</v>
      </c>
      <c r="N687" t="str">
        <f>IF(COUNTIF(course_data[course_id],role_course_map[[#This Row],[course_id]])=0, "INVALID","VALID")</f>
        <v>VALID</v>
      </c>
    </row>
    <row r="688" spans="1:14" x14ac:dyDescent="0.35">
      <c r="A688" t="s">
        <v>280</v>
      </c>
      <c r="B688" s="5" t="str">
        <f>_xlfn.XLOOKUP(role_course_map[[#This Row],[role_id]], role_data[role_id], role_data[Role],"")</f>
        <v>EMRS Fellow</v>
      </c>
      <c r="C688">
        <v>999055</v>
      </c>
      <c r="D688" s="5" t="str">
        <f>_xlfn.XLOOKUP(role_course_map[[#This Row],[course_id]],course_data[course_id],course_data[title],"")</f>
        <v>Prevention and Management of Violence and Aggression - Refresher</v>
      </c>
      <c r="E688" s="5" t="str">
        <f>_xlfn.XLOOKUP(role_course_map[[#This Row],[course_id]],course_data[course_id],course_data[topic],"")</f>
        <v>SAS : Health and Safety</v>
      </c>
      <c r="F688" s="5" t="str">
        <f>_xlfn.XLOOKUP(role_course_map[[#This Row],[course_id]],course_data[course_id],course_data[type],"")</f>
        <v>Course</v>
      </c>
      <c r="K688" t="str">
        <f>role_course_map[[#This Row],[role_id]] &amp; "|" &amp; role_course_map[[#This Row],[course_id]]</f>
        <v>R0134|999055</v>
      </c>
      <c r="L688" t="str">
        <f>IF(COUNTIF(role_course_map[mapping_key],role_course_map[[#This Row],[mapping_key]])&gt;1,"DUPLICATE","OK")</f>
        <v>OK</v>
      </c>
      <c r="M688" t="str">
        <f>IF(COUNTIF(role_data[role_id],role_course_map[[#This Row],[role_id]])=0, "INVALID","VALID")</f>
        <v>VALID</v>
      </c>
      <c r="N688" t="str">
        <f>IF(COUNTIF(course_data[course_id],role_course_map[[#This Row],[course_id]])=0, "INVALID","VALID")</f>
        <v>VALID</v>
      </c>
    </row>
    <row r="689" spans="1:14" x14ac:dyDescent="0.35">
      <c r="A689" t="s">
        <v>280</v>
      </c>
      <c r="B689" s="5" t="str">
        <f>_xlfn.XLOOKUP(role_course_map[[#This Row],[role_id]], role_data[role_id], role_data[Role],"")</f>
        <v>EMRS Fellow</v>
      </c>
      <c r="C689">
        <v>64322</v>
      </c>
      <c r="D689" s="5" t="str">
        <f>_xlfn.XLOOKUP(role_course_map[[#This Row],[course_id]],course_data[course_id],course_data[title],"")</f>
        <v>Adult support and protection: practice level 2 [skilled]</v>
      </c>
      <c r="E689" s="5" t="str">
        <f>_xlfn.XLOOKUP(role_course_map[[#This Row],[course_id]],course_data[course_id],course_data[topic],"")</f>
        <v>SAS : Public Protection</v>
      </c>
      <c r="F689" s="5" t="str">
        <f>_xlfn.XLOOKUP(role_course_map[[#This Row],[course_id]],course_data[course_id],course_data[type],"")</f>
        <v>eLearning</v>
      </c>
      <c r="K689" t="str">
        <f>role_course_map[[#This Row],[role_id]] &amp; "|" &amp; role_course_map[[#This Row],[course_id]]</f>
        <v>R0134|64322</v>
      </c>
      <c r="L689" t="str">
        <f>IF(COUNTIF(role_course_map[mapping_key],role_course_map[[#This Row],[mapping_key]])&gt;1,"DUPLICATE","OK")</f>
        <v>OK</v>
      </c>
      <c r="M689" t="str">
        <f>IF(COUNTIF(role_data[role_id],role_course_map[[#This Row],[role_id]])=0, "INVALID","VALID")</f>
        <v>VALID</v>
      </c>
      <c r="N689" t="str">
        <f>IF(COUNTIF(course_data[course_id],role_course_map[[#This Row],[course_id]])=0, "INVALID","VALID")</f>
        <v>VALID</v>
      </c>
    </row>
    <row r="690" spans="1:14" x14ac:dyDescent="0.35">
      <c r="A690" t="s">
        <v>280</v>
      </c>
      <c r="B690" s="5" t="str">
        <f>_xlfn.XLOOKUP(role_course_map[[#This Row],[role_id]], role_data[role_id], role_data[Role],"")</f>
        <v>EMRS Fellow</v>
      </c>
      <c r="C690">
        <v>64324</v>
      </c>
      <c r="D690" s="5" t="str">
        <f>_xlfn.XLOOKUP(role_course_map[[#This Row],[course_id]],course_data[course_id],course_data[title],"")</f>
        <v>Child protection: practice level 2 [skilled]</v>
      </c>
      <c r="E690" s="5" t="str">
        <f>_xlfn.XLOOKUP(role_course_map[[#This Row],[course_id]],course_data[course_id],course_data[topic],"")</f>
        <v>SAS : Public Protection</v>
      </c>
      <c r="F690" s="5" t="str">
        <f>_xlfn.XLOOKUP(role_course_map[[#This Row],[course_id]],course_data[course_id],course_data[type],"")</f>
        <v>eLearning</v>
      </c>
      <c r="K690" t="str">
        <f>role_course_map[[#This Row],[role_id]] &amp; "|" &amp; role_course_map[[#This Row],[course_id]]</f>
        <v>R0134|64324</v>
      </c>
      <c r="L690" t="str">
        <f>IF(COUNTIF(role_course_map[mapping_key],role_course_map[[#This Row],[mapping_key]])&gt;1,"DUPLICATE","OK")</f>
        <v>OK</v>
      </c>
      <c r="M690" t="str">
        <f>IF(COUNTIF(role_data[role_id],role_course_map[[#This Row],[role_id]])=0, "INVALID","VALID")</f>
        <v>VALID</v>
      </c>
      <c r="N690" t="str">
        <f>IF(COUNTIF(course_data[course_id],role_course_map[[#This Row],[course_id]])=0, "INVALID","VALID")</f>
        <v>VALID</v>
      </c>
    </row>
    <row r="691" spans="1:14" x14ac:dyDescent="0.35">
      <c r="A691" t="s">
        <v>278</v>
      </c>
      <c r="B691" s="5" t="str">
        <f>_xlfn.XLOOKUP(role_course_map[[#This Row],[role_id]], role_data[role_id], role_data[Role],"")</f>
        <v>EMRS Consultant</v>
      </c>
      <c r="C691">
        <v>76716</v>
      </c>
      <c r="D691" s="5" t="str">
        <f>_xlfn.XLOOKUP(role_course_map[[#This Row],[course_id]],course_data[course_id],course_data[title],"")</f>
        <v>Domestic abuse awareness training tool (DAART)</v>
      </c>
      <c r="E691" s="5" t="str">
        <f>_xlfn.XLOOKUP(role_course_map[[#This Row],[course_id]],course_data[course_id],course_data[topic],"")</f>
        <v>SAS : Public Protection</v>
      </c>
      <c r="F691" s="5" t="str">
        <f>_xlfn.XLOOKUP(role_course_map[[#This Row],[course_id]],course_data[course_id],course_data[type],"")</f>
        <v>eLearning</v>
      </c>
      <c r="K691" t="str">
        <f>role_course_map[[#This Row],[role_id]] &amp; "|" &amp; role_course_map[[#This Row],[course_id]]</f>
        <v>R0133|76716</v>
      </c>
      <c r="L691" t="str">
        <f>IF(COUNTIF(role_course_map[mapping_key],role_course_map[[#This Row],[mapping_key]])&gt;1,"DUPLICATE","OK")</f>
        <v>OK</v>
      </c>
      <c r="M691" t="str">
        <f>IF(COUNTIF(role_data[role_id],role_course_map[[#This Row],[role_id]])=0, "INVALID","VALID")</f>
        <v>VALID</v>
      </c>
      <c r="N691" t="str">
        <f>IF(COUNTIF(course_data[course_id],role_course_map[[#This Row],[course_id]])=0, "INVALID","VALID")</f>
        <v>VALID</v>
      </c>
    </row>
    <row r="692" spans="1:14" x14ac:dyDescent="0.35">
      <c r="A692" t="s">
        <v>280</v>
      </c>
      <c r="B692" s="5" t="str">
        <f>_xlfn.XLOOKUP(role_course_map[[#This Row],[role_id]], role_data[role_id], role_data[Role],"")</f>
        <v>EMRS Fellow</v>
      </c>
      <c r="C692">
        <v>79666</v>
      </c>
      <c r="D692" s="5" t="str">
        <f>_xlfn.XLOOKUP(role_course_map[[#This Row],[course_id]],course_data[course_id],course_data[title],"")</f>
        <v>Getting it right for every child (GIRFEC): informed level</v>
      </c>
      <c r="E692" s="5" t="str">
        <f>_xlfn.XLOOKUP(role_course_map[[#This Row],[course_id]],course_data[course_id],course_data[topic],"")</f>
        <v>SAS : Public Protection</v>
      </c>
      <c r="F692" s="5" t="str">
        <f>_xlfn.XLOOKUP(role_course_map[[#This Row],[course_id]],course_data[course_id],course_data[type],"")</f>
        <v>eLearning</v>
      </c>
      <c r="K692" t="str">
        <f>role_course_map[[#This Row],[role_id]] &amp; "|" &amp; role_course_map[[#This Row],[course_id]]</f>
        <v>R0134|79666</v>
      </c>
      <c r="L692" t="str">
        <f>IF(COUNTIF(role_course_map[mapping_key],role_course_map[[#This Row],[mapping_key]])&gt;1,"DUPLICATE","OK")</f>
        <v>OK</v>
      </c>
      <c r="M692" t="str">
        <f>IF(COUNTIF(role_data[role_id],role_course_map[[#This Row],[role_id]])=0, "INVALID","VALID")</f>
        <v>VALID</v>
      </c>
      <c r="N692" t="str">
        <f>IF(COUNTIF(course_data[course_id],role_course_map[[#This Row],[course_id]])=0, "INVALID","VALID")</f>
        <v>VALID</v>
      </c>
    </row>
    <row r="693" spans="1:14" x14ac:dyDescent="0.35">
      <c r="A693" t="s">
        <v>280</v>
      </c>
      <c r="B693" s="5" t="str">
        <f>_xlfn.XLOOKUP(role_course_map[[#This Row],[role_id]], role_data[role_id], role_data[Role],"")</f>
        <v>EMRS Fellow</v>
      </c>
      <c r="C693">
        <v>999074</v>
      </c>
      <c r="D693" s="5" t="str">
        <f>_xlfn.XLOOKUP(role_course_map[[#This Row],[course_id]],course_data[course_id],course_data[title],"")</f>
        <v>SAS-specific Children’s rights</v>
      </c>
      <c r="E693" s="5" t="str">
        <f>_xlfn.XLOOKUP(role_course_map[[#This Row],[course_id]],course_data[course_id],course_data[topic],"")</f>
        <v>SAS : Public Protection</v>
      </c>
      <c r="F693" s="5" t="str">
        <f>_xlfn.XLOOKUP(role_course_map[[#This Row],[course_id]],course_data[course_id],course_data[type],"")</f>
        <v>eLearning</v>
      </c>
      <c r="K693" t="str">
        <f>role_course_map[[#This Row],[role_id]] &amp; "|" &amp; role_course_map[[#This Row],[course_id]]</f>
        <v>R0134|999074</v>
      </c>
      <c r="L693" t="str">
        <f>IF(COUNTIF(role_course_map[mapping_key],role_course_map[[#This Row],[mapping_key]])&gt;1,"DUPLICATE","OK")</f>
        <v>OK</v>
      </c>
      <c r="M693" t="str">
        <f>IF(COUNTIF(role_data[role_id],role_course_map[[#This Row],[role_id]])=0, "INVALID","VALID")</f>
        <v>VALID</v>
      </c>
      <c r="N693" t="str">
        <f>IF(COUNTIF(course_data[course_id],role_course_map[[#This Row],[course_id]])=0, "INVALID","VALID")</f>
        <v>VALID</v>
      </c>
    </row>
    <row r="694" spans="1:14" x14ac:dyDescent="0.35">
      <c r="A694" t="s">
        <v>280</v>
      </c>
      <c r="B694" s="5" t="str">
        <f>_xlfn.XLOOKUP(role_course_map[[#This Row],[role_id]], role_data[role_id], role_data[Role],"")</f>
        <v>EMRS Fellow</v>
      </c>
      <c r="C694">
        <v>999075</v>
      </c>
      <c r="D694" s="5" t="str">
        <f>_xlfn.XLOOKUP(role_course_map[[#This Row],[course_id]],course_data[course_id],course_data[title],"")</f>
        <v>Multiagency local or bespoke Level 3 delivery training</v>
      </c>
      <c r="E694" s="5" t="str">
        <f>_xlfn.XLOOKUP(role_course_map[[#This Row],[course_id]],course_data[course_id],course_data[topic],"")</f>
        <v>SAS : Public Protection</v>
      </c>
      <c r="F694" s="5" t="str">
        <f>_xlfn.XLOOKUP(role_course_map[[#This Row],[course_id]],course_data[course_id],course_data[type],"")</f>
        <v>eLearning</v>
      </c>
      <c r="K694" t="str">
        <f>role_course_map[[#This Row],[role_id]] &amp; "|" &amp; role_course_map[[#This Row],[course_id]]</f>
        <v>R0134|999075</v>
      </c>
      <c r="L694" t="str">
        <f>IF(COUNTIF(role_course_map[mapping_key],role_course_map[[#This Row],[mapping_key]])&gt;1,"DUPLICATE","OK")</f>
        <v>OK</v>
      </c>
      <c r="M694" t="str">
        <f>IF(COUNTIF(role_data[role_id],role_course_map[[#This Row],[role_id]])=0, "INVALID","VALID")</f>
        <v>VALID</v>
      </c>
      <c r="N694" t="str">
        <f>IF(COUNTIF(course_data[course_id],role_course_map[[#This Row],[course_id]])=0, "INVALID","VALID")</f>
        <v>VALID</v>
      </c>
    </row>
    <row r="695" spans="1:14" x14ac:dyDescent="0.35">
      <c r="A695" t="s">
        <v>280</v>
      </c>
      <c r="B695" s="5" t="str">
        <f>_xlfn.XLOOKUP(role_course_map[[#This Row],[role_id]], role_data[role_id], role_data[Role],"")</f>
        <v>EMRS Fellow</v>
      </c>
      <c r="C695">
        <v>15249</v>
      </c>
      <c r="D695" s="5" t="str">
        <f>_xlfn.XLOOKUP(role_course_map[[#This Row],[course_id]],course_data[course_id],course_data[title],"")</f>
        <v>Human trafficking</v>
      </c>
      <c r="E695" s="5" t="str">
        <f>_xlfn.XLOOKUP(role_course_map[[#This Row],[course_id]],course_data[course_id],course_data[topic],"")</f>
        <v>SAS : Public Protection</v>
      </c>
      <c r="F695" s="5" t="str">
        <f>_xlfn.XLOOKUP(role_course_map[[#This Row],[course_id]],course_data[course_id],course_data[type],"")</f>
        <v>eLearning</v>
      </c>
      <c r="K695" t="str">
        <f>role_course_map[[#This Row],[role_id]] &amp; "|" &amp; role_course_map[[#This Row],[course_id]]</f>
        <v>R0134|15249</v>
      </c>
      <c r="L695" t="str">
        <f>IF(COUNTIF(role_course_map[mapping_key],role_course_map[[#This Row],[mapping_key]])&gt;1,"DUPLICATE","OK")</f>
        <v>OK</v>
      </c>
      <c r="M695" t="str">
        <f>IF(COUNTIF(role_data[role_id],role_course_map[[#This Row],[role_id]])=0, "INVALID","VALID")</f>
        <v>VALID</v>
      </c>
      <c r="N695" t="str">
        <f>IF(COUNTIF(course_data[course_id],role_course_map[[#This Row],[course_id]])=0, "INVALID","VALID")</f>
        <v>VALID</v>
      </c>
    </row>
    <row r="696" spans="1:14" x14ac:dyDescent="0.35">
      <c r="A696" t="s">
        <v>280</v>
      </c>
      <c r="B696" s="5" t="str">
        <f>_xlfn.XLOOKUP(role_course_map[[#This Row],[role_id]], role_data[role_id], role_data[Role],"")</f>
        <v>EMRS Fellow</v>
      </c>
      <c r="C696">
        <v>89161</v>
      </c>
      <c r="D696" s="5" t="str">
        <f>_xlfn.XLOOKUP(role_course_map[[#This Row],[course_id]],course_data[course_id],course_data[title],"")</f>
        <v>Personal Protective Equipment</v>
      </c>
      <c r="E696" s="5" t="str">
        <f>_xlfn.XLOOKUP(role_course_map[[#This Row],[course_id]],course_data[course_id],course_data[topic],"")</f>
        <v>SAS : Infection Prevention and Control (IPC)</v>
      </c>
      <c r="F696" s="5" t="str">
        <f>_xlfn.XLOOKUP(role_course_map[[#This Row],[course_id]],course_data[course_id],course_data[type],"")</f>
        <v>eLearning</v>
      </c>
      <c r="K696" t="str">
        <f>role_course_map[[#This Row],[role_id]] &amp; "|" &amp; role_course_map[[#This Row],[course_id]]</f>
        <v>R0134|89161</v>
      </c>
      <c r="L696" t="str">
        <f>IF(COUNTIF(role_course_map[mapping_key],role_course_map[[#This Row],[mapping_key]])&gt;1,"DUPLICATE","OK")</f>
        <v>OK</v>
      </c>
      <c r="M696" t="str">
        <f>IF(COUNTIF(role_data[role_id],role_course_map[[#This Row],[role_id]])=0, "INVALID","VALID")</f>
        <v>VALID</v>
      </c>
      <c r="N696" t="str">
        <f>IF(COUNTIF(course_data[course_id],role_course_map[[#This Row],[course_id]])=0, "INVALID","VALID")</f>
        <v>VALID</v>
      </c>
    </row>
    <row r="697" spans="1:14" x14ac:dyDescent="0.35">
      <c r="A697" t="s">
        <v>280</v>
      </c>
      <c r="B697" s="5" t="str">
        <f>_xlfn.XLOOKUP(role_course_map[[#This Row],[role_id]], role_data[role_id], role_data[Role],"")</f>
        <v>EMRS Fellow</v>
      </c>
      <c r="C697">
        <v>89157</v>
      </c>
      <c r="D697" s="5" t="str">
        <f>_xlfn.XLOOKUP(role_course_map[[#This Row],[course_id]],course_data[course_id],course_data[title],"")</f>
        <v>Safe Management of Care Equipment</v>
      </c>
      <c r="E697" s="5" t="str">
        <f>_xlfn.XLOOKUP(role_course_map[[#This Row],[course_id]],course_data[course_id],course_data[topic],"")</f>
        <v>SAS : Infection Prevention and Control (IPC)</v>
      </c>
      <c r="F697" s="5" t="str">
        <f>_xlfn.XLOOKUP(role_course_map[[#This Row],[course_id]],course_data[course_id],course_data[type],"")</f>
        <v>eLearning</v>
      </c>
      <c r="K697" t="str">
        <f>role_course_map[[#This Row],[role_id]] &amp; "|" &amp; role_course_map[[#This Row],[course_id]]</f>
        <v>R0134|89157</v>
      </c>
      <c r="L697" t="str">
        <f>IF(COUNTIF(role_course_map[mapping_key],role_course_map[[#This Row],[mapping_key]])&gt;1,"DUPLICATE","OK")</f>
        <v>OK</v>
      </c>
      <c r="M697" t="str">
        <f>IF(COUNTIF(role_data[role_id],role_course_map[[#This Row],[role_id]])=0, "INVALID","VALID")</f>
        <v>VALID</v>
      </c>
      <c r="N697" t="str">
        <f>IF(COUNTIF(course_data[course_id],role_course_map[[#This Row],[course_id]])=0, "INVALID","VALID")</f>
        <v>VALID</v>
      </c>
    </row>
    <row r="698" spans="1:14" x14ac:dyDescent="0.35">
      <c r="A698" t="s">
        <v>280</v>
      </c>
      <c r="B698" s="5" t="str">
        <f>_xlfn.XLOOKUP(role_course_map[[#This Row],[role_id]], role_data[role_id], role_data[Role],"")</f>
        <v>EMRS Fellow</v>
      </c>
      <c r="C698">
        <v>89158</v>
      </c>
      <c r="D698" s="5" t="str">
        <f>_xlfn.XLOOKUP(role_course_map[[#This Row],[course_id]],course_data[course_id],course_data[title],"")</f>
        <v>Safe Management of Care Environment</v>
      </c>
      <c r="E698" s="5" t="str">
        <f>_xlfn.XLOOKUP(role_course_map[[#This Row],[course_id]],course_data[course_id],course_data[topic],"")</f>
        <v>SAS : Infection Prevention and Control (IPC)</v>
      </c>
      <c r="F698" s="5" t="str">
        <f>_xlfn.XLOOKUP(role_course_map[[#This Row],[course_id]],course_data[course_id],course_data[type],"")</f>
        <v>eLearning</v>
      </c>
      <c r="K698" t="str">
        <f>role_course_map[[#This Row],[role_id]] &amp; "|" &amp; role_course_map[[#This Row],[course_id]]</f>
        <v>R0134|89158</v>
      </c>
      <c r="L698" t="str">
        <f>IF(COUNTIF(role_course_map[mapping_key],role_course_map[[#This Row],[mapping_key]])&gt;1,"DUPLICATE","OK")</f>
        <v>OK</v>
      </c>
      <c r="M698" t="str">
        <f>IF(COUNTIF(role_data[role_id],role_course_map[[#This Row],[role_id]])=0, "INVALID","VALID")</f>
        <v>VALID</v>
      </c>
      <c r="N698" t="str">
        <f>IF(COUNTIF(course_data[course_id],role_course_map[[#This Row],[course_id]])=0, "INVALID","VALID")</f>
        <v>VALID</v>
      </c>
    </row>
    <row r="699" spans="1:14" x14ac:dyDescent="0.35">
      <c r="A699" t="s">
        <v>280</v>
      </c>
      <c r="B699" s="5" t="str">
        <f>_xlfn.XLOOKUP(role_course_map[[#This Row],[role_id]], role_data[role_id], role_data[Role],"")</f>
        <v>EMRS Fellow</v>
      </c>
      <c r="C699">
        <v>89159</v>
      </c>
      <c r="D699" s="5" t="str">
        <f>_xlfn.XLOOKUP(role_course_map[[#This Row],[course_id]],course_data[course_id],course_data[title],"")</f>
        <v>Safe Management of Linen</v>
      </c>
      <c r="E699" s="5" t="str">
        <f>_xlfn.XLOOKUP(role_course_map[[#This Row],[course_id]],course_data[course_id],course_data[topic],"")</f>
        <v>SAS : Infection Prevention and Control (IPC)</v>
      </c>
      <c r="F699" s="5" t="str">
        <f>_xlfn.XLOOKUP(role_course_map[[#This Row],[course_id]],course_data[course_id],course_data[type],"")</f>
        <v>eLearning</v>
      </c>
      <c r="K699" t="str">
        <f>role_course_map[[#This Row],[role_id]] &amp; "|" &amp; role_course_map[[#This Row],[course_id]]</f>
        <v>R0134|89159</v>
      </c>
      <c r="L699" t="str">
        <f>IF(COUNTIF(role_course_map[mapping_key],role_course_map[[#This Row],[mapping_key]])&gt;1,"DUPLICATE","OK")</f>
        <v>OK</v>
      </c>
      <c r="M699" t="str">
        <f>IF(COUNTIF(role_data[role_id],role_course_map[[#This Row],[role_id]])=0, "INVALID","VALID")</f>
        <v>VALID</v>
      </c>
      <c r="N699" t="str">
        <f>IF(COUNTIF(course_data[course_id],role_course_map[[#This Row],[course_id]])=0, "INVALID","VALID")</f>
        <v>VALID</v>
      </c>
    </row>
    <row r="700" spans="1:14" x14ac:dyDescent="0.35">
      <c r="A700" t="s">
        <v>280</v>
      </c>
      <c r="B700" s="5" t="str">
        <f>_xlfn.XLOOKUP(role_course_map[[#This Row],[role_id]], role_data[role_id], role_data[Role],"")</f>
        <v>EMRS Fellow</v>
      </c>
      <c r="C700">
        <v>89160</v>
      </c>
      <c r="D700" s="5" t="str">
        <f>_xlfn.XLOOKUP(role_course_map[[#This Row],[course_id]],course_data[course_id],course_data[title],"")</f>
        <v>Safe Management of blood and body fluids</v>
      </c>
      <c r="E700" s="5" t="str">
        <f>_xlfn.XLOOKUP(role_course_map[[#This Row],[course_id]],course_data[course_id],course_data[topic],"")</f>
        <v>SAS : Infection Prevention and Control (IPC)</v>
      </c>
      <c r="F700" s="5" t="str">
        <f>_xlfn.XLOOKUP(role_course_map[[#This Row],[course_id]],course_data[course_id],course_data[type],"")</f>
        <v>eLearning</v>
      </c>
      <c r="K700" t="str">
        <f>role_course_map[[#This Row],[role_id]] &amp; "|" &amp; role_course_map[[#This Row],[course_id]]</f>
        <v>R0134|89160</v>
      </c>
      <c r="L700" t="str">
        <f>IF(COUNTIF(role_course_map[mapping_key],role_course_map[[#This Row],[mapping_key]])&gt;1,"DUPLICATE","OK")</f>
        <v>OK</v>
      </c>
      <c r="M700" t="str">
        <f>IF(COUNTIF(role_data[role_id],role_course_map[[#This Row],[role_id]])=0, "INVALID","VALID")</f>
        <v>VALID</v>
      </c>
      <c r="N700" t="str">
        <f>IF(COUNTIF(course_data[course_id],role_course_map[[#This Row],[course_id]])=0, "INVALID","VALID")</f>
        <v>VALID</v>
      </c>
    </row>
    <row r="701" spans="1:14" x14ac:dyDescent="0.35">
      <c r="A701" t="s">
        <v>280</v>
      </c>
      <c r="B701" s="5" t="str">
        <f>_xlfn.XLOOKUP(role_course_map[[#This Row],[role_id]], role_data[role_id], role_data[Role],"")</f>
        <v>EMRS Fellow</v>
      </c>
      <c r="C701">
        <v>89154</v>
      </c>
      <c r="D701" s="5" t="str">
        <f>_xlfn.XLOOKUP(role_course_map[[#This Row],[course_id]],course_data[course_id],course_data[title],"")</f>
        <v>Safe disposal of waste</v>
      </c>
      <c r="E701" s="5" t="str">
        <f>_xlfn.XLOOKUP(role_course_map[[#This Row],[course_id]],course_data[course_id],course_data[topic],"")</f>
        <v>SAS : Infection Prevention and Control (IPC)</v>
      </c>
      <c r="F701" s="5" t="str">
        <f>_xlfn.XLOOKUP(role_course_map[[#This Row],[course_id]],course_data[course_id],course_data[type],"")</f>
        <v>eLearning</v>
      </c>
      <c r="K701" t="str">
        <f>role_course_map[[#This Row],[role_id]] &amp; "|" &amp; role_course_map[[#This Row],[course_id]]</f>
        <v>R0134|89154</v>
      </c>
      <c r="L701" t="str">
        <f>IF(COUNTIF(role_course_map[mapping_key],role_course_map[[#This Row],[mapping_key]])&gt;1,"DUPLICATE","OK")</f>
        <v>OK</v>
      </c>
      <c r="M701" t="str">
        <f>IF(COUNTIF(role_data[role_id],role_course_map[[#This Row],[role_id]])=0, "INVALID","VALID")</f>
        <v>VALID</v>
      </c>
      <c r="N701" t="str">
        <f>IF(COUNTIF(course_data[course_id],role_course_map[[#This Row],[course_id]])=0, "INVALID","VALID")</f>
        <v>VALID</v>
      </c>
    </row>
    <row r="702" spans="1:14" x14ac:dyDescent="0.35">
      <c r="A702" t="s">
        <v>280</v>
      </c>
      <c r="B702" s="5" t="str">
        <f>_xlfn.XLOOKUP(role_course_map[[#This Row],[role_id]], role_data[role_id], role_data[Role],"")</f>
        <v>EMRS Fellow</v>
      </c>
      <c r="C702">
        <v>89155</v>
      </c>
      <c r="D702" s="5" t="str">
        <f>_xlfn.XLOOKUP(role_course_map[[#This Row],[course_id]],course_data[course_id],course_data[title],"")</f>
        <v>Prevention &amp; management of occupational exposure</v>
      </c>
      <c r="E702" s="5" t="str">
        <f>_xlfn.XLOOKUP(role_course_map[[#This Row],[course_id]],course_data[course_id],course_data[topic],"")</f>
        <v>SAS : Infection Prevention and Control (IPC)</v>
      </c>
      <c r="F702" s="5" t="str">
        <f>_xlfn.XLOOKUP(role_course_map[[#This Row],[course_id]],course_data[course_id],course_data[type],"")</f>
        <v>eLearning</v>
      </c>
      <c r="K702" t="str">
        <f>role_course_map[[#This Row],[role_id]] &amp; "|" &amp; role_course_map[[#This Row],[course_id]]</f>
        <v>R0134|89155</v>
      </c>
      <c r="L702" t="str">
        <f>IF(COUNTIF(role_course_map[mapping_key],role_course_map[[#This Row],[mapping_key]])&gt;1,"DUPLICATE","OK")</f>
        <v>OK</v>
      </c>
      <c r="M702" t="str">
        <f>IF(COUNTIF(role_data[role_id],role_course_map[[#This Row],[role_id]])=0, "INVALID","VALID")</f>
        <v>VALID</v>
      </c>
      <c r="N702" t="str">
        <f>IF(COUNTIF(course_data[course_id],role_course_map[[#This Row],[course_id]])=0, "INVALID","VALID")</f>
        <v>VALID</v>
      </c>
    </row>
    <row r="703" spans="1:14" x14ac:dyDescent="0.35">
      <c r="A703" t="s">
        <v>280</v>
      </c>
      <c r="B703" s="5" t="str">
        <f>_xlfn.XLOOKUP(role_course_map[[#This Row],[role_id]], role_data[role_id], role_data[Role],"")</f>
        <v>EMRS Fellow</v>
      </c>
      <c r="C703">
        <v>999064</v>
      </c>
      <c r="D703" s="5" t="str">
        <f>_xlfn.XLOOKUP(role_course_map[[#This Row],[course_id]],course_data[course_id],course_data[title],"")</f>
        <v>Infection prevention and control: Clostridioides difficile infection</v>
      </c>
      <c r="E703" s="5" t="str">
        <f>_xlfn.XLOOKUP(role_course_map[[#This Row],[course_id]],course_data[course_id],course_data[topic],"")</f>
        <v>SAS : Infection Prevention and Control (IPC)</v>
      </c>
      <c r="F703" s="5" t="str">
        <f>_xlfn.XLOOKUP(role_course_map[[#This Row],[course_id]],course_data[course_id],course_data[type],"")</f>
        <v>eLearning</v>
      </c>
      <c r="K703" t="str">
        <f>role_course_map[[#This Row],[role_id]] &amp; "|" &amp; role_course_map[[#This Row],[course_id]]</f>
        <v>R0134|999064</v>
      </c>
      <c r="L703" t="str">
        <f>IF(COUNTIF(role_course_map[mapping_key],role_course_map[[#This Row],[mapping_key]])&gt;1,"DUPLICATE","OK")</f>
        <v>OK</v>
      </c>
      <c r="M703" t="str">
        <f>IF(COUNTIF(role_data[role_id],role_course_map[[#This Row],[role_id]])=0, "INVALID","VALID")</f>
        <v>VALID</v>
      </c>
      <c r="N703" t="str">
        <f>IF(COUNTIF(course_data[course_id],role_course_map[[#This Row],[course_id]])=0, "INVALID","VALID")</f>
        <v>VALID</v>
      </c>
    </row>
    <row r="704" spans="1:14" x14ac:dyDescent="0.35">
      <c r="A704" t="s">
        <v>280</v>
      </c>
      <c r="B704" s="5" t="str">
        <f>_xlfn.XLOOKUP(role_course_map[[#This Row],[role_id]], role_data[role_id], role_data[Role],"")</f>
        <v>EMRS Fellow</v>
      </c>
      <c r="C704">
        <v>3886</v>
      </c>
      <c r="D704" s="5" t="str">
        <f>_xlfn.XLOOKUP(role_course_map[[#This Row],[course_id]],course_data[course_id],course_data[title],"")</f>
        <v>Prevention and management of pressure ulcers</v>
      </c>
      <c r="E704" s="5" t="str">
        <f>_xlfn.XLOOKUP(role_course_map[[#This Row],[course_id]],course_data[course_id],course_data[topic],"")</f>
        <v>SAS : Clinical Practice</v>
      </c>
      <c r="F704" s="5" t="str">
        <f>_xlfn.XLOOKUP(role_course_map[[#This Row],[course_id]],course_data[course_id],course_data[type],"")</f>
        <v>Page</v>
      </c>
      <c r="K704" t="str">
        <f>role_course_map[[#This Row],[role_id]] &amp; "|" &amp; role_course_map[[#This Row],[course_id]]</f>
        <v>R0134|3886</v>
      </c>
      <c r="L704" t="str">
        <f>IF(COUNTIF(role_course_map[mapping_key],role_course_map[[#This Row],[mapping_key]])&gt;1,"DUPLICATE","OK")</f>
        <v>OK</v>
      </c>
      <c r="M704" t="str">
        <f>IF(COUNTIF(role_data[role_id],role_course_map[[#This Row],[role_id]])=0, "INVALID","VALID")</f>
        <v>VALID</v>
      </c>
      <c r="N704" t="str">
        <f>IF(COUNTIF(course_data[course_id],role_course_map[[#This Row],[course_id]])=0, "INVALID","VALID")</f>
        <v>VALID</v>
      </c>
    </row>
    <row r="705" spans="1:14" x14ac:dyDescent="0.35">
      <c r="A705" t="s">
        <v>278</v>
      </c>
      <c r="B705" s="5" t="str">
        <f>_xlfn.XLOOKUP(role_course_map[[#This Row],[role_id]], role_data[role_id], role_data[Role],"")</f>
        <v>EMRS Consultant</v>
      </c>
      <c r="C705">
        <v>999094</v>
      </c>
      <c r="D705" s="5" t="str">
        <f>_xlfn.XLOOKUP(role_course_map[[#This Row],[course_id]],course_data[course_id],course_data[title],"")</f>
        <v>Being well, Mind, Body &amp; Workplace</v>
      </c>
      <c r="E705" s="5" t="str">
        <f>_xlfn.XLOOKUP(role_course_map[[#This Row],[course_id]],course_data[course_id],course_data[topic],"")</f>
        <v>SAS: Staff development and experience</v>
      </c>
      <c r="F705" s="5" t="str">
        <f>_xlfn.XLOOKUP(role_course_map[[#This Row],[course_id]],course_data[course_id],course_data[type],"")</f>
        <v>eLearning</v>
      </c>
      <c r="K705" t="str">
        <f>role_course_map[[#This Row],[role_id]] &amp; "|" &amp; role_course_map[[#This Row],[course_id]]</f>
        <v>R0133|999094</v>
      </c>
      <c r="L705" t="str">
        <f>IF(COUNTIF(role_course_map[mapping_key],role_course_map[[#This Row],[mapping_key]])&gt;1,"DUPLICATE","OK")</f>
        <v>OK</v>
      </c>
      <c r="M705" t="str">
        <f>IF(COUNTIF(role_data[role_id],role_course_map[[#This Row],[role_id]])=0, "INVALID","VALID")</f>
        <v>VALID</v>
      </c>
      <c r="N705" t="str">
        <f>IF(COUNTIF(course_data[course_id],role_course_map[[#This Row],[course_id]])=0, "INVALID","VALID")</f>
        <v>VALID</v>
      </c>
    </row>
    <row r="706" spans="1:14" x14ac:dyDescent="0.35">
      <c r="A706" t="s">
        <v>280</v>
      </c>
      <c r="B706" s="5" t="str">
        <f>_xlfn.XLOOKUP(role_course_map[[#This Row],[role_id]], role_data[role_id], role_data[Role],"")</f>
        <v>EMRS Fellow</v>
      </c>
      <c r="C706">
        <v>999077</v>
      </c>
      <c r="D706" s="5" t="str">
        <f>_xlfn.XLOOKUP(role_course_map[[#This Row],[course_id]],course_data[course_id],course_data[title],"")</f>
        <v>ScotSTAR: Role specific Orientation &amp; Induction</v>
      </c>
      <c r="E706" s="5" t="str">
        <f>_xlfn.XLOOKUP(role_course_map[[#This Row],[course_id]],course_data[course_id],course_data[topic],"")</f>
        <v>SAS : ScotSTAR</v>
      </c>
      <c r="F706" s="5" t="str">
        <f>_xlfn.XLOOKUP(role_course_map[[#This Row],[course_id]],course_data[course_id],course_data[type],"")</f>
        <v>Course</v>
      </c>
      <c r="K706" t="str">
        <f>role_course_map[[#This Row],[role_id]] &amp; "|" &amp; role_course_map[[#This Row],[course_id]]</f>
        <v>R0134|999077</v>
      </c>
      <c r="L706" t="str">
        <f>IF(COUNTIF(role_course_map[mapping_key],role_course_map[[#This Row],[mapping_key]])&gt;1,"DUPLICATE","OK")</f>
        <v>OK</v>
      </c>
      <c r="M706" t="str">
        <f>IF(COUNTIF(role_data[role_id],role_course_map[[#This Row],[role_id]])=0, "INVALID","VALID")</f>
        <v>VALID</v>
      </c>
      <c r="N706" t="str">
        <f>IF(COUNTIF(course_data[course_id],role_course_map[[#This Row],[course_id]])=0, "INVALID","VALID")</f>
        <v>VALID</v>
      </c>
    </row>
    <row r="707" spans="1:14" x14ac:dyDescent="0.35">
      <c r="A707" t="s">
        <v>278</v>
      </c>
      <c r="B707" s="5" t="str">
        <f>_xlfn.XLOOKUP(role_course_map[[#This Row],[role_id]], role_data[role_id], role_data[Role],"")</f>
        <v>EMRS Consultant</v>
      </c>
      <c r="C707">
        <v>999079</v>
      </c>
      <c r="D707" s="5" t="str">
        <f>_xlfn.XLOOKUP(role_course_map[[#This Row],[course_id]],course_data[course_id],course_data[title],"")</f>
        <v>HUET</v>
      </c>
      <c r="E707" s="5" t="str">
        <f>_xlfn.XLOOKUP(role_course_map[[#This Row],[course_id]],course_data[course_id],course_data[topic],"")</f>
        <v>SAS : ScotSTAR</v>
      </c>
      <c r="F707" s="5" t="str">
        <f>_xlfn.XLOOKUP(role_course_map[[#This Row],[course_id]],course_data[course_id],course_data[type],"")</f>
        <v>Course</v>
      </c>
      <c r="K707" t="str">
        <f>role_course_map[[#This Row],[role_id]] &amp; "|" &amp; role_course_map[[#This Row],[course_id]]</f>
        <v>R0133|999079</v>
      </c>
      <c r="L707" t="str">
        <f>IF(COUNTIF(role_course_map[mapping_key],role_course_map[[#This Row],[mapping_key]])&gt;1,"DUPLICATE","OK")</f>
        <v>OK</v>
      </c>
      <c r="M707" t="str">
        <f>IF(COUNTIF(role_data[role_id],role_course_map[[#This Row],[role_id]])=0, "INVALID","VALID")</f>
        <v>VALID</v>
      </c>
      <c r="N707" t="str">
        <f>IF(COUNTIF(course_data[course_id],role_course_map[[#This Row],[course_id]])=0, "INVALID","VALID")</f>
        <v>VALID</v>
      </c>
    </row>
    <row r="708" spans="1:14" x14ac:dyDescent="0.35">
      <c r="A708" t="s">
        <v>280</v>
      </c>
      <c r="B708" s="5" t="str">
        <f>_xlfn.XLOOKUP(role_course_map[[#This Row],[role_id]], role_data[role_id], role_data[Role],"")</f>
        <v>EMRS Fellow</v>
      </c>
      <c r="C708">
        <v>999079</v>
      </c>
      <c r="D708" s="5" t="str">
        <f>_xlfn.XLOOKUP(role_course_map[[#This Row],[course_id]],course_data[course_id],course_data[title],"")</f>
        <v>HUET</v>
      </c>
      <c r="E708" s="5" t="str">
        <f>_xlfn.XLOOKUP(role_course_map[[#This Row],[course_id]],course_data[course_id],course_data[topic],"")</f>
        <v>SAS : ScotSTAR</v>
      </c>
      <c r="F708" s="5" t="str">
        <f>_xlfn.XLOOKUP(role_course_map[[#This Row],[course_id]],course_data[course_id],course_data[type],"")</f>
        <v>Course</v>
      </c>
      <c r="K708" t="str">
        <f>role_course_map[[#This Row],[role_id]] &amp; "|" &amp; role_course_map[[#This Row],[course_id]]</f>
        <v>R0134|999079</v>
      </c>
      <c r="L708" t="str">
        <f>IF(COUNTIF(role_course_map[mapping_key],role_course_map[[#This Row],[mapping_key]])&gt;1,"DUPLICATE","OK")</f>
        <v>OK</v>
      </c>
      <c r="M708" t="str">
        <f>IF(COUNTIF(role_data[role_id],role_course_map[[#This Row],[role_id]])=0, "INVALID","VALID")</f>
        <v>VALID</v>
      </c>
      <c r="N708" t="str">
        <f>IF(COUNTIF(course_data[course_id],role_course_map[[#This Row],[course_id]])=0, "INVALID","VALID")</f>
        <v>VALID</v>
      </c>
    </row>
    <row r="709" spans="1:14" x14ac:dyDescent="0.35">
      <c r="A709" t="s">
        <v>290</v>
      </c>
      <c r="B709" s="5" t="str">
        <f>_xlfn.XLOOKUP(role_course_map[[#This Row],[role_id]], role_data[role_id], role_data[Role],"")</f>
        <v>Neonatal Charge Nurse</v>
      </c>
      <c r="C709">
        <v>999009</v>
      </c>
      <c r="D709" s="5" t="str">
        <f>_xlfn.XLOOKUP(role_course_map[[#This Row],[course_id]],course_data[course_id],course_data[title],"")</f>
        <v>Life Support</v>
      </c>
      <c r="E709" s="5" t="str">
        <f>_xlfn.XLOOKUP(role_course_map[[#This Row],[course_id]],course_data[course_id],course_data[topic],"")</f>
        <v>SAS : Clinical Practice</v>
      </c>
      <c r="F709" s="5" t="str">
        <f>_xlfn.XLOOKUP(role_course_map[[#This Row],[course_id]],course_data[course_id],course_data[type],"")</f>
        <v>Course</v>
      </c>
      <c r="K709" t="str">
        <f>role_course_map[[#This Row],[role_id]] &amp; "|" &amp; role_course_map[[#This Row],[course_id]]</f>
        <v>R0139|999009</v>
      </c>
      <c r="L709" t="str">
        <f>IF(COUNTIF(role_course_map[mapping_key],role_course_map[[#This Row],[mapping_key]])&gt;1,"DUPLICATE","OK")</f>
        <v>OK</v>
      </c>
      <c r="M709" t="str">
        <f>IF(COUNTIF(role_data[role_id],role_course_map[[#This Row],[role_id]])=0, "INVALID","VALID")</f>
        <v>VALID</v>
      </c>
      <c r="N709" t="str">
        <f>IF(COUNTIF(course_data[course_id],role_course_map[[#This Row],[course_id]])=0, "INVALID","VALID")</f>
        <v>VALID</v>
      </c>
    </row>
    <row r="710" spans="1:14" x14ac:dyDescent="0.35">
      <c r="A710" t="s">
        <v>290</v>
      </c>
      <c r="B710" s="5" t="str">
        <f>_xlfn.XLOOKUP(role_course_map[[#This Row],[role_id]], role_data[role_id], role_data[Role],"")</f>
        <v>Neonatal Charge Nurse</v>
      </c>
      <c r="C710">
        <v>999007</v>
      </c>
      <c r="D710" s="5" t="str">
        <f>_xlfn.XLOOKUP(role_course_map[[#This Row],[course_id]],course_data[course_id],course_data[title],"")</f>
        <v>Obstetrics</v>
      </c>
      <c r="E710" s="5" t="str">
        <f>_xlfn.XLOOKUP(role_course_map[[#This Row],[course_id]],course_data[course_id],course_data[topic],"")</f>
        <v>SAS : Clinical Practice</v>
      </c>
      <c r="F710" s="5" t="str">
        <f>_xlfn.XLOOKUP(role_course_map[[#This Row],[course_id]],course_data[course_id],course_data[type],"")</f>
        <v>Course</v>
      </c>
      <c r="K710" t="str">
        <f>role_course_map[[#This Row],[role_id]] &amp; "|" &amp; role_course_map[[#This Row],[course_id]]</f>
        <v>R0139|999007</v>
      </c>
      <c r="L710" t="str">
        <f>IF(COUNTIF(role_course_map[mapping_key],role_course_map[[#This Row],[mapping_key]])&gt;1,"DUPLICATE","OK")</f>
        <v>OK</v>
      </c>
      <c r="M710" t="str">
        <f>IF(COUNTIF(role_data[role_id],role_course_map[[#This Row],[role_id]])=0, "INVALID","VALID")</f>
        <v>VALID</v>
      </c>
      <c r="N710" t="str">
        <f>IF(COUNTIF(course_data[course_id],role_course_map[[#This Row],[course_id]])=0, "INVALID","VALID")</f>
        <v>VALID</v>
      </c>
    </row>
    <row r="711" spans="1:14" x14ac:dyDescent="0.35">
      <c r="A711" t="s">
        <v>290</v>
      </c>
      <c r="B711" s="5" t="str">
        <f>_xlfn.XLOOKUP(role_course_map[[#This Row],[role_id]], role_data[role_id], role_data[Role],"")</f>
        <v>Neonatal Charge Nurse</v>
      </c>
      <c r="C711">
        <v>999008</v>
      </c>
      <c r="D711" s="5" t="str">
        <f>_xlfn.XLOOKUP(role_course_map[[#This Row],[course_id]],course_data[course_id],course_data[title],"")</f>
        <v>Obstetrics</v>
      </c>
      <c r="E711" s="5" t="str">
        <f>_xlfn.XLOOKUP(role_course_map[[#This Row],[course_id]],course_data[course_id],course_data[topic],"")</f>
        <v>SAS : Clinical Practice</v>
      </c>
      <c r="F711" s="5" t="str">
        <f>_xlfn.XLOOKUP(role_course_map[[#This Row],[course_id]],course_data[course_id],course_data[type],"")</f>
        <v>eLearning</v>
      </c>
      <c r="K711" t="str">
        <f>role_course_map[[#This Row],[role_id]] &amp; "|" &amp; role_course_map[[#This Row],[course_id]]</f>
        <v>R0139|999008</v>
      </c>
      <c r="L711" t="str">
        <f>IF(COUNTIF(role_course_map[mapping_key],role_course_map[[#This Row],[mapping_key]])&gt;1,"DUPLICATE","OK")</f>
        <v>OK</v>
      </c>
      <c r="M711" t="str">
        <f>IF(COUNTIF(role_data[role_id],role_course_map[[#This Row],[role_id]])=0, "INVALID","VALID")</f>
        <v>VALID</v>
      </c>
      <c r="N711" t="str">
        <f>IF(COUNTIF(course_data[course_id],role_course_map[[#This Row],[course_id]])=0, "INVALID","VALID")</f>
        <v>VALID</v>
      </c>
    </row>
    <row r="712" spans="1:14" x14ac:dyDescent="0.35">
      <c r="A712" t="s">
        <v>290</v>
      </c>
      <c r="B712" s="5" t="str">
        <f>_xlfn.XLOOKUP(role_course_map[[#This Row],[role_id]], role_data[role_id], role_data[Role],"")</f>
        <v>Neonatal Charge Nurse</v>
      </c>
      <c r="C712">
        <v>999010</v>
      </c>
      <c r="D712" s="5" t="str">
        <f>_xlfn.XLOOKUP(role_course_map[[#This Row],[course_id]],course_data[course_id],course_data[title],"")</f>
        <v>Paediatrics</v>
      </c>
      <c r="E712" s="5" t="str">
        <f>_xlfn.XLOOKUP(role_course_map[[#This Row],[course_id]],course_data[course_id],course_data[topic],"")</f>
        <v>SAS : Clinical Practice</v>
      </c>
      <c r="F712" s="5" t="str">
        <f>_xlfn.XLOOKUP(role_course_map[[#This Row],[course_id]],course_data[course_id],course_data[type],"")</f>
        <v>Course</v>
      </c>
      <c r="K712" t="str">
        <f>role_course_map[[#This Row],[role_id]] &amp; "|" &amp; role_course_map[[#This Row],[course_id]]</f>
        <v>R0139|999010</v>
      </c>
      <c r="L712" t="str">
        <f>IF(COUNTIF(role_course_map[mapping_key],role_course_map[[#This Row],[mapping_key]])&gt;1,"DUPLICATE","OK")</f>
        <v>OK</v>
      </c>
      <c r="M712" t="str">
        <f>IF(COUNTIF(role_data[role_id],role_course_map[[#This Row],[role_id]])=0, "INVALID","VALID")</f>
        <v>VALID</v>
      </c>
      <c r="N712" t="str">
        <f>IF(COUNTIF(course_data[course_id],role_course_map[[#This Row],[course_id]])=0, "INVALID","VALID")</f>
        <v>VALID</v>
      </c>
    </row>
    <row r="713" spans="1:14" x14ac:dyDescent="0.35">
      <c r="A713" t="s">
        <v>290</v>
      </c>
      <c r="B713" s="5" t="str">
        <f>_xlfn.XLOOKUP(role_course_map[[#This Row],[role_id]], role_data[role_id], role_data[Role],"")</f>
        <v>Neonatal Charge Nurse</v>
      </c>
      <c r="C713">
        <v>999011</v>
      </c>
      <c r="D713" s="5" t="str">
        <f>_xlfn.XLOOKUP(role_course_map[[#This Row],[course_id]],course_data[course_id],course_data[title],"")</f>
        <v>Paediatrics</v>
      </c>
      <c r="E713" s="5" t="str">
        <f>_xlfn.XLOOKUP(role_course_map[[#This Row],[course_id]],course_data[course_id],course_data[topic],"")</f>
        <v>SAS : Clinical Practice</v>
      </c>
      <c r="F713" s="5" t="str">
        <f>_xlfn.XLOOKUP(role_course_map[[#This Row],[course_id]],course_data[course_id],course_data[type],"")</f>
        <v>eLearning</v>
      </c>
      <c r="K713" t="str">
        <f>role_course_map[[#This Row],[role_id]] &amp; "|" &amp; role_course_map[[#This Row],[course_id]]</f>
        <v>R0139|999011</v>
      </c>
      <c r="L713" t="str">
        <f>IF(COUNTIF(role_course_map[mapping_key],role_course_map[[#This Row],[mapping_key]])&gt;1,"DUPLICATE","OK")</f>
        <v>OK</v>
      </c>
      <c r="M713" t="str">
        <f>IF(COUNTIF(role_data[role_id],role_course_map[[#This Row],[role_id]])=0, "INVALID","VALID")</f>
        <v>VALID</v>
      </c>
      <c r="N713" t="str">
        <f>IF(COUNTIF(course_data[course_id],role_course_map[[#This Row],[course_id]])=0, "INVALID","VALID")</f>
        <v>VALID</v>
      </c>
    </row>
    <row r="714" spans="1:14" x14ac:dyDescent="0.35">
      <c r="A714" t="s">
        <v>290</v>
      </c>
      <c r="B714" s="5" t="str">
        <f>_xlfn.XLOOKUP(role_course_map[[#This Row],[role_id]], role_data[role_id], role_data[Role],"")</f>
        <v>Neonatal Charge Nurse</v>
      </c>
      <c r="C714">
        <v>999012</v>
      </c>
      <c r="D714" s="5" t="str">
        <f>_xlfn.XLOOKUP(role_course_map[[#This Row],[course_id]],course_data[course_id],course_data[title],"")</f>
        <v>Trauma</v>
      </c>
      <c r="E714" s="5" t="str">
        <f>_xlfn.XLOOKUP(role_course_map[[#This Row],[course_id]],course_data[course_id],course_data[topic],"")</f>
        <v>SAS : Clinical Practice</v>
      </c>
      <c r="F714" s="5" t="str">
        <f>_xlfn.XLOOKUP(role_course_map[[#This Row],[course_id]],course_data[course_id],course_data[type],"")</f>
        <v>Course</v>
      </c>
      <c r="K714" t="str">
        <f>role_course_map[[#This Row],[role_id]] &amp; "|" &amp; role_course_map[[#This Row],[course_id]]</f>
        <v>R0139|999012</v>
      </c>
      <c r="L714" t="str">
        <f>IF(COUNTIF(role_course_map[mapping_key],role_course_map[[#This Row],[mapping_key]])&gt;1,"DUPLICATE","OK")</f>
        <v>OK</v>
      </c>
      <c r="M714" t="str">
        <f>IF(COUNTIF(role_data[role_id],role_course_map[[#This Row],[role_id]])=0, "INVALID","VALID")</f>
        <v>VALID</v>
      </c>
      <c r="N714" t="str">
        <f>IF(COUNTIF(course_data[course_id],role_course_map[[#This Row],[course_id]])=0, "INVALID","VALID")</f>
        <v>VALID</v>
      </c>
    </row>
    <row r="715" spans="1:14" x14ac:dyDescent="0.35">
      <c r="A715" t="s">
        <v>290</v>
      </c>
      <c r="B715" s="5" t="str">
        <f>_xlfn.XLOOKUP(role_course_map[[#This Row],[role_id]], role_data[role_id], role_data[Role],"")</f>
        <v>Neonatal Charge Nurse</v>
      </c>
      <c r="C715">
        <v>999013</v>
      </c>
      <c r="D715" s="5" t="str">
        <f>_xlfn.XLOOKUP(role_course_map[[#This Row],[course_id]],course_data[course_id],course_data[title],"")</f>
        <v>Trauma</v>
      </c>
      <c r="E715" s="5" t="str">
        <f>_xlfn.XLOOKUP(role_course_map[[#This Row],[course_id]],course_data[course_id],course_data[topic],"")</f>
        <v>SAS : Clinical Practice</v>
      </c>
      <c r="F715" s="5" t="str">
        <f>_xlfn.XLOOKUP(role_course_map[[#This Row],[course_id]],course_data[course_id],course_data[type],"")</f>
        <v>eLearning</v>
      </c>
      <c r="K715" t="str">
        <f>role_course_map[[#This Row],[role_id]] &amp; "|" &amp; role_course_map[[#This Row],[course_id]]</f>
        <v>R0139|999013</v>
      </c>
      <c r="L715" t="str">
        <f>IF(COUNTIF(role_course_map[mapping_key],role_course_map[[#This Row],[mapping_key]])&gt;1,"DUPLICATE","OK")</f>
        <v>OK</v>
      </c>
      <c r="M715" t="str">
        <f>IF(COUNTIF(role_data[role_id],role_course_map[[#This Row],[role_id]])=0, "INVALID","VALID")</f>
        <v>VALID</v>
      </c>
      <c r="N715" t="str">
        <f>IF(COUNTIF(course_data[course_id],role_course_map[[#This Row],[course_id]])=0, "INVALID","VALID")</f>
        <v>VALID</v>
      </c>
    </row>
    <row r="716" spans="1:14" x14ac:dyDescent="0.35">
      <c r="A716" t="s">
        <v>290</v>
      </c>
      <c r="B716" s="5" t="str">
        <f>_xlfn.XLOOKUP(role_course_map[[#This Row],[role_id]], role_data[role_id], role_data[Role],"")</f>
        <v>Neonatal Charge Nurse</v>
      </c>
      <c r="C716">
        <v>999014</v>
      </c>
      <c r="D716" s="5" t="str">
        <f>_xlfn.XLOOKUP(role_course_map[[#This Row],[course_id]],course_data[course_id],course_data[title],"")</f>
        <v>Patient Assessment</v>
      </c>
      <c r="E716" s="5" t="str">
        <f>_xlfn.XLOOKUP(role_course_map[[#This Row],[course_id]],course_data[course_id],course_data[topic],"")</f>
        <v>SAS : Clinical Practice</v>
      </c>
      <c r="F716" s="5" t="str">
        <f>_xlfn.XLOOKUP(role_course_map[[#This Row],[course_id]],course_data[course_id],course_data[type],"")</f>
        <v>Course</v>
      </c>
      <c r="K716" t="str">
        <f>role_course_map[[#This Row],[role_id]] &amp; "|" &amp; role_course_map[[#This Row],[course_id]]</f>
        <v>R0139|999014</v>
      </c>
      <c r="L716" t="str">
        <f>IF(COUNTIF(role_course_map[mapping_key],role_course_map[[#This Row],[mapping_key]])&gt;1,"DUPLICATE","OK")</f>
        <v>OK</v>
      </c>
      <c r="M716" t="str">
        <f>IF(COUNTIF(role_data[role_id],role_course_map[[#This Row],[role_id]])=0, "INVALID","VALID")</f>
        <v>VALID</v>
      </c>
      <c r="N716" t="str">
        <f>IF(COUNTIF(course_data[course_id],role_course_map[[#This Row],[course_id]])=0, "INVALID","VALID")</f>
        <v>VALID</v>
      </c>
    </row>
    <row r="717" spans="1:14" x14ac:dyDescent="0.35">
      <c r="A717" t="s">
        <v>290</v>
      </c>
      <c r="B717" s="5" t="str">
        <f>_xlfn.XLOOKUP(role_course_map[[#This Row],[role_id]], role_data[role_id], role_data[Role],"")</f>
        <v>Neonatal Charge Nurse</v>
      </c>
      <c r="C717">
        <v>999015</v>
      </c>
      <c r="D717" s="5" t="str">
        <f>_xlfn.XLOOKUP(role_course_map[[#This Row],[course_id]],course_data[course_id],course_data[title],"")</f>
        <v>Patient Assessment</v>
      </c>
      <c r="E717" s="5" t="str">
        <f>_xlfn.XLOOKUP(role_course_map[[#This Row],[course_id]],course_data[course_id],course_data[topic],"")</f>
        <v>SAS : Clinical Practice</v>
      </c>
      <c r="F717" s="5" t="str">
        <f>_xlfn.XLOOKUP(role_course_map[[#This Row],[course_id]],course_data[course_id],course_data[type],"")</f>
        <v>eLearning</v>
      </c>
      <c r="K717" t="str">
        <f>role_course_map[[#This Row],[role_id]] &amp; "|" &amp; role_course_map[[#This Row],[course_id]]</f>
        <v>R0139|999015</v>
      </c>
      <c r="L717" t="str">
        <f>IF(COUNTIF(role_course_map[mapping_key],role_course_map[[#This Row],[mapping_key]])&gt;1,"DUPLICATE","OK")</f>
        <v>OK</v>
      </c>
      <c r="M717" t="str">
        <f>IF(COUNTIF(role_data[role_id],role_course_map[[#This Row],[role_id]])=0, "INVALID","VALID")</f>
        <v>VALID</v>
      </c>
      <c r="N717" t="str">
        <f>IF(COUNTIF(course_data[course_id],role_course_map[[#This Row],[course_id]])=0, "INVALID","VALID")</f>
        <v>VALID</v>
      </c>
    </row>
    <row r="718" spans="1:14" x14ac:dyDescent="0.35">
      <c r="A718" t="s">
        <v>280</v>
      </c>
      <c r="B718" s="5" t="str">
        <f>_xlfn.XLOOKUP(role_course_map[[#This Row],[role_id]], role_data[role_id], role_data[Role],"")</f>
        <v>EMRS Fellow</v>
      </c>
      <c r="C718">
        <v>999016</v>
      </c>
      <c r="D718" s="5" t="str">
        <f>_xlfn.XLOOKUP(role_course_map[[#This Row],[course_id]],course_data[course_id],course_data[title],"")</f>
        <v>Clinical Skills</v>
      </c>
      <c r="E718" s="5" t="str">
        <f>_xlfn.XLOOKUP(role_course_map[[#This Row],[course_id]],course_data[course_id],course_data[topic],"")</f>
        <v>SAS : Clinical Practice</v>
      </c>
      <c r="F718" s="5" t="str">
        <f>_xlfn.XLOOKUP(role_course_map[[#This Row],[course_id]],course_data[course_id],course_data[type],"")</f>
        <v>Course</v>
      </c>
      <c r="K718" t="str">
        <f>role_course_map[[#This Row],[role_id]] &amp; "|" &amp; role_course_map[[#This Row],[course_id]]</f>
        <v>R0134|999016</v>
      </c>
      <c r="L718" t="str">
        <f>IF(COUNTIF(role_course_map[mapping_key],role_course_map[[#This Row],[mapping_key]])&gt;1,"DUPLICATE","OK")</f>
        <v>OK</v>
      </c>
      <c r="M718" t="str">
        <f>IF(COUNTIF(role_data[role_id],role_course_map[[#This Row],[role_id]])=0, "INVALID","VALID")</f>
        <v>VALID</v>
      </c>
      <c r="N718" t="str">
        <f>IF(COUNTIF(course_data[course_id],role_course_map[[#This Row],[course_id]])=0, "INVALID","VALID")</f>
        <v>VALID</v>
      </c>
    </row>
    <row r="719" spans="1:14" x14ac:dyDescent="0.35">
      <c r="A719" t="s">
        <v>290</v>
      </c>
      <c r="B719" s="5" t="str">
        <f>_xlfn.XLOOKUP(role_course_map[[#This Row],[role_id]], role_data[role_id], role_data[Role],"")</f>
        <v>Neonatal Charge Nurse</v>
      </c>
      <c r="C719">
        <v>999016</v>
      </c>
      <c r="D719" s="5" t="str">
        <f>_xlfn.XLOOKUP(role_course_map[[#This Row],[course_id]],course_data[course_id],course_data[title],"")</f>
        <v>Clinical Skills</v>
      </c>
      <c r="E719" s="5" t="str">
        <f>_xlfn.XLOOKUP(role_course_map[[#This Row],[course_id]],course_data[course_id],course_data[topic],"")</f>
        <v>SAS : Clinical Practice</v>
      </c>
      <c r="F719" s="5" t="str">
        <f>_xlfn.XLOOKUP(role_course_map[[#This Row],[course_id]],course_data[course_id],course_data[type],"")</f>
        <v>Course</v>
      </c>
      <c r="K719" t="str">
        <f>role_course_map[[#This Row],[role_id]] &amp; "|" &amp; role_course_map[[#This Row],[course_id]]</f>
        <v>R0139|999016</v>
      </c>
      <c r="L719" t="str">
        <f>IF(COUNTIF(role_course_map[mapping_key],role_course_map[[#This Row],[mapping_key]])&gt;1,"DUPLICATE","OK")</f>
        <v>OK</v>
      </c>
      <c r="M719" t="str">
        <f>IF(COUNTIF(role_data[role_id],role_course_map[[#This Row],[role_id]])=0, "INVALID","VALID")</f>
        <v>VALID</v>
      </c>
      <c r="N719" t="str">
        <f>IF(COUNTIF(course_data[course_id],role_course_map[[#This Row],[course_id]])=0, "INVALID","VALID")</f>
        <v>VALID</v>
      </c>
    </row>
    <row r="720" spans="1:14" x14ac:dyDescent="0.35">
      <c r="A720" t="s">
        <v>290</v>
      </c>
      <c r="B720" s="5" t="str">
        <f>_xlfn.XLOOKUP(role_course_map[[#This Row],[role_id]], role_data[role_id], role_data[Role],"")</f>
        <v>Neonatal Charge Nurse</v>
      </c>
      <c r="C720">
        <v>999017</v>
      </c>
      <c r="D720" s="5" t="str">
        <f>_xlfn.XLOOKUP(role_course_map[[#This Row],[course_id]],course_data[course_id],course_data[title],"")</f>
        <v>Clinical Skills</v>
      </c>
      <c r="E720" s="5" t="str">
        <f>_xlfn.XLOOKUP(role_course_map[[#This Row],[course_id]],course_data[course_id],course_data[topic],"")</f>
        <v>SAS : Clinical Practice</v>
      </c>
      <c r="F720" s="5" t="str">
        <f>_xlfn.XLOOKUP(role_course_map[[#This Row],[course_id]],course_data[course_id],course_data[type],"")</f>
        <v>eLearning</v>
      </c>
      <c r="K720" t="str">
        <f>role_course_map[[#This Row],[role_id]] &amp; "|" &amp; role_course_map[[#This Row],[course_id]]</f>
        <v>R0139|999017</v>
      </c>
      <c r="L720" t="str">
        <f>IF(COUNTIF(role_course_map[mapping_key],role_course_map[[#This Row],[mapping_key]])&gt;1,"DUPLICATE","OK")</f>
        <v>OK</v>
      </c>
      <c r="M720" t="str">
        <f>IF(COUNTIF(role_data[role_id],role_course_map[[#This Row],[role_id]])=0, "INVALID","VALID")</f>
        <v>VALID</v>
      </c>
      <c r="N720" t="str">
        <f>IF(COUNTIF(course_data[course_id],role_course_map[[#This Row],[course_id]])=0, "INVALID","VALID")</f>
        <v>VALID</v>
      </c>
    </row>
    <row r="721" spans="1:14" x14ac:dyDescent="0.35">
      <c r="A721" t="s">
        <v>290</v>
      </c>
      <c r="B721" s="5" t="str">
        <f>_xlfn.XLOOKUP(role_course_map[[#This Row],[role_id]], role_data[role_id], role_data[Role],"")</f>
        <v>Neonatal Charge Nurse</v>
      </c>
      <c r="C721">
        <v>999018</v>
      </c>
      <c r="D721" s="5" t="str">
        <f>_xlfn.XLOOKUP(role_course_map[[#This Row],[course_id]],course_data[course_id],course_data[title],"")</f>
        <v>Learning from Events</v>
      </c>
      <c r="E721" s="5" t="str">
        <f>_xlfn.XLOOKUP(role_course_map[[#This Row],[course_id]],course_data[course_id],course_data[topic],"")</f>
        <v>SAS : Clinical Practice</v>
      </c>
      <c r="F721" s="5" t="str">
        <f>_xlfn.XLOOKUP(role_course_map[[#This Row],[course_id]],course_data[course_id],course_data[type],"")</f>
        <v>eLearning</v>
      </c>
      <c r="K721" t="str">
        <f>role_course_map[[#This Row],[role_id]] &amp; "|" &amp; role_course_map[[#This Row],[course_id]]</f>
        <v>R0139|999018</v>
      </c>
      <c r="L721" t="str">
        <f>IF(COUNTIF(role_course_map[mapping_key],role_course_map[[#This Row],[mapping_key]])&gt;1,"DUPLICATE","OK")</f>
        <v>OK</v>
      </c>
      <c r="M721" t="str">
        <f>IF(COUNTIF(role_data[role_id],role_course_map[[#This Row],[role_id]])=0, "INVALID","VALID")</f>
        <v>VALID</v>
      </c>
      <c r="N721" t="str">
        <f>IF(COUNTIF(course_data[course_id],role_course_map[[#This Row],[course_id]])=0, "INVALID","VALID")</f>
        <v>VALID</v>
      </c>
    </row>
    <row r="722" spans="1:14" x14ac:dyDescent="0.35">
      <c r="A722" t="s">
        <v>290</v>
      </c>
      <c r="B722" s="5" t="str">
        <f>_xlfn.XLOOKUP(role_course_map[[#This Row],[role_id]], role_data[role_id], role_data[Role],"")</f>
        <v>Neonatal Charge Nurse</v>
      </c>
      <c r="C722">
        <v>999019</v>
      </c>
      <c r="D722" s="5" t="str">
        <f>_xlfn.XLOOKUP(role_course_map[[#This Row],[course_id]],course_data[course_id],course_data[title],"")</f>
        <v>Medicines Management</v>
      </c>
      <c r="E722" s="5" t="str">
        <f>_xlfn.XLOOKUP(role_course_map[[#This Row],[course_id]],course_data[course_id],course_data[topic],"")</f>
        <v>SAS : Clinical Practice</v>
      </c>
      <c r="F722" s="5" t="str">
        <f>_xlfn.XLOOKUP(role_course_map[[#This Row],[course_id]],course_data[course_id],course_data[type],"")</f>
        <v>eLearning</v>
      </c>
      <c r="K722" t="str">
        <f>role_course_map[[#This Row],[role_id]] &amp; "|" &amp; role_course_map[[#This Row],[course_id]]</f>
        <v>R0139|999019</v>
      </c>
      <c r="L722" t="str">
        <f>IF(COUNTIF(role_course_map[mapping_key],role_course_map[[#This Row],[mapping_key]])&gt;1,"DUPLICATE","OK")</f>
        <v>OK</v>
      </c>
      <c r="M722" t="str">
        <f>IF(COUNTIF(role_data[role_id],role_course_map[[#This Row],[role_id]])=0, "INVALID","VALID")</f>
        <v>VALID</v>
      </c>
      <c r="N722" t="str">
        <f>IF(COUNTIF(course_data[course_id],role_course_map[[#This Row],[course_id]])=0, "INVALID","VALID")</f>
        <v>VALID</v>
      </c>
    </row>
    <row r="723" spans="1:14" x14ac:dyDescent="0.35">
      <c r="A723" t="s">
        <v>290</v>
      </c>
      <c r="B723" s="5" t="str">
        <f>_xlfn.XLOOKUP(role_course_map[[#This Row],[role_id]], role_data[role_id], role_data[Role],"")</f>
        <v>Neonatal Charge Nurse</v>
      </c>
      <c r="C723">
        <v>999020</v>
      </c>
      <c r="D723" s="5" t="str">
        <f>_xlfn.XLOOKUP(role_course_map[[#This Row],[course_id]],course_data[course_id],course_data[title],"")</f>
        <v>JRCALC Update</v>
      </c>
      <c r="E723" s="5" t="str">
        <f>_xlfn.XLOOKUP(role_course_map[[#This Row],[course_id]],course_data[course_id],course_data[topic],"")</f>
        <v>SAS : Clinical Practice</v>
      </c>
      <c r="F723" s="5" t="str">
        <f>_xlfn.XLOOKUP(role_course_map[[#This Row],[course_id]],course_data[course_id],course_data[type],"")</f>
        <v>eLearning</v>
      </c>
      <c r="K723" t="str">
        <f>role_course_map[[#This Row],[role_id]] &amp; "|" &amp; role_course_map[[#This Row],[course_id]]</f>
        <v>R0139|999020</v>
      </c>
      <c r="L723" t="str">
        <f>IF(COUNTIF(role_course_map[mapping_key],role_course_map[[#This Row],[mapping_key]])&gt;1,"DUPLICATE","OK")</f>
        <v>OK</v>
      </c>
      <c r="M723" t="str">
        <f>IF(COUNTIF(role_data[role_id],role_course_map[[#This Row],[role_id]])=0, "INVALID","VALID")</f>
        <v>VALID</v>
      </c>
      <c r="N723" t="str">
        <f>IF(COUNTIF(course_data[course_id],role_course_map[[#This Row],[course_id]])=0, "INVALID","VALID")</f>
        <v>VALID</v>
      </c>
    </row>
    <row r="724" spans="1:14" x14ac:dyDescent="0.35">
      <c r="A724" t="s">
        <v>290</v>
      </c>
      <c r="B724" s="5" t="str">
        <f>_xlfn.XLOOKUP(role_course_map[[#This Row],[role_id]], role_data[role_id], role_data[Role],"")</f>
        <v>Neonatal Charge Nurse</v>
      </c>
      <c r="C724">
        <v>999021</v>
      </c>
      <c r="D724" s="5" t="str">
        <f>_xlfn.XLOOKUP(role_course_map[[#This Row],[course_id]],course_data[course_id],course_data[title],"")</f>
        <v>Mental Health</v>
      </c>
      <c r="E724" s="5" t="str">
        <f>_xlfn.XLOOKUP(role_course_map[[#This Row],[course_id]],course_data[course_id],course_data[topic],"")</f>
        <v>SAS : Clinical Practice</v>
      </c>
      <c r="F724" s="5" t="str">
        <f>_xlfn.XLOOKUP(role_course_map[[#This Row],[course_id]],course_data[course_id],course_data[type],"")</f>
        <v>eLearning</v>
      </c>
      <c r="K724" t="str">
        <f>role_course_map[[#This Row],[role_id]] &amp; "|" &amp; role_course_map[[#This Row],[course_id]]</f>
        <v>R0139|999021</v>
      </c>
      <c r="L724" t="str">
        <f>IF(COUNTIF(role_course_map[mapping_key],role_course_map[[#This Row],[mapping_key]])&gt;1,"DUPLICATE","OK")</f>
        <v>OK</v>
      </c>
      <c r="M724" t="str">
        <f>IF(COUNTIF(role_data[role_id],role_course_map[[#This Row],[role_id]])=0, "INVALID","VALID")</f>
        <v>VALID</v>
      </c>
      <c r="N724" t="str">
        <f>IF(COUNTIF(course_data[course_id],role_course_map[[#This Row],[course_id]])=0, "INVALID","VALID")</f>
        <v>VALID</v>
      </c>
    </row>
    <row r="725" spans="1:14" x14ac:dyDescent="0.35">
      <c r="A725" t="s">
        <v>290</v>
      </c>
      <c r="B725" s="5" t="str">
        <f>_xlfn.XLOOKUP(role_course_map[[#This Row],[role_id]], role_data[role_id], role_data[Role],"")</f>
        <v>Neonatal Charge Nurse</v>
      </c>
      <c r="C725">
        <v>999022</v>
      </c>
      <c r="D725" s="5" t="str">
        <f>_xlfn.XLOOKUP(role_course_map[[#This Row],[course_id]],course_data[course_id],course_data[title],"")</f>
        <v>Learning Disabilities</v>
      </c>
      <c r="E725" s="5" t="str">
        <f>_xlfn.XLOOKUP(role_course_map[[#This Row],[course_id]],course_data[course_id],course_data[topic],"")</f>
        <v>SAS : Clinical Practice</v>
      </c>
      <c r="F725" s="5" t="str">
        <f>_xlfn.XLOOKUP(role_course_map[[#This Row],[course_id]],course_data[course_id],course_data[type],"")</f>
        <v>eLearning</v>
      </c>
      <c r="K725" t="str">
        <f>role_course_map[[#This Row],[role_id]] &amp; "|" &amp; role_course_map[[#This Row],[course_id]]</f>
        <v>R0139|999022</v>
      </c>
      <c r="L725" t="str">
        <f>IF(COUNTIF(role_course_map[mapping_key],role_course_map[[#This Row],[mapping_key]])&gt;1,"DUPLICATE","OK")</f>
        <v>OK</v>
      </c>
      <c r="M725" t="str">
        <f>IF(COUNTIF(role_data[role_id],role_course_map[[#This Row],[role_id]])=0, "INVALID","VALID")</f>
        <v>VALID</v>
      </c>
      <c r="N725" t="str">
        <f>IF(COUNTIF(course_data[course_id],role_course_map[[#This Row],[course_id]])=0, "INVALID","VALID")</f>
        <v>VALID</v>
      </c>
    </row>
    <row r="726" spans="1:14" x14ac:dyDescent="0.35">
      <c r="A726" t="s">
        <v>290</v>
      </c>
      <c r="B726" s="5" t="str">
        <f>_xlfn.XLOOKUP(role_course_map[[#This Row],[role_id]], role_data[role_id], role_data[Role],"")</f>
        <v>Neonatal Charge Nurse</v>
      </c>
      <c r="C726">
        <v>75202</v>
      </c>
      <c r="D726" s="5" t="str">
        <f>_xlfn.XLOOKUP(role_course_map[[#This Row],[course_id]],course_data[course_id],course_data[title],"")</f>
        <v>SAS : Clinical Practice</v>
      </c>
      <c r="E726" s="5" t="str">
        <f>_xlfn.XLOOKUP(role_course_map[[#This Row],[course_id]],course_data[course_id],course_data[topic],"")</f>
        <v>SAS : Clinical Practice</v>
      </c>
      <c r="F726" s="5" t="str">
        <f>_xlfn.XLOOKUP(role_course_map[[#This Row],[course_id]],course_data[course_id],course_data[type],"")</f>
        <v>Page</v>
      </c>
      <c r="K726" t="str">
        <f>role_course_map[[#This Row],[role_id]] &amp; "|" &amp; role_course_map[[#This Row],[course_id]]</f>
        <v>R0139|75202</v>
      </c>
      <c r="L726" t="str">
        <f>IF(COUNTIF(role_course_map[mapping_key],role_course_map[[#This Row],[mapping_key]])&gt;1,"DUPLICATE","OK")</f>
        <v>OK</v>
      </c>
      <c r="M726" t="str">
        <f>IF(COUNTIF(role_data[role_id],role_course_map[[#This Row],[role_id]])=0, "INVALID","VALID")</f>
        <v>VALID</v>
      </c>
      <c r="N726" t="str">
        <f>IF(COUNTIF(course_data[course_id],role_course_map[[#This Row],[course_id]])=0, "INVALID","VALID")</f>
        <v>VALID</v>
      </c>
    </row>
    <row r="727" spans="1:14" x14ac:dyDescent="0.35">
      <c r="A727" t="s">
        <v>290</v>
      </c>
      <c r="B727" s="5" t="str">
        <f>_xlfn.XLOOKUP(role_course_map[[#This Row],[role_id]], role_data[role_id], role_data[Role],"")</f>
        <v>Neonatal Charge Nurse</v>
      </c>
      <c r="C727">
        <v>999023</v>
      </c>
      <c r="D727" s="5" t="str">
        <f>_xlfn.XLOOKUP(role_course_map[[#This Row],[course_id]],course_data[course_id],course_data[title],"")</f>
        <v>Dementia</v>
      </c>
      <c r="E727" s="5" t="str">
        <f>_xlfn.XLOOKUP(role_course_map[[#This Row],[course_id]],course_data[course_id],course_data[topic],"")</f>
        <v>SAS : Clinical Practice</v>
      </c>
      <c r="F727" s="5" t="str">
        <f>_xlfn.XLOOKUP(role_course_map[[#This Row],[course_id]],course_data[course_id],course_data[type],"")</f>
        <v>eLearning</v>
      </c>
      <c r="K727" t="str">
        <f>role_course_map[[#This Row],[role_id]] &amp; "|" &amp; role_course_map[[#This Row],[course_id]]</f>
        <v>R0139|999023</v>
      </c>
      <c r="L727" t="str">
        <f>IF(COUNTIF(role_course_map[mapping_key],role_course_map[[#This Row],[mapping_key]])&gt;1,"DUPLICATE","OK")</f>
        <v>OK</v>
      </c>
      <c r="M727" t="str">
        <f>IF(COUNTIF(role_data[role_id],role_course_map[[#This Row],[role_id]])=0, "INVALID","VALID")</f>
        <v>VALID</v>
      </c>
      <c r="N727" t="str">
        <f>IF(COUNTIF(course_data[course_id],role_course_map[[#This Row],[course_id]])=0, "INVALID","VALID")</f>
        <v>VALID</v>
      </c>
    </row>
    <row r="728" spans="1:14" x14ac:dyDescent="0.35">
      <c r="A728" t="s">
        <v>280</v>
      </c>
      <c r="B728" s="5" t="str">
        <f>_xlfn.XLOOKUP(role_course_map[[#This Row],[role_id]], role_data[role_id], role_data[Role],"")</f>
        <v>EMRS Fellow</v>
      </c>
      <c r="C728">
        <v>999024</v>
      </c>
      <c r="D728" s="5" t="str">
        <f>_xlfn.XLOOKUP(role_course_map[[#This Row],[course_id]],course_data[course_id],course_data[title],"")</f>
        <v>Conditions requiring specific hospital management. I.e. Parkinsons</v>
      </c>
      <c r="E728" s="5" t="str">
        <f>_xlfn.XLOOKUP(role_course_map[[#This Row],[course_id]],course_data[course_id],course_data[topic],"")</f>
        <v>SAS : Clinical Practice</v>
      </c>
      <c r="F728" s="5" t="str">
        <f>_xlfn.XLOOKUP(role_course_map[[#This Row],[course_id]],course_data[course_id],course_data[type],"")</f>
        <v>eLearning</v>
      </c>
      <c r="K728" t="str">
        <f>role_course_map[[#This Row],[role_id]] &amp; "|" &amp; role_course_map[[#This Row],[course_id]]</f>
        <v>R0134|999024</v>
      </c>
      <c r="L728" t="str">
        <f>IF(COUNTIF(role_course_map[mapping_key],role_course_map[[#This Row],[mapping_key]])&gt;1,"DUPLICATE","OK")</f>
        <v>OK</v>
      </c>
      <c r="M728" t="str">
        <f>IF(COUNTIF(role_data[role_id],role_course_map[[#This Row],[role_id]])=0, "INVALID","VALID")</f>
        <v>VALID</v>
      </c>
      <c r="N728" t="str">
        <f>IF(COUNTIF(course_data[course_id],role_course_map[[#This Row],[course_id]])=0, "INVALID","VALID")</f>
        <v>VALID</v>
      </c>
    </row>
    <row r="729" spans="1:14" x14ac:dyDescent="0.35">
      <c r="A729" t="s">
        <v>290</v>
      </c>
      <c r="B729" s="5" t="str">
        <f>_xlfn.XLOOKUP(role_course_map[[#This Row],[role_id]], role_data[role_id], role_data[Role],"")</f>
        <v>Neonatal Charge Nurse</v>
      </c>
      <c r="C729">
        <v>999024</v>
      </c>
      <c r="D729" s="5" t="str">
        <f>_xlfn.XLOOKUP(role_course_map[[#This Row],[course_id]],course_data[course_id],course_data[title],"")</f>
        <v>Conditions requiring specific hospital management. I.e. Parkinsons</v>
      </c>
      <c r="E729" s="5" t="str">
        <f>_xlfn.XLOOKUP(role_course_map[[#This Row],[course_id]],course_data[course_id],course_data[topic],"")</f>
        <v>SAS : Clinical Practice</v>
      </c>
      <c r="F729" s="5" t="str">
        <f>_xlfn.XLOOKUP(role_course_map[[#This Row],[course_id]],course_data[course_id],course_data[type],"")</f>
        <v>eLearning</v>
      </c>
      <c r="K729" t="str">
        <f>role_course_map[[#This Row],[role_id]] &amp; "|" &amp; role_course_map[[#This Row],[course_id]]</f>
        <v>R0139|999024</v>
      </c>
      <c r="L729" t="str">
        <f>IF(COUNTIF(role_course_map[mapping_key],role_course_map[[#This Row],[mapping_key]])&gt;1,"DUPLICATE","OK")</f>
        <v>OK</v>
      </c>
      <c r="M729" t="str">
        <f>IF(COUNTIF(role_data[role_id],role_course_map[[#This Row],[role_id]])=0, "INVALID","VALID")</f>
        <v>VALID</v>
      </c>
      <c r="N729" t="str">
        <f>IF(COUNTIF(course_data[course_id],role_course_map[[#This Row],[course_id]])=0, "INVALID","VALID")</f>
        <v>VALID</v>
      </c>
    </row>
    <row r="730" spans="1:14" x14ac:dyDescent="0.35">
      <c r="A730" t="s">
        <v>290</v>
      </c>
      <c r="B730" s="5" t="str">
        <f>_xlfn.XLOOKUP(role_course_map[[#This Row],[role_id]], role_data[role_id], role_data[Role],"")</f>
        <v>Neonatal Charge Nurse</v>
      </c>
      <c r="C730">
        <v>999095</v>
      </c>
      <c r="D730" s="5" t="str">
        <f>_xlfn.XLOOKUP(role_course_map[[#This Row],[course_id]],course_data[course_id],course_data[title],"")</f>
        <v>Mentoring</v>
      </c>
      <c r="E730" s="5" t="str">
        <f>_xlfn.XLOOKUP(role_course_map[[#This Row],[course_id]],course_data[course_id],course_data[topic],"")</f>
        <v>SAS: Staff development and experience</v>
      </c>
      <c r="F730" s="5" t="str">
        <f>_xlfn.XLOOKUP(role_course_map[[#This Row],[course_id]],course_data[course_id],course_data[type],"")</f>
        <v>eLearning</v>
      </c>
      <c r="K730" t="str">
        <f>role_course_map[[#This Row],[role_id]] &amp; "|" &amp; role_course_map[[#This Row],[course_id]]</f>
        <v>R0139|999095</v>
      </c>
      <c r="L730" t="str">
        <f>IF(COUNTIF(role_course_map[mapping_key],role_course_map[[#This Row],[mapping_key]])&gt;1,"DUPLICATE","OK")</f>
        <v>OK</v>
      </c>
      <c r="M730" t="str">
        <f>IF(COUNTIF(role_data[role_id],role_course_map[[#This Row],[role_id]])=0, "INVALID","VALID")</f>
        <v>VALID</v>
      </c>
      <c r="N730" t="str">
        <f>IF(COUNTIF(course_data[course_id],role_course_map[[#This Row],[course_id]])=0, "INVALID","VALID")</f>
        <v>VALID</v>
      </c>
    </row>
    <row r="731" spans="1:14" x14ac:dyDescent="0.35">
      <c r="A731" t="s">
        <v>290</v>
      </c>
      <c r="B731" s="5" t="str">
        <f>_xlfn.XLOOKUP(role_course_map[[#This Row],[role_id]], role_data[role_id], role_data[Role],"")</f>
        <v>Neonatal Charge Nurse</v>
      </c>
      <c r="C731">
        <v>999096</v>
      </c>
      <c r="D731" s="5" t="str">
        <f>_xlfn.XLOOKUP(role_course_map[[#This Row],[course_id]],course_data[course_id],course_data[title],"")</f>
        <v>Supporting others in practice (Supervision)</v>
      </c>
      <c r="E731" s="5" t="str">
        <f>_xlfn.XLOOKUP(role_course_map[[#This Row],[course_id]],course_data[course_id],course_data[topic],"")</f>
        <v>SAS: Staff development and experience</v>
      </c>
      <c r="F731" s="5" t="str">
        <f>_xlfn.XLOOKUP(role_course_map[[#This Row],[course_id]],course_data[course_id],course_data[type],"")</f>
        <v>Course</v>
      </c>
      <c r="K731" t="str">
        <f>role_course_map[[#This Row],[role_id]] &amp; "|" &amp; role_course_map[[#This Row],[course_id]]</f>
        <v>R0139|999096</v>
      </c>
      <c r="L731" t="str">
        <f>IF(COUNTIF(role_course_map[mapping_key],role_course_map[[#This Row],[mapping_key]])&gt;1,"DUPLICATE","OK")</f>
        <v>OK</v>
      </c>
      <c r="M731" t="str">
        <f>IF(COUNTIF(role_data[role_id],role_course_map[[#This Row],[role_id]])=0, "INVALID","VALID")</f>
        <v>VALID</v>
      </c>
      <c r="N731" t="str">
        <f>IF(COUNTIF(course_data[course_id],role_course_map[[#This Row],[course_id]])=0, "INVALID","VALID")</f>
        <v>VALID</v>
      </c>
    </row>
    <row r="732" spans="1:14" x14ac:dyDescent="0.35">
      <c r="A732" t="s">
        <v>290</v>
      </c>
      <c r="B732" s="5" t="str">
        <f>_xlfn.XLOOKUP(role_course_map[[#This Row],[role_id]], role_data[role_id], role_data[Role],"")</f>
        <v>Neonatal Charge Nurse</v>
      </c>
      <c r="C732">
        <v>999097</v>
      </c>
      <c r="D732" s="5" t="str">
        <f>_xlfn.XLOOKUP(role_course_map[[#This Row],[course_id]],course_data[course_id],course_data[title],"")</f>
        <v>Personal Wellbeing</v>
      </c>
      <c r="E732" s="5" t="str">
        <f>_xlfn.XLOOKUP(role_course_map[[#This Row],[course_id]],course_data[course_id],course_data[topic],"")</f>
        <v>SAS: Staff development and experience</v>
      </c>
      <c r="F732" s="5" t="str">
        <f>_xlfn.XLOOKUP(role_course_map[[#This Row],[course_id]],course_data[course_id],course_data[type],"")</f>
        <v>eLearning</v>
      </c>
      <c r="K732" t="str">
        <f>role_course_map[[#This Row],[role_id]] &amp; "|" &amp; role_course_map[[#This Row],[course_id]]</f>
        <v>R0139|999097</v>
      </c>
      <c r="L732" t="str">
        <f>IF(COUNTIF(role_course_map[mapping_key],role_course_map[[#This Row],[mapping_key]])&gt;1,"DUPLICATE","OK")</f>
        <v>OK</v>
      </c>
      <c r="M732" t="str">
        <f>IF(COUNTIF(role_data[role_id],role_course_map[[#This Row],[role_id]])=0, "INVALID","VALID")</f>
        <v>VALID</v>
      </c>
      <c r="N732" t="str">
        <f>IF(COUNTIF(course_data[course_id],role_course_map[[#This Row],[course_id]])=0, "INVALID","VALID")</f>
        <v>VALID</v>
      </c>
    </row>
    <row r="733" spans="1:14" x14ac:dyDescent="0.35">
      <c r="A733" t="s">
        <v>290</v>
      </c>
      <c r="B733" s="5" t="str">
        <f>_xlfn.XLOOKUP(role_course_map[[#This Row],[role_id]], role_data[role_id], role_data[Role],"")</f>
        <v>Neonatal Charge Nurse</v>
      </c>
      <c r="C733">
        <v>999059</v>
      </c>
      <c r="D733" s="5" t="str">
        <f>_xlfn.XLOOKUP(role_course_map[[#This Row],[course_id]],course_data[course_id],course_data[title],"")</f>
        <v>Driving update (practical)</v>
      </c>
      <c r="E733" s="5" t="str">
        <f>_xlfn.XLOOKUP(role_course_map[[#This Row],[course_id]],course_data[course_id],course_data[topic],"")</f>
        <v>SAS : Health and Safety</v>
      </c>
      <c r="F733" s="5" t="str">
        <f>_xlfn.XLOOKUP(role_course_map[[#This Row],[course_id]],course_data[course_id],course_data[type],"")</f>
        <v>Course</v>
      </c>
      <c r="K733" t="str">
        <f>role_course_map[[#This Row],[role_id]] &amp; "|" &amp; role_course_map[[#This Row],[course_id]]</f>
        <v>R0139|999059</v>
      </c>
      <c r="L733" t="str">
        <f>IF(COUNTIF(role_course_map[mapping_key],role_course_map[[#This Row],[mapping_key]])&gt;1,"DUPLICATE","OK")</f>
        <v>OK</v>
      </c>
      <c r="M733" t="str">
        <f>IF(COUNTIF(role_data[role_id],role_course_map[[#This Row],[role_id]])=0, "INVALID","VALID")</f>
        <v>VALID</v>
      </c>
      <c r="N733" t="str">
        <f>IF(COUNTIF(course_data[course_id],role_course_map[[#This Row],[course_id]])=0, "INVALID","VALID")</f>
        <v>VALID</v>
      </c>
    </row>
    <row r="734" spans="1:14" x14ac:dyDescent="0.35">
      <c r="A734" t="s">
        <v>278</v>
      </c>
      <c r="B734" s="5" t="str">
        <f>_xlfn.XLOOKUP(role_course_map[[#This Row],[role_id]], role_data[role_id], role_data[Role],"")</f>
        <v>EMRS Consultant</v>
      </c>
      <c r="C734">
        <v>999060</v>
      </c>
      <c r="D734" s="5" t="str">
        <f>_xlfn.XLOOKUP(role_course_map[[#This Row],[course_id]],course_data[course_id],course_data[title],"")</f>
        <v>COSHH</v>
      </c>
      <c r="E734" s="5" t="str">
        <f>_xlfn.XLOOKUP(role_course_map[[#This Row],[course_id]],course_data[course_id],course_data[topic],"")</f>
        <v>SAS : Health and Safety</v>
      </c>
      <c r="F734" s="5" t="str">
        <f>_xlfn.XLOOKUP(role_course_map[[#This Row],[course_id]],course_data[course_id],course_data[type],"")</f>
        <v>eLearning</v>
      </c>
      <c r="K734" t="str">
        <f>role_course_map[[#This Row],[role_id]] &amp; "|" &amp; role_course_map[[#This Row],[course_id]]</f>
        <v>R0133|999060</v>
      </c>
      <c r="L734" t="str">
        <f>IF(COUNTIF(role_course_map[mapping_key],role_course_map[[#This Row],[mapping_key]])&gt;1,"DUPLICATE","OK")</f>
        <v>OK</v>
      </c>
      <c r="M734" t="str">
        <f>IF(COUNTIF(role_data[role_id],role_course_map[[#This Row],[role_id]])=0, "INVALID","VALID")</f>
        <v>VALID</v>
      </c>
      <c r="N734" t="str">
        <f>IF(COUNTIF(course_data[course_id],role_course_map[[#This Row],[course_id]])=0, "INVALID","VALID")</f>
        <v>VALID</v>
      </c>
    </row>
    <row r="735" spans="1:14" x14ac:dyDescent="0.35">
      <c r="A735" t="s">
        <v>290</v>
      </c>
      <c r="B735" s="5" t="str">
        <f>_xlfn.XLOOKUP(role_course_map[[#This Row],[role_id]], role_data[role_id], role_data[Role],"")</f>
        <v>Neonatal Charge Nurse</v>
      </c>
      <c r="C735">
        <v>999060</v>
      </c>
      <c r="D735" s="5" t="str">
        <f>_xlfn.XLOOKUP(role_course_map[[#This Row],[course_id]],course_data[course_id],course_data[title],"")</f>
        <v>COSHH</v>
      </c>
      <c r="E735" s="5" t="str">
        <f>_xlfn.XLOOKUP(role_course_map[[#This Row],[course_id]],course_data[course_id],course_data[topic],"")</f>
        <v>SAS : Health and Safety</v>
      </c>
      <c r="F735" s="5" t="str">
        <f>_xlfn.XLOOKUP(role_course_map[[#This Row],[course_id]],course_data[course_id],course_data[type],"")</f>
        <v>eLearning</v>
      </c>
      <c r="K735" t="str">
        <f>role_course_map[[#This Row],[role_id]] &amp; "|" &amp; role_course_map[[#This Row],[course_id]]</f>
        <v>R0139|999060</v>
      </c>
      <c r="L735" t="str">
        <f>IF(COUNTIF(role_course_map[mapping_key],role_course_map[[#This Row],[mapping_key]])&gt;1,"DUPLICATE","OK")</f>
        <v>OK</v>
      </c>
      <c r="M735" t="str">
        <f>IF(COUNTIF(role_data[role_id],role_course_map[[#This Row],[role_id]])=0, "INVALID","VALID")</f>
        <v>VALID</v>
      </c>
      <c r="N735" t="str">
        <f>IF(COUNTIF(course_data[course_id],role_course_map[[#This Row],[course_id]])=0, "INVALID","VALID")</f>
        <v>VALID</v>
      </c>
    </row>
    <row r="736" spans="1:14" x14ac:dyDescent="0.35">
      <c r="A736" t="s">
        <v>290</v>
      </c>
      <c r="B736" s="5" t="str">
        <f>_xlfn.XLOOKUP(role_course_map[[#This Row],[role_id]], role_data[role_id], role_data[Role],"")</f>
        <v>Neonatal Charge Nurse</v>
      </c>
      <c r="C736">
        <v>999066</v>
      </c>
      <c r="D736" s="5" t="str">
        <f>_xlfn.XLOOKUP(role_course_map[[#This Row],[course_id]],course_data[course_id],course_data[title],"")</f>
        <v>NRRD Update i.e. Major Incidents/Methane/ Multiple Casualities</v>
      </c>
      <c r="E736" s="5" t="str">
        <f>_xlfn.XLOOKUP(role_course_map[[#This Row],[course_id]],course_data[course_id],course_data[topic],"")</f>
        <v>SAS : National Risk and Resilience Department (NRRD)</v>
      </c>
      <c r="F736" s="5" t="str">
        <f>_xlfn.XLOOKUP(role_course_map[[#This Row],[course_id]],course_data[course_id],course_data[type],"")</f>
        <v>eLearning</v>
      </c>
      <c r="K736" t="str">
        <f>role_course_map[[#This Row],[role_id]] &amp; "|" &amp; role_course_map[[#This Row],[course_id]]</f>
        <v>R0139|999066</v>
      </c>
      <c r="L736" t="str">
        <f>IF(COUNTIF(role_course_map[mapping_key],role_course_map[[#This Row],[mapping_key]])&gt;1,"DUPLICATE","OK")</f>
        <v>OK</v>
      </c>
      <c r="M736" t="str">
        <f>IF(COUNTIF(role_data[role_id],role_course_map[[#This Row],[role_id]])=0, "INVALID","VALID")</f>
        <v>VALID</v>
      </c>
      <c r="N736" t="str">
        <f>IF(COUNTIF(course_data[course_id],role_course_map[[#This Row],[course_id]])=0, "INVALID","VALID")</f>
        <v>VALID</v>
      </c>
    </row>
    <row r="737" spans="1:14" x14ac:dyDescent="0.35">
      <c r="A737" t="s">
        <v>290</v>
      </c>
      <c r="B737" s="5" t="str">
        <f>_xlfn.XLOOKUP(role_course_map[[#This Row],[role_id]], role_data[role_id], role_data[Role],"")</f>
        <v>Neonatal Charge Nurse</v>
      </c>
      <c r="C737">
        <v>999025</v>
      </c>
      <c r="D737" s="5" t="str">
        <f>_xlfn.XLOOKUP(role_course_map[[#This Row],[course_id]],course_data[course_id],course_data[title],"")</f>
        <v>Professional Standards</v>
      </c>
      <c r="E737" s="5" t="str">
        <f>_xlfn.XLOOKUP(role_course_map[[#This Row],[course_id]],course_data[course_id],course_data[topic],"")</f>
        <v>SAS : Clinical Practice</v>
      </c>
      <c r="F737" s="5" t="str">
        <f>_xlfn.XLOOKUP(role_course_map[[#This Row],[course_id]],course_data[course_id],course_data[type],"")</f>
        <v>eLearning</v>
      </c>
      <c r="K737" t="str">
        <f>role_course_map[[#This Row],[role_id]] &amp; "|" &amp; role_course_map[[#This Row],[course_id]]</f>
        <v>R0139|999025</v>
      </c>
      <c r="L737" t="str">
        <f>IF(COUNTIF(role_course_map[mapping_key],role_course_map[[#This Row],[mapping_key]])&gt;1,"DUPLICATE","OK")</f>
        <v>OK</v>
      </c>
      <c r="M737" t="str">
        <f>IF(COUNTIF(role_data[role_id],role_course_map[[#This Row],[role_id]])=0, "INVALID","VALID")</f>
        <v>VALID</v>
      </c>
      <c r="N737" t="str">
        <f>IF(COUNTIF(course_data[course_id],role_course_map[[#This Row],[course_id]])=0, "INVALID","VALID")</f>
        <v>VALID</v>
      </c>
    </row>
    <row r="738" spans="1:14" x14ac:dyDescent="0.35">
      <c r="A738" t="s">
        <v>278</v>
      </c>
      <c r="B738" s="5" t="str">
        <f>_xlfn.XLOOKUP(role_course_map[[#This Row],[role_id]], role_data[role_id], role_data[Role],"")</f>
        <v>EMRS Consultant</v>
      </c>
      <c r="C738">
        <v>999026</v>
      </c>
      <c r="D738" s="5" t="str">
        <f>_xlfn.XLOOKUP(role_course_map[[#This Row],[course_id]],course_data[course_id],course_data[title],"")</f>
        <v>Communication Standards</v>
      </c>
      <c r="E738" s="5" t="str">
        <f>_xlfn.XLOOKUP(role_course_map[[#This Row],[course_id]],course_data[course_id],course_data[topic],"")</f>
        <v>SAS : Clinical Practice</v>
      </c>
      <c r="F738" s="5" t="str">
        <f>_xlfn.XLOOKUP(role_course_map[[#This Row],[course_id]],course_data[course_id],course_data[type],"")</f>
        <v>eLearning</v>
      </c>
      <c r="K738" t="str">
        <f>role_course_map[[#This Row],[role_id]] &amp; "|" &amp; role_course_map[[#This Row],[course_id]]</f>
        <v>R0133|999026</v>
      </c>
      <c r="L738" t="str">
        <f>IF(COUNTIF(role_course_map[mapping_key],role_course_map[[#This Row],[mapping_key]])&gt;1,"DUPLICATE","OK")</f>
        <v>OK</v>
      </c>
      <c r="M738" t="str">
        <f>IF(COUNTIF(role_data[role_id],role_course_map[[#This Row],[role_id]])=0, "INVALID","VALID")</f>
        <v>VALID</v>
      </c>
      <c r="N738" t="str">
        <f>IF(COUNTIF(course_data[course_id],role_course_map[[#This Row],[course_id]])=0, "INVALID","VALID")</f>
        <v>VALID</v>
      </c>
    </row>
    <row r="739" spans="1:14" x14ac:dyDescent="0.35">
      <c r="A739" t="s">
        <v>290</v>
      </c>
      <c r="B739" s="5" t="str">
        <f>_xlfn.XLOOKUP(role_course_map[[#This Row],[role_id]], role_data[role_id], role_data[Role],"")</f>
        <v>Neonatal Charge Nurse</v>
      </c>
      <c r="C739">
        <v>999026</v>
      </c>
      <c r="D739" s="5" t="str">
        <f>_xlfn.XLOOKUP(role_course_map[[#This Row],[course_id]],course_data[course_id],course_data[title],"")</f>
        <v>Communication Standards</v>
      </c>
      <c r="E739" s="5" t="str">
        <f>_xlfn.XLOOKUP(role_course_map[[#This Row],[course_id]],course_data[course_id],course_data[topic],"")</f>
        <v>SAS : Clinical Practice</v>
      </c>
      <c r="F739" s="5" t="str">
        <f>_xlfn.XLOOKUP(role_course_map[[#This Row],[course_id]],course_data[course_id],course_data[type],"")</f>
        <v>eLearning</v>
      </c>
      <c r="K739" t="str">
        <f>role_course_map[[#This Row],[role_id]] &amp; "|" &amp; role_course_map[[#This Row],[course_id]]</f>
        <v>R0139|999026</v>
      </c>
      <c r="L739" t="str">
        <f>IF(COUNTIF(role_course_map[mapping_key],role_course_map[[#This Row],[mapping_key]])&gt;1,"DUPLICATE","OK")</f>
        <v>OK</v>
      </c>
      <c r="M739" t="str">
        <f>IF(COUNTIF(role_data[role_id],role_course_map[[#This Row],[role_id]])=0, "INVALID","VALID")</f>
        <v>VALID</v>
      </c>
      <c r="N739" t="str">
        <f>IF(COUNTIF(course_data[course_id],role_course_map[[#This Row],[course_id]])=0, "INVALID","VALID")</f>
        <v>VALID</v>
      </c>
    </row>
    <row r="740" spans="1:14" x14ac:dyDescent="0.35">
      <c r="A740" t="s">
        <v>290</v>
      </c>
      <c r="B740" s="5" t="str">
        <f>_xlfn.XLOOKUP(role_course_map[[#This Row],[role_id]], role_data[role_id], role_data[Role],"")</f>
        <v>Neonatal Charge Nurse</v>
      </c>
      <c r="C740">
        <v>999058</v>
      </c>
      <c r="D740" s="5" t="str">
        <f>_xlfn.XLOOKUP(role_course_map[[#This Row],[course_id]],course_data[course_id],course_data[title],"")</f>
        <v>Stress Identification &amp; Stress Management</v>
      </c>
      <c r="E740" s="5" t="str">
        <f>_xlfn.XLOOKUP(role_course_map[[#This Row],[course_id]],course_data[course_id],course_data[topic],"")</f>
        <v>SAS : Health and Safety</v>
      </c>
      <c r="F740" s="5" t="str">
        <f>_xlfn.XLOOKUP(role_course_map[[#This Row],[course_id]],course_data[course_id],course_data[type],"")</f>
        <v>eLearning</v>
      </c>
      <c r="K740" t="str">
        <f>role_course_map[[#This Row],[role_id]] &amp; "|" &amp; role_course_map[[#This Row],[course_id]]</f>
        <v>R0139|999058</v>
      </c>
      <c r="L740" t="str">
        <f>IF(COUNTIF(role_course_map[mapping_key],role_course_map[[#This Row],[mapping_key]])&gt;1,"DUPLICATE","OK")</f>
        <v>OK</v>
      </c>
      <c r="M740" t="str">
        <f>IF(COUNTIF(role_data[role_id],role_course_map[[#This Row],[role_id]])=0, "INVALID","VALID")</f>
        <v>VALID</v>
      </c>
      <c r="N740" t="str">
        <f>IF(COUNTIF(course_data[course_id],role_course_map[[#This Row],[course_id]])=0, "INVALID","VALID")</f>
        <v>VALID</v>
      </c>
    </row>
    <row r="741" spans="1:14" x14ac:dyDescent="0.35">
      <c r="A741" t="s">
        <v>280</v>
      </c>
      <c r="B741" s="5" t="str">
        <f>_xlfn.XLOOKUP(role_course_map[[#This Row],[role_id]], role_data[role_id], role_data[Role],"")</f>
        <v>EMRS Fellow</v>
      </c>
      <c r="C741">
        <v>999056</v>
      </c>
      <c r="D741" s="5" t="str">
        <f>_xlfn.XLOOKUP(role_course_map[[#This Row],[course_id]],course_data[course_id],course_data[title],"")</f>
        <v>Driver Assessment &amp; Training</v>
      </c>
      <c r="E741" s="5" t="str">
        <f>_xlfn.XLOOKUP(role_course_map[[#This Row],[course_id]],course_data[course_id],course_data[topic],"")</f>
        <v>SAS : Health and Safety</v>
      </c>
      <c r="F741" s="5" t="str">
        <f>_xlfn.XLOOKUP(role_course_map[[#This Row],[course_id]],course_data[course_id],course_data[type],"")</f>
        <v>eLearning</v>
      </c>
      <c r="K741" t="str">
        <f>role_course_map[[#This Row],[role_id]] &amp; "|" &amp; role_course_map[[#This Row],[course_id]]</f>
        <v>R0134|999056</v>
      </c>
      <c r="L741" t="str">
        <f>IF(COUNTIF(role_course_map[mapping_key],role_course_map[[#This Row],[mapping_key]])&gt;1,"DUPLICATE","OK")</f>
        <v>OK</v>
      </c>
      <c r="M741" t="str">
        <f>IF(COUNTIF(role_data[role_id],role_course_map[[#This Row],[role_id]])=0, "INVALID","VALID")</f>
        <v>VALID</v>
      </c>
      <c r="N741" t="str">
        <f>IF(COUNTIF(course_data[course_id],role_course_map[[#This Row],[course_id]])=0, "INVALID","VALID")</f>
        <v>VALID</v>
      </c>
    </row>
    <row r="742" spans="1:14" x14ac:dyDescent="0.35">
      <c r="A742" t="s">
        <v>290</v>
      </c>
      <c r="B742" s="5" t="str">
        <f>_xlfn.XLOOKUP(role_course_map[[#This Row],[role_id]], role_data[role_id], role_data[Role],"")</f>
        <v>Neonatal Charge Nurse</v>
      </c>
      <c r="C742">
        <v>999056</v>
      </c>
      <c r="D742" s="5" t="str">
        <f>_xlfn.XLOOKUP(role_course_map[[#This Row],[course_id]],course_data[course_id],course_data[title],"")</f>
        <v>Driver Assessment &amp; Training</v>
      </c>
      <c r="E742" s="5" t="str">
        <f>_xlfn.XLOOKUP(role_course_map[[#This Row],[course_id]],course_data[course_id],course_data[topic],"")</f>
        <v>SAS : Health and Safety</v>
      </c>
      <c r="F742" s="5" t="str">
        <f>_xlfn.XLOOKUP(role_course_map[[#This Row],[course_id]],course_data[course_id],course_data[type],"")</f>
        <v>eLearning</v>
      </c>
      <c r="K742" t="str">
        <f>role_course_map[[#This Row],[role_id]] &amp; "|" &amp; role_course_map[[#This Row],[course_id]]</f>
        <v>R0139|999056</v>
      </c>
      <c r="L742" t="str">
        <f>IF(COUNTIF(role_course_map[mapping_key],role_course_map[[#This Row],[mapping_key]])&gt;1,"DUPLICATE","OK")</f>
        <v>OK</v>
      </c>
      <c r="M742" t="str">
        <f>IF(COUNTIF(role_data[role_id],role_course_map[[#This Row],[role_id]])=0, "INVALID","VALID")</f>
        <v>VALID</v>
      </c>
      <c r="N742" t="str">
        <f>IF(COUNTIF(course_data[course_id],role_course_map[[#This Row],[course_id]])=0, "INVALID","VALID")</f>
        <v>VALID</v>
      </c>
    </row>
    <row r="743" spans="1:14" x14ac:dyDescent="0.35">
      <c r="A743" t="s">
        <v>290</v>
      </c>
      <c r="B743" s="5" t="str">
        <f>_xlfn.XLOOKUP(role_course_map[[#This Row],[role_id]], role_data[role_id], role_data[Role],"")</f>
        <v>Neonatal Charge Nurse</v>
      </c>
      <c r="C743">
        <v>999061</v>
      </c>
      <c r="D743" s="5" t="str">
        <f>_xlfn.XLOOKUP(role_course_map[[#This Row],[course_id]],course_data[course_id],course_data[title],"")</f>
        <v>Skin Awareness</v>
      </c>
      <c r="E743" s="5" t="str">
        <f>_xlfn.XLOOKUP(role_course_map[[#This Row],[course_id]],course_data[course_id],course_data[topic],"")</f>
        <v>SAS : Health and Safety</v>
      </c>
      <c r="F743" s="5" t="str">
        <f>_xlfn.XLOOKUP(role_course_map[[#This Row],[course_id]],course_data[course_id],course_data[type],"")</f>
        <v>eLearning</v>
      </c>
      <c r="K743" t="str">
        <f>role_course_map[[#This Row],[role_id]] &amp; "|" &amp; role_course_map[[#This Row],[course_id]]</f>
        <v>R0139|999061</v>
      </c>
      <c r="L743" t="str">
        <f>IF(COUNTIF(role_course_map[mapping_key],role_course_map[[#This Row],[mapping_key]])&gt;1,"DUPLICATE","OK")</f>
        <v>OK</v>
      </c>
      <c r="M743" t="str">
        <f>IF(COUNTIF(role_data[role_id],role_course_map[[#This Row],[role_id]])=0, "INVALID","VALID")</f>
        <v>VALID</v>
      </c>
      <c r="N743" t="str">
        <f>IF(COUNTIF(course_data[course_id],role_course_map[[#This Row],[course_id]])=0, "INVALID","VALID")</f>
        <v>VALID</v>
      </c>
    </row>
    <row r="744" spans="1:14" x14ac:dyDescent="0.35">
      <c r="A744" t="s">
        <v>280</v>
      </c>
      <c r="B744" s="5" t="str">
        <f>_xlfn.XLOOKUP(role_course_map[[#This Row],[role_id]], role_data[role_id], role_data[Role],"")</f>
        <v>EMRS Fellow</v>
      </c>
      <c r="C744">
        <v>999057</v>
      </c>
      <c r="D744" s="5" t="str">
        <f>_xlfn.XLOOKUP(role_course_map[[#This Row],[course_id]],course_data[course_id],course_data[title],"")</f>
        <v>Fatigue Awareness</v>
      </c>
      <c r="E744" s="5" t="str">
        <f>_xlfn.XLOOKUP(role_course_map[[#This Row],[course_id]],course_data[course_id],course_data[topic],"")</f>
        <v>SAS : Health and Safety</v>
      </c>
      <c r="F744" s="5" t="str">
        <f>_xlfn.XLOOKUP(role_course_map[[#This Row],[course_id]],course_data[course_id],course_data[type],"")</f>
        <v>eLearning</v>
      </c>
      <c r="K744" t="str">
        <f>role_course_map[[#This Row],[role_id]] &amp; "|" &amp; role_course_map[[#This Row],[course_id]]</f>
        <v>R0134|999057</v>
      </c>
      <c r="L744" t="str">
        <f>IF(COUNTIF(role_course_map[mapping_key],role_course_map[[#This Row],[mapping_key]])&gt;1,"DUPLICATE","OK")</f>
        <v>OK</v>
      </c>
      <c r="M744" t="str">
        <f>IF(COUNTIF(role_data[role_id],role_course_map[[#This Row],[role_id]])=0, "INVALID","VALID")</f>
        <v>VALID</v>
      </c>
      <c r="N744" t="str">
        <f>IF(COUNTIF(course_data[course_id],role_course_map[[#This Row],[course_id]])=0, "INVALID","VALID")</f>
        <v>VALID</v>
      </c>
    </row>
    <row r="745" spans="1:14" x14ac:dyDescent="0.35">
      <c r="A745" t="s">
        <v>290</v>
      </c>
      <c r="B745" s="5" t="str">
        <f>_xlfn.XLOOKUP(role_course_map[[#This Row],[role_id]], role_data[role_id], role_data[Role],"")</f>
        <v>Neonatal Charge Nurse</v>
      </c>
      <c r="C745">
        <v>999057</v>
      </c>
      <c r="D745" s="5" t="str">
        <f>_xlfn.XLOOKUP(role_course_map[[#This Row],[course_id]],course_data[course_id],course_data[title],"")</f>
        <v>Fatigue Awareness</v>
      </c>
      <c r="E745" s="5" t="str">
        <f>_xlfn.XLOOKUP(role_course_map[[#This Row],[course_id]],course_data[course_id],course_data[topic],"")</f>
        <v>SAS : Health and Safety</v>
      </c>
      <c r="F745" s="5" t="str">
        <f>_xlfn.XLOOKUP(role_course_map[[#This Row],[course_id]],course_data[course_id],course_data[type],"")</f>
        <v>eLearning</v>
      </c>
      <c r="K745" t="str">
        <f>role_course_map[[#This Row],[role_id]] &amp; "|" &amp; role_course_map[[#This Row],[course_id]]</f>
        <v>R0139|999057</v>
      </c>
      <c r="L745" t="str">
        <f>IF(COUNTIF(role_course_map[mapping_key],role_course_map[[#This Row],[mapping_key]])&gt;1,"DUPLICATE","OK")</f>
        <v>OK</v>
      </c>
      <c r="M745" t="str">
        <f>IF(COUNTIF(role_data[role_id],role_course_map[[#This Row],[role_id]])=0, "INVALID","VALID")</f>
        <v>VALID</v>
      </c>
      <c r="N745" t="str">
        <f>IF(COUNTIF(course_data[course_id],role_course_map[[#This Row],[course_id]])=0, "INVALID","VALID")</f>
        <v>VALID</v>
      </c>
    </row>
    <row r="746" spans="1:14" x14ac:dyDescent="0.35">
      <c r="A746" t="s">
        <v>290</v>
      </c>
      <c r="B746" s="5" t="str">
        <f>_xlfn.XLOOKUP(role_course_map[[#This Row],[role_id]], role_data[role_id], role_data[Role],"")</f>
        <v>Neonatal Charge Nurse</v>
      </c>
      <c r="C746">
        <v>999027</v>
      </c>
      <c r="D746" s="5" t="str">
        <f>_xlfn.XLOOKUP(role_course_map[[#This Row],[course_id]],course_data[course_id],course_data[title],"")</f>
        <v>Manual and Patient Handling Foundation Training - Level 2</v>
      </c>
      <c r="E746" s="5" t="str">
        <f>_xlfn.XLOOKUP(role_course_map[[#This Row],[course_id]],course_data[course_id],course_data[topic],"")</f>
        <v>SAS : Clinical Practice</v>
      </c>
      <c r="F746" s="5" t="str">
        <f>_xlfn.XLOOKUP(role_course_map[[#This Row],[course_id]],course_data[course_id],course_data[type],"")</f>
        <v>Course</v>
      </c>
      <c r="K746" t="str">
        <f>role_course_map[[#This Row],[role_id]] &amp; "|" &amp; role_course_map[[#This Row],[course_id]]</f>
        <v>R0139|999027</v>
      </c>
      <c r="L746" t="str">
        <f>IF(COUNTIF(role_course_map[mapping_key],role_course_map[[#This Row],[mapping_key]])&gt;1,"DUPLICATE","OK")</f>
        <v>OK</v>
      </c>
      <c r="M746" t="str">
        <f>IF(COUNTIF(role_data[role_id],role_course_map[[#This Row],[role_id]])=0, "INVALID","VALID")</f>
        <v>VALID</v>
      </c>
      <c r="N746" t="str">
        <f>IF(COUNTIF(course_data[course_id],role_course_map[[#This Row],[course_id]])=0, "INVALID","VALID")</f>
        <v>VALID</v>
      </c>
    </row>
    <row r="747" spans="1:14" x14ac:dyDescent="0.35">
      <c r="A747" t="s">
        <v>290</v>
      </c>
      <c r="B747" s="5" t="str">
        <f>_xlfn.XLOOKUP(role_course_map[[#This Row],[role_id]], role_data[role_id], role_data[Role],"")</f>
        <v>Neonatal Charge Nurse</v>
      </c>
      <c r="C747">
        <v>999028</v>
      </c>
      <c r="D747" s="5" t="str">
        <f>_xlfn.XLOOKUP(role_course_map[[#This Row],[course_id]],course_data[course_id],course_data[title],"")</f>
        <v>Manual and Patient Handling Competency Assessment - Level 3</v>
      </c>
      <c r="E747" s="5" t="str">
        <f>_xlfn.XLOOKUP(role_course_map[[#This Row],[course_id]],course_data[course_id],course_data[topic],"")</f>
        <v>SAS : Clinical Practice</v>
      </c>
      <c r="F747" s="5" t="str">
        <f>_xlfn.XLOOKUP(role_course_map[[#This Row],[course_id]],course_data[course_id],course_data[type],"")</f>
        <v>Course</v>
      </c>
      <c r="K747" t="str">
        <f>role_course_map[[#This Row],[role_id]] &amp; "|" &amp; role_course_map[[#This Row],[course_id]]</f>
        <v>R0139|999028</v>
      </c>
      <c r="L747" t="str">
        <f>IF(COUNTIF(role_course_map[mapping_key],role_course_map[[#This Row],[mapping_key]])&gt;1,"DUPLICATE","OK")</f>
        <v>OK</v>
      </c>
      <c r="M747" t="str">
        <f>IF(COUNTIF(role_data[role_id],role_course_map[[#This Row],[role_id]])=0, "INVALID","VALID")</f>
        <v>VALID</v>
      </c>
      <c r="N747" t="str">
        <f>IF(COUNTIF(course_data[course_id],role_course_map[[#This Row],[course_id]])=0, "INVALID","VALID")</f>
        <v>VALID</v>
      </c>
    </row>
    <row r="748" spans="1:14" x14ac:dyDescent="0.35">
      <c r="A748" t="s">
        <v>290</v>
      </c>
      <c r="B748" s="5" t="str">
        <f>_xlfn.XLOOKUP(role_course_map[[#This Row],[role_id]], role_data[role_id], role_data[Role],"")</f>
        <v>Neonatal Charge Nurse</v>
      </c>
      <c r="C748">
        <v>999029</v>
      </c>
      <c r="D748" s="5" t="str">
        <f>_xlfn.XLOOKUP(role_course_map[[#This Row],[course_id]],course_data[course_id],course_data[title],"")</f>
        <v>Manual and Patient Handling Competency Assessment Theory - Level 3</v>
      </c>
      <c r="E748" s="5" t="str">
        <f>_xlfn.XLOOKUP(role_course_map[[#This Row],[course_id]],course_data[course_id],course_data[topic],"")</f>
        <v>SAS : Clinical Practice</v>
      </c>
      <c r="F748" s="5" t="str">
        <f>_xlfn.XLOOKUP(role_course_map[[#This Row],[course_id]],course_data[course_id],course_data[type],"")</f>
        <v>Course</v>
      </c>
      <c r="K748" t="str">
        <f>role_course_map[[#This Row],[role_id]] &amp; "|" &amp; role_course_map[[#This Row],[course_id]]</f>
        <v>R0139|999029</v>
      </c>
      <c r="L748" t="str">
        <f>IF(COUNTIF(role_course_map[mapping_key],role_course_map[[#This Row],[mapping_key]])&gt;1,"DUPLICATE","OK")</f>
        <v>OK</v>
      </c>
      <c r="M748" t="str">
        <f>IF(COUNTIF(role_data[role_id],role_course_map[[#This Row],[role_id]])=0, "INVALID","VALID")</f>
        <v>VALID</v>
      </c>
      <c r="N748" t="str">
        <f>IF(COUNTIF(course_data[course_id],role_course_map[[#This Row],[course_id]])=0, "INVALID","VALID")</f>
        <v>VALID</v>
      </c>
    </row>
    <row r="749" spans="1:14" x14ac:dyDescent="0.35">
      <c r="A749" t="s">
        <v>290</v>
      </c>
      <c r="B749" s="5" t="str">
        <f>_xlfn.XLOOKUP(role_course_map[[#This Row],[role_id]], role_data[role_id], role_data[Role],"")</f>
        <v>Neonatal Charge Nurse</v>
      </c>
      <c r="C749" t="s">
        <v>659</v>
      </c>
      <c r="D749" s="5" t="str">
        <f>_xlfn.XLOOKUP(role_course_map[[#This Row],[course_id]],course_data[course_id],course_data[title],"")</f>
        <v>Prevention and Management of Violence and Aggression - Breakaway training Level 2 /Restrictive movement Level 3</v>
      </c>
      <c r="E749" s="5" t="str">
        <f>_xlfn.XLOOKUP(role_course_map[[#This Row],[course_id]],course_data[course_id],course_data[topic],"")</f>
        <v>SAS : Health and Safety</v>
      </c>
      <c r="F749" s="5" t="str">
        <f>_xlfn.XLOOKUP(role_course_map[[#This Row],[course_id]],course_data[course_id],course_data[type],"")</f>
        <v>Course</v>
      </c>
      <c r="K749" t="str">
        <f>role_course_map[[#This Row],[role_id]] &amp; "|" &amp; role_course_map[[#This Row],[course_id]]</f>
        <v>R0139|2025-6 edition</v>
      </c>
      <c r="L749" t="str">
        <f>IF(COUNTIF(role_course_map[mapping_key],role_course_map[[#This Row],[mapping_key]])&gt;1,"DUPLICATE","OK")</f>
        <v>OK</v>
      </c>
      <c r="M749" t="str">
        <f>IF(COUNTIF(role_data[role_id],role_course_map[[#This Row],[role_id]])=0, "INVALID","VALID")</f>
        <v>VALID</v>
      </c>
      <c r="N749" t="str">
        <f>IF(COUNTIF(course_data[course_id],role_course_map[[#This Row],[course_id]])=0, "INVALID","VALID")</f>
        <v>VALID</v>
      </c>
    </row>
    <row r="750" spans="1:14" x14ac:dyDescent="0.35">
      <c r="A750" t="s">
        <v>290</v>
      </c>
      <c r="B750" s="5" t="str">
        <f>_xlfn.XLOOKUP(role_course_map[[#This Row],[role_id]], role_data[role_id], role_data[Role],"")</f>
        <v>Neonatal Charge Nurse</v>
      </c>
      <c r="C750">
        <v>999055</v>
      </c>
      <c r="D750" s="5" t="str">
        <f>_xlfn.XLOOKUP(role_course_map[[#This Row],[course_id]],course_data[course_id],course_data[title],"")</f>
        <v>Prevention and Management of Violence and Aggression - Refresher</v>
      </c>
      <c r="E750" s="5" t="str">
        <f>_xlfn.XLOOKUP(role_course_map[[#This Row],[course_id]],course_data[course_id],course_data[topic],"")</f>
        <v>SAS : Health and Safety</v>
      </c>
      <c r="F750" s="5" t="str">
        <f>_xlfn.XLOOKUP(role_course_map[[#This Row],[course_id]],course_data[course_id],course_data[type],"")</f>
        <v>Course</v>
      </c>
      <c r="K750" t="str">
        <f>role_course_map[[#This Row],[role_id]] &amp; "|" &amp; role_course_map[[#This Row],[course_id]]</f>
        <v>R0139|999055</v>
      </c>
      <c r="L750" t="str">
        <f>IF(COUNTIF(role_course_map[mapping_key],role_course_map[[#This Row],[mapping_key]])&gt;1,"DUPLICATE","OK")</f>
        <v>OK</v>
      </c>
      <c r="M750" t="str">
        <f>IF(COUNTIF(role_data[role_id],role_course_map[[#This Row],[role_id]])=0, "INVALID","VALID")</f>
        <v>VALID</v>
      </c>
      <c r="N750" t="str">
        <f>IF(COUNTIF(course_data[course_id],role_course_map[[#This Row],[course_id]])=0, "INVALID","VALID")</f>
        <v>VALID</v>
      </c>
    </row>
    <row r="751" spans="1:14" x14ac:dyDescent="0.35">
      <c r="A751" t="s">
        <v>290</v>
      </c>
      <c r="B751" s="5" t="str">
        <f>_xlfn.XLOOKUP(role_course_map[[#This Row],[role_id]], role_data[role_id], role_data[Role],"")</f>
        <v>Neonatal Charge Nurse</v>
      </c>
      <c r="C751">
        <v>64322</v>
      </c>
      <c r="D751" s="5" t="str">
        <f>_xlfn.XLOOKUP(role_course_map[[#This Row],[course_id]],course_data[course_id],course_data[title],"")</f>
        <v>Adult support and protection: practice level 2 [skilled]</v>
      </c>
      <c r="E751" s="5" t="str">
        <f>_xlfn.XLOOKUP(role_course_map[[#This Row],[course_id]],course_data[course_id],course_data[topic],"")</f>
        <v>SAS : Public Protection</v>
      </c>
      <c r="F751" s="5" t="str">
        <f>_xlfn.XLOOKUP(role_course_map[[#This Row],[course_id]],course_data[course_id],course_data[type],"")</f>
        <v>eLearning</v>
      </c>
      <c r="K751" t="str">
        <f>role_course_map[[#This Row],[role_id]] &amp; "|" &amp; role_course_map[[#This Row],[course_id]]</f>
        <v>R0139|64322</v>
      </c>
      <c r="L751" t="str">
        <f>IF(COUNTIF(role_course_map[mapping_key],role_course_map[[#This Row],[mapping_key]])&gt;1,"DUPLICATE","OK")</f>
        <v>OK</v>
      </c>
      <c r="M751" t="str">
        <f>IF(COUNTIF(role_data[role_id],role_course_map[[#This Row],[role_id]])=0, "INVALID","VALID")</f>
        <v>VALID</v>
      </c>
      <c r="N751" t="str">
        <f>IF(COUNTIF(course_data[course_id],role_course_map[[#This Row],[course_id]])=0, "INVALID","VALID")</f>
        <v>VALID</v>
      </c>
    </row>
    <row r="752" spans="1:14" x14ac:dyDescent="0.35">
      <c r="A752" t="s">
        <v>290</v>
      </c>
      <c r="B752" s="5" t="str">
        <f>_xlfn.XLOOKUP(role_course_map[[#This Row],[role_id]], role_data[role_id], role_data[Role],"")</f>
        <v>Neonatal Charge Nurse</v>
      </c>
      <c r="C752">
        <v>64324</v>
      </c>
      <c r="D752" s="5" t="str">
        <f>_xlfn.XLOOKUP(role_course_map[[#This Row],[course_id]],course_data[course_id],course_data[title],"")</f>
        <v>Child protection: practice level 2 [skilled]</v>
      </c>
      <c r="E752" s="5" t="str">
        <f>_xlfn.XLOOKUP(role_course_map[[#This Row],[course_id]],course_data[course_id],course_data[topic],"")</f>
        <v>SAS : Public Protection</v>
      </c>
      <c r="F752" s="5" t="str">
        <f>_xlfn.XLOOKUP(role_course_map[[#This Row],[course_id]],course_data[course_id],course_data[type],"")</f>
        <v>eLearning</v>
      </c>
      <c r="K752" t="str">
        <f>role_course_map[[#This Row],[role_id]] &amp; "|" &amp; role_course_map[[#This Row],[course_id]]</f>
        <v>R0139|64324</v>
      </c>
      <c r="L752" t="str">
        <f>IF(COUNTIF(role_course_map[mapping_key],role_course_map[[#This Row],[mapping_key]])&gt;1,"DUPLICATE","OK")</f>
        <v>OK</v>
      </c>
      <c r="M752" t="str">
        <f>IF(COUNTIF(role_data[role_id],role_course_map[[#This Row],[role_id]])=0, "INVALID","VALID")</f>
        <v>VALID</v>
      </c>
      <c r="N752" t="str">
        <f>IF(COUNTIF(course_data[course_id],role_course_map[[#This Row],[course_id]])=0, "INVALID","VALID")</f>
        <v>VALID</v>
      </c>
    </row>
    <row r="753" spans="1:14" x14ac:dyDescent="0.35">
      <c r="A753" t="s">
        <v>280</v>
      </c>
      <c r="B753" s="5" t="str">
        <f>_xlfn.XLOOKUP(role_course_map[[#This Row],[role_id]], role_data[role_id], role_data[Role],"")</f>
        <v>EMRS Fellow</v>
      </c>
      <c r="C753">
        <v>76716</v>
      </c>
      <c r="D753" s="5" t="str">
        <f>_xlfn.XLOOKUP(role_course_map[[#This Row],[course_id]],course_data[course_id],course_data[title],"")</f>
        <v>Domestic abuse awareness training tool (DAART)</v>
      </c>
      <c r="E753" s="5" t="str">
        <f>_xlfn.XLOOKUP(role_course_map[[#This Row],[course_id]],course_data[course_id],course_data[topic],"")</f>
        <v>SAS : Public Protection</v>
      </c>
      <c r="F753" s="5" t="str">
        <f>_xlfn.XLOOKUP(role_course_map[[#This Row],[course_id]],course_data[course_id],course_data[type],"")</f>
        <v>eLearning</v>
      </c>
      <c r="K753" t="str">
        <f>role_course_map[[#This Row],[role_id]] &amp; "|" &amp; role_course_map[[#This Row],[course_id]]</f>
        <v>R0134|76716</v>
      </c>
      <c r="L753" t="str">
        <f>IF(COUNTIF(role_course_map[mapping_key],role_course_map[[#This Row],[mapping_key]])&gt;1,"DUPLICATE","OK")</f>
        <v>OK</v>
      </c>
      <c r="M753" t="str">
        <f>IF(COUNTIF(role_data[role_id],role_course_map[[#This Row],[role_id]])=0, "INVALID","VALID")</f>
        <v>VALID</v>
      </c>
      <c r="N753" t="str">
        <f>IF(COUNTIF(course_data[course_id],role_course_map[[#This Row],[course_id]])=0, "INVALID","VALID")</f>
        <v>VALID</v>
      </c>
    </row>
    <row r="754" spans="1:14" x14ac:dyDescent="0.35">
      <c r="A754" t="s">
        <v>290</v>
      </c>
      <c r="B754" s="5" t="str">
        <f>_xlfn.XLOOKUP(role_course_map[[#This Row],[role_id]], role_data[role_id], role_data[Role],"")</f>
        <v>Neonatal Charge Nurse</v>
      </c>
      <c r="C754">
        <v>76716</v>
      </c>
      <c r="D754" s="5" t="str">
        <f>_xlfn.XLOOKUP(role_course_map[[#This Row],[course_id]],course_data[course_id],course_data[title],"")</f>
        <v>Domestic abuse awareness training tool (DAART)</v>
      </c>
      <c r="E754" s="5" t="str">
        <f>_xlfn.XLOOKUP(role_course_map[[#This Row],[course_id]],course_data[course_id],course_data[topic],"")</f>
        <v>SAS : Public Protection</v>
      </c>
      <c r="F754" s="5" t="str">
        <f>_xlfn.XLOOKUP(role_course_map[[#This Row],[course_id]],course_data[course_id],course_data[type],"")</f>
        <v>eLearning</v>
      </c>
      <c r="K754" t="str">
        <f>role_course_map[[#This Row],[role_id]] &amp; "|" &amp; role_course_map[[#This Row],[course_id]]</f>
        <v>R0139|76716</v>
      </c>
      <c r="L754" t="str">
        <f>IF(COUNTIF(role_course_map[mapping_key],role_course_map[[#This Row],[mapping_key]])&gt;1,"DUPLICATE","OK")</f>
        <v>OK</v>
      </c>
      <c r="M754" t="str">
        <f>IF(COUNTIF(role_data[role_id],role_course_map[[#This Row],[role_id]])=0, "INVALID","VALID")</f>
        <v>VALID</v>
      </c>
      <c r="N754" t="str">
        <f>IF(COUNTIF(course_data[course_id],role_course_map[[#This Row],[course_id]])=0, "INVALID","VALID")</f>
        <v>VALID</v>
      </c>
    </row>
    <row r="755" spans="1:14" x14ac:dyDescent="0.35">
      <c r="A755" t="s">
        <v>290</v>
      </c>
      <c r="B755" s="5" t="str">
        <f>_xlfn.XLOOKUP(role_course_map[[#This Row],[role_id]], role_data[role_id], role_data[Role],"")</f>
        <v>Neonatal Charge Nurse</v>
      </c>
      <c r="C755">
        <v>79666</v>
      </c>
      <c r="D755" s="5" t="str">
        <f>_xlfn.XLOOKUP(role_course_map[[#This Row],[course_id]],course_data[course_id],course_data[title],"")</f>
        <v>Getting it right for every child (GIRFEC): informed level</v>
      </c>
      <c r="E755" s="5" t="str">
        <f>_xlfn.XLOOKUP(role_course_map[[#This Row],[course_id]],course_data[course_id],course_data[topic],"")</f>
        <v>SAS : Public Protection</v>
      </c>
      <c r="F755" s="5" t="str">
        <f>_xlfn.XLOOKUP(role_course_map[[#This Row],[course_id]],course_data[course_id],course_data[type],"")</f>
        <v>eLearning</v>
      </c>
      <c r="K755" t="str">
        <f>role_course_map[[#This Row],[role_id]] &amp; "|" &amp; role_course_map[[#This Row],[course_id]]</f>
        <v>R0139|79666</v>
      </c>
      <c r="L755" t="str">
        <f>IF(COUNTIF(role_course_map[mapping_key],role_course_map[[#This Row],[mapping_key]])&gt;1,"DUPLICATE","OK")</f>
        <v>OK</v>
      </c>
      <c r="M755" t="str">
        <f>IF(COUNTIF(role_data[role_id],role_course_map[[#This Row],[role_id]])=0, "INVALID","VALID")</f>
        <v>VALID</v>
      </c>
      <c r="N755" t="str">
        <f>IF(COUNTIF(course_data[course_id],role_course_map[[#This Row],[course_id]])=0, "INVALID","VALID")</f>
        <v>VALID</v>
      </c>
    </row>
    <row r="756" spans="1:14" x14ac:dyDescent="0.35">
      <c r="A756" t="s">
        <v>290</v>
      </c>
      <c r="B756" s="5" t="str">
        <f>_xlfn.XLOOKUP(role_course_map[[#This Row],[role_id]], role_data[role_id], role_data[Role],"")</f>
        <v>Neonatal Charge Nurse</v>
      </c>
      <c r="C756">
        <v>999074</v>
      </c>
      <c r="D756" s="5" t="str">
        <f>_xlfn.XLOOKUP(role_course_map[[#This Row],[course_id]],course_data[course_id],course_data[title],"")</f>
        <v>SAS-specific Children’s rights</v>
      </c>
      <c r="E756" s="5" t="str">
        <f>_xlfn.XLOOKUP(role_course_map[[#This Row],[course_id]],course_data[course_id],course_data[topic],"")</f>
        <v>SAS : Public Protection</v>
      </c>
      <c r="F756" s="5" t="str">
        <f>_xlfn.XLOOKUP(role_course_map[[#This Row],[course_id]],course_data[course_id],course_data[type],"")</f>
        <v>eLearning</v>
      </c>
      <c r="K756" t="str">
        <f>role_course_map[[#This Row],[role_id]] &amp; "|" &amp; role_course_map[[#This Row],[course_id]]</f>
        <v>R0139|999074</v>
      </c>
      <c r="L756" t="str">
        <f>IF(COUNTIF(role_course_map[mapping_key],role_course_map[[#This Row],[mapping_key]])&gt;1,"DUPLICATE","OK")</f>
        <v>OK</v>
      </c>
      <c r="M756" t="str">
        <f>IF(COUNTIF(role_data[role_id],role_course_map[[#This Row],[role_id]])=0, "INVALID","VALID")</f>
        <v>VALID</v>
      </c>
      <c r="N756" t="str">
        <f>IF(COUNTIF(course_data[course_id],role_course_map[[#This Row],[course_id]])=0, "INVALID","VALID")</f>
        <v>VALID</v>
      </c>
    </row>
    <row r="757" spans="1:14" x14ac:dyDescent="0.35">
      <c r="A757" t="s">
        <v>290</v>
      </c>
      <c r="B757" s="5" t="str">
        <f>_xlfn.XLOOKUP(role_course_map[[#This Row],[role_id]], role_data[role_id], role_data[Role],"")</f>
        <v>Neonatal Charge Nurse</v>
      </c>
      <c r="C757">
        <v>999075</v>
      </c>
      <c r="D757" s="5" t="str">
        <f>_xlfn.XLOOKUP(role_course_map[[#This Row],[course_id]],course_data[course_id],course_data[title],"")</f>
        <v>Multiagency local or bespoke Level 3 delivery training</v>
      </c>
      <c r="E757" s="5" t="str">
        <f>_xlfn.XLOOKUP(role_course_map[[#This Row],[course_id]],course_data[course_id],course_data[topic],"")</f>
        <v>SAS : Public Protection</v>
      </c>
      <c r="F757" s="5" t="str">
        <f>_xlfn.XLOOKUP(role_course_map[[#This Row],[course_id]],course_data[course_id],course_data[type],"")</f>
        <v>eLearning</v>
      </c>
      <c r="K757" t="str">
        <f>role_course_map[[#This Row],[role_id]] &amp; "|" &amp; role_course_map[[#This Row],[course_id]]</f>
        <v>R0139|999075</v>
      </c>
      <c r="L757" t="str">
        <f>IF(COUNTIF(role_course_map[mapping_key],role_course_map[[#This Row],[mapping_key]])&gt;1,"DUPLICATE","OK")</f>
        <v>OK</v>
      </c>
      <c r="M757" t="str">
        <f>IF(COUNTIF(role_data[role_id],role_course_map[[#This Row],[role_id]])=0, "INVALID","VALID")</f>
        <v>VALID</v>
      </c>
      <c r="N757" t="str">
        <f>IF(COUNTIF(course_data[course_id],role_course_map[[#This Row],[course_id]])=0, "INVALID","VALID")</f>
        <v>VALID</v>
      </c>
    </row>
    <row r="758" spans="1:14" x14ac:dyDescent="0.35">
      <c r="A758" t="s">
        <v>290</v>
      </c>
      <c r="B758" s="5" t="str">
        <f>_xlfn.XLOOKUP(role_course_map[[#This Row],[role_id]], role_data[role_id], role_data[Role],"")</f>
        <v>Neonatal Charge Nurse</v>
      </c>
      <c r="C758">
        <v>15249</v>
      </c>
      <c r="D758" s="5" t="str">
        <f>_xlfn.XLOOKUP(role_course_map[[#This Row],[course_id]],course_data[course_id],course_data[title],"")</f>
        <v>Human trafficking</v>
      </c>
      <c r="E758" s="5" t="str">
        <f>_xlfn.XLOOKUP(role_course_map[[#This Row],[course_id]],course_data[course_id],course_data[topic],"")</f>
        <v>SAS : Public Protection</v>
      </c>
      <c r="F758" s="5" t="str">
        <f>_xlfn.XLOOKUP(role_course_map[[#This Row],[course_id]],course_data[course_id],course_data[type],"")</f>
        <v>eLearning</v>
      </c>
      <c r="K758" t="str">
        <f>role_course_map[[#This Row],[role_id]] &amp; "|" &amp; role_course_map[[#This Row],[course_id]]</f>
        <v>R0139|15249</v>
      </c>
      <c r="L758" t="str">
        <f>IF(COUNTIF(role_course_map[mapping_key],role_course_map[[#This Row],[mapping_key]])&gt;1,"DUPLICATE","OK")</f>
        <v>OK</v>
      </c>
      <c r="M758" t="str">
        <f>IF(COUNTIF(role_data[role_id],role_course_map[[#This Row],[role_id]])=0, "INVALID","VALID")</f>
        <v>VALID</v>
      </c>
      <c r="N758" t="str">
        <f>IF(COUNTIF(course_data[course_id],role_course_map[[#This Row],[course_id]])=0, "INVALID","VALID")</f>
        <v>VALID</v>
      </c>
    </row>
    <row r="759" spans="1:14" x14ac:dyDescent="0.35">
      <c r="A759" t="s">
        <v>290</v>
      </c>
      <c r="B759" s="5" t="str">
        <f>_xlfn.XLOOKUP(role_course_map[[#This Row],[role_id]], role_data[role_id], role_data[Role],"")</f>
        <v>Neonatal Charge Nurse</v>
      </c>
      <c r="C759">
        <v>89161</v>
      </c>
      <c r="D759" s="5" t="str">
        <f>_xlfn.XLOOKUP(role_course_map[[#This Row],[course_id]],course_data[course_id],course_data[title],"")</f>
        <v>Personal Protective Equipment</v>
      </c>
      <c r="E759" s="5" t="str">
        <f>_xlfn.XLOOKUP(role_course_map[[#This Row],[course_id]],course_data[course_id],course_data[topic],"")</f>
        <v>SAS : Infection Prevention and Control (IPC)</v>
      </c>
      <c r="F759" s="5" t="str">
        <f>_xlfn.XLOOKUP(role_course_map[[#This Row],[course_id]],course_data[course_id],course_data[type],"")</f>
        <v>eLearning</v>
      </c>
      <c r="K759" t="str">
        <f>role_course_map[[#This Row],[role_id]] &amp; "|" &amp; role_course_map[[#This Row],[course_id]]</f>
        <v>R0139|89161</v>
      </c>
      <c r="L759" t="str">
        <f>IF(COUNTIF(role_course_map[mapping_key],role_course_map[[#This Row],[mapping_key]])&gt;1,"DUPLICATE","OK")</f>
        <v>OK</v>
      </c>
      <c r="M759" t="str">
        <f>IF(COUNTIF(role_data[role_id],role_course_map[[#This Row],[role_id]])=0, "INVALID","VALID")</f>
        <v>VALID</v>
      </c>
      <c r="N759" t="str">
        <f>IF(COUNTIF(course_data[course_id],role_course_map[[#This Row],[course_id]])=0, "INVALID","VALID")</f>
        <v>VALID</v>
      </c>
    </row>
    <row r="760" spans="1:14" x14ac:dyDescent="0.35">
      <c r="A760" t="s">
        <v>290</v>
      </c>
      <c r="B760" s="5" t="str">
        <f>_xlfn.XLOOKUP(role_course_map[[#This Row],[role_id]], role_data[role_id], role_data[Role],"")</f>
        <v>Neonatal Charge Nurse</v>
      </c>
      <c r="C760">
        <v>89157</v>
      </c>
      <c r="D760" s="5" t="str">
        <f>_xlfn.XLOOKUP(role_course_map[[#This Row],[course_id]],course_data[course_id],course_data[title],"")</f>
        <v>Safe Management of Care Equipment</v>
      </c>
      <c r="E760" s="5" t="str">
        <f>_xlfn.XLOOKUP(role_course_map[[#This Row],[course_id]],course_data[course_id],course_data[topic],"")</f>
        <v>SAS : Infection Prevention and Control (IPC)</v>
      </c>
      <c r="F760" s="5" t="str">
        <f>_xlfn.XLOOKUP(role_course_map[[#This Row],[course_id]],course_data[course_id],course_data[type],"")</f>
        <v>eLearning</v>
      </c>
      <c r="K760" t="str">
        <f>role_course_map[[#This Row],[role_id]] &amp; "|" &amp; role_course_map[[#This Row],[course_id]]</f>
        <v>R0139|89157</v>
      </c>
      <c r="L760" t="str">
        <f>IF(COUNTIF(role_course_map[mapping_key],role_course_map[[#This Row],[mapping_key]])&gt;1,"DUPLICATE","OK")</f>
        <v>OK</v>
      </c>
      <c r="M760" t="str">
        <f>IF(COUNTIF(role_data[role_id],role_course_map[[#This Row],[role_id]])=0, "INVALID","VALID")</f>
        <v>VALID</v>
      </c>
      <c r="N760" t="str">
        <f>IF(COUNTIF(course_data[course_id],role_course_map[[#This Row],[course_id]])=0, "INVALID","VALID")</f>
        <v>VALID</v>
      </c>
    </row>
    <row r="761" spans="1:14" x14ac:dyDescent="0.35">
      <c r="A761" t="s">
        <v>290</v>
      </c>
      <c r="B761" s="5" t="str">
        <f>_xlfn.XLOOKUP(role_course_map[[#This Row],[role_id]], role_data[role_id], role_data[Role],"")</f>
        <v>Neonatal Charge Nurse</v>
      </c>
      <c r="C761">
        <v>89158</v>
      </c>
      <c r="D761" s="5" t="str">
        <f>_xlfn.XLOOKUP(role_course_map[[#This Row],[course_id]],course_data[course_id],course_data[title],"")</f>
        <v>Safe Management of Care Environment</v>
      </c>
      <c r="E761" s="5" t="str">
        <f>_xlfn.XLOOKUP(role_course_map[[#This Row],[course_id]],course_data[course_id],course_data[topic],"")</f>
        <v>SAS : Infection Prevention and Control (IPC)</v>
      </c>
      <c r="F761" s="5" t="str">
        <f>_xlfn.XLOOKUP(role_course_map[[#This Row],[course_id]],course_data[course_id],course_data[type],"")</f>
        <v>eLearning</v>
      </c>
      <c r="K761" t="str">
        <f>role_course_map[[#This Row],[role_id]] &amp; "|" &amp; role_course_map[[#This Row],[course_id]]</f>
        <v>R0139|89158</v>
      </c>
      <c r="L761" t="str">
        <f>IF(COUNTIF(role_course_map[mapping_key],role_course_map[[#This Row],[mapping_key]])&gt;1,"DUPLICATE","OK")</f>
        <v>OK</v>
      </c>
      <c r="M761" t="str">
        <f>IF(COUNTIF(role_data[role_id],role_course_map[[#This Row],[role_id]])=0, "INVALID","VALID")</f>
        <v>VALID</v>
      </c>
      <c r="N761" t="str">
        <f>IF(COUNTIF(course_data[course_id],role_course_map[[#This Row],[course_id]])=0, "INVALID","VALID")</f>
        <v>VALID</v>
      </c>
    </row>
    <row r="762" spans="1:14" x14ac:dyDescent="0.35">
      <c r="A762" t="s">
        <v>290</v>
      </c>
      <c r="B762" s="5" t="str">
        <f>_xlfn.XLOOKUP(role_course_map[[#This Row],[role_id]], role_data[role_id], role_data[Role],"")</f>
        <v>Neonatal Charge Nurse</v>
      </c>
      <c r="C762">
        <v>89159</v>
      </c>
      <c r="D762" s="5" t="str">
        <f>_xlfn.XLOOKUP(role_course_map[[#This Row],[course_id]],course_data[course_id],course_data[title],"")</f>
        <v>Safe Management of Linen</v>
      </c>
      <c r="E762" s="5" t="str">
        <f>_xlfn.XLOOKUP(role_course_map[[#This Row],[course_id]],course_data[course_id],course_data[topic],"")</f>
        <v>SAS : Infection Prevention and Control (IPC)</v>
      </c>
      <c r="F762" s="5" t="str">
        <f>_xlfn.XLOOKUP(role_course_map[[#This Row],[course_id]],course_data[course_id],course_data[type],"")</f>
        <v>eLearning</v>
      </c>
      <c r="K762" t="str">
        <f>role_course_map[[#This Row],[role_id]] &amp; "|" &amp; role_course_map[[#This Row],[course_id]]</f>
        <v>R0139|89159</v>
      </c>
      <c r="L762" t="str">
        <f>IF(COUNTIF(role_course_map[mapping_key],role_course_map[[#This Row],[mapping_key]])&gt;1,"DUPLICATE","OK")</f>
        <v>OK</v>
      </c>
      <c r="M762" t="str">
        <f>IF(COUNTIF(role_data[role_id],role_course_map[[#This Row],[role_id]])=0, "INVALID","VALID")</f>
        <v>VALID</v>
      </c>
      <c r="N762" t="str">
        <f>IF(COUNTIF(course_data[course_id],role_course_map[[#This Row],[course_id]])=0, "INVALID","VALID")</f>
        <v>VALID</v>
      </c>
    </row>
    <row r="763" spans="1:14" x14ac:dyDescent="0.35">
      <c r="A763" t="s">
        <v>290</v>
      </c>
      <c r="B763" s="5" t="str">
        <f>_xlfn.XLOOKUP(role_course_map[[#This Row],[role_id]], role_data[role_id], role_data[Role],"")</f>
        <v>Neonatal Charge Nurse</v>
      </c>
      <c r="C763">
        <v>89160</v>
      </c>
      <c r="D763" s="5" t="str">
        <f>_xlfn.XLOOKUP(role_course_map[[#This Row],[course_id]],course_data[course_id],course_data[title],"")</f>
        <v>Safe Management of blood and body fluids</v>
      </c>
      <c r="E763" s="5" t="str">
        <f>_xlfn.XLOOKUP(role_course_map[[#This Row],[course_id]],course_data[course_id],course_data[topic],"")</f>
        <v>SAS : Infection Prevention and Control (IPC)</v>
      </c>
      <c r="F763" s="5" t="str">
        <f>_xlfn.XLOOKUP(role_course_map[[#This Row],[course_id]],course_data[course_id],course_data[type],"")</f>
        <v>eLearning</v>
      </c>
      <c r="K763" t="str">
        <f>role_course_map[[#This Row],[role_id]] &amp; "|" &amp; role_course_map[[#This Row],[course_id]]</f>
        <v>R0139|89160</v>
      </c>
      <c r="L763" t="str">
        <f>IF(COUNTIF(role_course_map[mapping_key],role_course_map[[#This Row],[mapping_key]])&gt;1,"DUPLICATE","OK")</f>
        <v>OK</v>
      </c>
      <c r="M763" t="str">
        <f>IF(COUNTIF(role_data[role_id],role_course_map[[#This Row],[role_id]])=0, "INVALID","VALID")</f>
        <v>VALID</v>
      </c>
      <c r="N763" t="str">
        <f>IF(COUNTIF(course_data[course_id],role_course_map[[#This Row],[course_id]])=0, "INVALID","VALID")</f>
        <v>VALID</v>
      </c>
    </row>
    <row r="764" spans="1:14" x14ac:dyDescent="0.35">
      <c r="A764" t="s">
        <v>290</v>
      </c>
      <c r="B764" s="5" t="str">
        <f>_xlfn.XLOOKUP(role_course_map[[#This Row],[role_id]], role_data[role_id], role_data[Role],"")</f>
        <v>Neonatal Charge Nurse</v>
      </c>
      <c r="C764">
        <v>89154</v>
      </c>
      <c r="D764" s="5" t="str">
        <f>_xlfn.XLOOKUP(role_course_map[[#This Row],[course_id]],course_data[course_id],course_data[title],"")</f>
        <v>Safe disposal of waste</v>
      </c>
      <c r="E764" s="5" t="str">
        <f>_xlfn.XLOOKUP(role_course_map[[#This Row],[course_id]],course_data[course_id],course_data[topic],"")</f>
        <v>SAS : Infection Prevention and Control (IPC)</v>
      </c>
      <c r="F764" s="5" t="str">
        <f>_xlfn.XLOOKUP(role_course_map[[#This Row],[course_id]],course_data[course_id],course_data[type],"")</f>
        <v>eLearning</v>
      </c>
      <c r="K764" t="str">
        <f>role_course_map[[#This Row],[role_id]] &amp; "|" &amp; role_course_map[[#This Row],[course_id]]</f>
        <v>R0139|89154</v>
      </c>
      <c r="L764" t="str">
        <f>IF(COUNTIF(role_course_map[mapping_key],role_course_map[[#This Row],[mapping_key]])&gt;1,"DUPLICATE","OK")</f>
        <v>OK</v>
      </c>
      <c r="M764" t="str">
        <f>IF(COUNTIF(role_data[role_id],role_course_map[[#This Row],[role_id]])=0, "INVALID","VALID")</f>
        <v>VALID</v>
      </c>
      <c r="N764" t="str">
        <f>IF(COUNTIF(course_data[course_id],role_course_map[[#This Row],[course_id]])=0, "INVALID","VALID")</f>
        <v>VALID</v>
      </c>
    </row>
    <row r="765" spans="1:14" x14ac:dyDescent="0.35">
      <c r="A765" t="s">
        <v>290</v>
      </c>
      <c r="B765" s="5" t="str">
        <f>_xlfn.XLOOKUP(role_course_map[[#This Row],[role_id]], role_data[role_id], role_data[Role],"")</f>
        <v>Neonatal Charge Nurse</v>
      </c>
      <c r="C765">
        <v>89155</v>
      </c>
      <c r="D765" s="5" t="str">
        <f>_xlfn.XLOOKUP(role_course_map[[#This Row],[course_id]],course_data[course_id],course_data[title],"")</f>
        <v>Prevention &amp; management of occupational exposure</v>
      </c>
      <c r="E765" s="5" t="str">
        <f>_xlfn.XLOOKUP(role_course_map[[#This Row],[course_id]],course_data[course_id],course_data[topic],"")</f>
        <v>SAS : Infection Prevention and Control (IPC)</v>
      </c>
      <c r="F765" s="5" t="str">
        <f>_xlfn.XLOOKUP(role_course_map[[#This Row],[course_id]],course_data[course_id],course_data[type],"")</f>
        <v>eLearning</v>
      </c>
      <c r="K765" t="str">
        <f>role_course_map[[#This Row],[role_id]] &amp; "|" &amp; role_course_map[[#This Row],[course_id]]</f>
        <v>R0139|89155</v>
      </c>
      <c r="L765" t="str">
        <f>IF(COUNTIF(role_course_map[mapping_key],role_course_map[[#This Row],[mapping_key]])&gt;1,"DUPLICATE","OK")</f>
        <v>OK</v>
      </c>
      <c r="M765" t="str">
        <f>IF(COUNTIF(role_data[role_id],role_course_map[[#This Row],[role_id]])=0, "INVALID","VALID")</f>
        <v>VALID</v>
      </c>
      <c r="N765" t="str">
        <f>IF(COUNTIF(course_data[course_id],role_course_map[[#This Row],[course_id]])=0, "INVALID","VALID")</f>
        <v>VALID</v>
      </c>
    </row>
    <row r="766" spans="1:14" x14ac:dyDescent="0.35">
      <c r="A766" t="s">
        <v>290</v>
      </c>
      <c r="B766" s="5" t="str">
        <f>_xlfn.XLOOKUP(role_course_map[[#This Row],[role_id]], role_data[role_id], role_data[Role],"")</f>
        <v>Neonatal Charge Nurse</v>
      </c>
      <c r="C766">
        <v>999064</v>
      </c>
      <c r="D766" s="5" t="str">
        <f>_xlfn.XLOOKUP(role_course_map[[#This Row],[course_id]],course_data[course_id],course_data[title],"")</f>
        <v>Infection prevention and control: Clostridioides difficile infection</v>
      </c>
      <c r="E766" s="5" t="str">
        <f>_xlfn.XLOOKUP(role_course_map[[#This Row],[course_id]],course_data[course_id],course_data[topic],"")</f>
        <v>SAS : Infection Prevention and Control (IPC)</v>
      </c>
      <c r="F766" s="5" t="str">
        <f>_xlfn.XLOOKUP(role_course_map[[#This Row],[course_id]],course_data[course_id],course_data[type],"")</f>
        <v>eLearning</v>
      </c>
      <c r="K766" t="str">
        <f>role_course_map[[#This Row],[role_id]] &amp; "|" &amp; role_course_map[[#This Row],[course_id]]</f>
        <v>R0139|999064</v>
      </c>
      <c r="L766" t="str">
        <f>IF(COUNTIF(role_course_map[mapping_key],role_course_map[[#This Row],[mapping_key]])&gt;1,"DUPLICATE","OK")</f>
        <v>OK</v>
      </c>
      <c r="M766" t="str">
        <f>IF(COUNTIF(role_data[role_id],role_course_map[[#This Row],[role_id]])=0, "INVALID","VALID")</f>
        <v>VALID</v>
      </c>
      <c r="N766" t="str">
        <f>IF(COUNTIF(course_data[course_id],role_course_map[[#This Row],[course_id]])=0, "INVALID","VALID")</f>
        <v>VALID</v>
      </c>
    </row>
    <row r="767" spans="1:14" x14ac:dyDescent="0.35">
      <c r="A767" t="s">
        <v>290</v>
      </c>
      <c r="B767" s="5" t="str">
        <f>_xlfn.XLOOKUP(role_course_map[[#This Row],[role_id]], role_data[role_id], role_data[Role],"")</f>
        <v>Neonatal Charge Nurse</v>
      </c>
      <c r="C767">
        <v>3256</v>
      </c>
      <c r="D767" s="5" t="str">
        <f>_xlfn.XLOOKUP(role_course_map[[#This Row],[course_id]],course_data[course_id],course_data[title],"")</f>
        <v>Antibiotic Management CHECK THIS IS THE RIGHT ONE</v>
      </c>
      <c r="E767" s="5" t="str">
        <f>_xlfn.XLOOKUP(role_course_map[[#This Row],[course_id]],course_data[course_id],course_data[topic],"")</f>
        <v>SAS : Infection Prevention and Control (IPC)</v>
      </c>
      <c r="F767" s="5" t="str">
        <f>_xlfn.XLOOKUP(role_course_map[[#This Row],[course_id]],course_data[course_id],course_data[type],"")</f>
        <v>eLearning</v>
      </c>
      <c r="K767" t="str">
        <f>role_course_map[[#This Row],[role_id]] &amp; "|" &amp; role_course_map[[#This Row],[course_id]]</f>
        <v>R0139|3256</v>
      </c>
      <c r="L767" t="str">
        <f>IF(COUNTIF(role_course_map[mapping_key],role_course_map[[#This Row],[mapping_key]])&gt;1,"DUPLICATE","OK")</f>
        <v>OK</v>
      </c>
      <c r="M767" t="str">
        <f>IF(COUNTIF(role_data[role_id],role_course_map[[#This Row],[role_id]])=0, "INVALID","VALID")</f>
        <v>VALID</v>
      </c>
      <c r="N767" t="str">
        <f>IF(COUNTIF(course_data[course_id],role_course_map[[#This Row],[course_id]])=0, "INVALID","VALID")</f>
        <v>VALID</v>
      </c>
    </row>
    <row r="768" spans="1:14" x14ac:dyDescent="0.35">
      <c r="A768" t="s">
        <v>290</v>
      </c>
      <c r="B768" s="5" t="str">
        <f>_xlfn.XLOOKUP(role_course_map[[#This Row],[role_id]], role_data[role_id], role_data[Role],"")</f>
        <v>Neonatal Charge Nurse</v>
      </c>
      <c r="C768">
        <v>82383</v>
      </c>
      <c r="D768" s="5" t="str">
        <f>_xlfn.XLOOKUP(role_course_map[[#This Row],[course_id]],course_data[course_id],course_data[title],"")</f>
        <v>Aseptic technique</v>
      </c>
      <c r="E768" s="5" t="str">
        <f>_xlfn.XLOOKUP(role_course_map[[#This Row],[course_id]],course_data[course_id],course_data[topic],"")</f>
        <v>SAS : Infection Prevention and Control (IPC)</v>
      </c>
      <c r="F768" s="5" t="str">
        <f>_xlfn.XLOOKUP(role_course_map[[#This Row],[course_id]],course_data[course_id],course_data[type],"")</f>
        <v>eLearning</v>
      </c>
      <c r="K768" t="str">
        <f>role_course_map[[#This Row],[role_id]] &amp; "|" &amp; role_course_map[[#This Row],[course_id]]</f>
        <v>R0139|82383</v>
      </c>
      <c r="L768" t="str">
        <f>IF(COUNTIF(role_course_map[mapping_key],role_course_map[[#This Row],[mapping_key]])&gt;1,"DUPLICATE","OK")</f>
        <v>OK</v>
      </c>
      <c r="M768" t="str">
        <f>IF(COUNTIF(role_data[role_id],role_course_map[[#This Row],[role_id]])=0, "INVALID","VALID")</f>
        <v>VALID</v>
      </c>
      <c r="N768" t="str">
        <f>IF(COUNTIF(course_data[course_id],role_course_map[[#This Row],[course_id]])=0, "INVALID","VALID")</f>
        <v>VALID</v>
      </c>
    </row>
    <row r="769" spans="1:14" x14ac:dyDescent="0.35">
      <c r="A769" t="s">
        <v>290</v>
      </c>
      <c r="B769" s="5" t="str">
        <f>_xlfn.XLOOKUP(role_course_map[[#This Row],[role_id]], role_data[role_id], role_data[Role],"")</f>
        <v>Neonatal Charge Nurse</v>
      </c>
      <c r="C769">
        <v>3886</v>
      </c>
      <c r="D769" s="5" t="str">
        <f>_xlfn.XLOOKUP(role_course_map[[#This Row],[course_id]],course_data[course_id],course_data[title],"")</f>
        <v>Prevention and management of pressure ulcers</v>
      </c>
      <c r="E769" s="5" t="str">
        <f>_xlfn.XLOOKUP(role_course_map[[#This Row],[course_id]],course_data[course_id],course_data[topic],"")</f>
        <v>SAS : Clinical Practice</v>
      </c>
      <c r="F769" s="5" t="str">
        <f>_xlfn.XLOOKUP(role_course_map[[#This Row],[course_id]],course_data[course_id],course_data[type],"")</f>
        <v>Page</v>
      </c>
      <c r="K769" t="str">
        <f>role_course_map[[#This Row],[role_id]] &amp; "|" &amp; role_course_map[[#This Row],[course_id]]</f>
        <v>R0139|3886</v>
      </c>
      <c r="L769" t="str">
        <f>IF(COUNTIF(role_course_map[mapping_key],role_course_map[[#This Row],[mapping_key]])&gt;1,"DUPLICATE","OK")</f>
        <v>OK</v>
      </c>
      <c r="M769" t="str">
        <f>IF(COUNTIF(role_data[role_id],role_course_map[[#This Row],[role_id]])=0, "INVALID","VALID")</f>
        <v>VALID</v>
      </c>
      <c r="N769" t="str">
        <f>IF(COUNTIF(course_data[course_id],role_course_map[[#This Row],[course_id]])=0, "INVALID","VALID")</f>
        <v>VALID</v>
      </c>
    </row>
    <row r="770" spans="1:14" x14ac:dyDescent="0.35">
      <c r="A770" t="s">
        <v>290</v>
      </c>
      <c r="B770" s="5" t="str">
        <f>_xlfn.XLOOKUP(role_course_map[[#This Row],[role_id]], role_data[role_id], role_data[Role],"")</f>
        <v>Neonatal Charge Nurse</v>
      </c>
      <c r="C770">
        <v>999077</v>
      </c>
      <c r="D770" s="5" t="str">
        <f>_xlfn.XLOOKUP(role_course_map[[#This Row],[course_id]],course_data[course_id],course_data[title],"")</f>
        <v>ScotSTAR: Role specific Orientation &amp; Induction</v>
      </c>
      <c r="E770" s="5" t="str">
        <f>_xlfn.XLOOKUP(role_course_map[[#This Row],[course_id]],course_data[course_id],course_data[topic],"")</f>
        <v>SAS : ScotSTAR</v>
      </c>
      <c r="F770" s="5" t="str">
        <f>_xlfn.XLOOKUP(role_course_map[[#This Row],[course_id]],course_data[course_id],course_data[type],"")</f>
        <v>Course</v>
      </c>
      <c r="K770" t="str">
        <f>role_course_map[[#This Row],[role_id]] &amp; "|" &amp; role_course_map[[#This Row],[course_id]]</f>
        <v>R0139|999077</v>
      </c>
      <c r="L770" t="str">
        <f>IF(COUNTIF(role_course_map[mapping_key],role_course_map[[#This Row],[mapping_key]])&gt;1,"DUPLICATE","OK")</f>
        <v>OK</v>
      </c>
      <c r="M770" t="str">
        <f>IF(COUNTIF(role_data[role_id],role_course_map[[#This Row],[role_id]])=0, "INVALID","VALID")</f>
        <v>VALID</v>
      </c>
      <c r="N770" t="str">
        <f>IF(COUNTIF(course_data[course_id],role_course_map[[#This Row],[course_id]])=0, "INVALID","VALID")</f>
        <v>VALID</v>
      </c>
    </row>
    <row r="771" spans="1:14" x14ac:dyDescent="0.35">
      <c r="A771" t="s">
        <v>264</v>
      </c>
      <c r="B771" s="5" t="str">
        <f>_xlfn.XLOOKUP(role_course_map[[#This Row],[role_id]], role_data[role_id], role_data[Role],"")</f>
        <v>Advanced Neonatal Nurse Practitioner</v>
      </c>
      <c r="C771">
        <v>999080</v>
      </c>
      <c r="D771" s="5" t="str">
        <f>_xlfn.XLOOKUP(role_course_map[[#This Row],[course_id]],course_data[course_id],course_data[title],"")</f>
        <v>HUET (on line)</v>
      </c>
      <c r="E771" s="5" t="str">
        <f>_xlfn.XLOOKUP(role_course_map[[#This Row],[course_id]],course_data[course_id],course_data[topic],"")</f>
        <v>SAS : ScotSTAR</v>
      </c>
      <c r="F771" s="5" t="str">
        <f>_xlfn.XLOOKUP(role_course_map[[#This Row],[course_id]],course_data[course_id],course_data[type],"")</f>
        <v>eLearning</v>
      </c>
      <c r="K771" t="str">
        <f>role_course_map[[#This Row],[role_id]] &amp; "|" &amp; role_course_map[[#This Row],[course_id]]</f>
        <v>R0126|999080</v>
      </c>
      <c r="L771" t="str">
        <f>IF(COUNTIF(role_course_map[mapping_key],role_course_map[[#This Row],[mapping_key]])&gt;1,"DUPLICATE","OK")</f>
        <v>OK</v>
      </c>
      <c r="M771" t="str">
        <f>IF(COUNTIF(role_data[role_id],role_course_map[[#This Row],[role_id]])=0, "INVALID","VALID")</f>
        <v>VALID</v>
      </c>
      <c r="N771" t="str">
        <f>IF(COUNTIF(course_data[course_id],role_course_map[[#This Row],[course_id]])=0, "INVALID","VALID")</f>
        <v>VALID</v>
      </c>
    </row>
    <row r="772" spans="1:14" x14ac:dyDescent="0.35">
      <c r="A772" t="s">
        <v>292</v>
      </c>
      <c r="B772" s="5" t="str">
        <f>_xlfn.XLOOKUP(role_course_map[[#This Row],[role_id]], role_data[role_id], role_data[Role],"")</f>
        <v>Neonatal Consultant</v>
      </c>
      <c r="C772">
        <v>999009</v>
      </c>
      <c r="D772" s="5" t="str">
        <f>_xlfn.XLOOKUP(role_course_map[[#This Row],[course_id]],course_data[course_id],course_data[title],"")</f>
        <v>Life Support</v>
      </c>
      <c r="E772" s="5" t="str">
        <f>_xlfn.XLOOKUP(role_course_map[[#This Row],[course_id]],course_data[course_id],course_data[topic],"")</f>
        <v>SAS : Clinical Practice</v>
      </c>
      <c r="F772" s="5" t="str">
        <f>_xlfn.XLOOKUP(role_course_map[[#This Row],[course_id]],course_data[course_id],course_data[type],"")</f>
        <v>Course</v>
      </c>
      <c r="K772" t="str">
        <f>role_course_map[[#This Row],[role_id]] &amp; "|" &amp; role_course_map[[#This Row],[course_id]]</f>
        <v>R0140|999009</v>
      </c>
      <c r="L772" t="str">
        <f>IF(COUNTIF(role_course_map[mapping_key],role_course_map[[#This Row],[mapping_key]])&gt;1,"DUPLICATE","OK")</f>
        <v>OK</v>
      </c>
      <c r="M772" t="str">
        <f>IF(COUNTIF(role_data[role_id],role_course_map[[#This Row],[role_id]])=0, "INVALID","VALID")</f>
        <v>VALID</v>
      </c>
      <c r="N772" t="str">
        <f>IF(COUNTIF(course_data[course_id],role_course_map[[#This Row],[course_id]])=0, "INVALID","VALID")</f>
        <v>VALID</v>
      </c>
    </row>
    <row r="773" spans="1:14" x14ac:dyDescent="0.35">
      <c r="A773" t="s">
        <v>292</v>
      </c>
      <c r="B773" s="5" t="str">
        <f>_xlfn.XLOOKUP(role_course_map[[#This Row],[role_id]], role_data[role_id], role_data[Role],"")</f>
        <v>Neonatal Consultant</v>
      </c>
      <c r="C773">
        <v>999007</v>
      </c>
      <c r="D773" s="5" t="str">
        <f>_xlfn.XLOOKUP(role_course_map[[#This Row],[course_id]],course_data[course_id],course_data[title],"")</f>
        <v>Obstetrics</v>
      </c>
      <c r="E773" s="5" t="str">
        <f>_xlfn.XLOOKUP(role_course_map[[#This Row],[course_id]],course_data[course_id],course_data[topic],"")</f>
        <v>SAS : Clinical Practice</v>
      </c>
      <c r="F773" s="5" t="str">
        <f>_xlfn.XLOOKUP(role_course_map[[#This Row],[course_id]],course_data[course_id],course_data[type],"")</f>
        <v>Course</v>
      </c>
      <c r="K773" t="str">
        <f>role_course_map[[#This Row],[role_id]] &amp; "|" &amp; role_course_map[[#This Row],[course_id]]</f>
        <v>R0140|999007</v>
      </c>
      <c r="L773" t="str">
        <f>IF(COUNTIF(role_course_map[mapping_key],role_course_map[[#This Row],[mapping_key]])&gt;1,"DUPLICATE","OK")</f>
        <v>OK</v>
      </c>
      <c r="M773" t="str">
        <f>IF(COUNTIF(role_data[role_id],role_course_map[[#This Row],[role_id]])=0, "INVALID","VALID")</f>
        <v>VALID</v>
      </c>
      <c r="N773" t="str">
        <f>IF(COUNTIF(course_data[course_id],role_course_map[[#This Row],[course_id]])=0, "INVALID","VALID")</f>
        <v>VALID</v>
      </c>
    </row>
    <row r="774" spans="1:14" x14ac:dyDescent="0.35">
      <c r="A774" t="s">
        <v>292</v>
      </c>
      <c r="B774" s="5" t="str">
        <f>_xlfn.XLOOKUP(role_course_map[[#This Row],[role_id]], role_data[role_id], role_data[Role],"")</f>
        <v>Neonatal Consultant</v>
      </c>
      <c r="C774">
        <v>999008</v>
      </c>
      <c r="D774" s="5" t="str">
        <f>_xlfn.XLOOKUP(role_course_map[[#This Row],[course_id]],course_data[course_id],course_data[title],"")</f>
        <v>Obstetrics</v>
      </c>
      <c r="E774" s="5" t="str">
        <f>_xlfn.XLOOKUP(role_course_map[[#This Row],[course_id]],course_data[course_id],course_data[topic],"")</f>
        <v>SAS : Clinical Practice</v>
      </c>
      <c r="F774" s="5" t="str">
        <f>_xlfn.XLOOKUP(role_course_map[[#This Row],[course_id]],course_data[course_id],course_data[type],"")</f>
        <v>eLearning</v>
      </c>
      <c r="K774" t="str">
        <f>role_course_map[[#This Row],[role_id]] &amp; "|" &amp; role_course_map[[#This Row],[course_id]]</f>
        <v>R0140|999008</v>
      </c>
      <c r="L774" t="str">
        <f>IF(COUNTIF(role_course_map[mapping_key],role_course_map[[#This Row],[mapping_key]])&gt;1,"DUPLICATE","OK")</f>
        <v>OK</v>
      </c>
      <c r="M774" t="str">
        <f>IF(COUNTIF(role_data[role_id],role_course_map[[#This Row],[role_id]])=0, "INVALID","VALID")</f>
        <v>VALID</v>
      </c>
      <c r="N774" t="str">
        <f>IF(COUNTIF(course_data[course_id],role_course_map[[#This Row],[course_id]])=0, "INVALID","VALID")</f>
        <v>VALID</v>
      </c>
    </row>
    <row r="775" spans="1:14" x14ac:dyDescent="0.35">
      <c r="A775" t="s">
        <v>292</v>
      </c>
      <c r="B775" s="5" t="str">
        <f>_xlfn.XLOOKUP(role_course_map[[#This Row],[role_id]], role_data[role_id], role_data[Role],"")</f>
        <v>Neonatal Consultant</v>
      </c>
      <c r="C775">
        <v>999010</v>
      </c>
      <c r="D775" s="5" t="str">
        <f>_xlfn.XLOOKUP(role_course_map[[#This Row],[course_id]],course_data[course_id],course_data[title],"")</f>
        <v>Paediatrics</v>
      </c>
      <c r="E775" s="5" t="str">
        <f>_xlfn.XLOOKUP(role_course_map[[#This Row],[course_id]],course_data[course_id],course_data[topic],"")</f>
        <v>SAS : Clinical Practice</v>
      </c>
      <c r="F775" s="5" t="str">
        <f>_xlfn.XLOOKUP(role_course_map[[#This Row],[course_id]],course_data[course_id],course_data[type],"")</f>
        <v>Course</v>
      </c>
      <c r="K775" t="str">
        <f>role_course_map[[#This Row],[role_id]] &amp; "|" &amp; role_course_map[[#This Row],[course_id]]</f>
        <v>R0140|999010</v>
      </c>
      <c r="L775" t="str">
        <f>IF(COUNTIF(role_course_map[mapping_key],role_course_map[[#This Row],[mapping_key]])&gt;1,"DUPLICATE","OK")</f>
        <v>OK</v>
      </c>
      <c r="M775" t="str">
        <f>IF(COUNTIF(role_data[role_id],role_course_map[[#This Row],[role_id]])=0, "INVALID","VALID")</f>
        <v>VALID</v>
      </c>
      <c r="N775" t="str">
        <f>IF(COUNTIF(course_data[course_id],role_course_map[[#This Row],[course_id]])=0, "INVALID","VALID")</f>
        <v>VALID</v>
      </c>
    </row>
    <row r="776" spans="1:14" x14ac:dyDescent="0.35">
      <c r="A776" t="s">
        <v>292</v>
      </c>
      <c r="B776" s="5" t="str">
        <f>_xlfn.XLOOKUP(role_course_map[[#This Row],[role_id]], role_data[role_id], role_data[Role],"")</f>
        <v>Neonatal Consultant</v>
      </c>
      <c r="C776">
        <v>999011</v>
      </c>
      <c r="D776" s="5" t="str">
        <f>_xlfn.XLOOKUP(role_course_map[[#This Row],[course_id]],course_data[course_id],course_data[title],"")</f>
        <v>Paediatrics</v>
      </c>
      <c r="E776" s="5" t="str">
        <f>_xlfn.XLOOKUP(role_course_map[[#This Row],[course_id]],course_data[course_id],course_data[topic],"")</f>
        <v>SAS : Clinical Practice</v>
      </c>
      <c r="F776" s="5" t="str">
        <f>_xlfn.XLOOKUP(role_course_map[[#This Row],[course_id]],course_data[course_id],course_data[type],"")</f>
        <v>eLearning</v>
      </c>
      <c r="K776" t="str">
        <f>role_course_map[[#This Row],[role_id]] &amp; "|" &amp; role_course_map[[#This Row],[course_id]]</f>
        <v>R0140|999011</v>
      </c>
      <c r="L776" t="str">
        <f>IF(COUNTIF(role_course_map[mapping_key],role_course_map[[#This Row],[mapping_key]])&gt;1,"DUPLICATE","OK")</f>
        <v>OK</v>
      </c>
      <c r="M776" t="str">
        <f>IF(COUNTIF(role_data[role_id],role_course_map[[#This Row],[role_id]])=0, "INVALID","VALID")</f>
        <v>VALID</v>
      </c>
      <c r="N776" t="str">
        <f>IF(COUNTIF(course_data[course_id],role_course_map[[#This Row],[course_id]])=0, "INVALID","VALID")</f>
        <v>VALID</v>
      </c>
    </row>
    <row r="777" spans="1:14" x14ac:dyDescent="0.35">
      <c r="A777" t="s">
        <v>292</v>
      </c>
      <c r="B777" s="5" t="str">
        <f>_xlfn.XLOOKUP(role_course_map[[#This Row],[role_id]], role_data[role_id], role_data[Role],"")</f>
        <v>Neonatal Consultant</v>
      </c>
      <c r="C777">
        <v>999012</v>
      </c>
      <c r="D777" s="5" t="str">
        <f>_xlfn.XLOOKUP(role_course_map[[#This Row],[course_id]],course_data[course_id],course_data[title],"")</f>
        <v>Trauma</v>
      </c>
      <c r="E777" s="5" t="str">
        <f>_xlfn.XLOOKUP(role_course_map[[#This Row],[course_id]],course_data[course_id],course_data[topic],"")</f>
        <v>SAS : Clinical Practice</v>
      </c>
      <c r="F777" s="5" t="str">
        <f>_xlfn.XLOOKUP(role_course_map[[#This Row],[course_id]],course_data[course_id],course_data[type],"")</f>
        <v>Course</v>
      </c>
      <c r="K777" t="str">
        <f>role_course_map[[#This Row],[role_id]] &amp; "|" &amp; role_course_map[[#This Row],[course_id]]</f>
        <v>R0140|999012</v>
      </c>
      <c r="L777" t="str">
        <f>IF(COUNTIF(role_course_map[mapping_key],role_course_map[[#This Row],[mapping_key]])&gt;1,"DUPLICATE","OK")</f>
        <v>OK</v>
      </c>
      <c r="M777" t="str">
        <f>IF(COUNTIF(role_data[role_id],role_course_map[[#This Row],[role_id]])=0, "INVALID","VALID")</f>
        <v>VALID</v>
      </c>
      <c r="N777" t="str">
        <f>IF(COUNTIF(course_data[course_id],role_course_map[[#This Row],[course_id]])=0, "INVALID","VALID")</f>
        <v>VALID</v>
      </c>
    </row>
    <row r="778" spans="1:14" x14ac:dyDescent="0.35">
      <c r="A778" t="s">
        <v>292</v>
      </c>
      <c r="B778" s="5" t="str">
        <f>_xlfn.XLOOKUP(role_course_map[[#This Row],[role_id]], role_data[role_id], role_data[Role],"")</f>
        <v>Neonatal Consultant</v>
      </c>
      <c r="C778">
        <v>999013</v>
      </c>
      <c r="D778" s="5" t="str">
        <f>_xlfn.XLOOKUP(role_course_map[[#This Row],[course_id]],course_data[course_id],course_data[title],"")</f>
        <v>Trauma</v>
      </c>
      <c r="E778" s="5" t="str">
        <f>_xlfn.XLOOKUP(role_course_map[[#This Row],[course_id]],course_data[course_id],course_data[topic],"")</f>
        <v>SAS : Clinical Practice</v>
      </c>
      <c r="F778" s="5" t="str">
        <f>_xlfn.XLOOKUP(role_course_map[[#This Row],[course_id]],course_data[course_id],course_data[type],"")</f>
        <v>eLearning</v>
      </c>
      <c r="K778" t="str">
        <f>role_course_map[[#This Row],[role_id]] &amp; "|" &amp; role_course_map[[#This Row],[course_id]]</f>
        <v>R0140|999013</v>
      </c>
      <c r="L778" t="str">
        <f>IF(COUNTIF(role_course_map[mapping_key],role_course_map[[#This Row],[mapping_key]])&gt;1,"DUPLICATE","OK")</f>
        <v>OK</v>
      </c>
      <c r="M778" t="str">
        <f>IF(COUNTIF(role_data[role_id],role_course_map[[#This Row],[role_id]])=0, "INVALID","VALID")</f>
        <v>VALID</v>
      </c>
      <c r="N778" t="str">
        <f>IF(COUNTIF(course_data[course_id],role_course_map[[#This Row],[course_id]])=0, "INVALID","VALID")</f>
        <v>VALID</v>
      </c>
    </row>
    <row r="779" spans="1:14" x14ac:dyDescent="0.35">
      <c r="A779" t="s">
        <v>292</v>
      </c>
      <c r="B779" s="5" t="str">
        <f>_xlfn.XLOOKUP(role_course_map[[#This Row],[role_id]], role_data[role_id], role_data[Role],"")</f>
        <v>Neonatal Consultant</v>
      </c>
      <c r="C779">
        <v>999014</v>
      </c>
      <c r="D779" s="5" t="str">
        <f>_xlfn.XLOOKUP(role_course_map[[#This Row],[course_id]],course_data[course_id],course_data[title],"")</f>
        <v>Patient Assessment</v>
      </c>
      <c r="E779" s="5" t="str">
        <f>_xlfn.XLOOKUP(role_course_map[[#This Row],[course_id]],course_data[course_id],course_data[topic],"")</f>
        <v>SAS : Clinical Practice</v>
      </c>
      <c r="F779" s="5" t="str">
        <f>_xlfn.XLOOKUP(role_course_map[[#This Row],[course_id]],course_data[course_id],course_data[type],"")</f>
        <v>Course</v>
      </c>
      <c r="K779" t="str">
        <f>role_course_map[[#This Row],[role_id]] &amp; "|" &amp; role_course_map[[#This Row],[course_id]]</f>
        <v>R0140|999014</v>
      </c>
      <c r="L779" t="str">
        <f>IF(COUNTIF(role_course_map[mapping_key],role_course_map[[#This Row],[mapping_key]])&gt;1,"DUPLICATE","OK")</f>
        <v>OK</v>
      </c>
      <c r="M779" t="str">
        <f>IF(COUNTIF(role_data[role_id],role_course_map[[#This Row],[role_id]])=0, "INVALID","VALID")</f>
        <v>VALID</v>
      </c>
      <c r="N779" t="str">
        <f>IF(COUNTIF(course_data[course_id],role_course_map[[#This Row],[course_id]])=0, "INVALID","VALID")</f>
        <v>VALID</v>
      </c>
    </row>
    <row r="780" spans="1:14" x14ac:dyDescent="0.35">
      <c r="A780" t="s">
        <v>292</v>
      </c>
      <c r="B780" s="5" t="str">
        <f>_xlfn.XLOOKUP(role_course_map[[#This Row],[role_id]], role_data[role_id], role_data[Role],"")</f>
        <v>Neonatal Consultant</v>
      </c>
      <c r="C780">
        <v>999015</v>
      </c>
      <c r="D780" s="5" t="str">
        <f>_xlfn.XLOOKUP(role_course_map[[#This Row],[course_id]],course_data[course_id],course_data[title],"")</f>
        <v>Patient Assessment</v>
      </c>
      <c r="E780" s="5" t="str">
        <f>_xlfn.XLOOKUP(role_course_map[[#This Row],[course_id]],course_data[course_id],course_data[topic],"")</f>
        <v>SAS : Clinical Practice</v>
      </c>
      <c r="F780" s="5" t="str">
        <f>_xlfn.XLOOKUP(role_course_map[[#This Row],[course_id]],course_data[course_id],course_data[type],"")</f>
        <v>eLearning</v>
      </c>
      <c r="K780" t="str">
        <f>role_course_map[[#This Row],[role_id]] &amp; "|" &amp; role_course_map[[#This Row],[course_id]]</f>
        <v>R0140|999015</v>
      </c>
      <c r="L780" t="str">
        <f>IF(COUNTIF(role_course_map[mapping_key],role_course_map[[#This Row],[mapping_key]])&gt;1,"DUPLICATE","OK")</f>
        <v>OK</v>
      </c>
      <c r="M780" t="str">
        <f>IF(COUNTIF(role_data[role_id],role_course_map[[#This Row],[role_id]])=0, "INVALID","VALID")</f>
        <v>VALID</v>
      </c>
      <c r="N780" t="str">
        <f>IF(COUNTIF(course_data[course_id],role_course_map[[#This Row],[course_id]])=0, "INVALID","VALID")</f>
        <v>VALID</v>
      </c>
    </row>
    <row r="781" spans="1:14" x14ac:dyDescent="0.35">
      <c r="A781" t="s">
        <v>292</v>
      </c>
      <c r="B781" s="5" t="str">
        <f>_xlfn.XLOOKUP(role_course_map[[#This Row],[role_id]], role_data[role_id], role_data[Role],"")</f>
        <v>Neonatal Consultant</v>
      </c>
      <c r="C781">
        <v>999018</v>
      </c>
      <c r="D781" s="5" t="str">
        <f>_xlfn.XLOOKUP(role_course_map[[#This Row],[course_id]],course_data[course_id],course_data[title],"")</f>
        <v>Learning from Events</v>
      </c>
      <c r="E781" s="5" t="str">
        <f>_xlfn.XLOOKUP(role_course_map[[#This Row],[course_id]],course_data[course_id],course_data[topic],"")</f>
        <v>SAS : Clinical Practice</v>
      </c>
      <c r="F781" s="5" t="str">
        <f>_xlfn.XLOOKUP(role_course_map[[#This Row],[course_id]],course_data[course_id],course_data[type],"")</f>
        <v>eLearning</v>
      </c>
      <c r="K781" t="str">
        <f>role_course_map[[#This Row],[role_id]] &amp; "|" &amp; role_course_map[[#This Row],[course_id]]</f>
        <v>R0140|999018</v>
      </c>
      <c r="L781" t="str">
        <f>IF(COUNTIF(role_course_map[mapping_key],role_course_map[[#This Row],[mapping_key]])&gt;1,"DUPLICATE","OK")</f>
        <v>OK</v>
      </c>
      <c r="M781" t="str">
        <f>IF(COUNTIF(role_data[role_id],role_course_map[[#This Row],[role_id]])=0, "INVALID","VALID")</f>
        <v>VALID</v>
      </c>
      <c r="N781" t="str">
        <f>IF(COUNTIF(course_data[course_id],role_course_map[[#This Row],[course_id]])=0, "INVALID","VALID")</f>
        <v>VALID</v>
      </c>
    </row>
    <row r="782" spans="1:14" x14ac:dyDescent="0.35">
      <c r="A782" t="s">
        <v>292</v>
      </c>
      <c r="B782" s="5" t="str">
        <f>_xlfn.XLOOKUP(role_course_map[[#This Row],[role_id]], role_data[role_id], role_data[Role],"")</f>
        <v>Neonatal Consultant</v>
      </c>
      <c r="C782">
        <v>999019</v>
      </c>
      <c r="D782" s="5" t="str">
        <f>_xlfn.XLOOKUP(role_course_map[[#This Row],[course_id]],course_data[course_id],course_data[title],"")</f>
        <v>Medicines Management</v>
      </c>
      <c r="E782" s="5" t="str">
        <f>_xlfn.XLOOKUP(role_course_map[[#This Row],[course_id]],course_data[course_id],course_data[topic],"")</f>
        <v>SAS : Clinical Practice</v>
      </c>
      <c r="F782" s="5" t="str">
        <f>_xlfn.XLOOKUP(role_course_map[[#This Row],[course_id]],course_data[course_id],course_data[type],"")</f>
        <v>eLearning</v>
      </c>
      <c r="K782" t="str">
        <f>role_course_map[[#This Row],[role_id]] &amp; "|" &amp; role_course_map[[#This Row],[course_id]]</f>
        <v>R0140|999019</v>
      </c>
      <c r="L782" t="str">
        <f>IF(COUNTIF(role_course_map[mapping_key],role_course_map[[#This Row],[mapping_key]])&gt;1,"DUPLICATE","OK")</f>
        <v>OK</v>
      </c>
      <c r="M782" t="str">
        <f>IF(COUNTIF(role_data[role_id],role_course_map[[#This Row],[role_id]])=0, "INVALID","VALID")</f>
        <v>VALID</v>
      </c>
      <c r="N782" t="str">
        <f>IF(COUNTIF(course_data[course_id],role_course_map[[#This Row],[course_id]])=0, "INVALID","VALID")</f>
        <v>VALID</v>
      </c>
    </row>
    <row r="783" spans="1:14" x14ac:dyDescent="0.35">
      <c r="A783" t="s">
        <v>292</v>
      </c>
      <c r="B783" s="5" t="str">
        <f>_xlfn.XLOOKUP(role_course_map[[#This Row],[role_id]], role_data[role_id], role_data[Role],"")</f>
        <v>Neonatal Consultant</v>
      </c>
      <c r="C783">
        <v>999020</v>
      </c>
      <c r="D783" s="5" t="str">
        <f>_xlfn.XLOOKUP(role_course_map[[#This Row],[course_id]],course_data[course_id],course_data[title],"")</f>
        <v>JRCALC Update</v>
      </c>
      <c r="E783" s="5" t="str">
        <f>_xlfn.XLOOKUP(role_course_map[[#This Row],[course_id]],course_data[course_id],course_data[topic],"")</f>
        <v>SAS : Clinical Practice</v>
      </c>
      <c r="F783" s="5" t="str">
        <f>_xlfn.XLOOKUP(role_course_map[[#This Row],[course_id]],course_data[course_id],course_data[type],"")</f>
        <v>eLearning</v>
      </c>
      <c r="K783" t="str">
        <f>role_course_map[[#This Row],[role_id]] &amp; "|" &amp; role_course_map[[#This Row],[course_id]]</f>
        <v>R0140|999020</v>
      </c>
      <c r="L783" t="str">
        <f>IF(COUNTIF(role_course_map[mapping_key],role_course_map[[#This Row],[mapping_key]])&gt;1,"DUPLICATE","OK")</f>
        <v>OK</v>
      </c>
      <c r="M783" t="str">
        <f>IF(COUNTIF(role_data[role_id],role_course_map[[#This Row],[role_id]])=0, "INVALID","VALID")</f>
        <v>VALID</v>
      </c>
      <c r="N783" t="str">
        <f>IF(COUNTIF(course_data[course_id],role_course_map[[#This Row],[course_id]])=0, "INVALID","VALID")</f>
        <v>VALID</v>
      </c>
    </row>
    <row r="784" spans="1:14" x14ac:dyDescent="0.35">
      <c r="A784" t="s">
        <v>292</v>
      </c>
      <c r="B784" s="5" t="str">
        <f>_xlfn.XLOOKUP(role_course_map[[#This Row],[role_id]], role_data[role_id], role_data[Role],"")</f>
        <v>Neonatal Consultant</v>
      </c>
      <c r="C784">
        <v>999021</v>
      </c>
      <c r="D784" s="5" t="str">
        <f>_xlfn.XLOOKUP(role_course_map[[#This Row],[course_id]],course_data[course_id],course_data[title],"")</f>
        <v>Mental Health</v>
      </c>
      <c r="E784" s="5" t="str">
        <f>_xlfn.XLOOKUP(role_course_map[[#This Row],[course_id]],course_data[course_id],course_data[topic],"")</f>
        <v>SAS : Clinical Practice</v>
      </c>
      <c r="F784" s="5" t="str">
        <f>_xlfn.XLOOKUP(role_course_map[[#This Row],[course_id]],course_data[course_id],course_data[type],"")</f>
        <v>eLearning</v>
      </c>
      <c r="K784" t="str">
        <f>role_course_map[[#This Row],[role_id]] &amp; "|" &amp; role_course_map[[#This Row],[course_id]]</f>
        <v>R0140|999021</v>
      </c>
      <c r="L784" t="str">
        <f>IF(COUNTIF(role_course_map[mapping_key],role_course_map[[#This Row],[mapping_key]])&gt;1,"DUPLICATE","OK")</f>
        <v>OK</v>
      </c>
      <c r="M784" t="str">
        <f>IF(COUNTIF(role_data[role_id],role_course_map[[#This Row],[role_id]])=0, "INVALID","VALID")</f>
        <v>VALID</v>
      </c>
      <c r="N784" t="str">
        <f>IF(COUNTIF(course_data[course_id],role_course_map[[#This Row],[course_id]])=0, "INVALID","VALID")</f>
        <v>VALID</v>
      </c>
    </row>
    <row r="785" spans="1:14" x14ac:dyDescent="0.35">
      <c r="A785" t="s">
        <v>292</v>
      </c>
      <c r="B785" s="5" t="str">
        <f>_xlfn.XLOOKUP(role_course_map[[#This Row],[role_id]], role_data[role_id], role_data[Role],"")</f>
        <v>Neonatal Consultant</v>
      </c>
      <c r="C785">
        <v>999022</v>
      </c>
      <c r="D785" s="5" t="str">
        <f>_xlfn.XLOOKUP(role_course_map[[#This Row],[course_id]],course_data[course_id],course_data[title],"")</f>
        <v>Learning Disabilities</v>
      </c>
      <c r="E785" s="5" t="str">
        <f>_xlfn.XLOOKUP(role_course_map[[#This Row],[course_id]],course_data[course_id],course_data[topic],"")</f>
        <v>SAS : Clinical Practice</v>
      </c>
      <c r="F785" s="5" t="str">
        <f>_xlfn.XLOOKUP(role_course_map[[#This Row],[course_id]],course_data[course_id],course_data[type],"")</f>
        <v>eLearning</v>
      </c>
      <c r="K785" t="str">
        <f>role_course_map[[#This Row],[role_id]] &amp; "|" &amp; role_course_map[[#This Row],[course_id]]</f>
        <v>R0140|999022</v>
      </c>
      <c r="L785" t="str">
        <f>IF(COUNTIF(role_course_map[mapping_key],role_course_map[[#This Row],[mapping_key]])&gt;1,"DUPLICATE","OK")</f>
        <v>OK</v>
      </c>
      <c r="M785" t="str">
        <f>IF(COUNTIF(role_data[role_id],role_course_map[[#This Row],[role_id]])=0, "INVALID","VALID")</f>
        <v>VALID</v>
      </c>
      <c r="N785" t="str">
        <f>IF(COUNTIF(course_data[course_id],role_course_map[[#This Row],[course_id]])=0, "INVALID","VALID")</f>
        <v>VALID</v>
      </c>
    </row>
    <row r="786" spans="1:14" x14ac:dyDescent="0.35">
      <c r="A786" t="s">
        <v>292</v>
      </c>
      <c r="B786" s="5" t="str">
        <f>_xlfn.XLOOKUP(role_course_map[[#This Row],[role_id]], role_data[role_id], role_data[Role],"")</f>
        <v>Neonatal Consultant</v>
      </c>
      <c r="C786">
        <v>75202</v>
      </c>
      <c r="D786" s="5" t="str">
        <f>_xlfn.XLOOKUP(role_course_map[[#This Row],[course_id]],course_data[course_id],course_data[title],"")</f>
        <v>SAS : Clinical Practice</v>
      </c>
      <c r="E786" s="5" t="str">
        <f>_xlfn.XLOOKUP(role_course_map[[#This Row],[course_id]],course_data[course_id],course_data[topic],"")</f>
        <v>SAS : Clinical Practice</v>
      </c>
      <c r="F786" s="5" t="str">
        <f>_xlfn.XLOOKUP(role_course_map[[#This Row],[course_id]],course_data[course_id],course_data[type],"")</f>
        <v>Page</v>
      </c>
      <c r="K786" t="str">
        <f>role_course_map[[#This Row],[role_id]] &amp; "|" &amp; role_course_map[[#This Row],[course_id]]</f>
        <v>R0140|75202</v>
      </c>
      <c r="L786" t="str">
        <f>IF(COUNTIF(role_course_map[mapping_key],role_course_map[[#This Row],[mapping_key]])&gt;1,"DUPLICATE","OK")</f>
        <v>OK</v>
      </c>
      <c r="M786" t="str">
        <f>IF(COUNTIF(role_data[role_id],role_course_map[[#This Row],[role_id]])=0, "INVALID","VALID")</f>
        <v>VALID</v>
      </c>
      <c r="N786" t="str">
        <f>IF(COUNTIF(course_data[course_id],role_course_map[[#This Row],[course_id]])=0, "INVALID","VALID")</f>
        <v>VALID</v>
      </c>
    </row>
    <row r="787" spans="1:14" x14ac:dyDescent="0.35">
      <c r="A787" t="s">
        <v>292</v>
      </c>
      <c r="B787" s="5" t="str">
        <f>_xlfn.XLOOKUP(role_course_map[[#This Row],[role_id]], role_data[role_id], role_data[Role],"")</f>
        <v>Neonatal Consultant</v>
      </c>
      <c r="C787">
        <v>999023</v>
      </c>
      <c r="D787" s="5" t="str">
        <f>_xlfn.XLOOKUP(role_course_map[[#This Row],[course_id]],course_data[course_id],course_data[title],"")</f>
        <v>Dementia</v>
      </c>
      <c r="E787" s="5" t="str">
        <f>_xlfn.XLOOKUP(role_course_map[[#This Row],[course_id]],course_data[course_id],course_data[topic],"")</f>
        <v>SAS : Clinical Practice</v>
      </c>
      <c r="F787" s="5" t="str">
        <f>_xlfn.XLOOKUP(role_course_map[[#This Row],[course_id]],course_data[course_id],course_data[type],"")</f>
        <v>eLearning</v>
      </c>
      <c r="K787" t="str">
        <f>role_course_map[[#This Row],[role_id]] &amp; "|" &amp; role_course_map[[#This Row],[course_id]]</f>
        <v>R0140|999023</v>
      </c>
      <c r="L787" t="str">
        <f>IF(COUNTIF(role_course_map[mapping_key],role_course_map[[#This Row],[mapping_key]])&gt;1,"DUPLICATE","OK")</f>
        <v>OK</v>
      </c>
      <c r="M787" t="str">
        <f>IF(COUNTIF(role_data[role_id],role_course_map[[#This Row],[role_id]])=0, "INVALID","VALID")</f>
        <v>VALID</v>
      </c>
      <c r="N787" t="str">
        <f>IF(COUNTIF(course_data[course_id],role_course_map[[#This Row],[course_id]])=0, "INVALID","VALID")</f>
        <v>VALID</v>
      </c>
    </row>
    <row r="788" spans="1:14" x14ac:dyDescent="0.35">
      <c r="A788" t="s">
        <v>292</v>
      </c>
      <c r="B788" s="5" t="str">
        <f>_xlfn.XLOOKUP(role_course_map[[#This Row],[role_id]], role_data[role_id], role_data[Role],"")</f>
        <v>Neonatal Consultant</v>
      </c>
      <c r="C788">
        <v>999095</v>
      </c>
      <c r="D788" s="5" t="str">
        <f>_xlfn.XLOOKUP(role_course_map[[#This Row],[course_id]],course_data[course_id],course_data[title],"")</f>
        <v>Mentoring</v>
      </c>
      <c r="E788" s="5" t="str">
        <f>_xlfn.XLOOKUP(role_course_map[[#This Row],[course_id]],course_data[course_id],course_data[topic],"")</f>
        <v>SAS: Staff development and experience</v>
      </c>
      <c r="F788" s="5" t="str">
        <f>_xlfn.XLOOKUP(role_course_map[[#This Row],[course_id]],course_data[course_id],course_data[type],"")</f>
        <v>eLearning</v>
      </c>
      <c r="K788" t="str">
        <f>role_course_map[[#This Row],[role_id]] &amp; "|" &amp; role_course_map[[#This Row],[course_id]]</f>
        <v>R0140|999095</v>
      </c>
      <c r="L788" t="str">
        <f>IF(COUNTIF(role_course_map[mapping_key],role_course_map[[#This Row],[mapping_key]])&gt;1,"DUPLICATE","OK")</f>
        <v>OK</v>
      </c>
      <c r="M788" t="str">
        <f>IF(COUNTIF(role_data[role_id],role_course_map[[#This Row],[role_id]])=0, "INVALID","VALID")</f>
        <v>VALID</v>
      </c>
      <c r="N788" t="str">
        <f>IF(COUNTIF(course_data[course_id],role_course_map[[#This Row],[course_id]])=0, "INVALID","VALID")</f>
        <v>VALID</v>
      </c>
    </row>
    <row r="789" spans="1:14" x14ac:dyDescent="0.35">
      <c r="A789" t="s">
        <v>292</v>
      </c>
      <c r="B789" s="5" t="str">
        <f>_xlfn.XLOOKUP(role_course_map[[#This Row],[role_id]], role_data[role_id], role_data[Role],"")</f>
        <v>Neonatal Consultant</v>
      </c>
      <c r="C789">
        <v>999096</v>
      </c>
      <c r="D789" s="5" t="str">
        <f>_xlfn.XLOOKUP(role_course_map[[#This Row],[course_id]],course_data[course_id],course_data[title],"")</f>
        <v>Supporting others in practice (Supervision)</v>
      </c>
      <c r="E789" s="5" t="str">
        <f>_xlfn.XLOOKUP(role_course_map[[#This Row],[course_id]],course_data[course_id],course_data[topic],"")</f>
        <v>SAS: Staff development and experience</v>
      </c>
      <c r="F789" s="5" t="str">
        <f>_xlfn.XLOOKUP(role_course_map[[#This Row],[course_id]],course_data[course_id],course_data[type],"")</f>
        <v>Course</v>
      </c>
      <c r="K789" t="str">
        <f>role_course_map[[#This Row],[role_id]] &amp; "|" &amp; role_course_map[[#This Row],[course_id]]</f>
        <v>R0140|999096</v>
      </c>
      <c r="L789" t="str">
        <f>IF(COUNTIF(role_course_map[mapping_key],role_course_map[[#This Row],[mapping_key]])&gt;1,"DUPLICATE","OK")</f>
        <v>OK</v>
      </c>
      <c r="M789" t="str">
        <f>IF(COUNTIF(role_data[role_id],role_course_map[[#This Row],[role_id]])=0, "INVALID","VALID")</f>
        <v>VALID</v>
      </c>
      <c r="N789" t="str">
        <f>IF(COUNTIF(course_data[course_id],role_course_map[[#This Row],[course_id]])=0, "INVALID","VALID")</f>
        <v>VALID</v>
      </c>
    </row>
    <row r="790" spans="1:14" x14ac:dyDescent="0.35">
      <c r="A790" t="s">
        <v>292</v>
      </c>
      <c r="B790" s="5" t="str">
        <f>_xlfn.XLOOKUP(role_course_map[[#This Row],[role_id]], role_data[role_id], role_data[Role],"")</f>
        <v>Neonatal Consultant</v>
      </c>
      <c r="C790">
        <v>999097</v>
      </c>
      <c r="D790" s="5" t="str">
        <f>_xlfn.XLOOKUP(role_course_map[[#This Row],[course_id]],course_data[course_id],course_data[title],"")</f>
        <v>Personal Wellbeing</v>
      </c>
      <c r="E790" s="5" t="str">
        <f>_xlfn.XLOOKUP(role_course_map[[#This Row],[course_id]],course_data[course_id],course_data[topic],"")</f>
        <v>SAS: Staff development and experience</v>
      </c>
      <c r="F790" s="5" t="str">
        <f>_xlfn.XLOOKUP(role_course_map[[#This Row],[course_id]],course_data[course_id],course_data[type],"")</f>
        <v>eLearning</v>
      </c>
      <c r="K790" t="str">
        <f>role_course_map[[#This Row],[role_id]] &amp; "|" &amp; role_course_map[[#This Row],[course_id]]</f>
        <v>R0140|999097</v>
      </c>
      <c r="L790" t="str">
        <f>IF(COUNTIF(role_course_map[mapping_key],role_course_map[[#This Row],[mapping_key]])&gt;1,"DUPLICATE","OK")</f>
        <v>OK</v>
      </c>
      <c r="M790" t="str">
        <f>IF(COUNTIF(role_data[role_id],role_course_map[[#This Row],[role_id]])=0, "INVALID","VALID")</f>
        <v>VALID</v>
      </c>
      <c r="N790" t="str">
        <f>IF(COUNTIF(course_data[course_id],role_course_map[[#This Row],[course_id]])=0, "INVALID","VALID")</f>
        <v>VALID</v>
      </c>
    </row>
    <row r="791" spans="1:14" x14ac:dyDescent="0.35">
      <c r="A791" t="s">
        <v>292</v>
      </c>
      <c r="B791" s="5" t="str">
        <f>_xlfn.XLOOKUP(role_course_map[[#This Row],[role_id]], role_data[role_id], role_data[Role],"")</f>
        <v>Neonatal Consultant</v>
      </c>
      <c r="C791">
        <v>79147</v>
      </c>
      <c r="D791" s="5" t="str">
        <f>_xlfn.XLOOKUP(role_course_map[[#This Row],[course_id]],course_data[course_id],course_data[title],"")</f>
        <v>Driving risks at work</v>
      </c>
      <c r="E791" s="5" t="str">
        <f>_xlfn.XLOOKUP(role_course_map[[#This Row],[course_id]],course_data[course_id],course_data[topic],"")</f>
        <v>SAS : Health and Safety</v>
      </c>
      <c r="F791" s="5" t="str">
        <f>_xlfn.XLOOKUP(role_course_map[[#This Row],[course_id]],course_data[course_id],course_data[type],"")</f>
        <v>eLearning</v>
      </c>
      <c r="K791" t="str">
        <f>role_course_map[[#This Row],[role_id]] &amp; "|" &amp; role_course_map[[#This Row],[course_id]]</f>
        <v>R0140|79147</v>
      </c>
      <c r="L791" t="str">
        <f>IF(COUNTIF(role_course_map[mapping_key],role_course_map[[#This Row],[mapping_key]])&gt;1,"DUPLICATE","OK")</f>
        <v>OK</v>
      </c>
      <c r="M791" t="str">
        <f>IF(COUNTIF(role_data[role_id],role_course_map[[#This Row],[role_id]])=0, "INVALID","VALID")</f>
        <v>VALID</v>
      </c>
      <c r="N791" t="str">
        <f>IF(COUNTIF(course_data[course_id],role_course_map[[#This Row],[course_id]])=0, "INVALID","VALID")</f>
        <v>VALID</v>
      </c>
    </row>
    <row r="792" spans="1:14" x14ac:dyDescent="0.35">
      <c r="A792" t="s">
        <v>292</v>
      </c>
      <c r="B792" s="5" t="str">
        <f>_xlfn.XLOOKUP(role_course_map[[#This Row],[role_id]], role_data[role_id], role_data[Role],"")</f>
        <v>Neonatal Consultant</v>
      </c>
      <c r="C792">
        <v>999066</v>
      </c>
      <c r="D792" s="5" t="str">
        <f>_xlfn.XLOOKUP(role_course_map[[#This Row],[course_id]],course_data[course_id],course_data[title],"")</f>
        <v>NRRD Update i.e. Major Incidents/Methane/ Multiple Casualities</v>
      </c>
      <c r="E792" s="5" t="str">
        <f>_xlfn.XLOOKUP(role_course_map[[#This Row],[course_id]],course_data[course_id],course_data[topic],"")</f>
        <v>SAS : National Risk and Resilience Department (NRRD)</v>
      </c>
      <c r="F792" s="5" t="str">
        <f>_xlfn.XLOOKUP(role_course_map[[#This Row],[course_id]],course_data[course_id],course_data[type],"")</f>
        <v>eLearning</v>
      </c>
      <c r="K792" t="str">
        <f>role_course_map[[#This Row],[role_id]] &amp; "|" &amp; role_course_map[[#This Row],[course_id]]</f>
        <v>R0140|999066</v>
      </c>
      <c r="L792" t="str">
        <f>IF(COUNTIF(role_course_map[mapping_key],role_course_map[[#This Row],[mapping_key]])&gt;1,"DUPLICATE","OK")</f>
        <v>OK</v>
      </c>
      <c r="M792" t="str">
        <f>IF(COUNTIF(role_data[role_id],role_course_map[[#This Row],[role_id]])=0, "INVALID","VALID")</f>
        <v>VALID</v>
      </c>
      <c r="N792" t="str">
        <f>IF(COUNTIF(course_data[course_id],role_course_map[[#This Row],[course_id]])=0, "INVALID","VALID")</f>
        <v>VALID</v>
      </c>
    </row>
    <row r="793" spans="1:14" x14ac:dyDescent="0.35">
      <c r="A793" t="s">
        <v>292</v>
      </c>
      <c r="B793" s="5" t="str">
        <f>_xlfn.XLOOKUP(role_course_map[[#This Row],[role_id]], role_data[role_id], role_data[Role],"")</f>
        <v>Neonatal Consultant</v>
      </c>
      <c r="C793">
        <v>999025</v>
      </c>
      <c r="D793" s="5" t="str">
        <f>_xlfn.XLOOKUP(role_course_map[[#This Row],[course_id]],course_data[course_id],course_data[title],"")</f>
        <v>Professional Standards</v>
      </c>
      <c r="E793" s="5" t="str">
        <f>_xlfn.XLOOKUP(role_course_map[[#This Row],[course_id]],course_data[course_id],course_data[topic],"")</f>
        <v>SAS : Clinical Practice</v>
      </c>
      <c r="F793" s="5" t="str">
        <f>_xlfn.XLOOKUP(role_course_map[[#This Row],[course_id]],course_data[course_id],course_data[type],"")</f>
        <v>eLearning</v>
      </c>
      <c r="K793" t="str">
        <f>role_course_map[[#This Row],[role_id]] &amp; "|" &amp; role_course_map[[#This Row],[course_id]]</f>
        <v>R0140|999025</v>
      </c>
      <c r="L793" t="str">
        <f>IF(COUNTIF(role_course_map[mapping_key],role_course_map[[#This Row],[mapping_key]])&gt;1,"DUPLICATE","OK")</f>
        <v>OK</v>
      </c>
      <c r="M793" t="str">
        <f>IF(COUNTIF(role_data[role_id],role_course_map[[#This Row],[role_id]])=0, "INVALID","VALID")</f>
        <v>VALID</v>
      </c>
      <c r="N793" t="str">
        <f>IF(COUNTIF(course_data[course_id],role_course_map[[#This Row],[course_id]])=0, "INVALID","VALID")</f>
        <v>VALID</v>
      </c>
    </row>
    <row r="794" spans="1:14" x14ac:dyDescent="0.35">
      <c r="A794" t="s">
        <v>292</v>
      </c>
      <c r="B794" s="5" t="str">
        <f>_xlfn.XLOOKUP(role_course_map[[#This Row],[role_id]], role_data[role_id], role_data[Role],"")</f>
        <v>Neonatal Consultant</v>
      </c>
      <c r="C794">
        <v>999058</v>
      </c>
      <c r="D794" s="5" t="str">
        <f>_xlfn.XLOOKUP(role_course_map[[#This Row],[course_id]],course_data[course_id],course_data[title],"")</f>
        <v>Stress Identification &amp; Stress Management</v>
      </c>
      <c r="E794" s="5" t="str">
        <f>_xlfn.XLOOKUP(role_course_map[[#This Row],[course_id]],course_data[course_id],course_data[topic],"")</f>
        <v>SAS : Health and Safety</v>
      </c>
      <c r="F794" s="5" t="str">
        <f>_xlfn.XLOOKUP(role_course_map[[#This Row],[course_id]],course_data[course_id],course_data[type],"")</f>
        <v>eLearning</v>
      </c>
      <c r="K794" t="str">
        <f>role_course_map[[#This Row],[role_id]] &amp; "|" &amp; role_course_map[[#This Row],[course_id]]</f>
        <v>R0140|999058</v>
      </c>
      <c r="L794" t="str">
        <f>IF(COUNTIF(role_course_map[mapping_key],role_course_map[[#This Row],[mapping_key]])&gt;1,"DUPLICATE","OK")</f>
        <v>OK</v>
      </c>
      <c r="M794" t="str">
        <f>IF(COUNTIF(role_data[role_id],role_course_map[[#This Row],[role_id]])=0, "INVALID","VALID")</f>
        <v>VALID</v>
      </c>
      <c r="N794" t="str">
        <f>IF(COUNTIF(course_data[course_id],role_course_map[[#This Row],[course_id]])=0, "INVALID","VALID")</f>
        <v>VALID</v>
      </c>
    </row>
    <row r="795" spans="1:14" x14ac:dyDescent="0.35">
      <c r="A795" t="s">
        <v>292</v>
      </c>
      <c r="B795" s="5" t="str">
        <f>_xlfn.XLOOKUP(role_course_map[[#This Row],[role_id]], role_data[role_id], role_data[Role],"")</f>
        <v>Neonatal Consultant</v>
      </c>
      <c r="C795">
        <v>999061</v>
      </c>
      <c r="D795" s="5" t="str">
        <f>_xlfn.XLOOKUP(role_course_map[[#This Row],[course_id]],course_data[course_id],course_data[title],"")</f>
        <v>Skin Awareness</v>
      </c>
      <c r="E795" s="5" t="str">
        <f>_xlfn.XLOOKUP(role_course_map[[#This Row],[course_id]],course_data[course_id],course_data[topic],"")</f>
        <v>SAS : Health and Safety</v>
      </c>
      <c r="F795" s="5" t="str">
        <f>_xlfn.XLOOKUP(role_course_map[[#This Row],[course_id]],course_data[course_id],course_data[type],"")</f>
        <v>eLearning</v>
      </c>
      <c r="K795" t="str">
        <f>role_course_map[[#This Row],[role_id]] &amp; "|" &amp; role_course_map[[#This Row],[course_id]]</f>
        <v>R0140|999061</v>
      </c>
      <c r="L795" t="str">
        <f>IF(COUNTIF(role_course_map[mapping_key],role_course_map[[#This Row],[mapping_key]])&gt;1,"DUPLICATE","OK")</f>
        <v>OK</v>
      </c>
      <c r="M795" t="str">
        <f>IF(COUNTIF(role_data[role_id],role_course_map[[#This Row],[role_id]])=0, "INVALID","VALID")</f>
        <v>VALID</v>
      </c>
      <c r="N795" t="str">
        <f>IF(COUNTIF(course_data[course_id],role_course_map[[#This Row],[course_id]])=0, "INVALID","VALID")</f>
        <v>VALID</v>
      </c>
    </row>
    <row r="796" spans="1:14" x14ac:dyDescent="0.35">
      <c r="A796" t="s">
        <v>292</v>
      </c>
      <c r="B796" s="5" t="str">
        <f>_xlfn.XLOOKUP(role_course_map[[#This Row],[role_id]], role_data[role_id], role_data[Role],"")</f>
        <v>Neonatal Consultant</v>
      </c>
      <c r="C796">
        <v>999027</v>
      </c>
      <c r="D796" s="5" t="str">
        <f>_xlfn.XLOOKUP(role_course_map[[#This Row],[course_id]],course_data[course_id],course_data[title],"")</f>
        <v>Manual and Patient Handling Foundation Training - Level 2</v>
      </c>
      <c r="E796" s="5" t="str">
        <f>_xlfn.XLOOKUP(role_course_map[[#This Row],[course_id]],course_data[course_id],course_data[topic],"")</f>
        <v>SAS : Clinical Practice</v>
      </c>
      <c r="F796" s="5" t="str">
        <f>_xlfn.XLOOKUP(role_course_map[[#This Row],[course_id]],course_data[course_id],course_data[type],"")</f>
        <v>Course</v>
      </c>
      <c r="K796" t="str">
        <f>role_course_map[[#This Row],[role_id]] &amp; "|" &amp; role_course_map[[#This Row],[course_id]]</f>
        <v>R0140|999027</v>
      </c>
      <c r="L796" t="str">
        <f>IF(COUNTIF(role_course_map[mapping_key],role_course_map[[#This Row],[mapping_key]])&gt;1,"DUPLICATE","OK")</f>
        <v>OK</v>
      </c>
      <c r="M796" t="str">
        <f>IF(COUNTIF(role_data[role_id],role_course_map[[#This Row],[role_id]])=0, "INVALID","VALID")</f>
        <v>VALID</v>
      </c>
      <c r="N796" t="str">
        <f>IF(COUNTIF(course_data[course_id],role_course_map[[#This Row],[course_id]])=0, "INVALID","VALID")</f>
        <v>VALID</v>
      </c>
    </row>
    <row r="797" spans="1:14" x14ac:dyDescent="0.35">
      <c r="A797" t="s">
        <v>292</v>
      </c>
      <c r="B797" s="5" t="str">
        <f>_xlfn.XLOOKUP(role_course_map[[#This Row],[role_id]], role_data[role_id], role_data[Role],"")</f>
        <v>Neonatal Consultant</v>
      </c>
      <c r="C797">
        <v>999028</v>
      </c>
      <c r="D797" s="5" t="str">
        <f>_xlfn.XLOOKUP(role_course_map[[#This Row],[course_id]],course_data[course_id],course_data[title],"")</f>
        <v>Manual and Patient Handling Competency Assessment - Level 3</v>
      </c>
      <c r="E797" s="5" t="str">
        <f>_xlfn.XLOOKUP(role_course_map[[#This Row],[course_id]],course_data[course_id],course_data[topic],"")</f>
        <v>SAS : Clinical Practice</v>
      </c>
      <c r="F797" s="5" t="str">
        <f>_xlfn.XLOOKUP(role_course_map[[#This Row],[course_id]],course_data[course_id],course_data[type],"")</f>
        <v>Course</v>
      </c>
      <c r="K797" t="str">
        <f>role_course_map[[#This Row],[role_id]] &amp; "|" &amp; role_course_map[[#This Row],[course_id]]</f>
        <v>R0140|999028</v>
      </c>
      <c r="L797" t="str">
        <f>IF(COUNTIF(role_course_map[mapping_key],role_course_map[[#This Row],[mapping_key]])&gt;1,"DUPLICATE","OK")</f>
        <v>OK</v>
      </c>
      <c r="M797" t="str">
        <f>IF(COUNTIF(role_data[role_id],role_course_map[[#This Row],[role_id]])=0, "INVALID","VALID")</f>
        <v>VALID</v>
      </c>
      <c r="N797" t="str">
        <f>IF(COUNTIF(course_data[course_id],role_course_map[[#This Row],[course_id]])=0, "INVALID","VALID")</f>
        <v>VALID</v>
      </c>
    </row>
    <row r="798" spans="1:14" x14ac:dyDescent="0.35">
      <c r="A798" t="s">
        <v>292</v>
      </c>
      <c r="B798" s="5" t="str">
        <f>_xlfn.XLOOKUP(role_course_map[[#This Row],[role_id]], role_data[role_id], role_data[Role],"")</f>
        <v>Neonatal Consultant</v>
      </c>
      <c r="C798">
        <v>999029</v>
      </c>
      <c r="D798" s="5" t="str">
        <f>_xlfn.XLOOKUP(role_course_map[[#This Row],[course_id]],course_data[course_id],course_data[title],"")</f>
        <v>Manual and Patient Handling Competency Assessment Theory - Level 3</v>
      </c>
      <c r="E798" s="5" t="str">
        <f>_xlfn.XLOOKUP(role_course_map[[#This Row],[course_id]],course_data[course_id],course_data[topic],"")</f>
        <v>SAS : Clinical Practice</v>
      </c>
      <c r="F798" s="5" t="str">
        <f>_xlfn.XLOOKUP(role_course_map[[#This Row],[course_id]],course_data[course_id],course_data[type],"")</f>
        <v>Course</v>
      </c>
      <c r="K798" t="str">
        <f>role_course_map[[#This Row],[role_id]] &amp; "|" &amp; role_course_map[[#This Row],[course_id]]</f>
        <v>R0140|999029</v>
      </c>
      <c r="L798" t="str">
        <f>IF(COUNTIF(role_course_map[mapping_key],role_course_map[[#This Row],[mapping_key]])&gt;1,"DUPLICATE","OK")</f>
        <v>OK</v>
      </c>
      <c r="M798" t="str">
        <f>IF(COUNTIF(role_data[role_id],role_course_map[[#This Row],[role_id]])=0, "INVALID","VALID")</f>
        <v>VALID</v>
      </c>
      <c r="N798" t="str">
        <f>IF(COUNTIF(course_data[course_id],role_course_map[[#This Row],[course_id]])=0, "INVALID","VALID")</f>
        <v>VALID</v>
      </c>
    </row>
    <row r="799" spans="1:14" x14ac:dyDescent="0.35">
      <c r="A799" t="s">
        <v>292</v>
      </c>
      <c r="B799" s="5" t="str">
        <f>_xlfn.XLOOKUP(role_course_map[[#This Row],[role_id]], role_data[role_id], role_data[Role],"")</f>
        <v>Neonatal Consultant</v>
      </c>
      <c r="C799" t="s">
        <v>659</v>
      </c>
      <c r="D799" s="5" t="str">
        <f>_xlfn.XLOOKUP(role_course_map[[#This Row],[course_id]],course_data[course_id],course_data[title],"")</f>
        <v>Prevention and Management of Violence and Aggression - Breakaway training Level 2 /Restrictive movement Level 3</v>
      </c>
      <c r="E799" s="5" t="str">
        <f>_xlfn.XLOOKUP(role_course_map[[#This Row],[course_id]],course_data[course_id],course_data[topic],"")</f>
        <v>SAS : Health and Safety</v>
      </c>
      <c r="F799" s="5" t="str">
        <f>_xlfn.XLOOKUP(role_course_map[[#This Row],[course_id]],course_data[course_id],course_data[type],"")</f>
        <v>Course</v>
      </c>
      <c r="K799" t="str">
        <f>role_course_map[[#This Row],[role_id]] &amp; "|" &amp; role_course_map[[#This Row],[course_id]]</f>
        <v>R0140|2025-6 edition</v>
      </c>
      <c r="L799" t="str">
        <f>IF(COUNTIF(role_course_map[mapping_key],role_course_map[[#This Row],[mapping_key]])&gt;1,"DUPLICATE","OK")</f>
        <v>OK</v>
      </c>
      <c r="M799" t="str">
        <f>IF(COUNTIF(role_data[role_id],role_course_map[[#This Row],[role_id]])=0, "INVALID","VALID")</f>
        <v>VALID</v>
      </c>
      <c r="N799" t="str">
        <f>IF(COUNTIF(course_data[course_id],role_course_map[[#This Row],[course_id]])=0, "INVALID","VALID")</f>
        <v>VALID</v>
      </c>
    </row>
    <row r="800" spans="1:14" x14ac:dyDescent="0.35">
      <c r="A800" t="s">
        <v>292</v>
      </c>
      <c r="B800" s="5" t="str">
        <f>_xlfn.XLOOKUP(role_course_map[[#This Row],[role_id]], role_data[role_id], role_data[Role],"")</f>
        <v>Neonatal Consultant</v>
      </c>
      <c r="C800">
        <v>999055</v>
      </c>
      <c r="D800" s="5" t="str">
        <f>_xlfn.XLOOKUP(role_course_map[[#This Row],[course_id]],course_data[course_id],course_data[title],"")</f>
        <v>Prevention and Management of Violence and Aggression - Refresher</v>
      </c>
      <c r="E800" s="5" t="str">
        <f>_xlfn.XLOOKUP(role_course_map[[#This Row],[course_id]],course_data[course_id],course_data[topic],"")</f>
        <v>SAS : Health and Safety</v>
      </c>
      <c r="F800" s="5" t="str">
        <f>_xlfn.XLOOKUP(role_course_map[[#This Row],[course_id]],course_data[course_id],course_data[type],"")</f>
        <v>Course</v>
      </c>
      <c r="K800" t="str">
        <f>role_course_map[[#This Row],[role_id]] &amp; "|" &amp; role_course_map[[#This Row],[course_id]]</f>
        <v>R0140|999055</v>
      </c>
      <c r="L800" t="str">
        <f>IF(COUNTIF(role_course_map[mapping_key],role_course_map[[#This Row],[mapping_key]])&gt;1,"DUPLICATE","OK")</f>
        <v>OK</v>
      </c>
      <c r="M800" t="str">
        <f>IF(COUNTIF(role_data[role_id],role_course_map[[#This Row],[role_id]])=0, "INVALID","VALID")</f>
        <v>VALID</v>
      </c>
      <c r="N800" t="str">
        <f>IF(COUNTIF(course_data[course_id],role_course_map[[#This Row],[course_id]])=0, "INVALID","VALID")</f>
        <v>VALID</v>
      </c>
    </row>
    <row r="801" spans="1:14" x14ac:dyDescent="0.35">
      <c r="A801" t="s">
        <v>292</v>
      </c>
      <c r="B801" s="5" t="str">
        <f>_xlfn.XLOOKUP(role_course_map[[#This Row],[role_id]], role_data[role_id], role_data[Role],"")</f>
        <v>Neonatal Consultant</v>
      </c>
      <c r="C801">
        <v>64322</v>
      </c>
      <c r="D801" s="5" t="str">
        <f>_xlfn.XLOOKUP(role_course_map[[#This Row],[course_id]],course_data[course_id],course_data[title],"")</f>
        <v>Adult support and protection: practice level 2 [skilled]</v>
      </c>
      <c r="E801" s="5" t="str">
        <f>_xlfn.XLOOKUP(role_course_map[[#This Row],[course_id]],course_data[course_id],course_data[topic],"")</f>
        <v>SAS : Public Protection</v>
      </c>
      <c r="F801" s="5" t="str">
        <f>_xlfn.XLOOKUP(role_course_map[[#This Row],[course_id]],course_data[course_id],course_data[type],"")</f>
        <v>eLearning</v>
      </c>
      <c r="K801" t="str">
        <f>role_course_map[[#This Row],[role_id]] &amp; "|" &amp; role_course_map[[#This Row],[course_id]]</f>
        <v>R0140|64322</v>
      </c>
      <c r="L801" t="str">
        <f>IF(COUNTIF(role_course_map[mapping_key],role_course_map[[#This Row],[mapping_key]])&gt;1,"DUPLICATE","OK")</f>
        <v>OK</v>
      </c>
      <c r="M801" t="str">
        <f>IF(COUNTIF(role_data[role_id],role_course_map[[#This Row],[role_id]])=0, "INVALID","VALID")</f>
        <v>VALID</v>
      </c>
      <c r="N801" t="str">
        <f>IF(COUNTIF(course_data[course_id],role_course_map[[#This Row],[course_id]])=0, "INVALID","VALID")</f>
        <v>VALID</v>
      </c>
    </row>
    <row r="802" spans="1:14" x14ac:dyDescent="0.35">
      <c r="A802" t="s">
        <v>292</v>
      </c>
      <c r="B802" s="5" t="str">
        <f>_xlfn.XLOOKUP(role_course_map[[#This Row],[role_id]], role_data[role_id], role_data[Role],"")</f>
        <v>Neonatal Consultant</v>
      </c>
      <c r="C802">
        <v>64324</v>
      </c>
      <c r="D802" s="5" t="str">
        <f>_xlfn.XLOOKUP(role_course_map[[#This Row],[course_id]],course_data[course_id],course_data[title],"")</f>
        <v>Child protection: practice level 2 [skilled]</v>
      </c>
      <c r="E802" s="5" t="str">
        <f>_xlfn.XLOOKUP(role_course_map[[#This Row],[course_id]],course_data[course_id],course_data[topic],"")</f>
        <v>SAS : Public Protection</v>
      </c>
      <c r="F802" s="5" t="str">
        <f>_xlfn.XLOOKUP(role_course_map[[#This Row],[course_id]],course_data[course_id],course_data[type],"")</f>
        <v>eLearning</v>
      </c>
      <c r="K802" t="str">
        <f>role_course_map[[#This Row],[role_id]] &amp; "|" &amp; role_course_map[[#This Row],[course_id]]</f>
        <v>R0140|64324</v>
      </c>
      <c r="L802" t="str">
        <f>IF(COUNTIF(role_course_map[mapping_key],role_course_map[[#This Row],[mapping_key]])&gt;1,"DUPLICATE","OK")</f>
        <v>OK</v>
      </c>
      <c r="M802" t="str">
        <f>IF(COUNTIF(role_data[role_id],role_course_map[[#This Row],[role_id]])=0, "INVALID","VALID")</f>
        <v>VALID</v>
      </c>
      <c r="N802" t="str">
        <f>IF(COUNTIF(course_data[course_id],role_course_map[[#This Row],[course_id]])=0, "INVALID","VALID")</f>
        <v>VALID</v>
      </c>
    </row>
    <row r="803" spans="1:14" x14ac:dyDescent="0.35">
      <c r="A803" t="s">
        <v>292</v>
      </c>
      <c r="B803" s="5" t="str">
        <f>_xlfn.XLOOKUP(role_course_map[[#This Row],[role_id]], role_data[role_id], role_data[Role],"")</f>
        <v>Neonatal Consultant</v>
      </c>
      <c r="C803">
        <v>79666</v>
      </c>
      <c r="D803" s="5" t="str">
        <f>_xlfn.XLOOKUP(role_course_map[[#This Row],[course_id]],course_data[course_id],course_data[title],"")</f>
        <v>Getting it right for every child (GIRFEC): informed level</v>
      </c>
      <c r="E803" s="5" t="str">
        <f>_xlfn.XLOOKUP(role_course_map[[#This Row],[course_id]],course_data[course_id],course_data[topic],"")</f>
        <v>SAS : Public Protection</v>
      </c>
      <c r="F803" s="5" t="str">
        <f>_xlfn.XLOOKUP(role_course_map[[#This Row],[course_id]],course_data[course_id],course_data[type],"")</f>
        <v>eLearning</v>
      </c>
      <c r="K803" t="str">
        <f>role_course_map[[#This Row],[role_id]] &amp; "|" &amp; role_course_map[[#This Row],[course_id]]</f>
        <v>R0140|79666</v>
      </c>
      <c r="L803" t="str">
        <f>IF(COUNTIF(role_course_map[mapping_key],role_course_map[[#This Row],[mapping_key]])&gt;1,"DUPLICATE","OK")</f>
        <v>OK</v>
      </c>
      <c r="M803" t="str">
        <f>IF(COUNTIF(role_data[role_id],role_course_map[[#This Row],[role_id]])=0, "INVALID","VALID")</f>
        <v>VALID</v>
      </c>
      <c r="N803" t="str">
        <f>IF(COUNTIF(course_data[course_id],role_course_map[[#This Row],[course_id]])=0, "INVALID","VALID")</f>
        <v>VALID</v>
      </c>
    </row>
    <row r="804" spans="1:14" x14ac:dyDescent="0.35">
      <c r="A804" t="s">
        <v>292</v>
      </c>
      <c r="B804" s="5" t="str">
        <f>_xlfn.XLOOKUP(role_course_map[[#This Row],[role_id]], role_data[role_id], role_data[Role],"")</f>
        <v>Neonatal Consultant</v>
      </c>
      <c r="C804">
        <v>999074</v>
      </c>
      <c r="D804" s="5" t="str">
        <f>_xlfn.XLOOKUP(role_course_map[[#This Row],[course_id]],course_data[course_id],course_data[title],"")</f>
        <v>SAS-specific Children’s rights</v>
      </c>
      <c r="E804" s="5" t="str">
        <f>_xlfn.XLOOKUP(role_course_map[[#This Row],[course_id]],course_data[course_id],course_data[topic],"")</f>
        <v>SAS : Public Protection</v>
      </c>
      <c r="F804" s="5" t="str">
        <f>_xlfn.XLOOKUP(role_course_map[[#This Row],[course_id]],course_data[course_id],course_data[type],"")</f>
        <v>eLearning</v>
      </c>
      <c r="K804" t="str">
        <f>role_course_map[[#This Row],[role_id]] &amp; "|" &amp; role_course_map[[#This Row],[course_id]]</f>
        <v>R0140|999074</v>
      </c>
      <c r="L804" t="str">
        <f>IF(COUNTIF(role_course_map[mapping_key],role_course_map[[#This Row],[mapping_key]])&gt;1,"DUPLICATE","OK")</f>
        <v>OK</v>
      </c>
      <c r="M804" t="str">
        <f>IF(COUNTIF(role_data[role_id],role_course_map[[#This Row],[role_id]])=0, "INVALID","VALID")</f>
        <v>VALID</v>
      </c>
      <c r="N804" t="str">
        <f>IF(COUNTIF(course_data[course_id],role_course_map[[#This Row],[course_id]])=0, "INVALID","VALID")</f>
        <v>VALID</v>
      </c>
    </row>
    <row r="805" spans="1:14" x14ac:dyDescent="0.35">
      <c r="A805" t="s">
        <v>292</v>
      </c>
      <c r="B805" s="5" t="str">
        <f>_xlfn.XLOOKUP(role_course_map[[#This Row],[role_id]], role_data[role_id], role_data[Role],"")</f>
        <v>Neonatal Consultant</v>
      </c>
      <c r="C805">
        <v>999075</v>
      </c>
      <c r="D805" s="5" t="str">
        <f>_xlfn.XLOOKUP(role_course_map[[#This Row],[course_id]],course_data[course_id],course_data[title],"")</f>
        <v>Multiagency local or bespoke Level 3 delivery training</v>
      </c>
      <c r="E805" s="5" t="str">
        <f>_xlfn.XLOOKUP(role_course_map[[#This Row],[course_id]],course_data[course_id],course_data[topic],"")</f>
        <v>SAS : Public Protection</v>
      </c>
      <c r="F805" s="5" t="str">
        <f>_xlfn.XLOOKUP(role_course_map[[#This Row],[course_id]],course_data[course_id],course_data[type],"")</f>
        <v>eLearning</v>
      </c>
      <c r="K805" t="str">
        <f>role_course_map[[#This Row],[role_id]] &amp; "|" &amp; role_course_map[[#This Row],[course_id]]</f>
        <v>R0140|999075</v>
      </c>
      <c r="L805" t="str">
        <f>IF(COUNTIF(role_course_map[mapping_key],role_course_map[[#This Row],[mapping_key]])&gt;1,"DUPLICATE","OK")</f>
        <v>OK</v>
      </c>
      <c r="M805" t="str">
        <f>IF(COUNTIF(role_data[role_id],role_course_map[[#This Row],[role_id]])=0, "INVALID","VALID")</f>
        <v>VALID</v>
      </c>
      <c r="N805" t="str">
        <f>IF(COUNTIF(course_data[course_id],role_course_map[[#This Row],[course_id]])=0, "INVALID","VALID")</f>
        <v>VALID</v>
      </c>
    </row>
    <row r="806" spans="1:14" x14ac:dyDescent="0.35">
      <c r="A806" t="s">
        <v>292</v>
      </c>
      <c r="B806" s="5" t="str">
        <f>_xlfn.XLOOKUP(role_course_map[[#This Row],[role_id]], role_data[role_id], role_data[Role],"")</f>
        <v>Neonatal Consultant</v>
      </c>
      <c r="C806">
        <v>15249</v>
      </c>
      <c r="D806" s="5" t="str">
        <f>_xlfn.XLOOKUP(role_course_map[[#This Row],[course_id]],course_data[course_id],course_data[title],"")</f>
        <v>Human trafficking</v>
      </c>
      <c r="E806" s="5" t="str">
        <f>_xlfn.XLOOKUP(role_course_map[[#This Row],[course_id]],course_data[course_id],course_data[topic],"")</f>
        <v>SAS : Public Protection</v>
      </c>
      <c r="F806" s="5" t="str">
        <f>_xlfn.XLOOKUP(role_course_map[[#This Row],[course_id]],course_data[course_id],course_data[type],"")</f>
        <v>eLearning</v>
      </c>
      <c r="K806" t="str">
        <f>role_course_map[[#This Row],[role_id]] &amp; "|" &amp; role_course_map[[#This Row],[course_id]]</f>
        <v>R0140|15249</v>
      </c>
      <c r="L806" t="str">
        <f>IF(COUNTIF(role_course_map[mapping_key],role_course_map[[#This Row],[mapping_key]])&gt;1,"DUPLICATE","OK")</f>
        <v>OK</v>
      </c>
      <c r="M806" t="str">
        <f>IF(COUNTIF(role_data[role_id],role_course_map[[#This Row],[role_id]])=0, "INVALID","VALID")</f>
        <v>VALID</v>
      </c>
      <c r="N806" t="str">
        <f>IF(COUNTIF(course_data[course_id],role_course_map[[#This Row],[course_id]])=0, "INVALID","VALID")</f>
        <v>VALID</v>
      </c>
    </row>
    <row r="807" spans="1:14" x14ac:dyDescent="0.35">
      <c r="A807" t="s">
        <v>292</v>
      </c>
      <c r="B807" s="5" t="str">
        <f>_xlfn.XLOOKUP(role_course_map[[#This Row],[role_id]], role_data[role_id], role_data[Role],"")</f>
        <v>Neonatal Consultant</v>
      </c>
      <c r="C807">
        <v>89161</v>
      </c>
      <c r="D807" s="5" t="str">
        <f>_xlfn.XLOOKUP(role_course_map[[#This Row],[course_id]],course_data[course_id],course_data[title],"")</f>
        <v>Personal Protective Equipment</v>
      </c>
      <c r="E807" s="5" t="str">
        <f>_xlfn.XLOOKUP(role_course_map[[#This Row],[course_id]],course_data[course_id],course_data[topic],"")</f>
        <v>SAS : Infection Prevention and Control (IPC)</v>
      </c>
      <c r="F807" s="5" t="str">
        <f>_xlfn.XLOOKUP(role_course_map[[#This Row],[course_id]],course_data[course_id],course_data[type],"")</f>
        <v>eLearning</v>
      </c>
      <c r="K807" t="str">
        <f>role_course_map[[#This Row],[role_id]] &amp; "|" &amp; role_course_map[[#This Row],[course_id]]</f>
        <v>R0140|89161</v>
      </c>
      <c r="L807" t="str">
        <f>IF(COUNTIF(role_course_map[mapping_key],role_course_map[[#This Row],[mapping_key]])&gt;1,"DUPLICATE","OK")</f>
        <v>OK</v>
      </c>
      <c r="M807" t="str">
        <f>IF(COUNTIF(role_data[role_id],role_course_map[[#This Row],[role_id]])=0, "INVALID","VALID")</f>
        <v>VALID</v>
      </c>
      <c r="N807" t="str">
        <f>IF(COUNTIF(course_data[course_id],role_course_map[[#This Row],[course_id]])=0, "INVALID","VALID")</f>
        <v>VALID</v>
      </c>
    </row>
    <row r="808" spans="1:14" x14ac:dyDescent="0.35">
      <c r="A808" t="s">
        <v>292</v>
      </c>
      <c r="B808" s="5" t="str">
        <f>_xlfn.XLOOKUP(role_course_map[[#This Row],[role_id]], role_data[role_id], role_data[Role],"")</f>
        <v>Neonatal Consultant</v>
      </c>
      <c r="C808">
        <v>89157</v>
      </c>
      <c r="D808" s="5" t="str">
        <f>_xlfn.XLOOKUP(role_course_map[[#This Row],[course_id]],course_data[course_id],course_data[title],"")</f>
        <v>Safe Management of Care Equipment</v>
      </c>
      <c r="E808" s="5" t="str">
        <f>_xlfn.XLOOKUP(role_course_map[[#This Row],[course_id]],course_data[course_id],course_data[topic],"")</f>
        <v>SAS : Infection Prevention and Control (IPC)</v>
      </c>
      <c r="F808" s="5" t="str">
        <f>_xlfn.XLOOKUP(role_course_map[[#This Row],[course_id]],course_data[course_id],course_data[type],"")</f>
        <v>eLearning</v>
      </c>
      <c r="K808" t="str">
        <f>role_course_map[[#This Row],[role_id]] &amp; "|" &amp; role_course_map[[#This Row],[course_id]]</f>
        <v>R0140|89157</v>
      </c>
      <c r="L808" t="str">
        <f>IF(COUNTIF(role_course_map[mapping_key],role_course_map[[#This Row],[mapping_key]])&gt;1,"DUPLICATE","OK")</f>
        <v>OK</v>
      </c>
      <c r="M808" t="str">
        <f>IF(COUNTIF(role_data[role_id],role_course_map[[#This Row],[role_id]])=0, "INVALID","VALID")</f>
        <v>VALID</v>
      </c>
      <c r="N808" t="str">
        <f>IF(COUNTIF(course_data[course_id],role_course_map[[#This Row],[course_id]])=0, "INVALID","VALID")</f>
        <v>VALID</v>
      </c>
    </row>
    <row r="809" spans="1:14" x14ac:dyDescent="0.35">
      <c r="A809" t="s">
        <v>292</v>
      </c>
      <c r="B809" s="5" t="str">
        <f>_xlfn.XLOOKUP(role_course_map[[#This Row],[role_id]], role_data[role_id], role_data[Role],"")</f>
        <v>Neonatal Consultant</v>
      </c>
      <c r="C809">
        <v>89158</v>
      </c>
      <c r="D809" s="5" t="str">
        <f>_xlfn.XLOOKUP(role_course_map[[#This Row],[course_id]],course_data[course_id],course_data[title],"")</f>
        <v>Safe Management of Care Environment</v>
      </c>
      <c r="E809" s="5" t="str">
        <f>_xlfn.XLOOKUP(role_course_map[[#This Row],[course_id]],course_data[course_id],course_data[topic],"")</f>
        <v>SAS : Infection Prevention and Control (IPC)</v>
      </c>
      <c r="F809" s="5" t="str">
        <f>_xlfn.XLOOKUP(role_course_map[[#This Row],[course_id]],course_data[course_id],course_data[type],"")</f>
        <v>eLearning</v>
      </c>
      <c r="K809" t="str">
        <f>role_course_map[[#This Row],[role_id]] &amp; "|" &amp; role_course_map[[#This Row],[course_id]]</f>
        <v>R0140|89158</v>
      </c>
      <c r="L809" t="str">
        <f>IF(COUNTIF(role_course_map[mapping_key],role_course_map[[#This Row],[mapping_key]])&gt;1,"DUPLICATE","OK")</f>
        <v>OK</v>
      </c>
      <c r="M809" t="str">
        <f>IF(COUNTIF(role_data[role_id],role_course_map[[#This Row],[role_id]])=0, "INVALID","VALID")</f>
        <v>VALID</v>
      </c>
      <c r="N809" t="str">
        <f>IF(COUNTIF(course_data[course_id],role_course_map[[#This Row],[course_id]])=0, "INVALID","VALID")</f>
        <v>VALID</v>
      </c>
    </row>
    <row r="810" spans="1:14" x14ac:dyDescent="0.35">
      <c r="A810" t="s">
        <v>292</v>
      </c>
      <c r="B810" s="5" t="str">
        <f>_xlfn.XLOOKUP(role_course_map[[#This Row],[role_id]], role_data[role_id], role_data[Role],"")</f>
        <v>Neonatal Consultant</v>
      </c>
      <c r="C810">
        <v>89159</v>
      </c>
      <c r="D810" s="5" t="str">
        <f>_xlfn.XLOOKUP(role_course_map[[#This Row],[course_id]],course_data[course_id],course_data[title],"")</f>
        <v>Safe Management of Linen</v>
      </c>
      <c r="E810" s="5" t="str">
        <f>_xlfn.XLOOKUP(role_course_map[[#This Row],[course_id]],course_data[course_id],course_data[topic],"")</f>
        <v>SAS : Infection Prevention and Control (IPC)</v>
      </c>
      <c r="F810" s="5" t="str">
        <f>_xlfn.XLOOKUP(role_course_map[[#This Row],[course_id]],course_data[course_id],course_data[type],"")</f>
        <v>eLearning</v>
      </c>
      <c r="K810" t="str">
        <f>role_course_map[[#This Row],[role_id]] &amp; "|" &amp; role_course_map[[#This Row],[course_id]]</f>
        <v>R0140|89159</v>
      </c>
      <c r="L810" t="str">
        <f>IF(COUNTIF(role_course_map[mapping_key],role_course_map[[#This Row],[mapping_key]])&gt;1,"DUPLICATE","OK")</f>
        <v>OK</v>
      </c>
      <c r="M810" t="str">
        <f>IF(COUNTIF(role_data[role_id],role_course_map[[#This Row],[role_id]])=0, "INVALID","VALID")</f>
        <v>VALID</v>
      </c>
      <c r="N810" t="str">
        <f>IF(COUNTIF(course_data[course_id],role_course_map[[#This Row],[course_id]])=0, "INVALID","VALID")</f>
        <v>VALID</v>
      </c>
    </row>
    <row r="811" spans="1:14" x14ac:dyDescent="0.35">
      <c r="A811" t="s">
        <v>292</v>
      </c>
      <c r="B811" s="5" t="str">
        <f>_xlfn.XLOOKUP(role_course_map[[#This Row],[role_id]], role_data[role_id], role_data[Role],"")</f>
        <v>Neonatal Consultant</v>
      </c>
      <c r="C811">
        <v>89160</v>
      </c>
      <c r="D811" s="5" t="str">
        <f>_xlfn.XLOOKUP(role_course_map[[#This Row],[course_id]],course_data[course_id],course_data[title],"")</f>
        <v>Safe Management of blood and body fluids</v>
      </c>
      <c r="E811" s="5" t="str">
        <f>_xlfn.XLOOKUP(role_course_map[[#This Row],[course_id]],course_data[course_id],course_data[topic],"")</f>
        <v>SAS : Infection Prevention and Control (IPC)</v>
      </c>
      <c r="F811" s="5" t="str">
        <f>_xlfn.XLOOKUP(role_course_map[[#This Row],[course_id]],course_data[course_id],course_data[type],"")</f>
        <v>eLearning</v>
      </c>
      <c r="K811" t="str">
        <f>role_course_map[[#This Row],[role_id]] &amp; "|" &amp; role_course_map[[#This Row],[course_id]]</f>
        <v>R0140|89160</v>
      </c>
      <c r="L811" t="str">
        <f>IF(COUNTIF(role_course_map[mapping_key],role_course_map[[#This Row],[mapping_key]])&gt;1,"DUPLICATE","OK")</f>
        <v>OK</v>
      </c>
      <c r="M811" t="str">
        <f>IF(COUNTIF(role_data[role_id],role_course_map[[#This Row],[role_id]])=0, "INVALID","VALID")</f>
        <v>VALID</v>
      </c>
      <c r="N811" t="str">
        <f>IF(COUNTIF(course_data[course_id],role_course_map[[#This Row],[course_id]])=0, "INVALID","VALID")</f>
        <v>VALID</v>
      </c>
    </row>
    <row r="812" spans="1:14" x14ac:dyDescent="0.35">
      <c r="A812" t="s">
        <v>292</v>
      </c>
      <c r="B812" s="5" t="str">
        <f>_xlfn.XLOOKUP(role_course_map[[#This Row],[role_id]], role_data[role_id], role_data[Role],"")</f>
        <v>Neonatal Consultant</v>
      </c>
      <c r="C812">
        <v>89154</v>
      </c>
      <c r="D812" s="5" t="str">
        <f>_xlfn.XLOOKUP(role_course_map[[#This Row],[course_id]],course_data[course_id],course_data[title],"")</f>
        <v>Safe disposal of waste</v>
      </c>
      <c r="E812" s="5" t="str">
        <f>_xlfn.XLOOKUP(role_course_map[[#This Row],[course_id]],course_data[course_id],course_data[topic],"")</f>
        <v>SAS : Infection Prevention and Control (IPC)</v>
      </c>
      <c r="F812" s="5" t="str">
        <f>_xlfn.XLOOKUP(role_course_map[[#This Row],[course_id]],course_data[course_id],course_data[type],"")</f>
        <v>eLearning</v>
      </c>
      <c r="K812" t="str">
        <f>role_course_map[[#This Row],[role_id]] &amp; "|" &amp; role_course_map[[#This Row],[course_id]]</f>
        <v>R0140|89154</v>
      </c>
      <c r="L812" t="str">
        <f>IF(COUNTIF(role_course_map[mapping_key],role_course_map[[#This Row],[mapping_key]])&gt;1,"DUPLICATE","OK")</f>
        <v>OK</v>
      </c>
      <c r="M812" t="str">
        <f>IF(COUNTIF(role_data[role_id],role_course_map[[#This Row],[role_id]])=0, "INVALID","VALID")</f>
        <v>VALID</v>
      </c>
      <c r="N812" t="str">
        <f>IF(COUNTIF(course_data[course_id],role_course_map[[#This Row],[course_id]])=0, "INVALID","VALID")</f>
        <v>VALID</v>
      </c>
    </row>
    <row r="813" spans="1:14" x14ac:dyDescent="0.35">
      <c r="A813" t="s">
        <v>292</v>
      </c>
      <c r="B813" s="5" t="str">
        <f>_xlfn.XLOOKUP(role_course_map[[#This Row],[role_id]], role_data[role_id], role_data[Role],"")</f>
        <v>Neonatal Consultant</v>
      </c>
      <c r="C813">
        <v>89155</v>
      </c>
      <c r="D813" s="5" t="str">
        <f>_xlfn.XLOOKUP(role_course_map[[#This Row],[course_id]],course_data[course_id],course_data[title],"")</f>
        <v>Prevention &amp; management of occupational exposure</v>
      </c>
      <c r="E813" s="5" t="str">
        <f>_xlfn.XLOOKUP(role_course_map[[#This Row],[course_id]],course_data[course_id],course_data[topic],"")</f>
        <v>SAS : Infection Prevention and Control (IPC)</v>
      </c>
      <c r="F813" s="5" t="str">
        <f>_xlfn.XLOOKUP(role_course_map[[#This Row],[course_id]],course_data[course_id],course_data[type],"")</f>
        <v>eLearning</v>
      </c>
      <c r="K813" t="str">
        <f>role_course_map[[#This Row],[role_id]] &amp; "|" &amp; role_course_map[[#This Row],[course_id]]</f>
        <v>R0140|89155</v>
      </c>
      <c r="L813" t="str">
        <f>IF(COUNTIF(role_course_map[mapping_key],role_course_map[[#This Row],[mapping_key]])&gt;1,"DUPLICATE","OK")</f>
        <v>OK</v>
      </c>
      <c r="M813" t="str">
        <f>IF(COUNTIF(role_data[role_id],role_course_map[[#This Row],[role_id]])=0, "INVALID","VALID")</f>
        <v>VALID</v>
      </c>
      <c r="N813" t="str">
        <f>IF(COUNTIF(course_data[course_id],role_course_map[[#This Row],[course_id]])=0, "INVALID","VALID")</f>
        <v>VALID</v>
      </c>
    </row>
    <row r="814" spans="1:14" x14ac:dyDescent="0.35">
      <c r="A814" t="s">
        <v>292</v>
      </c>
      <c r="B814" s="5" t="str">
        <f>_xlfn.XLOOKUP(role_course_map[[#This Row],[role_id]], role_data[role_id], role_data[Role],"")</f>
        <v>Neonatal Consultant</v>
      </c>
      <c r="C814">
        <v>999064</v>
      </c>
      <c r="D814" s="5" t="str">
        <f>_xlfn.XLOOKUP(role_course_map[[#This Row],[course_id]],course_data[course_id],course_data[title],"")</f>
        <v>Infection prevention and control: Clostridioides difficile infection</v>
      </c>
      <c r="E814" s="5" t="str">
        <f>_xlfn.XLOOKUP(role_course_map[[#This Row],[course_id]],course_data[course_id],course_data[topic],"")</f>
        <v>SAS : Infection Prevention and Control (IPC)</v>
      </c>
      <c r="F814" s="5" t="str">
        <f>_xlfn.XLOOKUP(role_course_map[[#This Row],[course_id]],course_data[course_id],course_data[type],"")</f>
        <v>eLearning</v>
      </c>
      <c r="K814" t="str">
        <f>role_course_map[[#This Row],[role_id]] &amp; "|" &amp; role_course_map[[#This Row],[course_id]]</f>
        <v>R0140|999064</v>
      </c>
      <c r="L814" t="str">
        <f>IF(COUNTIF(role_course_map[mapping_key],role_course_map[[#This Row],[mapping_key]])&gt;1,"DUPLICATE","OK")</f>
        <v>OK</v>
      </c>
      <c r="M814" t="str">
        <f>IF(COUNTIF(role_data[role_id],role_course_map[[#This Row],[role_id]])=0, "INVALID","VALID")</f>
        <v>VALID</v>
      </c>
      <c r="N814" t="str">
        <f>IF(COUNTIF(course_data[course_id],role_course_map[[#This Row],[course_id]])=0, "INVALID","VALID")</f>
        <v>VALID</v>
      </c>
    </row>
    <row r="815" spans="1:14" x14ac:dyDescent="0.35">
      <c r="A815" t="s">
        <v>292</v>
      </c>
      <c r="B815" s="5" t="str">
        <f>_xlfn.XLOOKUP(role_course_map[[#This Row],[role_id]], role_data[role_id], role_data[Role],"")</f>
        <v>Neonatal Consultant</v>
      </c>
      <c r="C815">
        <v>3886</v>
      </c>
      <c r="D815" s="5" t="str">
        <f>_xlfn.XLOOKUP(role_course_map[[#This Row],[course_id]],course_data[course_id],course_data[title],"")</f>
        <v>Prevention and management of pressure ulcers</v>
      </c>
      <c r="E815" s="5" t="str">
        <f>_xlfn.XLOOKUP(role_course_map[[#This Row],[course_id]],course_data[course_id],course_data[topic],"")</f>
        <v>SAS : Clinical Practice</v>
      </c>
      <c r="F815" s="5" t="str">
        <f>_xlfn.XLOOKUP(role_course_map[[#This Row],[course_id]],course_data[course_id],course_data[type],"")</f>
        <v>Page</v>
      </c>
      <c r="K815" t="str">
        <f>role_course_map[[#This Row],[role_id]] &amp; "|" &amp; role_course_map[[#This Row],[course_id]]</f>
        <v>R0140|3886</v>
      </c>
      <c r="L815" t="str">
        <f>IF(COUNTIF(role_course_map[mapping_key],role_course_map[[#This Row],[mapping_key]])&gt;1,"DUPLICATE","OK")</f>
        <v>OK</v>
      </c>
      <c r="M815" t="str">
        <f>IF(COUNTIF(role_data[role_id],role_course_map[[#This Row],[role_id]])=0, "INVALID","VALID")</f>
        <v>VALID</v>
      </c>
      <c r="N815" t="str">
        <f>IF(COUNTIF(course_data[course_id],role_course_map[[#This Row],[course_id]])=0, "INVALID","VALID")</f>
        <v>VALID</v>
      </c>
    </row>
    <row r="816" spans="1:14" x14ac:dyDescent="0.35">
      <c r="A816" t="s">
        <v>278</v>
      </c>
      <c r="B816" s="5" t="str">
        <f>_xlfn.XLOOKUP(role_course_map[[#This Row],[role_id]], role_data[role_id], role_data[Role],"")</f>
        <v>EMRS Consultant</v>
      </c>
      <c r="C816">
        <v>999092</v>
      </c>
      <c r="D816" s="5" t="str">
        <f>_xlfn.XLOOKUP(role_course_map[[#This Row],[course_id]],course_data[course_id],course_data[title],"")</f>
        <v>Health &amp; Wellbeing Awareness for Managers</v>
      </c>
      <c r="E816" s="5" t="str">
        <f>_xlfn.XLOOKUP(role_course_map[[#This Row],[course_id]],course_data[course_id],course_data[topic],"")</f>
        <v>SAS: Staff development and experience</v>
      </c>
      <c r="F816" s="5" t="str">
        <f>_xlfn.XLOOKUP(role_course_map[[#This Row],[course_id]],course_data[course_id],course_data[type],"")</f>
        <v>eLearning</v>
      </c>
      <c r="K816" t="str">
        <f>role_course_map[[#This Row],[role_id]] &amp; "|" &amp; role_course_map[[#This Row],[course_id]]</f>
        <v>R0133|999092</v>
      </c>
      <c r="L816" t="str">
        <f>IF(COUNTIF(role_course_map[mapping_key],role_course_map[[#This Row],[mapping_key]])&gt;1,"DUPLICATE","OK")</f>
        <v>OK</v>
      </c>
      <c r="M816" t="str">
        <f>IF(COUNTIF(role_data[role_id],role_course_map[[#This Row],[role_id]])=0, "INVALID","VALID")</f>
        <v>VALID</v>
      </c>
      <c r="N816" t="str">
        <f>IF(COUNTIF(course_data[course_id],role_course_map[[#This Row],[course_id]])=0, "INVALID","VALID")</f>
        <v>VALID</v>
      </c>
    </row>
    <row r="817" spans="1:14" x14ac:dyDescent="0.35">
      <c r="A817" t="s">
        <v>292</v>
      </c>
      <c r="B817" s="5" t="str">
        <f>_xlfn.XLOOKUP(role_course_map[[#This Row],[role_id]], role_data[role_id], role_data[Role],"")</f>
        <v>Neonatal Consultant</v>
      </c>
      <c r="C817">
        <v>999093</v>
      </c>
      <c r="D817" s="5" t="str">
        <f>_xlfn.XLOOKUP(role_course_map[[#This Row],[course_id]],course_data[course_id],course_data[title],"")</f>
        <v>Managing Wellbeing Refresher for Managers</v>
      </c>
      <c r="E817" s="5" t="str">
        <f>_xlfn.XLOOKUP(role_course_map[[#This Row],[course_id]],course_data[course_id],course_data[topic],"")</f>
        <v>SAS: Staff development and experience</v>
      </c>
      <c r="F817" s="5" t="str">
        <f>_xlfn.XLOOKUP(role_course_map[[#This Row],[course_id]],course_data[course_id],course_data[type],"")</f>
        <v>eLearning</v>
      </c>
      <c r="K817" t="str">
        <f>role_course_map[[#This Row],[role_id]] &amp; "|" &amp; role_course_map[[#This Row],[course_id]]</f>
        <v>R0140|999093</v>
      </c>
      <c r="L817" t="str">
        <f>IF(COUNTIF(role_course_map[mapping_key],role_course_map[[#This Row],[mapping_key]])&gt;1,"DUPLICATE","OK")</f>
        <v>OK</v>
      </c>
      <c r="M817" t="str">
        <f>IF(COUNTIF(role_data[role_id],role_course_map[[#This Row],[role_id]])=0, "INVALID","VALID")</f>
        <v>VALID</v>
      </c>
      <c r="N817" t="str">
        <f>IF(COUNTIF(course_data[course_id],role_course_map[[#This Row],[course_id]])=0, "INVALID","VALID")</f>
        <v>VALID</v>
      </c>
    </row>
    <row r="818" spans="1:14" x14ac:dyDescent="0.35">
      <c r="A818" t="s">
        <v>280</v>
      </c>
      <c r="B818" s="5" t="str">
        <f>_xlfn.XLOOKUP(role_course_map[[#This Row],[role_id]], role_data[role_id], role_data[Role],"")</f>
        <v>EMRS Fellow</v>
      </c>
      <c r="C818">
        <v>999094</v>
      </c>
      <c r="D818" s="5" t="str">
        <f>_xlfn.XLOOKUP(role_course_map[[#This Row],[course_id]],course_data[course_id],course_data[title],"")</f>
        <v>Being well, Mind, Body &amp; Workplace</v>
      </c>
      <c r="E818" s="5" t="str">
        <f>_xlfn.XLOOKUP(role_course_map[[#This Row],[course_id]],course_data[course_id],course_data[topic],"")</f>
        <v>SAS: Staff development and experience</v>
      </c>
      <c r="F818" s="5" t="str">
        <f>_xlfn.XLOOKUP(role_course_map[[#This Row],[course_id]],course_data[course_id],course_data[type],"")</f>
        <v>eLearning</v>
      </c>
      <c r="K818" t="str">
        <f>role_course_map[[#This Row],[role_id]] &amp; "|" &amp; role_course_map[[#This Row],[course_id]]</f>
        <v>R0134|999094</v>
      </c>
      <c r="L818" t="str">
        <f>IF(COUNTIF(role_course_map[mapping_key],role_course_map[[#This Row],[mapping_key]])&gt;1,"DUPLICATE","OK")</f>
        <v>OK</v>
      </c>
      <c r="M818" t="str">
        <f>IF(COUNTIF(role_data[role_id],role_course_map[[#This Row],[role_id]])=0, "INVALID","VALID")</f>
        <v>VALID</v>
      </c>
      <c r="N818" t="str">
        <f>IF(COUNTIF(course_data[course_id],role_course_map[[#This Row],[course_id]])=0, "INVALID","VALID")</f>
        <v>VALID</v>
      </c>
    </row>
    <row r="819" spans="1:14" x14ac:dyDescent="0.35">
      <c r="A819" t="s">
        <v>292</v>
      </c>
      <c r="B819" s="5" t="str">
        <f>_xlfn.XLOOKUP(role_course_map[[#This Row],[role_id]], role_data[role_id], role_data[Role],"")</f>
        <v>Neonatal Consultant</v>
      </c>
      <c r="C819">
        <v>999077</v>
      </c>
      <c r="D819" s="5" t="str">
        <f>_xlfn.XLOOKUP(role_course_map[[#This Row],[course_id]],course_data[course_id],course_data[title],"")</f>
        <v>ScotSTAR: Role specific Orientation &amp; Induction</v>
      </c>
      <c r="E819" s="5" t="str">
        <f>_xlfn.XLOOKUP(role_course_map[[#This Row],[course_id]],course_data[course_id],course_data[topic],"")</f>
        <v>SAS : ScotSTAR</v>
      </c>
      <c r="F819" s="5" t="str">
        <f>_xlfn.XLOOKUP(role_course_map[[#This Row],[course_id]],course_data[course_id],course_data[type],"")</f>
        <v>Course</v>
      </c>
      <c r="K819" t="str">
        <f>role_course_map[[#This Row],[role_id]] &amp; "|" &amp; role_course_map[[#This Row],[course_id]]</f>
        <v>R0140|999077</v>
      </c>
      <c r="L819" t="str">
        <f>IF(COUNTIF(role_course_map[mapping_key],role_course_map[[#This Row],[mapping_key]])&gt;1,"DUPLICATE","OK")</f>
        <v>OK</v>
      </c>
      <c r="M819" t="str">
        <f>IF(COUNTIF(role_data[role_id],role_course_map[[#This Row],[role_id]])=0, "INVALID","VALID")</f>
        <v>VALID</v>
      </c>
      <c r="N819" t="str">
        <f>IF(COUNTIF(course_data[course_id],role_course_map[[#This Row],[course_id]])=0, "INVALID","VALID")</f>
        <v>VALID</v>
      </c>
    </row>
    <row r="820" spans="1:14" x14ac:dyDescent="0.35">
      <c r="A820" t="s">
        <v>290</v>
      </c>
      <c r="B820" s="5" t="str">
        <f>_xlfn.XLOOKUP(role_course_map[[#This Row],[role_id]], role_data[role_id], role_data[Role],"")</f>
        <v>Neonatal Charge Nurse</v>
      </c>
      <c r="C820">
        <v>999080</v>
      </c>
      <c r="D820" s="5" t="str">
        <f>_xlfn.XLOOKUP(role_course_map[[#This Row],[course_id]],course_data[course_id],course_data[title],"")</f>
        <v>HUET (on line)</v>
      </c>
      <c r="E820" s="5" t="str">
        <f>_xlfn.XLOOKUP(role_course_map[[#This Row],[course_id]],course_data[course_id],course_data[topic],"")</f>
        <v>SAS : ScotSTAR</v>
      </c>
      <c r="F820" s="5" t="str">
        <f>_xlfn.XLOOKUP(role_course_map[[#This Row],[course_id]],course_data[course_id],course_data[type],"")</f>
        <v>eLearning</v>
      </c>
      <c r="K820" t="str">
        <f>role_course_map[[#This Row],[role_id]] &amp; "|" &amp; role_course_map[[#This Row],[course_id]]</f>
        <v>R0139|999080</v>
      </c>
      <c r="L820" t="str">
        <f>IF(COUNTIF(role_course_map[mapping_key],role_course_map[[#This Row],[mapping_key]])&gt;1,"DUPLICATE","OK")</f>
        <v>OK</v>
      </c>
      <c r="M820" t="str">
        <f>IF(COUNTIF(role_data[role_id],role_course_map[[#This Row],[role_id]])=0, "INVALID","VALID")</f>
        <v>VALID</v>
      </c>
      <c r="N820" t="str">
        <f>IF(COUNTIF(course_data[course_id],role_course_map[[#This Row],[course_id]])=0, "INVALID","VALID")</f>
        <v>VALID</v>
      </c>
    </row>
    <row r="821" spans="1:14" x14ac:dyDescent="0.35">
      <c r="A821" t="s">
        <v>292</v>
      </c>
      <c r="B821" s="5" t="str">
        <f>_xlfn.XLOOKUP(role_course_map[[#This Row],[role_id]], role_data[role_id], role_data[Role],"")</f>
        <v>Neonatal Consultant</v>
      </c>
      <c r="C821">
        <v>999081</v>
      </c>
      <c r="D821" s="5" t="str">
        <f>_xlfn.XLOOKUP(role_course_map[[#This Row],[course_id]],course_data[course_id],course_data[title],"")</f>
        <v>Major Incident Training- Operational Commander</v>
      </c>
      <c r="E821" s="5" t="str">
        <f>_xlfn.XLOOKUP(role_course_map[[#This Row],[course_id]],course_data[course_id],course_data[topic],"")</f>
        <v>SAS : ScotSTAR</v>
      </c>
      <c r="F821" s="5" t="str">
        <f>_xlfn.XLOOKUP(role_course_map[[#This Row],[course_id]],course_data[course_id],course_data[type],"")</f>
        <v>Course</v>
      </c>
      <c r="K821" t="str">
        <f>role_course_map[[#This Row],[role_id]] &amp; "|" &amp; role_course_map[[#This Row],[course_id]]</f>
        <v>R0140|999081</v>
      </c>
      <c r="L821" t="str">
        <f>IF(COUNTIF(role_course_map[mapping_key],role_course_map[[#This Row],[mapping_key]])&gt;1,"DUPLICATE","OK")</f>
        <v>OK</v>
      </c>
      <c r="M821" t="str">
        <f>IF(COUNTIF(role_data[role_id],role_course_map[[#This Row],[role_id]])=0, "INVALID","VALID")</f>
        <v>VALID</v>
      </c>
      <c r="N821" t="str">
        <f>IF(COUNTIF(course_data[course_id],role_course_map[[#This Row],[course_id]])=0, "INVALID","VALID")</f>
        <v>VALID</v>
      </c>
    </row>
    <row r="822" spans="1:14" x14ac:dyDescent="0.35">
      <c r="A822" t="s">
        <v>292</v>
      </c>
      <c r="B822" s="5" t="str">
        <f>_xlfn.XLOOKUP(role_course_map[[#This Row],[role_id]], role_data[role_id], role_data[Role],"")</f>
        <v>Neonatal Consultant</v>
      </c>
      <c r="C822">
        <v>999082</v>
      </c>
      <c r="D822" s="5" t="str">
        <f>_xlfn.XLOOKUP(role_course_map[[#This Row],[course_id]],course_data[course_id],course_data[title],"")</f>
        <v>Major Incident Training - MIO</v>
      </c>
      <c r="E822" s="5" t="str">
        <f>_xlfn.XLOOKUP(role_course_map[[#This Row],[course_id]],course_data[course_id],course_data[topic],"")</f>
        <v>SAS : ScotSTAR</v>
      </c>
      <c r="F822" s="5" t="str">
        <f>_xlfn.XLOOKUP(role_course_map[[#This Row],[course_id]],course_data[course_id],course_data[type],"")</f>
        <v>Course</v>
      </c>
      <c r="K822" t="str">
        <f>role_course_map[[#This Row],[role_id]] &amp; "|" &amp; role_course_map[[#This Row],[course_id]]</f>
        <v>R0140|999082</v>
      </c>
      <c r="L822" t="str">
        <f>IF(COUNTIF(role_course_map[mapping_key],role_course_map[[#This Row],[mapping_key]])&gt;1,"DUPLICATE","OK")</f>
        <v>OK</v>
      </c>
      <c r="M822" t="str">
        <f>IF(COUNTIF(role_data[role_id],role_course_map[[#This Row],[role_id]])=0, "INVALID","VALID")</f>
        <v>VALID</v>
      </c>
      <c r="N822" t="str">
        <f>IF(COUNTIF(course_data[course_id],role_course_map[[#This Row],[course_id]])=0, "INVALID","VALID")</f>
        <v>VALID</v>
      </c>
    </row>
    <row r="823" spans="1:14" x14ac:dyDescent="0.35">
      <c r="A823" t="s">
        <v>292</v>
      </c>
      <c r="B823" s="5" t="str">
        <f>_xlfn.XLOOKUP(role_course_map[[#This Row],[role_id]], role_data[role_id], role_data[Role],"")</f>
        <v>Neonatal Consultant</v>
      </c>
      <c r="C823">
        <v>999084</v>
      </c>
      <c r="D823" s="5" t="str">
        <f>_xlfn.XLOOKUP(role_course_map[[#This Row],[course_id]],course_data[course_id],course_data[title],"")</f>
        <v>Paediatric Life Support (PLS)</v>
      </c>
      <c r="E823" s="5" t="str">
        <f>_xlfn.XLOOKUP(role_course_map[[#This Row],[course_id]],course_data[course_id],course_data[topic],"")</f>
        <v>SAS : ScotSTAR</v>
      </c>
      <c r="F823" s="5" t="str">
        <f>_xlfn.XLOOKUP(role_course_map[[#This Row],[course_id]],course_data[course_id],course_data[type],"")</f>
        <v>Course</v>
      </c>
      <c r="K823" t="str">
        <f>role_course_map[[#This Row],[role_id]] &amp; "|" &amp; role_course_map[[#This Row],[course_id]]</f>
        <v>R0140|999084</v>
      </c>
      <c r="L823" t="str">
        <f>IF(COUNTIF(role_course_map[mapping_key],role_course_map[[#This Row],[mapping_key]])&gt;1,"DUPLICATE","OK")</f>
        <v>OK</v>
      </c>
      <c r="M823" t="str">
        <f>IF(COUNTIF(role_data[role_id],role_course_map[[#This Row],[role_id]])=0, "INVALID","VALID")</f>
        <v>VALID</v>
      </c>
      <c r="N823" t="str">
        <f>IF(COUNTIF(course_data[course_id],role_course_map[[#This Row],[course_id]])=0, "INVALID","VALID")</f>
        <v>VALID</v>
      </c>
    </row>
    <row r="824" spans="1:14" x14ac:dyDescent="0.35">
      <c r="A824" t="s">
        <v>294</v>
      </c>
      <c r="B824" s="5" t="str">
        <f>_xlfn.XLOOKUP(role_course_map[[#This Row],[role_id]], role_data[role_id], role_data[Role],"")</f>
        <v>Neonatal Fellow</v>
      </c>
      <c r="C824">
        <v>999009</v>
      </c>
      <c r="D824" s="5" t="str">
        <f>_xlfn.XLOOKUP(role_course_map[[#This Row],[course_id]],course_data[course_id],course_data[title],"")</f>
        <v>Life Support</v>
      </c>
      <c r="E824" s="5" t="str">
        <f>_xlfn.XLOOKUP(role_course_map[[#This Row],[course_id]],course_data[course_id],course_data[topic],"")</f>
        <v>SAS : Clinical Practice</v>
      </c>
      <c r="F824" s="5" t="str">
        <f>_xlfn.XLOOKUP(role_course_map[[#This Row],[course_id]],course_data[course_id],course_data[type],"")</f>
        <v>Course</v>
      </c>
      <c r="K824" t="str">
        <f>role_course_map[[#This Row],[role_id]] &amp; "|" &amp; role_course_map[[#This Row],[course_id]]</f>
        <v>R0141|999009</v>
      </c>
      <c r="L824" t="str">
        <f>IF(COUNTIF(role_course_map[mapping_key],role_course_map[[#This Row],[mapping_key]])&gt;1,"DUPLICATE","OK")</f>
        <v>OK</v>
      </c>
      <c r="M824" t="str">
        <f>IF(COUNTIF(role_data[role_id],role_course_map[[#This Row],[role_id]])=0, "INVALID","VALID")</f>
        <v>VALID</v>
      </c>
      <c r="N824" t="str">
        <f>IF(COUNTIF(course_data[course_id],role_course_map[[#This Row],[course_id]])=0, "INVALID","VALID")</f>
        <v>VALID</v>
      </c>
    </row>
    <row r="825" spans="1:14" x14ac:dyDescent="0.35">
      <c r="A825" t="s">
        <v>294</v>
      </c>
      <c r="B825" s="5" t="str">
        <f>_xlfn.XLOOKUP(role_course_map[[#This Row],[role_id]], role_data[role_id], role_data[Role],"")</f>
        <v>Neonatal Fellow</v>
      </c>
      <c r="C825">
        <v>999007</v>
      </c>
      <c r="D825" s="5" t="str">
        <f>_xlfn.XLOOKUP(role_course_map[[#This Row],[course_id]],course_data[course_id],course_data[title],"")</f>
        <v>Obstetrics</v>
      </c>
      <c r="E825" s="5" t="str">
        <f>_xlfn.XLOOKUP(role_course_map[[#This Row],[course_id]],course_data[course_id],course_data[topic],"")</f>
        <v>SAS : Clinical Practice</v>
      </c>
      <c r="F825" s="5" t="str">
        <f>_xlfn.XLOOKUP(role_course_map[[#This Row],[course_id]],course_data[course_id],course_data[type],"")</f>
        <v>Course</v>
      </c>
      <c r="K825" t="str">
        <f>role_course_map[[#This Row],[role_id]] &amp; "|" &amp; role_course_map[[#This Row],[course_id]]</f>
        <v>R0141|999007</v>
      </c>
      <c r="L825" t="str">
        <f>IF(COUNTIF(role_course_map[mapping_key],role_course_map[[#This Row],[mapping_key]])&gt;1,"DUPLICATE","OK")</f>
        <v>OK</v>
      </c>
      <c r="M825" t="str">
        <f>IF(COUNTIF(role_data[role_id],role_course_map[[#This Row],[role_id]])=0, "INVALID","VALID")</f>
        <v>VALID</v>
      </c>
      <c r="N825" t="str">
        <f>IF(COUNTIF(course_data[course_id],role_course_map[[#This Row],[course_id]])=0, "INVALID","VALID")</f>
        <v>VALID</v>
      </c>
    </row>
    <row r="826" spans="1:14" x14ac:dyDescent="0.35">
      <c r="A826" t="s">
        <v>294</v>
      </c>
      <c r="B826" s="5" t="str">
        <f>_xlfn.XLOOKUP(role_course_map[[#This Row],[role_id]], role_data[role_id], role_data[Role],"")</f>
        <v>Neonatal Fellow</v>
      </c>
      <c r="C826">
        <v>999008</v>
      </c>
      <c r="D826" s="5" t="str">
        <f>_xlfn.XLOOKUP(role_course_map[[#This Row],[course_id]],course_data[course_id],course_data[title],"")</f>
        <v>Obstetrics</v>
      </c>
      <c r="E826" s="5" t="str">
        <f>_xlfn.XLOOKUP(role_course_map[[#This Row],[course_id]],course_data[course_id],course_data[topic],"")</f>
        <v>SAS : Clinical Practice</v>
      </c>
      <c r="F826" s="5" t="str">
        <f>_xlfn.XLOOKUP(role_course_map[[#This Row],[course_id]],course_data[course_id],course_data[type],"")</f>
        <v>eLearning</v>
      </c>
      <c r="K826" t="str">
        <f>role_course_map[[#This Row],[role_id]] &amp; "|" &amp; role_course_map[[#This Row],[course_id]]</f>
        <v>R0141|999008</v>
      </c>
      <c r="L826" t="str">
        <f>IF(COUNTIF(role_course_map[mapping_key],role_course_map[[#This Row],[mapping_key]])&gt;1,"DUPLICATE","OK")</f>
        <v>OK</v>
      </c>
      <c r="M826" t="str">
        <f>IF(COUNTIF(role_data[role_id],role_course_map[[#This Row],[role_id]])=0, "INVALID","VALID")</f>
        <v>VALID</v>
      </c>
      <c r="N826" t="str">
        <f>IF(COUNTIF(course_data[course_id],role_course_map[[#This Row],[course_id]])=0, "INVALID","VALID")</f>
        <v>VALID</v>
      </c>
    </row>
    <row r="827" spans="1:14" x14ac:dyDescent="0.35">
      <c r="A827" t="s">
        <v>294</v>
      </c>
      <c r="B827" s="5" t="str">
        <f>_xlfn.XLOOKUP(role_course_map[[#This Row],[role_id]], role_data[role_id], role_data[Role],"")</f>
        <v>Neonatal Fellow</v>
      </c>
      <c r="C827">
        <v>999010</v>
      </c>
      <c r="D827" s="5" t="str">
        <f>_xlfn.XLOOKUP(role_course_map[[#This Row],[course_id]],course_data[course_id],course_data[title],"")</f>
        <v>Paediatrics</v>
      </c>
      <c r="E827" s="5" t="str">
        <f>_xlfn.XLOOKUP(role_course_map[[#This Row],[course_id]],course_data[course_id],course_data[topic],"")</f>
        <v>SAS : Clinical Practice</v>
      </c>
      <c r="F827" s="5" t="str">
        <f>_xlfn.XLOOKUP(role_course_map[[#This Row],[course_id]],course_data[course_id],course_data[type],"")</f>
        <v>Course</v>
      </c>
      <c r="K827" t="str">
        <f>role_course_map[[#This Row],[role_id]] &amp; "|" &amp; role_course_map[[#This Row],[course_id]]</f>
        <v>R0141|999010</v>
      </c>
      <c r="L827" t="str">
        <f>IF(COUNTIF(role_course_map[mapping_key],role_course_map[[#This Row],[mapping_key]])&gt;1,"DUPLICATE","OK")</f>
        <v>OK</v>
      </c>
      <c r="M827" t="str">
        <f>IF(COUNTIF(role_data[role_id],role_course_map[[#This Row],[role_id]])=0, "INVALID","VALID")</f>
        <v>VALID</v>
      </c>
      <c r="N827" t="str">
        <f>IF(COUNTIF(course_data[course_id],role_course_map[[#This Row],[course_id]])=0, "INVALID","VALID")</f>
        <v>VALID</v>
      </c>
    </row>
    <row r="828" spans="1:14" x14ac:dyDescent="0.35">
      <c r="A828" t="s">
        <v>294</v>
      </c>
      <c r="B828" s="5" t="str">
        <f>_xlfn.XLOOKUP(role_course_map[[#This Row],[role_id]], role_data[role_id], role_data[Role],"")</f>
        <v>Neonatal Fellow</v>
      </c>
      <c r="C828">
        <v>999011</v>
      </c>
      <c r="D828" s="5" t="str">
        <f>_xlfn.XLOOKUP(role_course_map[[#This Row],[course_id]],course_data[course_id],course_data[title],"")</f>
        <v>Paediatrics</v>
      </c>
      <c r="E828" s="5" t="str">
        <f>_xlfn.XLOOKUP(role_course_map[[#This Row],[course_id]],course_data[course_id],course_data[topic],"")</f>
        <v>SAS : Clinical Practice</v>
      </c>
      <c r="F828" s="5" t="str">
        <f>_xlfn.XLOOKUP(role_course_map[[#This Row],[course_id]],course_data[course_id],course_data[type],"")</f>
        <v>eLearning</v>
      </c>
      <c r="K828" t="str">
        <f>role_course_map[[#This Row],[role_id]] &amp; "|" &amp; role_course_map[[#This Row],[course_id]]</f>
        <v>R0141|999011</v>
      </c>
      <c r="L828" t="str">
        <f>IF(COUNTIF(role_course_map[mapping_key],role_course_map[[#This Row],[mapping_key]])&gt;1,"DUPLICATE","OK")</f>
        <v>OK</v>
      </c>
      <c r="M828" t="str">
        <f>IF(COUNTIF(role_data[role_id],role_course_map[[#This Row],[role_id]])=0, "INVALID","VALID")</f>
        <v>VALID</v>
      </c>
      <c r="N828" t="str">
        <f>IF(COUNTIF(course_data[course_id],role_course_map[[#This Row],[course_id]])=0, "INVALID","VALID")</f>
        <v>VALID</v>
      </c>
    </row>
    <row r="829" spans="1:14" x14ac:dyDescent="0.35">
      <c r="A829" t="s">
        <v>294</v>
      </c>
      <c r="B829" s="5" t="str">
        <f>_xlfn.XLOOKUP(role_course_map[[#This Row],[role_id]], role_data[role_id], role_data[Role],"")</f>
        <v>Neonatal Fellow</v>
      </c>
      <c r="C829">
        <v>999012</v>
      </c>
      <c r="D829" s="5" t="str">
        <f>_xlfn.XLOOKUP(role_course_map[[#This Row],[course_id]],course_data[course_id],course_data[title],"")</f>
        <v>Trauma</v>
      </c>
      <c r="E829" s="5" t="str">
        <f>_xlfn.XLOOKUP(role_course_map[[#This Row],[course_id]],course_data[course_id],course_data[topic],"")</f>
        <v>SAS : Clinical Practice</v>
      </c>
      <c r="F829" s="5" t="str">
        <f>_xlfn.XLOOKUP(role_course_map[[#This Row],[course_id]],course_data[course_id],course_data[type],"")</f>
        <v>Course</v>
      </c>
      <c r="K829" t="str">
        <f>role_course_map[[#This Row],[role_id]] &amp; "|" &amp; role_course_map[[#This Row],[course_id]]</f>
        <v>R0141|999012</v>
      </c>
      <c r="L829" t="str">
        <f>IF(COUNTIF(role_course_map[mapping_key],role_course_map[[#This Row],[mapping_key]])&gt;1,"DUPLICATE","OK")</f>
        <v>OK</v>
      </c>
      <c r="M829" t="str">
        <f>IF(COUNTIF(role_data[role_id],role_course_map[[#This Row],[role_id]])=0, "INVALID","VALID")</f>
        <v>VALID</v>
      </c>
      <c r="N829" t="str">
        <f>IF(COUNTIF(course_data[course_id],role_course_map[[#This Row],[course_id]])=0, "INVALID","VALID")</f>
        <v>VALID</v>
      </c>
    </row>
    <row r="830" spans="1:14" x14ac:dyDescent="0.35">
      <c r="A830" t="s">
        <v>294</v>
      </c>
      <c r="B830" s="5" t="str">
        <f>_xlfn.XLOOKUP(role_course_map[[#This Row],[role_id]], role_data[role_id], role_data[Role],"")</f>
        <v>Neonatal Fellow</v>
      </c>
      <c r="C830">
        <v>999013</v>
      </c>
      <c r="D830" s="5" t="str">
        <f>_xlfn.XLOOKUP(role_course_map[[#This Row],[course_id]],course_data[course_id],course_data[title],"")</f>
        <v>Trauma</v>
      </c>
      <c r="E830" s="5" t="str">
        <f>_xlfn.XLOOKUP(role_course_map[[#This Row],[course_id]],course_data[course_id],course_data[topic],"")</f>
        <v>SAS : Clinical Practice</v>
      </c>
      <c r="F830" s="5" t="str">
        <f>_xlfn.XLOOKUP(role_course_map[[#This Row],[course_id]],course_data[course_id],course_data[type],"")</f>
        <v>eLearning</v>
      </c>
      <c r="K830" t="str">
        <f>role_course_map[[#This Row],[role_id]] &amp; "|" &amp; role_course_map[[#This Row],[course_id]]</f>
        <v>R0141|999013</v>
      </c>
      <c r="L830" t="str">
        <f>IF(COUNTIF(role_course_map[mapping_key],role_course_map[[#This Row],[mapping_key]])&gt;1,"DUPLICATE","OK")</f>
        <v>OK</v>
      </c>
      <c r="M830" t="str">
        <f>IF(COUNTIF(role_data[role_id],role_course_map[[#This Row],[role_id]])=0, "INVALID","VALID")</f>
        <v>VALID</v>
      </c>
      <c r="N830" t="str">
        <f>IF(COUNTIF(course_data[course_id],role_course_map[[#This Row],[course_id]])=0, "INVALID","VALID")</f>
        <v>VALID</v>
      </c>
    </row>
    <row r="831" spans="1:14" x14ac:dyDescent="0.35">
      <c r="A831" t="s">
        <v>294</v>
      </c>
      <c r="B831" s="5" t="str">
        <f>_xlfn.XLOOKUP(role_course_map[[#This Row],[role_id]], role_data[role_id], role_data[Role],"")</f>
        <v>Neonatal Fellow</v>
      </c>
      <c r="C831">
        <v>999014</v>
      </c>
      <c r="D831" s="5" t="str">
        <f>_xlfn.XLOOKUP(role_course_map[[#This Row],[course_id]],course_data[course_id],course_data[title],"")</f>
        <v>Patient Assessment</v>
      </c>
      <c r="E831" s="5" t="str">
        <f>_xlfn.XLOOKUP(role_course_map[[#This Row],[course_id]],course_data[course_id],course_data[topic],"")</f>
        <v>SAS : Clinical Practice</v>
      </c>
      <c r="F831" s="5" t="str">
        <f>_xlfn.XLOOKUP(role_course_map[[#This Row],[course_id]],course_data[course_id],course_data[type],"")</f>
        <v>Course</v>
      </c>
      <c r="K831" t="str">
        <f>role_course_map[[#This Row],[role_id]] &amp; "|" &amp; role_course_map[[#This Row],[course_id]]</f>
        <v>R0141|999014</v>
      </c>
      <c r="L831" t="str">
        <f>IF(COUNTIF(role_course_map[mapping_key],role_course_map[[#This Row],[mapping_key]])&gt;1,"DUPLICATE","OK")</f>
        <v>OK</v>
      </c>
      <c r="M831" t="str">
        <f>IF(COUNTIF(role_data[role_id],role_course_map[[#This Row],[role_id]])=0, "INVALID","VALID")</f>
        <v>VALID</v>
      </c>
      <c r="N831" t="str">
        <f>IF(COUNTIF(course_data[course_id],role_course_map[[#This Row],[course_id]])=0, "INVALID","VALID")</f>
        <v>VALID</v>
      </c>
    </row>
    <row r="832" spans="1:14" x14ac:dyDescent="0.35">
      <c r="A832" t="s">
        <v>294</v>
      </c>
      <c r="B832" s="5" t="str">
        <f>_xlfn.XLOOKUP(role_course_map[[#This Row],[role_id]], role_data[role_id], role_data[Role],"")</f>
        <v>Neonatal Fellow</v>
      </c>
      <c r="C832">
        <v>999015</v>
      </c>
      <c r="D832" s="5" t="str">
        <f>_xlfn.XLOOKUP(role_course_map[[#This Row],[course_id]],course_data[course_id],course_data[title],"")</f>
        <v>Patient Assessment</v>
      </c>
      <c r="E832" s="5" t="str">
        <f>_xlfn.XLOOKUP(role_course_map[[#This Row],[course_id]],course_data[course_id],course_data[topic],"")</f>
        <v>SAS : Clinical Practice</v>
      </c>
      <c r="F832" s="5" t="str">
        <f>_xlfn.XLOOKUP(role_course_map[[#This Row],[course_id]],course_data[course_id],course_data[type],"")</f>
        <v>eLearning</v>
      </c>
      <c r="K832" t="str">
        <f>role_course_map[[#This Row],[role_id]] &amp; "|" &amp; role_course_map[[#This Row],[course_id]]</f>
        <v>R0141|999015</v>
      </c>
      <c r="L832" t="str">
        <f>IF(COUNTIF(role_course_map[mapping_key],role_course_map[[#This Row],[mapping_key]])&gt;1,"DUPLICATE","OK")</f>
        <v>OK</v>
      </c>
      <c r="M832" t="str">
        <f>IF(COUNTIF(role_data[role_id],role_course_map[[#This Row],[role_id]])=0, "INVALID","VALID")</f>
        <v>VALID</v>
      </c>
      <c r="N832" t="str">
        <f>IF(COUNTIF(course_data[course_id],role_course_map[[#This Row],[course_id]])=0, "INVALID","VALID")</f>
        <v>VALID</v>
      </c>
    </row>
    <row r="833" spans="1:14" x14ac:dyDescent="0.35">
      <c r="A833" t="s">
        <v>292</v>
      </c>
      <c r="B833" s="5" t="str">
        <f>_xlfn.XLOOKUP(role_course_map[[#This Row],[role_id]], role_data[role_id], role_data[Role],"")</f>
        <v>Neonatal Consultant</v>
      </c>
      <c r="C833">
        <v>999016</v>
      </c>
      <c r="D833" s="5" t="str">
        <f>_xlfn.XLOOKUP(role_course_map[[#This Row],[course_id]],course_data[course_id],course_data[title],"")</f>
        <v>Clinical Skills</v>
      </c>
      <c r="E833" s="5" t="str">
        <f>_xlfn.XLOOKUP(role_course_map[[#This Row],[course_id]],course_data[course_id],course_data[topic],"")</f>
        <v>SAS : Clinical Practice</v>
      </c>
      <c r="F833" s="5" t="str">
        <f>_xlfn.XLOOKUP(role_course_map[[#This Row],[course_id]],course_data[course_id],course_data[type],"")</f>
        <v>Course</v>
      </c>
      <c r="K833" t="str">
        <f>role_course_map[[#This Row],[role_id]] &amp; "|" &amp; role_course_map[[#This Row],[course_id]]</f>
        <v>R0140|999016</v>
      </c>
      <c r="L833" t="str">
        <f>IF(COUNTIF(role_course_map[mapping_key],role_course_map[[#This Row],[mapping_key]])&gt;1,"DUPLICATE","OK")</f>
        <v>OK</v>
      </c>
      <c r="M833" t="str">
        <f>IF(COUNTIF(role_data[role_id],role_course_map[[#This Row],[role_id]])=0, "INVALID","VALID")</f>
        <v>VALID</v>
      </c>
      <c r="N833" t="str">
        <f>IF(COUNTIF(course_data[course_id],role_course_map[[#This Row],[course_id]])=0, "INVALID","VALID")</f>
        <v>VALID</v>
      </c>
    </row>
    <row r="834" spans="1:14" x14ac:dyDescent="0.35">
      <c r="A834" t="s">
        <v>294</v>
      </c>
      <c r="B834" s="5" t="str">
        <f>_xlfn.XLOOKUP(role_course_map[[#This Row],[role_id]], role_data[role_id], role_data[Role],"")</f>
        <v>Neonatal Fellow</v>
      </c>
      <c r="C834">
        <v>999018</v>
      </c>
      <c r="D834" s="5" t="str">
        <f>_xlfn.XLOOKUP(role_course_map[[#This Row],[course_id]],course_data[course_id],course_data[title],"")</f>
        <v>Learning from Events</v>
      </c>
      <c r="E834" s="5" t="str">
        <f>_xlfn.XLOOKUP(role_course_map[[#This Row],[course_id]],course_data[course_id],course_data[topic],"")</f>
        <v>SAS : Clinical Practice</v>
      </c>
      <c r="F834" s="5" t="str">
        <f>_xlfn.XLOOKUP(role_course_map[[#This Row],[course_id]],course_data[course_id],course_data[type],"")</f>
        <v>eLearning</v>
      </c>
      <c r="K834" t="str">
        <f>role_course_map[[#This Row],[role_id]] &amp; "|" &amp; role_course_map[[#This Row],[course_id]]</f>
        <v>R0141|999018</v>
      </c>
      <c r="L834" t="str">
        <f>IF(COUNTIF(role_course_map[mapping_key],role_course_map[[#This Row],[mapping_key]])&gt;1,"DUPLICATE","OK")</f>
        <v>OK</v>
      </c>
      <c r="M834" t="str">
        <f>IF(COUNTIF(role_data[role_id],role_course_map[[#This Row],[role_id]])=0, "INVALID","VALID")</f>
        <v>VALID</v>
      </c>
      <c r="N834" t="str">
        <f>IF(COUNTIF(course_data[course_id],role_course_map[[#This Row],[course_id]])=0, "INVALID","VALID")</f>
        <v>VALID</v>
      </c>
    </row>
    <row r="835" spans="1:14" x14ac:dyDescent="0.35">
      <c r="A835" t="s">
        <v>294</v>
      </c>
      <c r="B835" s="5" t="str">
        <f>_xlfn.XLOOKUP(role_course_map[[#This Row],[role_id]], role_data[role_id], role_data[Role],"")</f>
        <v>Neonatal Fellow</v>
      </c>
      <c r="C835">
        <v>999019</v>
      </c>
      <c r="D835" s="5" t="str">
        <f>_xlfn.XLOOKUP(role_course_map[[#This Row],[course_id]],course_data[course_id],course_data[title],"")</f>
        <v>Medicines Management</v>
      </c>
      <c r="E835" s="5" t="str">
        <f>_xlfn.XLOOKUP(role_course_map[[#This Row],[course_id]],course_data[course_id],course_data[topic],"")</f>
        <v>SAS : Clinical Practice</v>
      </c>
      <c r="F835" s="5" t="str">
        <f>_xlfn.XLOOKUP(role_course_map[[#This Row],[course_id]],course_data[course_id],course_data[type],"")</f>
        <v>eLearning</v>
      </c>
      <c r="K835" t="str">
        <f>role_course_map[[#This Row],[role_id]] &amp; "|" &amp; role_course_map[[#This Row],[course_id]]</f>
        <v>R0141|999019</v>
      </c>
      <c r="L835" t="str">
        <f>IF(COUNTIF(role_course_map[mapping_key],role_course_map[[#This Row],[mapping_key]])&gt;1,"DUPLICATE","OK")</f>
        <v>OK</v>
      </c>
      <c r="M835" t="str">
        <f>IF(COUNTIF(role_data[role_id],role_course_map[[#This Row],[role_id]])=0, "INVALID","VALID")</f>
        <v>VALID</v>
      </c>
      <c r="N835" t="str">
        <f>IF(COUNTIF(course_data[course_id],role_course_map[[#This Row],[course_id]])=0, "INVALID","VALID")</f>
        <v>VALID</v>
      </c>
    </row>
    <row r="836" spans="1:14" x14ac:dyDescent="0.35">
      <c r="A836" t="s">
        <v>294</v>
      </c>
      <c r="B836" s="5" t="str">
        <f>_xlfn.XLOOKUP(role_course_map[[#This Row],[role_id]], role_data[role_id], role_data[Role],"")</f>
        <v>Neonatal Fellow</v>
      </c>
      <c r="C836">
        <v>999020</v>
      </c>
      <c r="D836" s="5" t="str">
        <f>_xlfn.XLOOKUP(role_course_map[[#This Row],[course_id]],course_data[course_id],course_data[title],"")</f>
        <v>JRCALC Update</v>
      </c>
      <c r="E836" s="5" t="str">
        <f>_xlfn.XLOOKUP(role_course_map[[#This Row],[course_id]],course_data[course_id],course_data[topic],"")</f>
        <v>SAS : Clinical Practice</v>
      </c>
      <c r="F836" s="5" t="str">
        <f>_xlfn.XLOOKUP(role_course_map[[#This Row],[course_id]],course_data[course_id],course_data[type],"")</f>
        <v>eLearning</v>
      </c>
      <c r="K836" t="str">
        <f>role_course_map[[#This Row],[role_id]] &amp; "|" &amp; role_course_map[[#This Row],[course_id]]</f>
        <v>R0141|999020</v>
      </c>
      <c r="L836" t="str">
        <f>IF(COUNTIF(role_course_map[mapping_key],role_course_map[[#This Row],[mapping_key]])&gt;1,"DUPLICATE","OK")</f>
        <v>OK</v>
      </c>
      <c r="M836" t="str">
        <f>IF(COUNTIF(role_data[role_id],role_course_map[[#This Row],[role_id]])=0, "INVALID","VALID")</f>
        <v>VALID</v>
      </c>
      <c r="N836" t="str">
        <f>IF(COUNTIF(course_data[course_id],role_course_map[[#This Row],[course_id]])=0, "INVALID","VALID")</f>
        <v>VALID</v>
      </c>
    </row>
    <row r="837" spans="1:14" x14ac:dyDescent="0.35">
      <c r="A837" t="s">
        <v>294</v>
      </c>
      <c r="B837" s="5" t="str">
        <f>_xlfn.XLOOKUP(role_course_map[[#This Row],[role_id]], role_data[role_id], role_data[Role],"")</f>
        <v>Neonatal Fellow</v>
      </c>
      <c r="C837">
        <v>999021</v>
      </c>
      <c r="D837" s="5" t="str">
        <f>_xlfn.XLOOKUP(role_course_map[[#This Row],[course_id]],course_data[course_id],course_data[title],"")</f>
        <v>Mental Health</v>
      </c>
      <c r="E837" s="5" t="str">
        <f>_xlfn.XLOOKUP(role_course_map[[#This Row],[course_id]],course_data[course_id],course_data[topic],"")</f>
        <v>SAS : Clinical Practice</v>
      </c>
      <c r="F837" s="5" t="str">
        <f>_xlfn.XLOOKUP(role_course_map[[#This Row],[course_id]],course_data[course_id],course_data[type],"")</f>
        <v>eLearning</v>
      </c>
      <c r="K837" t="str">
        <f>role_course_map[[#This Row],[role_id]] &amp; "|" &amp; role_course_map[[#This Row],[course_id]]</f>
        <v>R0141|999021</v>
      </c>
      <c r="L837" t="str">
        <f>IF(COUNTIF(role_course_map[mapping_key],role_course_map[[#This Row],[mapping_key]])&gt;1,"DUPLICATE","OK")</f>
        <v>OK</v>
      </c>
      <c r="M837" t="str">
        <f>IF(COUNTIF(role_data[role_id],role_course_map[[#This Row],[role_id]])=0, "INVALID","VALID")</f>
        <v>VALID</v>
      </c>
      <c r="N837" t="str">
        <f>IF(COUNTIF(course_data[course_id],role_course_map[[#This Row],[course_id]])=0, "INVALID","VALID")</f>
        <v>VALID</v>
      </c>
    </row>
    <row r="838" spans="1:14" x14ac:dyDescent="0.35">
      <c r="A838" t="s">
        <v>294</v>
      </c>
      <c r="B838" s="5" t="str">
        <f>_xlfn.XLOOKUP(role_course_map[[#This Row],[role_id]], role_data[role_id], role_data[Role],"")</f>
        <v>Neonatal Fellow</v>
      </c>
      <c r="C838">
        <v>999022</v>
      </c>
      <c r="D838" s="5" t="str">
        <f>_xlfn.XLOOKUP(role_course_map[[#This Row],[course_id]],course_data[course_id],course_data[title],"")</f>
        <v>Learning Disabilities</v>
      </c>
      <c r="E838" s="5" t="str">
        <f>_xlfn.XLOOKUP(role_course_map[[#This Row],[course_id]],course_data[course_id],course_data[topic],"")</f>
        <v>SAS : Clinical Practice</v>
      </c>
      <c r="F838" s="5" t="str">
        <f>_xlfn.XLOOKUP(role_course_map[[#This Row],[course_id]],course_data[course_id],course_data[type],"")</f>
        <v>eLearning</v>
      </c>
      <c r="K838" t="str">
        <f>role_course_map[[#This Row],[role_id]] &amp; "|" &amp; role_course_map[[#This Row],[course_id]]</f>
        <v>R0141|999022</v>
      </c>
      <c r="L838" t="str">
        <f>IF(COUNTIF(role_course_map[mapping_key],role_course_map[[#This Row],[mapping_key]])&gt;1,"DUPLICATE","OK")</f>
        <v>OK</v>
      </c>
      <c r="M838" t="str">
        <f>IF(COUNTIF(role_data[role_id],role_course_map[[#This Row],[role_id]])=0, "INVALID","VALID")</f>
        <v>VALID</v>
      </c>
      <c r="N838" t="str">
        <f>IF(COUNTIF(course_data[course_id],role_course_map[[#This Row],[course_id]])=0, "INVALID","VALID")</f>
        <v>VALID</v>
      </c>
    </row>
    <row r="839" spans="1:14" x14ac:dyDescent="0.35">
      <c r="A839" t="s">
        <v>294</v>
      </c>
      <c r="B839" s="5" t="str">
        <f>_xlfn.XLOOKUP(role_course_map[[#This Row],[role_id]], role_data[role_id], role_data[Role],"")</f>
        <v>Neonatal Fellow</v>
      </c>
      <c r="C839">
        <v>75202</v>
      </c>
      <c r="D839" s="5" t="str">
        <f>_xlfn.XLOOKUP(role_course_map[[#This Row],[course_id]],course_data[course_id],course_data[title],"")</f>
        <v>SAS : Clinical Practice</v>
      </c>
      <c r="E839" s="5" t="str">
        <f>_xlfn.XLOOKUP(role_course_map[[#This Row],[course_id]],course_data[course_id],course_data[topic],"")</f>
        <v>SAS : Clinical Practice</v>
      </c>
      <c r="F839" s="5" t="str">
        <f>_xlfn.XLOOKUP(role_course_map[[#This Row],[course_id]],course_data[course_id],course_data[type],"")</f>
        <v>Page</v>
      </c>
      <c r="K839" t="str">
        <f>role_course_map[[#This Row],[role_id]] &amp; "|" &amp; role_course_map[[#This Row],[course_id]]</f>
        <v>R0141|75202</v>
      </c>
      <c r="L839" t="str">
        <f>IF(COUNTIF(role_course_map[mapping_key],role_course_map[[#This Row],[mapping_key]])&gt;1,"DUPLICATE","OK")</f>
        <v>OK</v>
      </c>
      <c r="M839" t="str">
        <f>IF(COUNTIF(role_data[role_id],role_course_map[[#This Row],[role_id]])=0, "INVALID","VALID")</f>
        <v>VALID</v>
      </c>
      <c r="N839" t="str">
        <f>IF(COUNTIF(course_data[course_id],role_course_map[[#This Row],[course_id]])=0, "INVALID","VALID")</f>
        <v>VALID</v>
      </c>
    </row>
    <row r="840" spans="1:14" x14ac:dyDescent="0.35">
      <c r="A840" t="s">
        <v>294</v>
      </c>
      <c r="B840" s="5" t="str">
        <f>_xlfn.XLOOKUP(role_course_map[[#This Row],[role_id]], role_data[role_id], role_data[Role],"")</f>
        <v>Neonatal Fellow</v>
      </c>
      <c r="C840">
        <v>999023</v>
      </c>
      <c r="D840" s="5" t="str">
        <f>_xlfn.XLOOKUP(role_course_map[[#This Row],[course_id]],course_data[course_id],course_data[title],"")</f>
        <v>Dementia</v>
      </c>
      <c r="E840" s="5" t="str">
        <f>_xlfn.XLOOKUP(role_course_map[[#This Row],[course_id]],course_data[course_id],course_data[topic],"")</f>
        <v>SAS : Clinical Practice</v>
      </c>
      <c r="F840" s="5" t="str">
        <f>_xlfn.XLOOKUP(role_course_map[[#This Row],[course_id]],course_data[course_id],course_data[type],"")</f>
        <v>eLearning</v>
      </c>
      <c r="K840" t="str">
        <f>role_course_map[[#This Row],[role_id]] &amp; "|" &amp; role_course_map[[#This Row],[course_id]]</f>
        <v>R0141|999023</v>
      </c>
      <c r="L840" t="str">
        <f>IF(COUNTIF(role_course_map[mapping_key],role_course_map[[#This Row],[mapping_key]])&gt;1,"DUPLICATE","OK")</f>
        <v>OK</v>
      </c>
      <c r="M840" t="str">
        <f>IF(COUNTIF(role_data[role_id],role_course_map[[#This Row],[role_id]])=0, "INVALID","VALID")</f>
        <v>VALID</v>
      </c>
      <c r="N840" t="str">
        <f>IF(COUNTIF(course_data[course_id],role_course_map[[#This Row],[course_id]])=0, "INVALID","VALID")</f>
        <v>VALID</v>
      </c>
    </row>
    <row r="841" spans="1:14" x14ac:dyDescent="0.35">
      <c r="A841" t="s">
        <v>292</v>
      </c>
      <c r="B841" s="5" t="str">
        <f>_xlfn.XLOOKUP(role_course_map[[#This Row],[role_id]], role_data[role_id], role_data[Role],"")</f>
        <v>Neonatal Consultant</v>
      </c>
      <c r="C841">
        <v>999024</v>
      </c>
      <c r="D841" s="5" t="str">
        <f>_xlfn.XLOOKUP(role_course_map[[#This Row],[course_id]],course_data[course_id],course_data[title],"")</f>
        <v>Conditions requiring specific hospital management. I.e. Parkinsons</v>
      </c>
      <c r="E841" s="5" t="str">
        <f>_xlfn.XLOOKUP(role_course_map[[#This Row],[course_id]],course_data[course_id],course_data[topic],"")</f>
        <v>SAS : Clinical Practice</v>
      </c>
      <c r="F841" s="5" t="str">
        <f>_xlfn.XLOOKUP(role_course_map[[#This Row],[course_id]],course_data[course_id],course_data[type],"")</f>
        <v>eLearning</v>
      </c>
      <c r="K841" t="str">
        <f>role_course_map[[#This Row],[role_id]] &amp; "|" &amp; role_course_map[[#This Row],[course_id]]</f>
        <v>R0140|999024</v>
      </c>
      <c r="L841" t="str">
        <f>IF(COUNTIF(role_course_map[mapping_key],role_course_map[[#This Row],[mapping_key]])&gt;1,"DUPLICATE","OK")</f>
        <v>OK</v>
      </c>
      <c r="M841" t="str">
        <f>IF(COUNTIF(role_data[role_id],role_course_map[[#This Row],[role_id]])=0, "INVALID","VALID")</f>
        <v>VALID</v>
      </c>
      <c r="N841" t="str">
        <f>IF(COUNTIF(course_data[course_id],role_course_map[[#This Row],[course_id]])=0, "INVALID","VALID")</f>
        <v>VALID</v>
      </c>
    </row>
    <row r="842" spans="1:14" x14ac:dyDescent="0.35">
      <c r="A842" t="s">
        <v>294</v>
      </c>
      <c r="B842" s="5" t="str">
        <f>_xlfn.XLOOKUP(role_course_map[[#This Row],[role_id]], role_data[role_id], role_data[Role],"")</f>
        <v>Neonatal Fellow</v>
      </c>
      <c r="C842">
        <v>999095</v>
      </c>
      <c r="D842" s="5" t="str">
        <f>_xlfn.XLOOKUP(role_course_map[[#This Row],[course_id]],course_data[course_id],course_data[title],"")</f>
        <v>Mentoring</v>
      </c>
      <c r="E842" s="5" t="str">
        <f>_xlfn.XLOOKUP(role_course_map[[#This Row],[course_id]],course_data[course_id],course_data[topic],"")</f>
        <v>SAS: Staff development and experience</v>
      </c>
      <c r="F842" s="5" t="str">
        <f>_xlfn.XLOOKUP(role_course_map[[#This Row],[course_id]],course_data[course_id],course_data[type],"")</f>
        <v>eLearning</v>
      </c>
      <c r="K842" t="str">
        <f>role_course_map[[#This Row],[role_id]] &amp; "|" &amp; role_course_map[[#This Row],[course_id]]</f>
        <v>R0141|999095</v>
      </c>
      <c r="L842" t="str">
        <f>IF(COUNTIF(role_course_map[mapping_key],role_course_map[[#This Row],[mapping_key]])&gt;1,"DUPLICATE","OK")</f>
        <v>OK</v>
      </c>
      <c r="M842" t="str">
        <f>IF(COUNTIF(role_data[role_id],role_course_map[[#This Row],[role_id]])=0, "INVALID","VALID")</f>
        <v>VALID</v>
      </c>
      <c r="N842" t="str">
        <f>IF(COUNTIF(course_data[course_id],role_course_map[[#This Row],[course_id]])=0, "INVALID","VALID")</f>
        <v>VALID</v>
      </c>
    </row>
    <row r="843" spans="1:14" x14ac:dyDescent="0.35">
      <c r="A843" t="s">
        <v>294</v>
      </c>
      <c r="B843" s="5" t="str">
        <f>_xlfn.XLOOKUP(role_course_map[[#This Row],[role_id]], role_data[role_id], role_data[Role],"")</f>
        <v>Neonatal Fellow</v>
      </c>
      <c r="C843">
        <v>999096</v>
      </c>
      <c r="D843" s="5" t="str">
        <f>_xlfn.XLOOKUP(role_course_map[[#This Row],[course_id]],course_data[course_id],course_data[title],"")</f>
        <v>Supporting others in practice (Supervision)</v>
      </c>
      <c r="E843" s="5" t="str">
        <f>_xlfn.XLOOKUP(role_course_map[[#This Row],[course_id]],course_data[course_id],course_data[topic],"")</f>
        <v>SAS: Staff development and experience</v>
      </c>
      <c r="F843" s="5" t="str">
        <f>_xlfn.XLOOKUP(role_course_map[[#This Row],[course_id]],course_data[course_id],course_data[type],"")</f>
        <v>Course</v>
      </c>
      <c r="K843" t="str">
        <f>role_course_map[[#This Row],[role_id]] &amp; "|" &amp; role_course_map[[#This Row],[course_id]]</f>
        <v>R0141|999096</v>
      </c>
      <c r="L843" t="str">
        <f>IF(COUNTIF(role_course_map[mapping_key],role_course_map[[#This Row],[mapping_key]])&gt;1,"DUPLICATE","OK")</f>
        <v>OK</v>
      </c>
      <c r="M843" t="str">
        <f>IF(COUNTIF(role_data[role_id],role_course_map[[#This Row],[role_id]])=0, "INVALID","VALID")</f>
        <v>VALID</v>
      </c>
      <c r="N843" t="str">
        <f>IF(COUNTIF(course_data[course_id],role_course_map[[#This Row],[course_id]])=0, "INVALID","VALID")</f>
        <v>VALID</v>
      </c>
    </row>
    <row r="844" spans="1:14" x14ac:dyDescent="0.35">
      <c r="A844" t="s">
        <v>294</v>
      </c>
      <c r="B844" s="5" t="str">
        <f>_xlfn.XLOOKUP(role_course_map[[#This Row],[role_id]], role_data[role_id], role_data[Role],"")</f>
        <v>Neonatal Fellow</v>
      </c>
      <c r="C844">
        <v>999097</v>
      </c>
      <c r="D844" s="5" t="str">
        <f>_xlfn.XLOOKUP(role_course_map[[#This Row],[course_id]],course_data[course_id],course_data[title],"")</f>
        <v>Personal Wellbeing</v>
      </c>
      <c r="E844" s="5" t="str">
        <f>_xlfn.XLOOKUP(role_course_map[[#This Row],[course_id]],course_data[course_id],course_data[topic],"")</f>
        <v>SAS: Staff development and experience</v>
      </c>
      <c r="F844" s="5" t="str">
        <f>_xlfn.XLOOKUP(role_course_map[[#This Row],[course_id]],course_data[course_id],course_data[type],"")</f>
        <v>eLearning</v>
      </c>
      <c r="K844" t="str">
        <f>role_course_map[[#This Row],[role_id]] &amp; "|" &amp; role_course_map[[#This Row],[course_id]]</f>
        <v>R0141|999097</v>
      </c>
      <c r="L844" t="str">
        <f>IF(COUNTIF(role_course_map[mapping_key],role_course_map[[#This Row],[mapping_key]])&gt;1,"DUPLICATE","OK")</f>
        <v>OK</v>
      </c>
      <c r="M844" t="str">
        <f>IF(COUNTIF(role_data[role_id],role_course_map[[#This Row],[role_id]])=0, "INVALID","VALID")</f>
        <v>VALID</v>
      </c>
      <c r="N844" t="str">
        <f>IF(COUNTIF(course_data[course_id],role_course_map[[#This Row],[course_id]])=0, "INVALID","VALID")</f>
        <v>VALID</v>
      </c>
    </row>
    <row r="845" spans="1:14" x14ac:dyDescent="0.35">
      <c r="A845" t="s">
        <v>294</v>
      </c>
      <c r="B845" s="5" t="str">
        <f>_xlfn.XLOOKUP(role_course_map[[#This Row],[role_id]], role_data[role_id], role_data[Role],"")</f>
        <v>Neonatal Fellow</v>
      </c>
      <c r="C845">
        <v>999058</v>
      </c>
      <c r="D845" s="5" t="str">
        <f>_xlfn.XLOOKUP(role_course_map[[#This Row],[course_id]],course_data[course_id],course_data[title],"")</f>
        <v>Stress Identification &amp; Stress Management</v>
      </c>
      <c r="E845" s="5" t="str">
        <f>_xlfn.XLOOKUP(role_course_map[[#This Row],[course_id]],course_data[course_id],course_data[topic],"")</f>
        <v>SAS : Health and Safety</v>
      </c>
      <c r="F845" s="5" t="str">
        <f>_xlfn.XLOOKUP(role_course_map[[#This Row],[course_id]],course_data[course_id],course_data[type],"")</f>
        <v>eLearning</v>
      </c>
      <c r="K845" t="str">
        <f>role_course_map[[#This Row],[role_id]] &amp; "|" &amp; role_course_map[[#This Row],[course_id]]</f>
        <v>R0141|999058</v>
      </c>
      <c r="L845" t="str">
        <f>IF(COUNTIF(role_course_map[mapping_key],role_course_map[[#This Row],[mapping_key]])&gt;1,"DUPLICATE","OK")</f>
        <v>OK</v>
      </c>
      <c r="M845" t="str">
        <f>IF(COUNTIF(role_data[role_id],role_course_map[[#This Row],[role_id]])=0, "INVALID","VALID")</f>
        <v>VALID</v>
      </c>
      <c r="N845" t="str">
        <f>IF(COUNTIF(course_data[course_id],role_course_map[[#This Row],[course_id]])=0, "INVALID","VALID")</f>
        <v>VALID</v>
      </c>
    </row>
    <row r="846" spans="1:14" x14ac:dyDescent="0.35">
      <c r="A846" t="s">
        <v>292</v>
      </c>
      <c r="B846" s="5" t="str">
        <f>_xlfn.XLOOKUP(role_course_map[[#This Row],[role_id]], role_data[role_id], role_data[Role],"")</f>
        <v>Neonatal Consultant</v>
      </c>
      <c r="C846">
        <v>999056</v>
      </c>
      <c r="D846" s="5" t="str">
        <f>_xlfn.XLOOKUP(role_course_map[[#This Row],[course_id]],course_data[course_id],course_data[title],"")</f>
        <v>Driver Assessment &amp; Training</v>
      </c>
      <c r="E846" s="5" t="str">
        <f>_xlfn.XLOOKUP(role_course_map[[#This Row],[course_id]],course_data[course_id],course_data[topic],"")</f>
        <v>SAS : Health and Safety</v>
      </c>
      <c r="F846" s="5" t="str">
        <f>_xlfn.XLOOKUP(role_course_map[[#This Row],[course_id]],course_data[course_id],course_data[type],"")</f>
        <v>eLearning</v>
      </c>
      <c r="K846" t="str">
        <f>role_course_map[[#This Row],[role_id]] &amp; "|" &amp; role_course_map[[#This Row],[course_id]]</f>
        <v>R0140|999056</v>
      </c>
      <c r="L846" t="str">
        <f>IF(COUNTIF(role_course_map[mapping_key],role_course_map[[#This Row],[mapping_key]])&gt;1,"DUPLICATE","OK")</f>
        <v>OK</v>
      </c>
      <c r="M846" t="str">
        <f>IF(COUNTIF(role_data[role_id],role_course_map[[#This Row],[role_id]])=0, "INVALID","VALID")</f>
        <v>VALID</v>
      </c>
      <c r="N846" t="str">
        <f>IF(COUNTIF(course_data[course_id],role_course_map[[#This Row],[course_id]])=0, "INVALID","VALID")</f>
        <v>VALID</v>
      </c>
    </row>
    <row r="847" spans="1:14" x14ac:dyDescent="0.35">
      <c r="A847" t="s">
        <v>294</v>
      </c>
      <c r="B847" s="5" t="str">
        <f>_xlfn.XLOOKUP(role_course_map[[#This Row],[role_id]], role_data[role_id], role_data[Role],"")</f>
        <v>Neonatal Fellow</v>
      </c>
      <c r="C847">
        <v>999061</v>
      </c>
      <c r="D847" s="5" t="str">
        <f>_xlfn.XLOOKUP(role_course_map[[#This Row],[course_id]],course_data[course_id],course_data[title],"")</f>
        <v>Skin Awareness</v>
      </c>
      <c r="E847" s="5" t="str">
        <f>_xlfn.XLOOKUP(role_course_map[[#This Row],[course_id]],course_data[course_id],course_data[topic],"")</f>
        <v>SAS : Health and Safety</v>
      </c>
      <c r="F847" s="5" t="str">
        <f>_xlfn.XLOOKUP(role_course_map[[#This Row],[course_id]],course_data[course_id],course_data[type],"")</f>
        <v>eLearning</v>
      </c>
      <c r="K847" t="str">
        <f>role_course_map[[#This Row],[role_id]] &amp; "|" &amp; role_course_map[[#This Row],[course_id]]</f>
        <v>R0141|999061</v>
      </c>
      <c r="L847" t="str">
        <f>IF(COUNTIF(role_course_map[mapping_key],role_course_map[[#This Row],[mapping_key]])&gt;1,"DUPLICATE","OK")</f>
        <v>OK</v>
      </c>
      <c r="M847" t="str">
        <f>IF(COUNTIF(role_data[role_id],role_course_map[[#This Row],[role_id]])=0, "INVALID","VALID")</f>
        <v>VALID</v>
      </c>
      <c r="N847" t="str">
        <f>IF(COUNTIF(course_data[course_id],role_course_map[[#This Row],[course_id]])=0, "INVALID","VALID")</f>
        <v>VALID</v>
      </c>
    </row>
    <row r="848" spans="1:14" x14ac:dyDescent="0.35">
      <c r="A848" t="s">
        <v>292</v>
      </c>
      <c r="B848" s="5" t="str">
        <f>_xlfn.XLOOKUP(role_course_map[[#This Row],[role_id]], role_data[role_id], role_data[Role],"")</f>
        <v>Neonatal Consultant</v>
      </c>
      <c r="C848">
        <v>999057</v>
      </c>
      <c r="D848" s="5" t="str">
        <f>_xlfn.XLOOKUP(role_course_map[[#This Row],[course_id]],course_data[course_id],course_data[title],"")</f>
        <v>Fatigue Awareness</v>
      </c>
      <c r="E848" s="5" t="str">
        <f>_xlfn.XLOOKUP(role_course_map[[#This Row],[course_id]],course_data[course_id],course_data[topic],"")</f>
        <v>SAS : Health and Safety</v>
      </c>
      <c r="F848" s="5" t="str">
        <f>_xlfn.XLOOKUP(role_course_map[[#This Row],[course_id]],course_data[course_id],course_data[type],"")</f>
        <v>eLearning</v>
      </c>
      <c r="K848" t="str">
        <f>role_course_map[[#This Row],[role_id]] &amp; "|" &amp; role_course_map[[#This Row],[course_id]]</f>
        <v>R0140|999057</v>
      </c>
      <c r="L848" t="str">
        <f>IF(COUNTIF(role_course_map[mapping_key],role_course_map[[#This Row],[mapping_key]])&gt;1,"DUPLICATE","OK")</f>
        <v>OK</v>
      </c>
      <c r="M848" t="str">
        <f>IF(COUNTIF(role_data[role_id],role_course_map[[#This Row],[role_id]])=0, "INVALID","VALID")</f>
        <v>VALID</v>
      </c>
      <c r="N848" t="str">
        <f>IF(COUNTIF(course_data[course_id],role_course_map[[#This Row],[course_id]])=0, "INVALID","VALID")</f>
        <v>VALID</v>
      </c>
    </row>
    <row r="849" spans="1:14" x14ac:dyDescent="0.35">
      <c r="A849" t="s">
        <v>294</v>
      </c>
      <c r="B849" s="5" t="str">
        <f>_xlfn.XLOOKUP(role_course_map[[#This Row],[role_id]], role_data[role_id], role_data[Role],"")</f>
        <v>Neonatal Fellow</v>
      </c>
      <c r="C849">
        <v>999027</v>
      </c>
      <c r="D849" s="5" t="str">
        <f>_xlfn.XLOOKUP(role_course_map[[#This Row],[course_id]],course_data[course_id],course_data[title],"")</f>
        <v>Manual and Patient Handling Foundation Training - Level 2</v>
      </c>
      <c r="E849" s="5" t="str">
        <f>_xlfn.XLOOKUP(role_course_map[[#This Row],[course_id]],course_data[course_id],course_data[topic],"")</f>
        <v>SAS : Clinical Practice</v>
      </c>
      <c r="F849" s="5" t="str">
        <f>_xlfn.XLOOKUP(role_course_map[[#This Row],[course_id]],course_data[course_id],course_data[type],"")</f>
        <v>Course</v>
      </c>
      <c r="K849" t="str">
        <f>role_course_map[[#This Row],[role_id]] &amp; "|" &amp; role_course_map[[#This Row],[course_id]]</f>
        <v>R0141|999027</v>
      </c>
      <c r="L849" t="str">
        <f>IF(COUNTIF(role_course_map[mapping_key],role_course_map[[#This Row],[mapping_key]])&gt;1,"DUPLICATE","OK")</f>
        <v>OK</v>
      </c>
      <c r="M849" t="str">
        <f>IF(COUNTIF(role_data[role_id],role_course_map[[#This Row],[role_id]])=0, "INVALID","VALID")</f>
        <v>VALID</v>
      </c>
      <c r="N849" t="str">
        <f>IF(COUNTIF(course_data[course_id],role_course_map[[#This Row],[course_id]])=0, "INVALID","VALID")</f>
        <v>VALID</v>
      </c>
    </row>
    <row r="850" spans="1:14" x14ac:dyDescent="0.35">
      <c r="A850" t="s">
        <v>294</v>
      </c>
      <c r="B850" s="5" t="str">
        <f>_xlfn.XLOOKUP(role_course_map[[#This Row],[role_id]], role_data[role_id], role_data[Role],"")</f>
        <v>Neonatal Fellow</v>
      </c>
      <c r="C850">
        <v>999028</v>
      </c>
      <c r="D850" s="5" t="str">
        <f>_xlfn.XLOOKUP(role_course_map[[#This Row],[course_id]],course_data[course_id],course_data[title],"")</f>
        <v>Manual and Patient Handling Competency Assessment - Level 3</v>
      </c>
      <c r="E850" s="5" t="str">
        <f>_xlfn.XLOOKUP(role_course_map[[#This Row],[course_id]],course_data[course_id],course_data[topic],"")</f>
        <v>SAS : Clinical Practice</v>
      </c>
      <c r="F850" s="5" t="str">
        <f>_xlfn.XLOOKUP(role_course_map[[#This Row],[course_id]],course_data[course_id],course_data[type],"")</f>
        <v>Course</v>
      </c>
      <c r="K850" t="str">
        <f>role_course_map[[#This Row],[role_id]] &amp; "|" &amp; role_course_map[[#This Row],[course_id]]</f>
        <v>R0141|999028</v>
      </c>
      <c r="L850" t="str">
        <f>IF(COUNTIF(role_course_map[mapping_key],role_course_map[[#This Row],[mapping_key]])&gt;1,"DUPLICATE","OK")</f>
        <v>OK</v>
      </c>
      <c r="M850" t="str">
        <f>IF(COUNTIF(role_data[role_id],role_course_map[[#This Row],[role_id]])=0, "INVALID","VALID")</f>
        <v>VALID</v>
      </c>
      <c r="N850" t="str">
        <f>IF(COUNTIF(course_data[course_id],role_course_map[[#This Row],[course_id]])=0, "INVALID","VALID")</f>
        <v>VALID</v>
      </c>
    </row>
    <row r="851" spans="1:14" x14ac:dyDescent="0.35">
      <c r="A851" t="s">
        <v>294</v>
      </c>
      <c r="B851" s="5" t="str">
        <f>_xlfn.XLOOKUP(role_course_map[[#This Row],[role_id]], role_data[role_id], role_data[Role],"")</f>
        <v>Neonatal Fellow</v>
      </c>
      <c r="C851">
        <v>999029</v>
      </c>
      <c r="D851" s="5" t="str">
        <f>_xlfn.XLOOKUP(role_course_map[[#This Row],[course_id]],course_data[course_id],course_data[title],"")</f>
        <v>Manual and Patient Handling Competency Assessment Theory - Level 3</v>
      </c>
      <c r="E851" s="5" t="str">
        <f>_xlfn.XLOOKUP(role_course_map[[#This Row],[course_id]],course_data[course_id],course_data[topic],"")</f>
        <v>SAS : Clinical Practice</v>
      </c>
      <c r="F851" s="5" t="str">
        <f>_xlfn.XLOOKUP(role_course_map[[#This Row],[course_id]],course_data[course_id],course_data[type],"")</f>
        <v>Course</v>
      </c>
      <c r="K851" t="str">
        <f>role_course_map[[#This Row],[role_id]] &amp; "|" &amp; role_course_map[[#This Row],[course_id]]</f>
        <v>R0141|999029</v>
      </c>
      <c r="L851" t="str">
        <f>IF(COUNTIF(role_course_map[mapping_key],role_course_map[[#This Row],[mapping_key]])&gt;1,"DUPLICATE","OK")</f>
        <v>OK</v>
      </c>
      <c r="M851" t="str">
        <f>IF(COUNTIF(role_data[role_id],role_course_map[[#This Row],[role_id]])=0, "INVALID","VALID")</f>
        <v>VALID</v>
      </c>
      <c r="N851" t="str">
        <f>IF(COUNTIF(course_data[course_id],role_course_map[[#This Row],[course_id]])=0, "INVALID","VALID")</f>
        <v>VALID</v>
      </c>
    </row>
    <row r="852" spans="1:14" x14ac:dyDescent="0.35">
      <c r="A852" t="s">
        <v>294</v>
      </c>
      <c r="B852" s="5" t="str">
        <f>_xlfn.XLOOKUP(role_course_map[[#This Row],[role_id]], role_data[role_id], role_data[Role],"")</f>
        <v>Neonatal Fellow</v>
      </c>
      <c r="C852" t="s">
        <v>659</v>
      </c>
      <c r="D852" s="5" t="str">
        <f>_xlfn.XLOOKUP(role_course_map[[#This Row],[course_id]],course_data[course_id],course_data[title],"")</f>
        <v>Prevention and Management of Violence and Aggression - Breakaway training Level 2 /Restrictive movement Level 3</v>
      </c>
      <c r="E852" s="5" t="str">
        <f>_xlfn.XLOOKUP(role_course_map[[#This Row],[course_id]],course_data[course_id],course_data[topic],"")</f>
        <v>SAS : Health and Safety</v>
      </c>
      <c r="F852" s="5" t="str">
        <f>_xlfn.XLOOKUP(role_course_map[[#This Row],[course_id]],course_data[course_id],course_data[type],"")</f>
        <v>Course</v>
      </c>
      <c r="K852" t="str">
        <f>role_course_map[[#This Row],[role_id]] &amp; "|" &amp; role_course_map[[#This Row],[course_id]]</f>
        <v>R0141|2025-6 edition</v>
      </c>
      <c r="L852" t="str">
        <f>IF(COUNTIF(role_course_map[mapping_key],role_course_map[[#This Row],[mapping_key]])&gt;1,"DUPLICATE","OK")</f>
        <v>OK</v>
      </c>
      <c r="M852" t="str">
        <f>IF(COUNTIF(role_data[role_id],role_course_map[[#This Row],[role_id]])=0, "INVALID","VALID")</f>
        <v>VALID</v>
      </c>
      <c r="N852" t="str">
        <f>IF(COUNTIF(course_data[course_id],role_course_map[[#This Row],[course_id]])=0, "INVALID","VALID")</f>
        <v>VALID</v>
      </c>
    </row>
    <row r="853" spans="1:14" x14ac:dyDescent="0.35">
      <c r="A853" t="s">
        <v>294</v>
      </c>
      <c r="B853" s="5" t="str">
        <f>_xlfn.XLOOKUP(role_course_map[[#This Row],[role_id]], role_data[role_id], role_data[Role],"")</f>
        <v>Neonatal Fellow</v>
      </c>
      <c r="C853">
        <v>999055</v>
      </c>
      <c r="D853" s="5" t="str">
        <f>_xlfn.XLOOKUP(role_course_map[[#This Row],[course_id]],course_data[course_id],course_data[title],"")</f>
        <v>Prevention and Management of Violence and Aggression - Refresher</v>
      </c>
      <c r="E853" s="5" t="str">
        <f>_xlfn.XLOOKUP(role_course_map[[#This Row],[course_id]],course_data[course_id],course_data[topic],"")</f>
        <v>SAS : Health and Safety</v>
      </c>
      <c r="F853" s="5" t="str">
        <f>_xlfn.XLOOKUP(role_course_map[[#This Row],[course_id]],course_data[course_id],course_data[type],"")</f>
        <v>Course</v>
      </c>
      <c r="K853" t="str">
        <f>role_course_map[[#This Row],[role_id]] &amp; "|" &amp; role_course_map[[#This Row],[course_id]]</f>
        <v>R0141|999055</v>
      </c>
      <c r="L853" t="str">
        <f>IF(COUNTIF(role_course_map[mapping_key],role_course_map[[#This Row],[mapping_key]])&gt;1,"DUPLICATE","OK")</f>
        <v>OK</v>
      </c>
      <c r="M853" t="str">
        <f>IF(COUNTIF(role_data[role_id],role_course_map[[#This Row],[role_id]])=0, "INVALID","VALID")</f>
        <v>VALID</v>
      </c>
      <c r="N853" t="str">
        <f>IF(COUNTIF(course_data[course_id],role_course_map[[#This Row],[course_id]])=0, "INVALID","VALID")</f>
        <v>VALID</v>
      </c>
    </row>
    <row r="854" spans="1:14" x14ac:dyDescent="0.35">
      <c r="A854" t="s">
        <v>294</v>
      </c>
      <c r="B854" s="5" t="str">
        <f>_xlfn.XLOOKUP(role_course_map[[#This Row],[role_id]], role_data[role_id], role_data[Role],"")</f>
        <v>Neonatal Fellow</v>
      </c>
      <c r="C854">
        <v>64322</v>
      </c>
      <c r="D854" s="5" t="str">
        <f>_xlfn.XLOOKUP(role_course_map[[#This Row],[course_id]],course_data[course_id],course_data[title],"")</f>
        <v>Adult support and protection: practice level 2 [skilled]</v>
      </c>
      <c r="E854" s="5" t="str">
        <f>_xlfn.XLOOKUP(role_course_map[[#This Row],[course_id]],course_data[course_id],course_data[topic],"")</f>
        <v>SAS : Public Protection</v>
      </c>
      <c r="F854" s="5" t="str">
        <f>_xlfn.XLOOKUP(role_course_map[[#This Row],[course_id]],course_data[course_id],course_data[type],"")</f>
        <v>eLearning</v>
      </c>
      <c r="K854" t="str">
        <f>role_course_map[[#This Row],[role_id]] &amp; "|" &amp; role_course_map[[#This Row],[course_id]]</f>
        <v>R0141|64322</v>
      </c>
      <c r="L854" t="str">
        <f>IF(COUNTIF(role_course_map[mapping_key],role_course_map[[#This Row],[mapping_key]])&gt;1,"DUPLICATE","OK")</f>
        <v>OK</v>
      </c>
      <c r="M854" t="str">
        <f>IF(COUNTIF(role_data[role_id],role_course_map[[#This Row],[role_id]])=0, "INVALID","VALID")</f>
        <v>VALID</v>
      </c>
      <c r="N854" t="str">
        <f>IF(COUNTIF(course_data[course_id],role_course_map[[#This Row],[course_id]])=0, "INVALID","VALID")</f>
        <v>VALID</v>
      </c>
    </row>
    <row r="855" spans="1:14" x14ac:dyDescent="0.35">
      <c r="A855" t="s">
        <v>294</v>
      </c>
      <c r="B855" s="5" t="str">
        <f>_xlfn.XLOOKUP(role_course_map[[#This Row],[role_id]], role_data[role_id], role_data[Role],"")</f>
        <v>Neonatal Fellow</v>
      </c>
      <c r="C855">
        <v>64324</v>
      </c>
      <c r="D855" s="5" t="str">
        <f>_xlfn.XLOOKUP(role_course_map[[#This Row],[course_id]],course_data[course_id],course_data[title],"")</f>
        <v>Child protection: practice level 2 [skilled]</v>
      </c>
      <c r="E855" s="5" t="str">
        <f>_xlfn.XLOOKUP(role_course_map[[#This Row],[course_id]],course_data[course_id],course_data[topic],"")</f>
        <v>SAS : Public Protection</v>
      </c>
      <c r="F855" s="5" t="str">
        <f>_xlfn.XLOOKUP(role_course_map[[#This Row],[course_id]],course_data[course_id],course_data[type],"")</f>
        <v>eLearning</v>
      </c>
      <c r="K855" t="str">
        <f>role_course_map[[#This Row],[role_id]] &amp; "|" &amp; role_course_map[[#This Row],[course_id]]</f>
        <v>R0141|64324</v>
      </c>
      <c r="L855" t="str">
        <f>IF(COUNTIF(role_course_map[mapping_key],role_course_map[[#This Row],[mapping_key]])&gt;1,"DUPLICATE","OK")</f>
        <v>OK</v>
      </c>
      <c r="M855" t="str">
        <f>IF(COUNTIF(role_data[role_id],role_course_map[[#This Row],[role_id]])=0, "INVALID","VALID")</f>
        <v>VALID</v>
      </c>
      <c r="N855" t="str">
        <f>IF(COUNTIF(course_data[course_id],role_course_map[[#This Row],[course_id]])=0, "INVALID","VALID")</f>
        <v>VALID</v>
      </c>
    </row>
    <row r="856" spans="1:14" x14ac:dyDescent="0.35">
      <c r="A856" t="s">
        <v>292</v>
      </c>
      <c r="B856" s="5" t="str">
        <f>_xlfn.XLOOKUP(role_course_map[[#This Row],[role_id]], role_data[role_id], role_data[Role],"")</f>
        <v>Neonatal Consultant</v>
      </c>
      <c r="C856">
        <v>76716</v>
      </c>
      <c r="D856" s="5" t="str">
        <f>_xlfn.XLOOKUP(role_course_map[[#This Row],[course_id]],course_data[course_id],course_data[title],"")</f>
        <v>Domestic abuse awareness training tool (DAART)</v>
      </c>
      <c r="E856" s="5" t="str">
        <f>_xlfn.XLOOKUP(role_course_map[[#This Row],[course_id]],course_data[course_id],course_data[topic],"")</f>
        <v>SAS : Public Protection</v>
      </c>
      <c r="F856" s="5" t="str">
        <f>_xlfn.XLOOKUP(role_course_map[[#This Row],[course_id]],course_data[course_id],course_data[type],"")</f>
        <v>eLearning</v>
      </c>
      <c r="K856" t="str">
        <f>role_course_map[[#This Row],[role_id]] &amp; "|" &amp; role_course_map[[#This Row],[course_id]]</f>
        <v>R0140|76716</v>
      </c>
      <c r="L856" t="str">
        <f>IF(COUNTIF(role_course_map[mapping_key],role_course_map[[#This Row],[mapping_key]])&gt;1,"DUPLICATE","OK")</f>
        <v>OK</v>
      </c>
      <c r="M856" t="str">
        <f>IF(COUNTIF(role_data[role_id],role_course_map[[#This Row],[role_id]])=0, "INVALID","VALID")</f>
        <v>VALID</v>
      </c>
      <c r="N856" t="str">
        <f>IF(COUNTIF(course_data[course_id],role_course_map[[#This Row],[course_id]])=0, "INVALID","VALID")</f>
        <v>VALID</v>
      </c>
    </row>
    <row r="857" spans="1:14" x14ac:dyDescent="0.35">
      <c r="A857" t="s">
        <v>294</v>
      </c>
      <c r="B857" s="5" t="str">
        <f>_xlfn.XLOOKUP(role_course_map[[#This Row],[role_id]], role_data[role_id], role_data[Role],"")</f>
        <v>Neonatal Fellow</v>
      </c>
      <c r="C857">
        <v>79666</v>
      </c>
      <c r="D857" s="5" t="str">
        <f>_xlfn.XLOOKUP(role_course_map[[#This Row],[course_id]],course_data[course_id],course_data[title],"")</f>
        <v>Getting it right for every child (GIRFEC): informed level</v>
      </c>
      <c r="E857" s="5" t="str">
        <f>_xlfn.XLOOKUP(role_course_map[[#This Row],[course_id]],course_data[course_id],course_data[topic],"")</f>
        <v>SAS : Public Protection</v>
      </c>
      <c r="F857" s="5" t="str">
        <f>_xlfn.XLOOKUP(role_course_map[[#This Row],[course_id]],course_data[course_id],course_data[type],"")</f>
        <v>eLearning</v>
      </c>
      <c r="K857" t="str">
        <f>role_course_map[[#This Row],[role_id]] &amp; "|" &amp; role_course_map[[#This Row],[course_id]]</f>
        <v>R0141|79666</v>
      </c>
      <c r="L857" t="str">
        <f>IF(COUNTIF(role_course_map[mapping_key],role_course_map[[#This Row],[mapping_key]])&gt;1,"DUPLICATE","OK")</f>
        <v>OK</v>
      </c>
      <c r="M857" t="str">
        <f>IF(COUNTIF(role_data[role_id],role_course_map[[#This Row],[role_id]])=0, "INVALID","VALID")</f>
        <v>VALID</v>
      </c>
      <c r="N857" t="str">
        <f>IF(COUNTIF(course_data[course_id],role_course_map[[#This Row],[course_id]])=0, "INVALID","VALID")</f>
        <v>VALID</v>
      </c>
    </row>
    <row r="858" spans="1:14" x14ac:dyDescent="0.35">
      <c r="A858" t="s">
        <v>294</v>
      </c>
      <c r="B858" s="5" t="str">
        <f>_xlfn.XLOOKUP(role_course_map[[#This Row],[role_id]], role_data[role_id], role_data[Role],"")</f>
        <v>Neonatal Fellow</v>
      </c>
      <c r="C858">
        <v>999074</v>
      </c>
      <c r="D858" s="5" t="str">
        <f>_xlfn.XLOOKUP(role_course_map[[#This Row],[course_id]],course_data[course_id],course_data[title],"")</f>
        <v>SAS-specific Children’s rights</v>
      </c>
      <c r="E858" s="5" t="str">
        <f>_xlfn.XLOOKUP(role_course_map[[#This Row],[course_id]],course_data[course_id],course_data[topic],"")</f>
        <v>SAS : Public Protection</v>
      </c>
      <c r="F858" s="5" t="str">
        <f>_xlfn.XLOOKUP(role_course_map[[#This Row],[course_id]],course_data[course_id],course_data[type],"")</f>
        <v>eLearning</v>
      </c>
      <c r="K858" t="str">
        <f>role_course_map[[#This Row],[role_id]] &amp; "|" &amp; role_course_map[[#This Row],[course_id]]</f>
        <v>R0141|999074</v>
      </c>
      <c r="L858" t="str">
        <f>IF(COUNTIF(role_course_map[mapping_key],role_course_map[[#This Row],[mapping_key]])&gt;1,"DUPLICATE","OK")</f>
        <v>OK</v>
      </c>
      <c r="M858" t="str">
        <f>IF(COUNTIF(role_data[role_id],role_course_map[[#This Row],[role_id]])=0, "INVALID","VALID")</f>
        <v>VALID</v>
      </c>
      <c r="N858" t="str">
        <f>IF(COUNTIF(course_data[course_id],role_course_map[[#This Row],[course_id]])=0, "INVALID","VALID")</f>
        <v>VALID</v>
      </c>
    </row>
    <row r="859" spans="1:14" x14ac:dyDescent="0.35">
      <c r="A859" t="s">
        <v>294</v>
      </c>
      <c r="B859" s="5" t="str">
        <f>_xlfn.XLOOKUP(role_course_map[[#This Row],[role_id]], role_data[role_id], role_data[Role],"")</f>
        <v>Neonatal Fellow</v>
      </c>
      <c r="C859">
        <v>999075</v>
      </c>
      <c r="D859" s="5" t="str">
        <f>_xlfn.XLOOKUP(role_course_map[[#This Row],[course_id]],course_data[course_id],course_data[title],"")</f>
        <v>Multiagency local or bespoke Level 3 delivery training</v>
      </c>
      <c r="E859" s="5" t="str">
        <f>_xlfn.XLOOKUP(role_course_map[[#This Row],[course_id]],course_data[course_id],course_data[topic],"")</f>
        <v>SAS : Public Protection</v>
      </c>
      <c r="F859" s="5" t="str">
        <f>_xlfn.XLOOKUP(role_course_map[[#This Row],[course_id]],course_data[course_id],course_data[type],"")</f>
        <v>eLearning</v>
      </c>
      <c r="K859" t="str">
        <f>role_course_map[[#This Row],[role_id]] &amp; "|" &amp; role_course_map[[#This Row],[course_id]]</f>
        <v>R0141|999075</v>
      </c>
      <c r="L859" t="str">
        <f>IF(COUNTIF(role_course_map[mapping_key],role_course_map[[#This Row],[mapping_key]])&gt;1,"DUPLICATE","OK")</f>
        <v>OK</v>
      </c>
      <c r="M859" t="str">
        <f>IF(COUNTIF(role_data[role_id],role_course_map[[#This Row],[role_id]])=0, "INVALID","VALID")</f>
        <v>VALID</v>
      </c>
      <c r="N859" t="str">
        <f>IF(COUNTIF(course_data[course_id],role_course_map[[#This Row],[course_id]])=0, "INVALID","VALID")</f>
        <v>VALID</v>
      </c>
    </row>
    <row r="860" spans="1:14" x14ac:dyDescent="0.35">
      <c r="A860" t="s">
        <v>294</v>
      </c>
      <c r="B860" s="5" t="str">
        <f>_xlfn.XLOOKUP(role_course_map[[#This Row],[role_id]], role_data[role_id], role_data[Role],"")</f>
        <v>Neonatal Fellow</v>
      </c>
      <c r="C860">
        <v>15249</v>
      </c>
      <c r="D860" s="5" t="str">
        <f>_xlfn.XLOOKUP(role_course_map[[#This Row],[course_id]],course_data[course_id],course_data[title],"")</f>
        <v>Human trafficking</v>
      </c>
      <c r="E860" s="5" t="str">
        <f>_xlfn.XLOOKUP(role_course_map[[#This Row],[course_id]],course_data[course_id],course_data[topic],"")</f>
        <v>SAS : Public Protection</v>
      </c>
      <c r="F860" s="5" t="str">
        <f>_xlfn.XLOOKUP(role_course_map[[#This Row],[course_id]],course_data[course_id],course_data[type],"")</f>
        <v>eLearning</v>
      </c>
      <c r="K860" t="str">
        <f>role_course_map[[#This Row],[role_id]] &amp; "|" &amp; role_course_map[[#This Row],[course_id]]</f>
        <v>R0141|15249</v>
      </c>
      <c r="L860" t="str">
        <f>IF(COUNTIF(role_course_map[mapping_key],role_course_map[[#This Row],[mapping_key]])&gt;1,"DUPLICATE","OK")</f>
        <v>OK</v>
      </c>
      <c r="M860" t="str">
        <f>IF(COUNTIF(role_data[role_id],role_course_map[[#This Row],[role_id]])=0, "INVALID","VALID")</f>
        <v>VALID</v>
      </c>
      <c r="N860" t="str">
        <f>IF(COUNTIF(course_data[course_id],role_course_map[[#This Row],[course_id]])=0, "INVALID","VALID")</f>
        <v>VALID</v>
      </c>
    </row>
    <row r="861" spans="1:14" x14ac:dyDescent="0.35">
      <c r="A861" t="s">
        <v>294</v>
      </c>
      <c r="B861" s="5" t="str">
        <f>_xlfn.XLOOKUP(role_course_map[[#This Row],[role_id]], role_data[role_id], role_data[Role],"")</f>
        <v>Neonatal Fellow</v>
      </c>
      <c r="C861">
        <v>89161</v>
      </c>
      <c r="D861" s="5" t="str">
        <f>_xlfn.XLOOKUP(role_course_map[[#This Row],[course_id]],course_data[course_id],course_data[title],"")</f>
        <v>Personal Protective Equipment</v>
      </c>
      <c r="E861" s="5" t="str">
        <f>_xlfn.XLOOKUP(role_course_map[[#This Row],[course_id]],course_data[course_id],course_data[topic],"")</f>
        <v>SAS : Infection Prevention and Control (IPC)</v>
      </c>
      <c r="F861" s="5" t="str">
        <f>_xlfn.XLOOKUP(role_course_map[[#This Row],[course_id]],course_data[course_id],course_data[type],"")</f>
        <v>eLearning</v>
      </c>
      <c r="K861" t="str">
        <f>role_course_map[[#This Row],[role_id]] &amp; "|" &amp; role_course_map[[#This Row],[course_id]]</f>
        <v>R0141|89161</v>
      </c>
      <c r="L861" t="str">
        <f>IF(COUNTIF(role_course_map[mapping_key],role_course_map[[#This Row],[mapping_key]])&gt;1,"DUPLICATE","OK")</f>
        <v>OK</v>
      </c>
      <c r="M861" t="str">
        <f>IF(COUNTIF(role_data[role_id],role_course_map[[#This Row],[role_id]])=0, "INVALID","VALID")</f>
        <v>VALID</v>
      </c>
      <c r="N861" t="str">
        <f>IF(COUNTIF(course_data[course_id],role_course_map[[#This Row],[course_id]])=0, "INVALID","VALID")</f>
        <v>VALID</v>
      </c>
    </row>
    <row r="862" spans="1:14" x14ac:dyDescent="0.35">
      <c r="A862" t="s">
        <v>294</v>
      </c>
      <c r="B862" s="5" t="str">
        <f>_xlfn.XLOOKUP(role_course_map[[#This Row],[role_id]], role_data[role_id], role_data[Role],"")</f>
        <v>Neonatal Fellow</v>
      </c>
      <c r="C862">
        <v>89157</v>
      </c>
      <c r="D862" s="5" t="str">
        <f>_xlfn.XLOOKUP(role_course_map[[#This Row],[course_id]],course_data[course_id],course_data[title],"")</f>
        <v>Safe Management of Care Equipment</v>
      </c>
      <c r="E862" s="5" t="str">
        <f>_xlfn.XLOOKUP(role_course_map[[#This Row],[course_id]],course_data[course_id],course_data[topic],"")</f>
        <v>SAS : Infection Prevention and Control (IPC)</v>
      </c>
      <c r="F862" s="5" t="str">
        <f>_xlfn.XLOOKUP(role_course_map[[#This Row],[course_id]],course_data[course_id],course_data[type],"")</f>
        <v>eLearning</v>
      </c>
      <c r="K862" t="str">
        <f>role_course_map[[#This Row],[role_id]] &amp; "|" &amp; role_course_map[[#This Row],[course_id]]</f>
        <v>R0141|89157</v>
      </c>
      <c r="L862" t="str">
        <f>IF(COUNTIF(role_course_map[mapping_key],role_course_map[[#This Row],[mapping_key]])&gt;1,"DUPLICATE","OK")</f>
        <v>OK</v>
      </c>
      <c r="M862" t="str">
        <f>IF(COUNTIF(role_data[role_id],role_course_map[[#This Row],[role_id]])=0, "INVALID","VALID")</f>
        <v>VALID</v>
      </c>
      <c r="N862" t="str">
        <f>IF(COUNTIF(course_data[course_id],role_course_map[[#This Row],[course_id]])=0, "INVALID","VALID")</f>
        <v>VALID</v>
      </c>
    </row>
    <row r="863" spans="1:14" x14ac:dyDescent="0.35">
      <c r="A863" t="s">
        <v>294</v>
      </c>
      <c r="B863" s="5" t="str">
        <f>_xlfn.XLOOKUP(role_course_map[[#This Row],[role_id]], role_data[role_id], role_data[Role],"")</f>
        <v>Neonatal Fellow</v>
      </c>
      <c r="C863">
        <v>89158</v>
      </c>
      <c r="D863" s="5" t="str">
        <f>_xlfn.XLOOKUP(role_course_map[[#This Row],[course_id]],course_data[course_id],course_data[title],"")</f>
        <v>Safe Management of Care Environment</v>
      </c>
      <c r="E863" s="5" t="str">
        <f>_xlfn.XLOOKUP(role_course_map[[#This Row],[course_id]],course_data[course_id],course_data[topic],"")</f>
        <v>SAS : Infection Prevention and Control (IPC)</v>
      </c>
      <c r="F863" s="5" t="str">
        <f>_xlfn.XLOOKUP(role_course_map[[#This Row],[course_id]],course_data[course_id],course_data[type],"")</f>
        <v>eLearning</v>
      </c>
      <c r="K863" t="str">
        <f>role_course_map[[#This Row],[role_id]] &amp; "|" &amp; role_course_map[[#This Row],[course_id]]</f>
        <v>R0141|89158</v>
      </c>
      <c r="L863" t="str">
        <f>IF(COUNTIF(role_course_map[mapping_key],role_course_map[[#This Row],[mapping_key]])&gt;1,"DUPLICATE","OK")</f>
        <v>OK</v>
      </c>
      <c r="M863" t="str">
        <f>IF(COUNTIF(role_data[role_id],role_course_map[[#This Row],[role_id]])=0, "INVALID","VALID")</f>
        <v>VALID</v>
      </c>
      <c r="N863" t="str">
        <f>IF(COUNTIF(course_data[course_id],role_course_map[[#This Row],[course_id]])=0, "INVALID","VALID")</f>
        <v>VALID</v>
      </c>
    </row>
    <row r="864" spans="1:14" x14ac:dyDescent="0.35">
      <c r="A864" t="s">
        <v>294</v>
      </c>
      <c r="B864" s="5" t="str">
        <f>_xlfn.XLOOKUP(role_course_map[[#This Row],[role_id]], role_data[role_id], role_data[Role],"")</f>
        <v>Neonatal Fellow</v>
      </c>
      <c r="C864">
        <v>89159</v>
      </c>
      <c r="D864" s="5" t="str">
        <f>_xlfn.XLOOKUP(role_course_map[[#This Row],[course_id]],course_data[course_id],course_data[title],"")</f>
        <v>Safe Management of Linen</v>
      </c>
      <c r="E864" s="5" t="str">
        <f>_xlfn.XLOOKUP(role_course_map[[#This Row],[course_id]],course_data[course_id],course_data[topic],"")</f>
        <v>SAS : Infection Prevention and Control (IPC)</v>
      </c>
      <c r="F864" s="5" t="str">
        <f>_xlfn.XLOOKUP(role_course_map[[#This Row],[course_id]],course_data[course_id],course_data[type],"")</f>
        <v>eLearning</v>
      </c>
      <c r="K864" t="str">
        <f>role_course_map[[#This Row],[role_id]] &amp; "|" &amp; role_course_map[[#This Row],[course_id]]</f>
        <v>R0141|89159</v>
      </c>
      <c r="L864" t="str">
        <f>IF(COUNTIF(role_course_map[mapping_key],role_course_map[[#This Row],[mapping_key]])&gt;1,"DUPLICATE","OK")</f>
        <v>OK</v>
      </c>
      <c r="M864" t="str">
        <f>IF(COUNTIF(role_data[role_id],role_course_map[[#This Row],[role_id]])=0, "INVALID","VALID")</f>
        <v>VALID</v>
      </c>
      <c r="N864" t="str">
        <f>IF(COUNTIF(course_data[course_id],role_course_map[[#This Row],[course_id]])=0, "INVALID","VALID")</f>
        <v>VALID</v>
      </c>
    </row>
    <row r="865" spans="1:14" x14ac:dyDescent="0.35">
      <c r="A865" t="s">
        <v>294</v>
      </c>
      <c r="B865" s="5" t="str">
        <f>_xlfn.XLOOKUP(role_course_map[[#This Row],[role_id]], role_data[role_id], role_data[Role],"")</f>
        <v>Neonatal Fellow</v>
      </c>
      <c r="C865">
        <v>89160</v>
      </c>
      <c r="D865" s="5" t="str">
        <f>_xlfn.XLOOKUP(role_course_map[[#This Row],[course_id]],course_data[course_id],course_data[title],"")</f>
        <v>Safe Management of blood and body fluids</v>
      </c>
      <c r="E865" s="5" t="str">
        <f>_xlfn.XLOOKUP(role_course_map[[#This Row],[course_id]],course_data[course_id],course_data[topic],"")</f>
        <v>SAS : Infection Prevention and Control (IPC)</v>
      </c>
      <c r="F865" s="5" t="str">
        <f>_xlfn.XLOOKUP(role_course_map[[#This Row],[course_id]],course_data[course_id],course_data[type],"")</f>
        <v>eLearning</v>
      </c>
      <c r="K865" t="str">
        <f>role_course_map[[#This Row],[role_id]] &amp; "|" &amp; role_course_map[[#This Row],[course_id]]</f>
        <v>R0141|89160</v>
      </c>
      <c r="L865" t="str">
        <f>IF(COUNTIF(role_course_map[mapping_key],role_course_map[[#This Row],[mapping_key]])&gt;1,"DUPLICATE","OK")</f>
        <v>OK</v>
      </c>
      <c r="M865" t="str">
        <f>IF(COUNTIF(role_data[role_id],role_course_map[[#This Row],[role_id]])=0, "INVALID","VALID")</f>
        <v>VALID</v>
      </c>
      <c r="N865" t="str">
        <f>IF(COUNTIF(course_data[course_id],role_course_map[[#This Row],[course_id]])=0, "INVALID","VALID")</f>
        <v>VALID</v>
      </c>
    </row>
    <row r="866" spans="1:14" x14ac:dyDescent="0.35">
      <c r="A866" t="s">
        <v>294</v>
      </c>
      <c r="B866" s="5" t="str">
        <f>_xlfn.XLOOKUP(role_course_map[[#This Row],[role_id]], role_data[role_id], role_data[Role],"")</f>
        <v>Neonatal Fellow</v>
      </c>
      <c r="C866">
        <v>89154</v>
      </c>
      <c r="D866" s="5" t="str">
        <f>_xlfn.XLOOKUP(role_course_map[[#This Row],[course_id]],course_data[course_id],course_data[title],"")</f>
        <v>Safe disposal of waste</v>
      </c>
      <c r="E866" s="5" t="str">
        <f>_xlfn.XLOOKUP(role_course_map[[#This Row],[course_id]],course_data[course_id],course_data[topic],"")</f>
        <v>SAS : Infection Prevention and Control (IPC)</v>
      </c>
      <c r="F866" s="5" t="str">
        <f>_xlfn.XLOOKUP(role_course_map[[#This Row],[course_id]],course_data[course_id],course_data[type],"")</f>
        <v>eLearning</v>
      </c>
      <c r="K866" t="str">
        <f>role_course_map[[#This Row],[role_id]] &amp; "|" &amp; role_course_map[[#This Row],[course_id]]</f>
        <v>R0141|89154</v>
      </c>
      <c r="L866" t="str">
        <f>IF(COUNTIF(role_course_map[mapping_key],role_course_map[[#This Row],[mapping_key]])&gt;1,"DUPLICATE","OK")</f>
        <v>OK</v>
      </c>
      <c r="M866" t="str">
        <f>IF(COUNTIF(role_data[role_id],role_course_map[[#This Row],[role_id]])=0, "INVALID","VALID")</f>
        <v>VALID</v>
      </c>
      <c r="N866" t="str">
        <f>IF(COUNTIF(course_data[course_id],role_course_map[[#This Row],[course_id]])=0, "INVALID","VALID")</f>
        <v>VALID</v>
      </c>
    </row>
    <row r="867" spans="1:14" x14ac:dyDescent="0.35">
      <c r="A867" t="s">
        <v>294</v>
      </c>
      <c r="B867" s="5" t="str">
        <f>_xlfn.XLOOKUP(role_course_map[[#This Row],[role_id]], role_data[role_id], role_data[Role],"")</f>
        <v>Neonatal Fellow</v>
      </c>
      <c r="C867">
        <v>89155</v>
      </c>
      <c r="D867" s="5" t="str">
        <f>_xlfn.XLOOKUP(role_course_map[[#This Row],[course_id]],course_data[course_id],course_data[title],"")</f>
        <v>Prevention &amp; management of occupational exposure</v>
      </c>
      <c r="E867" s="5" t="str">
        <f>_xlfn.XLOOKUP(role_course_map[[#This Row],[course_id]],course_data[course_id],course_data[topic],"")</f>
        <v>SAS : Infection Prevention and Control (IPC)</v>
      </c>
      <c r="F867" s="5" t="str">
        <f>_xlfn.XLOOKUP(role_course_map[[#This Row],[course_id]],course_data[course_id],course_data[type],"")</f>
        <v>eLearning</v>
      </c>
      <c r="K867" t="str">
        <f>role_course_map[[#This Row],[role_id]] &amp; "|" &amp; role_course_map[[#This Row],[course_id]]</f>
        <v>R0141|89155</v>
      </c>
      <c r="L867" t="str">
        <f>IF(COUNTIF(role_course_map[mapping_key],role_course_map[[#This Row],[mapping_key]])&gt;1,"DUPLICATE","OK")</f>
        <v>OK</v>
      </c>
      <c r="M867" t="str">
        <f>IF(COUNTIF(role_data[role_id],role_course_map[[#This Row],[role_id]])=0, "INVALID","VALID")</f>
        <v>VALID</v>
      </c>
      <c r="N867" t="str">
        <f>IF(COUNTIF(course_data[course_id],role_course_map[[#This Row],[course_id]])=0, "INVALID","VALID")</f>
        <v>VALID</v>
      </c>
    </row>
    <row r="868" spans="1:14" x14ac:dyDescent="0.35">
      <c r="A868" t="s">
        <v>294</v>
      </c>
      <c r="B868" s="5" t="str">
        <f>_xlfn.XLOOKUP(role_course_map[[#This Row],[role_id]], role_data[role_id], role_data[Role],"")</f>
        <v>Neonatal Fellow</v>
      </c>
      <c r="C868">
        <v>999064</v>
      </c>
      <c r="D868" s="5" t="str">
        <f>_xlfn.XLOOKUP(role_course_map[[#This Row],[course_id]],course_data[course_id],course_data[title],"")</f>
        <v>Infection prevention and control: Clostridioides difficile infection</v>
      </c>
      <c r="E868" s="5" t="str">
        <f>_xlfn.XLOOKUP(role_course_map[[#This Row],[course_id]],course_data[course_id],course_data[topic],"")</f>
        <v>SAS : Infection Prevention and Control (IPC)</v>
      </c>
      <c r="F868" s="5" t="str">
        <f>_xlfn.XLOOKUP(role_course_map[[#This Row],[course_id]],course_data[course_id],course_data[type],"")</f>
        <v>eLearning</v>
      </c>
      <c r="K868" t="str">
        <f>role_course_map[[#This Row],[role_id]] &amp; "|" &amp; role_course_map[[#This Row],[course_id]]</f>
        <v>R0141|999064</v>
      </c>
      <c r="L868" t="str">
        <f>IF(COUNTIF(role_course_map[mapping_key],role_course_map[[#This Row],[mapping_key]])&gt;1,"DUPLICATE","OK")</f>
        <v>OK</v>
      </c>
      <c r="M868" t="str">
        <f>IF(COUNTIF(role_data[role_id],role_course_map[[#This Row],[role_id]])=0, "INVALID","VALID")</f>
        <v>VALID</v>
      </c>
      <c r="N868" t="str">
        <f>IF(COUNTIF(course_data[course_id],role_course_map[[#This Row],[course_id]])=0, "INVALID","VALID")</f>
        <v>VALID</v>
      </c>
    </row>
    <row r="869" spans="1:14" x14ac:dyDescent="0.35">
      <c r="A869" t="s">
        <v>294</v>
      </c>
      <c r="B869" s="5" t="str">
        <f>_xlfn.XLOOKUP(role_course_map[[#This Row],[role_id]], role_data[role_id], role_data[Role],"")</f>
        <v>Neonatal Fellow</v>
      </c>
      <c r="C869">
        <v>3886</v>
      </c>
      <c r="D869" s="5" t="str">
        <f>_xlfn.XLOOKUP(role_course_map[[#This Row],[course_id]],course_data[course_id],course_data[title],"")</f>
        <v>Prevention and management of pressure ulcers</v>
      </c>
      <c r="E869" s="5" t="str">
        <f>_xlfn.XLOOKUP(role_course_map[[#This Row],[course_id]],course_data[course_id],course_data[topic],"")</f>
        <v>SAS : Clinical Practice</v>
      </c>
      <c r="F869" s="5" t="str">
        <f>_xlfn.XLOOKUP(role_course_map[[#This Row],[course_id]],course_data[course_id],course_data[type],"")</f>
        <v>Page</v>
      </c>
      <c r="K869" t="str">
        <f>role_course_map[[#This Row],[role_id]] &amp; "|" &amp; role_course_map[[#This Row],[course_id]]</f>
        <v>R0141|3886</v>
      </c>
      <c r="L869" t="str">
        <f>IF(COUNTIF(role_course_map[mapping_key],role_course_map[[#This Row],[mapping_key]])&gt;1,"DUPLICATE","OK")</f>
        <v>OK</v>
      </c>
      <c r="M869" t="str">
        <f>IF(COUNTIF(role_data[role_id],role_course_map[[#This Row],[role_id]])=0, "INVALID","VALID")</f>
        <v>VALID</v>
      </c>
      <c r="N869" t="str">
        <f>IF(COUNTIF(course_data[course_id],role_course_map[[#This Row],[course_id]])=0, "INVALID","VALID")</f>
        <v>VALID</v>
      </c>
    </row>
    <row r="870" spans="1:14" x14ac:dyDescent="0.35">
      <c r="A870" t="s">
        <v>292</v>
      </c>
      <c r="B870" s="5" t="str">
        <f>_xlfn.XLOOKUP(role_course_map[[#This Row],[role_id]], role_data[role_id], role_data[Role],"")</f>
        <v>Neonatal Consultant</v>
      </c>
      <c r="C870">
        <v>999094</v>
      </c>
      <c r="D870" s="5" t="str">
        <f>_xlfn.XLOOKUP(role_course_map[[#This Row],[course_id]],course_data[course_id],course_data[title],"")</f>
        <v>Being well, Mind, Body &amp; Workplace</v>
      </c>
      <c r="E870" s="5" t="str">
        <f>_xlfn.XLOOKUP(role_course_map[[#This Row],[course_id]],course_data[course_id],course_data[topic],"")</f>
        <v>SAS: Staff development and experience</v>
      </c>
      <c r="F870" s="5" t="str">
        <f>_xlfn.XLOOKUP(role_course_map[[#This Row],[course_id]],course_data[course_id],course_data[type],"")</f>
        <v>eLearning</v>
      </c>
      <c r="K870" t="str">
        <f>role_course_map[[#This Row],[role_id]] &amp; "|" &amp; role_course_map[[#This Row],[course_id]]</f>
        <v>R0140|999094</v>
      </c>
      <c r="L870" t="str">
        <f>IF(COUNTIF(role_course_map[mapping_key],role_course_map[[#This Row],[mapping_key]])&gt;1,"DUPLICATE","OK")</f>
        <v>OK</v>
      </c>
      <c r="M870" t="str">
        <f>IF(COUNTIF(role_data[role_id],role_course_map[[#This Row],[role_id]])=0, "INVALID","VALID")</f>
        <v>VALID</v>
      </c>
      <c r="N870" t="str">
        <f>IF(COUNTIF(course_data[course_id],role_course_map[[#This Row],[course_id]])=0, "INVALID","VALID")</f>
        <v>VALID</v>
      </c>
    </row>
    <row r="871" spans="1:14" x14ac:dyDescent="0.35">
      <c r="A871" t="s">
        <v>294</v>
      </c>
      <c r="B871" s="5" t="str">
        <f>_xlfn.XLOOKUP(role_course_map[[#This Row],[role_id]], role_data[role_id], role_data[Role],"")</f>
        <v>Neonatal Fellow</v>
      </c>
      <c r="C871">
        <v>999077</v>
      </c>
      <c r="D871" s="5" t="str">
        <f>_xlfn.XLOOKUP(role_course_map[[#This Row],[course_id]],course_data[course_id],course_data[title],"")</f>
        <v>ScotSTAR: Role specific Orientation &amp; Induction</v>
      </c>
      <c r="E871" s="5" t="str">
        <f>_xlfn.XLOOKUP(role_course_map[[#This Row],[course_id]],course_data[course_id],course_data[topic],"")</f>
        <v>SAS : ScotSTAR</v>
      </c>
      <c r="F871" s="5" t="str">
        <f>_xlfn.XLOOKUP(role_course_map[[#This Row],[course_id]],course_data[course_id],course_data[type],"")</f>
        <v>Course</v>
      </c>
      <c r="K871" t="str">
        <f>role_course_map[[#This Row],[role_id]] &amp; "|" &amp; role_course_map[[#This Row],[course_id]]</f>
        <v>R0141|999077</v>
      </c>
      <c r="L871" t="str">
        <f>IF(COUNTIF(role_course_map[mapping_key],role_course_map[[#This Row],[mapping_key]])&gt;1,"DUPLICATE","OK")</f>
        <v>OK</v>
      </c>
      <c r="M871" t="str">
        <f>IF(COUNTIF(role_data[role_id],role_course_map[[#This Row],[role_id]])=0, "INVALID","VALID")</f>
        <v>VALID</v>
      </c>
      <c r="N871" t="str">
        <f>IF(COUNTIF(course_data[course_id],role_course_map[[#This Row],[course_id]])=0, "INVALID","VALID")</f>
        <v>VALID</v>
      </c>
    </row>
    <row r="872" spans="1:14" x14ac:dyDescent="0.35">
      <c r="A872" t="s">
        <v>292</v>
      </c>
      <c r="B872" s="5" t="str">
        <f>_xlfn.XLOOKUP(role_course_map[[#This Row],[role_id]], role_data[role_id], role_data[Role],"")</f>
        <v>Neonatal Consultant</v>
      </c>
      <c r="C872">
        <v>999080</v>
      </c>
      <c r="D872" s="5" t="str">
        <f>_xlfn.XLOOKUP(role_course_map[[#This Row],[course_id]],course_data[course_id],course_data[title],"")</f>
        <v>HUET (on line)</v>
      </c>
      <c r="E872" s="5" t="str">
        <f>_xlfn.XLOOKUP(role_course_map[[#This Row],[course_id]],course_data[course_id],course_data[topic],"")</f>
        <v>SAS : ScotSTAR</v>
      </c>
      <c r="F872" s="5" t="str">
        <f>_xlfn.XLOOKUP(role_course_map[[#This Row],[course_id]],course_data[course_id],course_data[type],"")</f>
        <v>eLearning</v>
      </c>
      <c r="K872" t="str">
        <f>role_course_map[[#This Row],[role_id]] &amp; "|" &amp; role_course_map[[#This Row],[course_id]]</f>
        <v>R0140|999080</v>
      </c>
      <c r="L872" t="str">
        <f>IF(COUNTIF(role_course_map[mapping_key],role_course_map[[#This Row],[mapping_key]])&gt;1,"DUPLICATE","OK")</f>
        <v>OK</v>
      </c>
      <c r="M872" t="str">
        <f>IF(COUNTIF(role_data[role_id],role_course_map[[#This Row],[role_id]])=0, "INVALID","VALID")</f>
        <v>VALID</v>
      </c>
      <c r="N872" t="str">
        <f>IF(COUNTIF(course_data[course_id],role_course_map[[#This Row],[course_id]])=0, "INVALID","VALID")</f>
        <v>VALID</v>
      </c>
    </row>
    <row r="873" spans="1:14" x14ac:dyDescent="0.35">
      <c r="A873" t="s">
        <v>296</v>
      </c>
      <c r="B873" s="5" t="str">
        <f>_xlfn.XLOOKUP(role_course_map[[#This Row],[role_id]], role_data[role_id], role_data[Role],"")</f>
        <v>Neonatal Nurse Consultant</v>
      </c>
      <c r="C873">
        <v>999009</v>
      </c>
      <c r="D873" s="5" t="str">
        <f>_xlfn.XLOOKUP(role_course_map[[#This Row],[course_id]],course_data[course_id],course_data[title],"")</f>
        <v>Life Support</v>
      </c>
      <c r="E873" s="5" t="str">
        <f>_xlfn.XLOOKUP(role_course_map[[#This Row],[course_id]],course_data[course_id],course_data[topic],"")</f>
        <v>SAS : Clinical Practice</v>
      </c>
      <c r="F873" s="5" t="str">
        <f>_xlfn.XLOOKUP(role_course_map[[#This Row],[course_id]],course_data[course_id],course_data[type],"")</f>
        <v>Course</v>
      </c>
      <c r="K873" t="str">
        <f>role_course_map[[#This Row],[role_id]] &amp; "|" &amp; role_course_map[[#This Row],[course_id]]</f>
        <v>R0142|999009</v>
      </c>
      <c r="L873" t="str">
        <f>IF(COUNTIF(role_course_map[mapping_key],role_course_map[[#This Row],[mapping_key]])&gt;1,"DUPLICATE","OK")</f>
        <v>OK</v>
      </c>
      <c r="M873" t="str">
        <f>IF(COUNTIF(role_data[role_id],role_course_map[[#This Row],[role_id]])=0, "INVALID","VALID")</f>
        <v>VALID</v>
      </c>
      <c r="N873" t="str">
        <f>IF(COUNTIF(course_data[course_id],role_course_map[[#This Row],[course_id]])=0, "INVALID","VALID")</f>
        <v>VALID</v>
      </c>
    </row>
    <row r="874" spans="1:14" x14ac:dyDescent="0.35">
      <c r="A874" t="s">
        <v>296</v>
      </c>
      <c r="B874" s="5" t="str">
        <f>_xlfn.XLOOKUP(role_course_map[[#This Row],[role_id]], role_data[role_id], role_data[Role],"")</f>
        <v>Neonatal Nurse Consultant</v>
      </c>
      <c r="C874">
        <v>999007</v>
      </c>
      <c r="D874" s="5" t="str">
        <f>_xlfn.XLOOKUP(role_course_map[[#This Row],[course_id]],course_data[course_id],course_data[title],"")</f>
        <v>Obstetrics</v>
      </c>
      <c r="E874" s="5" t="str">
        <f>_xlfn.XLOOKUP(role_course_map[[#This Row],[course_id]],course_data[course_id],course_data[topic],"")</f>
        <v>SAS : Clinical Practice</v>
      </c>
      <c r="F874" s="5" t="str">
        <f>_xlfn.XLOOKUP(role_course_map[[#This Row],[course_id]],course_data[course_id],course_data[type],"")</f>
        <v>Course</v>
      </c>
      <c r="K874" t="str">
        <f>role_course_map[[#This Row],[role_id]] &amp; "|" &amp; role_course_map[[#This Row],[course_id]]</f>
        <v>R0142|999007</v>
      </c>
      <c r="L874" t="str">
        <f>IF(COUNTIF(role_course_map[mapping_key],role_course_map[[#This Row],[mapping_key]])&gt;1,"DUPLICATE","OK")</f>
        <v>OK</v>
      </c>
      <c r="M874" t="str">
        <f>IF(COUNTIF(role_data[role_id],role_course_map[[#This Row],[role_id]])=0, "INVALID","VALID")</f>
        <v>VALID</v>
      </c>
      <c r="N874" t="str">
        <f>IF(COUNTIF(course_data[course_id],role_course_map[[#This Row],[course_id]])=0, "INVALID","VALID")</f>
        <v>VALID</v>
      </c>
    </row>
    <row r="875" spans="1:14" x14ac:dyDescent="0.35">
      <c r="A875" t="s">
        <v>296</v>
      </c>
      <c r="B875" s="5" t="str">
        <f>_xlfn.XLOOKUP(role_course_map[[#This Row],[role_id]], role_data[role_id], role_data[Role],"")</f>
        <v>Neonatal Nurse Consultant</v>
      </c>
      <c r="C875">
        <v>999008</v>
      </c>
      <c r="D875" s="5" t="str">
        <f>_xlfn.XLOOKUP(role_course_map[[#This Row],[course_id]],course_data[course_id],course_data[title],"")</f>
        <v>Obstetrics</v>
      </c>
      <c r="E875" s="5" t="str">
        <f>_xlfn.XLOOKUP(role_course_map[[#This Row],[course_id]],course_data[course_id],course_data[topic],"")</f>
        <v>SAS : Clinical Practice</v>
      </c>
      <c r="F875" s="5" t="str">
        <f>_xlfn.XLOOKUP(role_course_map[[#This Row],[course_id]],course_data[course_id],course_data[type],"")</f>
        <v>eLearning</v>
      </c>
      <c r="K875" t="str">
        <f>role_course_map[[#This Row],[role_id]] &amp; "|" &amp; role_course_map[[#This Row],[course_id]]</f>
        <v>R0142|999008</v>
      </c>
      <c r="L875" t="str">
        <f>IF(COUNTIF(role_course_map[mapping_key],role_course_map[[#This Row],[mapping_key]])&gt;1,"DUPLICATE","OK")</f>
        <v>OK</v>
      </c>
      <c r="M875" t="str">
        <f>IF(COUNTIF(role_data[role_id],role_course_map[[#This Row],[role_id]])=0, "INVALID","VALID")</f>
        <v>VALID</v>
      </c>
      <c r="N875" t="str">
        <f>IF(COUNTIF(course_data[course_id],role_course_map[[#This Row],[course_id]])=0, "INVALID","VALID")</f>
        <v>VALID</v>
      </c>
    </row>
    <row r="876" spans="1:14" x14ac:dyDescent="0.35">
      <c r="A876" t="s">
        <v>296</v>
      </c>
      <c r="B876" s="5" t="str">
        <f>_xlfn.XLOOKUP(role_course_map[[#This Row],[role_id]], role_data[role_id], role_data[Role],"")</f>
        <v>Neonatal Nurse Consultant</v>
      </c>
      <c r="C876">
        <v>999010</v>
      </c>
      <c r="D876" s="5" t="str">
        <f>_xlfn.XLOOKUP(role_course_map[[#This Row],[course_id]],course_data[course_id],course_data[title],"")</f>
        <v>Paediatrics</v>
      </c>
      <c r="E876" s="5" t="str">
        <f>_xlfn.XLOOKUP(role_course_map[[#This Row],[course_id]],course_data[course_id],course_data[topic],"")</f>
        <v>SAS : Clinical Practice</v>
      </c>
      <c r="F876" s="5" t="str">
        <f>_xlfn.XLOOKUP(role_course_map[[#This Row],[course_id]],course_data[course_id],course_data[type],"")</f>
        <v>Course</v>
      </c>
      <c r="K876" t="str">
        <f>role_course_map[[#This Row],[role_id]] &amp; "|" &amp; role_course_map[[#This Row],[course_id]]</f>
        <v>R0142|999010</v>
      </c>
      <c r="L876" t="str">
        <f>IF(COUNTIF(role_course_map[mapping_key],role_course_map[[#This Row],[mapping_key]])&gt;1,"DUPLICATE","OK")</f>
        <v>OK</v>
      </c>
      <c r="M876" t="str">
        <f>IF(COUNTIF(role_data[role_id],role_course_map[[#This Row],[role_id]])=0, "INVALID","VALID")</f>
        <v>VALID</v>
      </c>
      <c r="N876" t="str">
        <f>IF(COUNTIF(course_data[course_id],role_course_map[[#This Row],[course_id]])=0, "INVALID","VALID")</f>
        <v>VALID</v>
      </c>
    </row>
    <row r="877" spans="1:14" x14ac:dyDescent="0.35">
      <c r="A877" t="s">
        <v>296</v>
      </c>
      <c r="B877" s="5" t="str">
        <f>_xlfn.XLOOKUP(role_course_map[[#This Row],[role_id]], role_data[role_id], role_data[Role],"")</f>
        <v>Neonatal Nurse Consultant</v>
      </c>
      <c r="C877">
        <v>999011</v>
      </c>
      <c r="D877" s="5" t="str">
        <f>_xlfn.XLOOKUP(role_course_map[[#This Row],[course_id]],course_data[course_id],course_data[title],"")</f>
        <v>Paediatrics</v>
      </c>
      <c r="E877" s="5" t="str">
        <f>_xlfn.XLOOKUP(role_course_map[[#This Row],[course_id]],course_data[course_id],course_data[topic],"")</f>
        <v>SAS : Clinical Practice</v>
      </c>
      <c r="F877" s="5" t="str">
        <f>_xlfn.XLOOKUP(role_course_map[[#This Row],[course_id]],course_data[course_id],course_data[type],"")</f>
        <v>eLearning</v>
      </c>
      <c r="K877" t="str">
        <f>role_course_map[[#This Row],[role_id]] &amp; "|" &amp; role_course_map[[#This Row],[course_id]]</f>
        <v>R0142|999011</v>
      </c>
      <c r="L877" t="str">
        <f>IF(COUNTIF(role_course_map[mapping_key],role_course_map[[#This Row],[mapping_key]])&gt;1,"DUPLICATE","OK")</f>
        <v>OK</v>
      </c>
      <c r="M877" t="str">
        <f>IF(COUNTIF(role_data[role_id],role_course_map[[#This Row],[role_id]])=0, "INVALID","VALID")</f>
        <v>VALID</v>
      </c>
      <c r="N877" t="str">
        <f>IF(COUNTIF(course_data[course_id],role_course_map[[#This Row],[course_id]])=0, "INVALID","VALID")</f>
        <v>VALID</v>
      </c>
    </row>
    <row r="878" spans="1:14" x14ac:dyDescent="0.35">
      <c r="A878" t="s">
        <v>296</v>
      </c>
      <c r="B878" s="5" t="str">
        <f>_xlfn.XLOOKUP(role_course_map[[#This Row],[role_id]], role_data[role_id], role_data[Role],"")</f>
        <v>Neonatal Nurse Consultant</v>
      </c>
      <c r="C878">
        <v>999012</v>
      </c>
      <c r="D878" s="5" t="str">
        <f>_xlfn.XLOOKUP(role_course_map[[#This Row],[course_id]],course_data[course_id],course_data[title],"")</f>
        <v>Trauma</v>
      </c>
      <c r="E878" s="5" t="str">
        <f>_xlfn.XLOOKUP(role_course_map[[#This Row],[course_id]],course_data[course_id],course_data[topic],"")</f>
        <v>SAS : Clinical Practice</v>
      </c>
      <c r="F878" s="5" t="str">
        <f>_xlfn.XLOOKUP(role_course_map[[#This Row],[course_id]],course_data[course_id],course_data[type],"")</f>
        <v>Course</v>
      </c>
      <c r="K878" t="str">
        <f>role_course_map[[#This Row],[role_id]] &amp; "|" &amp; role_course_map[[#This Row],[course_id]]</f>
        <v>R0142|999012</v>
      </c>
      <c r="L878" t="str">
        <f>IF(COUNTIF(role_course_map[mapping_key],role_course_map[[#This Row],[mapping_key]])&gt;1,"DUPLICATE","OK")</f>
        <v>OK</v>
      </c>
      <c r="M878" t="str">
        <f>IF(COUNTIF(role_data[role_id],role_course_map[[#This Row],[role_id]])=0, "INVALID","VALID")</f>
        <v>VALID</v>
      </c>
      <c r="N878" t="str">
        <f>IF(COUNTIF(course_data[course_id],role_course_map[[#This Row],[course_id]])=0, "INVALID","VALID")</f>
        <v>VALID</v>
      </c>
    </row>
    <row r="879" spans="1:14" x14ac:dyDescent="0.35">
      <c r="A879" t="s">
        <v>296</v>
      </c>
      <c r="B879" s="5" t="str">
        <f>_xlfn.XLOOKUP(role_course_map[[#This Row],[role_id]], role_data[role_id], role_data[Role],"")</f>
        <v>Neonatal Nurse Consultant</v>
      </c>
      <c r="C879">
        <v>999013</v>
      </c>
      <c r="D879" s="5" t="str">
        <f>_xlfn.XLOOKUP(role_course_map[[#This Row],[course_id]],course_data[course_id],course_data[title],"")</f>
        <v>Trauma</v>
      </c>
      <c r="E879" s="5" t="str">
        <f>_xlfn.XLOOKUP(role_course_map[[#This Row],[course_id]],course_data[course_id],course_data[topic],"")</f>
        <v>SAS : Clinical Practice</v>
      </c>
      <c r="F879" s="5" t="str">
        <f>_xlfn.XLOOKUP(role_course_map[[#This Row],[course_id]],course_data[course_id],course_data[type],"")</f>
        <v>eLearning</v>
      </c>
      <c r="K879" t="str">
        <f>role_course_map[[#This Row],[role_id]] &amp; "|" &amp; role_course_map[[#This Row],[course_id]]</f>
        <v>R0142|999013</v>
      </c>
      <c r="L879" t="str">
        <f>IF(COUNTIF(role_course_map[mapping_key],role_course_map[[#This Row],[mapping_key]])&gt;1,"DUPLICATE","OK")</f>
        <v>OK</v>
      </c>
      <c r="M879" t="str">
        <f>IF(COUNTIF(role_data[role_id],role_course_map[[#This Row],[role_id]])=0, "INVALID","VALID")</f>
        <v>VALID</v>
      </c>
      <c r="N879" t="str">
        <f>IF(COUNTIF(course_data[course_id],role_course_map[[#This Row],[course_id]])=0, "INVALID","VALID")</f>
        <v>VALID</v>
      </c>
    </row>
    <row r="880" spans="1:14" x14ac:dyDescent="0.35">
      <c r="A880" t="s">
        <v>296</v>
      </c>
      <c r="B880" s="5" t="str">
        <f>_xlfn.XLOOKUP(role_course_map[[#This Row],[role_id]], role_data[role_id], role_data[Role],"")</f>
        <v>Neonatal Nurse Consultant</v>
      </c>
      <c r="C880">
        <v>999014</v>
      </c>
      <c r="D880" s="5" t="str">
        <f>_xlfn.XLOOKUP(role_course_map[[#This Row],[course_id]],course_data[course_id],course_data[title],"")</f>
        <v>Patient Assessment</v>
      </c>
      <c r="E880" s="5" t="str">
        <f>_xlfn.XLOOKUP(role_course_map[[#This Row],[course_id]],course_data[course_id],course_data[topic],"")</f>
        <v>SAS : Clinical Practice</v>
      </c>
      <c r="F880" s="5" t="str">
        <f>_xlfn.XLOOKUP(role_course_map[[#This Row],[course_id]],course_data[course_id],course_data[type],"")</f>
        <v>Course</v>
      </c>
      <c r="K880" t="str">
        <f>role_course_map[[#This Row],[role_id]] &amp; "|" &amp; role_course_map[[#This Row],[course_id]]</f>
        <v>R0142|999014</v>
      </c>
      <c r="L880" t="str">
        <f>IF(COUNTIF(role_course_map[mapping_key],role_course_map[[#This Row],[mapping_key]])&gt;1,"DUPLICATE","OK")</f>
        <v>OK</v>
      </c>
      <c r="M880" t="str">
        <f>IF(COUNTIF(role_data[role_id],role_course_map[[#This Row],[role_id]])=0, "INVALID","VALID")</f>
        <v>VALID</v>
      </c>
      <c r="N880" t="str">
        <f>IF(COUNTIF(course_data[course_id],role_course_map[[#This Row],[course_id]])=0, "INVALID","VALID")</f>
        <v>VALID</v>
      </c>
    </row>
    <row r="881" spans="1:14" x14ac:dyDescent="0.35">
      <c r="A881" t="s">
        <v>296</v>
      </c>
      <c r="B881" s="5" t="str">
        <f>_xlfn.XLOOKUP(role_course_map[[#This Row],[role_id]], role_data[role_id], role_data[Role],"")</f>
        <v>Neonatal Nurse Consultant</v>
      </c>
      <c r="C881">
        <v>999015</v>
      </c>
      <c r="D881" s="5" t="str">
        <f>_xlfn.XLOOKUP(role_course_map[[#This Row],[course_id]],course_data[course_id],course_data[title],"")</f>
        <v>Patient Assessment</v>
      </c>
      <c r="E881" s="5" t="str">
        <f>_xlfn.XLOOKUP(role_course_map[[#This Row],[course_id]],course_data[course_id],course_data[topic],"")</f>
        <v>SAS : Clinical Practice</v>
      </c>
      <c r="F881" s="5" t="str">
        <f>_xlfn.XLOOKUP(role_course_map[[#This Row],[course_id]],course_data[course_id],course_data[type],"")</f>
        <v>eLearning</v>
      </c>
      <c r="K881" t="str">
        <f>role_course_map[[#This Row],[role_id]] &amp; "|" &amp; role_course_map[[#This Row],[course_id]]</f>
        <v>R0142|999015</v>
      </c>
      <c r="L881" t="str">
        <f>IF(COUNTIF(role_course_map[mapping_key],role_course_map[[#This Row],[mapping_key]])&gt;1,"DUPLICATE","OK")</f>
        <v>OK</v>
      </c>
      <c r="M881" t="str">
        <f>IF(COUNTIF(role_data[role_id],role_course_map[[#This Row],[role_id]])=0, "INVALID","VALID")</f>
        <v>VALID</v>
      </c>
      <c r="N881" t="str">
        <f>IF(COUNTIF(course_data[course_id],role_course_map[[#This Row],[course_id]])=0, "INVALID","VALID")</f>
        <v>VALID</v>
      </c>
    </row>
    <row r="882" spans="1:14" x14ac:dyDescent="0.35">
      <c r="A882" t="s">
        <v>294</v>
      </c>
      <c r="B882" s="5" t="str">
        <f>_xlfn.XLOOKUP(role_course_map[[#This Row],[role_id]], role_data[role_id], role_data[Role],"")</f>
        <v>Neonatal Fellow</v>
      </c>
      <c r="C882">
        <v>999016</v>
      </c>
      <c r="D882" s="5" t="str">
        <f>_xlfn.XLOOKUP(role_course_map[[#This Row],[course_id]],course_data[course_id],course_data[title],"")</f>
        <v>Clinical Skills</v>
      </c>
      <c r="E882" s="5" t="str">
        <f>_xlfn.XLOOKUP(role_course_map[[#This Row],[course_id]],course_data[course_id],course_data[topic],"")</f>
        <v>SAS : Clinical Practice</v>
      </c>
      <c r="F882" s="5" t="str">
        <f>_xlfn.XLOOKUP(role_course_map[[#This Row],[course_id]],course_data[course_id],course_data[type],"")</f>
        <v>Course</v>
      </c>
      <c r="K882" t="str">
        <f>role_course_map[[#This Row],[role_id]] &amp; "|" &amp; role_course_map[[#This Row],[course_id]]</f>
        <v>R0141|999016</v>
      </c>
      <c r="L882" t="str">
        <f>IF(COUNTIF(role_course_map[mapping_key],role_course_map[[#This Row],[mapping_key]])&gt;1,"DUPLICATE","OK")</f>
        <v>OK</v>
      </c>
      <c r="M882" t="str">
        <f>IF(COUNTIF(role_data[role_id],role_course_map[[#This Row],[role_id]])=0, "INVALID","VALID")</f>
        <v>VALID</v>
      </c>
      <c r="N882" t="str">
        <f>IF(COUNTIF(course_data[course_id],role_course_map[[#This Row],[course_id]])=0, "INVALID","VALID")</f>
        <v>VALID</v>
      </c>
    </row>
    <row r="883" spans="1:14" x14ac:dyDescent="0.35">
      <c r="A883" t="s">
        <v>296</v>
      </c>
      <c r="B883" s="5" t="str">
        <f>_xlfn.XLOOKUP(role_course_map[[#This Row],[role_id]], role_data[role_id], role_data[Role],"")</f>
        <v>Neonatal Nurse Consultant</v>
      </c>
      <c r="C883">
        <v>999016</v>
      </c>
      <c r="D883" s="5" t="str">
        <f>_xlfn.XLOOKUP(role_course_map[[#This Row],[course_id]],course_data[course_id],course_data[title],"")</f>
        <v>Clinical Skills</v>
      </c>
      <c r="E883" s="5" t="str">
        <f>_xlfn.XLOOKUP(role_course_map[[#This Row],[course_id]],course_data[course_id],course_data[topic],"")</f>
        <v>SAS : Clinical Practice</v>
      </c>
      <c r="F883" s="5" t="str">
        <f>_xlfn.XLOOKUP(role_course_map[[#This Row],[course_id]],course_data[course_id],course_data[type],"")</f>
        <v>Course</v>
      </c>
      <c r="K883" t="str">
        <f>role_course_map[[#This Row],[role_id]] &amp; "|" &amp; role_course_map[[#This Row],[course_id]]</f>
        <v>R0142|999016</v>
      </c>
      <c r="L883" t="str">
        <f>IF(COUNTIF(role_course_map[mapping_key],role_course_map[[#This Row],[mapping_key]])&gt;1,"DUPLICATE","OK")</f>
        <v>OK</v>
      </c>
      <c r="M883" t="str">
        <f>IF(COUNTIF(role_data[role_id],role_course_map[[#This Row],[role_id]])=0, "INVALID","VALID")</f>
        <v>VALID</v>
      </c>
      <c r="N883" t="str">
        <f>IF(COUNTIF(course_data[course_id],role_course_map[[#This Row],[course_id]])=0, "INVALID","VALID")</f>
        <v>VALID</v>
      </c>
    </row>
    <row r="884" spans="1:14" x14ac:dyDescent="0.35">
      <c r="A884" t="s">
        <v>296</v>
      </c>
      <c r="B884" s="5" t="str">
        <f>_xlfn.XLOOKUP(role_course_map[[#This Row],[role_id]], role_data[role_id], role_data[Role],"")</f>
        <v>Neonatal Nurse Consultant</v>
      </c>
      <c r="C884">
        <v>999017</v>
      </c>
      <c r="D884" s="5" t="str">
        <f>_xlfn.XLOOKUP(role_course_map[[#This Row],[course_id]],course_data[course_id],course_data[title],"")</f>
        <v>Clinical Skills</v>
      </c>
      <c r="E884" s="5" t="str">
        <f>_xlfn.XLOOKUP(role_course_map[[#This Row],[course_id]],course_data[course_id],course_data[topic],"")</f>
        <v>SAS : Clinical Practice</v>
      </c>
      <c r="F884" s="5" t="str">
        <f>_xlfn.XLOOKUP(role_course_map[[#This Row],[course_id]],course_data[course_id],course_data[type],"")</f>
        <v>eLearning</v>
      </c>
      <c r="K884" t="str">
        <f>role_course_map[[#This Row],[role_id]] &amp; "|" &amp; role_course_map[[#This Row],[course_id]]</f>
        <v>R0142|999017</v>
      </c>
      <c r="L884" t="str">
        <f>IF(COUNTIF(role_course_map[mapping_key],role_course_map[[#This Row],[mapping_key]])&gt;1,"DUPLICATE","OK")</f>
        <v>OK</v>
      </c>
      <c r="M884" t="str">
        <f>IF(COUNTIF(role_data[role_id],role_course_map[[#This Row],[role_id]])=0, "INVALID","VALID")</f>
        <v>VALID</v>
      </c>
      <c r="N884" t="str">
        <f>IF(COUNTIF(course_data[course_id],role_course_map[[#This Row],[course_id]])=0, "INVALID","VALID")</f>
        <v>VALID</v>
      </c>
    </row>
    <row r="885" spans="1:14" x14ac:dyDescent="0.35">
      <c r="A885" t="s">
        <v>296</v>
      </c>
      <c r="B885" s="5" t="str">
        <f>_xlfn.XLOOKUP(role_course_map[[#This Row],[role_id]], role_data[role_id], role_data[Role],"")</f>
        <v>Neonatal Nurse Consultant</v>
      </c>
      <c r="C885">
        <v>999018</v>
      </c>
      <c r="D885" s="5" t="str">
        <f>_xlfn.XLOOKUP(role_course_map[[#This Row],[course_id]],course_data[course_id],course_data[title],"")</f>
        <v>Learning from Events</v>
      </c>
      <c r="E885" s="5" t="str">
        <f>_xlfn.XLOOKUP(role_course_map[[#This Row],[course_id]],course_data[course_id],course_data[topic],"")</f>
        <v>SAS : Clinical Practice</v>
      </c>
      <c r="F885" s="5" t="str">
        <f>_xlfn.XLOOKUP(role_course_map[[#This Row],[course_id]],course_data[course_id],course_data[type],"")</f>
        <v>eLearning</v>
      </c>
      <c r="K885" t="str">
        <f>role_course_map[[#This Row],[role_id]] &amp; "|" &amp; role_course_map[[#This Row],[course_id]]</f>
        <v>R0142|999018</v>
      </c>
      <c r="L885" t="str">
        <f>IF(COUNTIF(role_course_map[mapping_key],role_course_map[[#This Row],[mapping_key]])&gt;1,"DUPLICATE","OK")</f>
        <v>OK</v>
      </c>
      <c r="M885" t="str">
        <f>IF(COUNTIF(role_data[role_id],role_course_map[[#This Row],[role_id]])=0, "INVALID","VALID")</f>
        <v>VALID</v>
      </c>
      <c r="N885" t="str">
        <f>IF(COUNTIF(course_data[course_id],role_course_map[[#This Row],[course_id]])=0, "INVALID","VALID")</f>
        <v>VALID</v>
      </c>
    </row>
    <row r="886" spans="1:14" x14ac:dyDescent="0.35">
      <c r="A886" t="s">
        <v>296</v>
      </c>
      <c r="B886" s="5" t="str">
        <f>_xlfn.XLOOKUP(role_course_map[[#This Row],[role_id]], role_data[role_id], role_data[Role],"")</f>
        <v>Neonatal Nurse Consultant</v>
      </c>
      <c r="C886">
        <v>999019</v>
      </c>
      <c r="D886" s="5" t="str">
        <f>_xlfn.XLOOKUP(role_course_map[[#This Row],[course_id]],course_data[course_id],course_data[title],"")</f>
        <v>Medicines Management</v>
      </c>
      <c r="E886" s="5" t="str">
        <f>_xlfn.XLOOKUP(role_course_map[[#This Row],[course_id]],course_data[course_id],course_data[topic],"")</f>
        <v>SAS : Clinical Practice</v>
      </c>
      <c r="F886" s="5" t="str">
        <f>_xlfn.XLOOKUP(role_course_map[[#This Row],[course_id]],course_data[course_id],course_data[type],"")</f>
        <v>eLearning</v>
      </c>
      <c r="K886" t="str">
        <f>role_course_map[[#This Row],[role_id]] &amp; "|" &amp; role_course_map[[#This Row],[course_id]]</f>
        <v>R0142|999019</v>
      </c>
      <c r="L886" t="str">
        <f>IF(COUNTIF(role_course_map[mapping_key],role_course_map[[#This Row],[mapping_key]])&gt;1,"DUPLICATE","OK")</f>
        <v>OK</v>
      </c>
      <c r="M886" t="str">
        <f>IF(COUNTIF(role_data[role_id],role_course_map[[#This Row],[role_id]])=0, "INVALID","VALID")</f>
        <v>VALID</v>
      </c>
      <c r="N886" t="str">
        <f>IF(COUNTIF(course_data[course_id],role_course_map[[#This Row],[course_id]])=0, "INVALID","VALID")</f>
        <v>VALID</v>
      </c>
    </row>
    <row r="887" spans="1:14" x14ac:dyDescent="0.35">
      <c r="A887" t="s">
        <v>296</v>
      </c>
      <c r="B887" s="5" t="str">
        <f>_xlfn.XLOOKUP(role_course_map[[#This Row],[role_id]], role_data[role_id], role_data[Role],"")</f>
        <v>Neonatal Nurse Consultant</v>
      </c>
      <c r="C887">
        <v>999020</v>
      </c>
      <c r="D887" s="5" t="str">
        <f>_xlfn.XLOOKUP(role_course_map[[#This Row],[course_id]],course_data[course_id],course_data[title],"")</f>
        <v>JRCALC Update</v>
      </c>
      <c r="E887" s="5" t="str">
        <f>_xlfn.XLOOKUP(role_course_map[[#This Row],[course_id]],course_data[course_id],course_data[topic],"")</f>
        <v>SAS : Clinical Practice</v>
      </c>
      <c r="F887" s="5" t="str">
        <f>_xlfn.XLOOKUP(role_course_map[[#This Row],[course_id]],course_data[course_id],course_data[type],"")</f>
        <v>eLearning</v>
      </c>
      <c r="K887" t="str">
        <f>role_course_map[[#This Row],[role_id]] &amp; "|" &amp; role_course_map[[#This Row],[course_id]]</f>
        <v>R0142|999020</v>
      </c>
      <c r="L887" t="str">
        <f>IF(COUNTIF(role_course_map[mapping_key],role_course_map[[#This Row],[mapping_key]])&gt;1,"DUPLICATE","OK")</f>
        <v>OK</v>
      </c>
      <c r="M887" t="str">
        <f>IF(COUNTIF(role_data[role_id],role_course_map[[#This Row],[role_id]])=0, "INVALID","VALID")</f>
        <v>VALID</v>
      </c>
      <c r="N887" t="str">
        <f>IF(COUNTIF(course_data[course_id],role_course_map[[#This Row],[course_id]])=0, "INVALID","VALID")</f>
        <v>VALID</v>
      </c>
    </row>
    <row r="888" spans="1:14" x14ac:dyDescent="0.35">
      <c r="A888" t="s">
        <v>296</v>
      </c>
      <c r="B888" s="5" t="str">
        <f>_xlfn.XLOOKUP(role_course_map[[#This Row],[role_id]], role_data[role_id], role_data[Role],"")</f>
        <v>Neonatal Nurse Consultant</v>
      </c>
      <c r="C888">
        <v>999021</v>
      </c>
      <c r="D888" s="5" t="str">
        <f>_xlfn.XLOOKUP(role_course_map[[#This Row],[course_id]],course_data[course_id],course_data[title],"")</f>
        <v>Mental Health</v>
      </c>
      <c r="E888" s="5" t="str">
        <f>_xlfn.XLOOKUP(role_course_map[[#This Row],[course_id]],course_data[course_id],course_data[topic],"")</f>
        <v>SAS : Clinical Practice</v>
      </c>
      <c r="F888" s="5" t="str">
        <f>_xlfn.XLOOKUP(role_course_map[[#This Row],[course_id]],course_data[course_id],course_data[type],"")</f>
        <v>eLearning</v>
      </c>
      <c r="K888" t="str">
        <f>role_course_map[[#This Row],[role_id]] &amp; "|" &amp; role_course_map[[#This Row],[course_id]]</f>
        <v>R0142|999021</v>
      </c>
      <c r="L888" t="str">
        <f>IF(COUNTIF(role_course_map[mapping_key],role_course_map[[#This Row],[mapping_key]])&gt;1,"DUPLICATE","OK")</f>
        <v>OK</v>
      </c>
      <c r="M888" t="str">
        <f>IF(COUNTIF(role_data[role_id],role_course_map[[#This Row],[role_id]])=0, "INVALID","VALID")</f>
        <v>VALID</v>
      </c>
      <c r="N888" t="str">
        <f>IF(COUNTIF(course_data[course_id],role_course_map[[#This Row],[course_id]])=0, "INVALID","VALID")</f>
        <v>VALID</v>
      </c>
    </row>
    <row r="889" spans="1:14" x14ac:dyDescent="0.35">
      <c r="A889" t="s">
        <v>296</v>
      </c>
      <c r="B889" s="5" t="str">
        <f>_xlfn.XLOOKUP(role_course_map[[#This Row],[role_id]], role_data[role_id], role_data[Role],"")</f>
        <v>Neonatal Nurse Consultant</v>
      </c>
      <c r="C889">
        <v>999022</v>
      </c>
      <c r="D889" s="5" t="str">
        <f>_xlfn.XLOOKUP(role_course_map[[#This Row],[course_id]],course_data[course_id],course_data[title],"")</f>
        <v>Learning Disabilities</v>
      </c>
      <c r="E889" s="5" t="str">
        <f>_xlfn.XLOOKUP(role_course_map[[#This Row],[course_id]],course_data[course_id],course_data[topic],"")</f>
        <v>SAS : Clinical Practice</v>
      </c>
      <c r="F889" s="5" t="str">
        <f>_xlfn.XLOOKUP(role_course_map[[#This Row],[course_id]],course_data[course_id],course_data[type],"")</f>
        <v>eLearning</v>
      </c>
      <c r="K889" t="str">
        <f>role_course_map[[#This Row],[role_id]] &amp; "|" &amp; role_course_map[[#This Row],[course_id]]</f>
        <v>R0142|999022</v>
      </c>
      <c r="L889" t="str">
        <f>IF(COUNTIF(role_course_map[mapping_key],role_course_map[[#This Row],[mapping_key]])&gt;1,"DUPLICATE","OK")</f>
        <v>OK</v>
      </c>
      <c r="M889" t="str">
        <f>IF(COUNTIF(role_data[role_id],role_course_map[[#This Row],[role_id]])=0, "INVALID","VALID")</f>
        <v>VALID</v>
      </c>
      <c r="N889" t="str">
        <f>IF(COUNTIF(course_data[course_id],role_course_map[[#This Row],[course_id]])=0, "INVALID","VALID")</f>
        <v>VALID</v>
      </c>
    </row>
    <row r="890" spans="1:14" x14ac:dyDescent="0.35">
      <c r="A890" t="s">
        <v>296</v>
      </c>
      <c r="B890" s="5" t="str">
        <f>_xlfn.XLOOKUP(role_course_map[[#This Row],[role_id]], role_data[role_id], role_data[Role],"")</f>
        <v>Neonatal Nurse Consultant</v>
      </c>
      <c r="C890">
        <v>75202</v>
      </c>
      <c r="D890" s="5" t="str">
        <f>_xlfn.XLOOKUP(role_course_map[[#This Row],[course_id]],course_data[course_id],course_data[title],"")</f>
        <v>SAS : Clinical Practice</v>
      </c>
      <c r="E890" s="5" t="str">
        <f>_xlfn.XLOOKUP(role_course_map[[#This Row],[course_id]],course_data[course_id],course_data[topic],"")</f>
        <v>SAS : Clinical Practice</v>
      </c>
      <c r="F890" s="5" t="str">
        <f>_xlfn.XLOOKUP(role_course_map[[#This Row],[course_id]],course_data[course_id],course_data[type],"")</f>
        <v>Page</v>
      </c>
      <c r="K890" t="str">
        <f>role_course_map[[#This Row],[role_id]] &amp; "|" &amp; role_course_map[[#This Row],[course_id]]</f>
        <v>R0142|75202</v>
      </c>
      <c r="L890" t="str">
        <f>IF(COUNTIF(role_course_map[mapping_key],role_course_map[[#This Row],[mapping_key]])&gt;1,"DUPLICATE","OK")</f>
        <v>OK</v>
      </c>
      <c r="M890" t="str">
        <f>IF(COUNTIF(role_data[role_id],role_course_map[[#This Row],[role_id]])=0, "INVALID","VALID")</f>
        <v>VALID</v>
      </c>
      <c r="N890" t="str">
        <f>IF(COUNTIF(course_data[course_id],role_course_map[[#This Row],[course_id]])=0, "INVALID","VALID")</f>
        <v>VALID</v>
      </c>
    </row>
    <row r="891" spans="1:14" x14ac:dyDescent="0.35">
      <c r="A891" t="s">
        <v>296</v>
      </c>
      <c r="B891" s="5" t="str">
        <f>_xlfn.XLOOKUP(role_course_map[[#This Row],[role_id]], role_data[role_id], role_data[Role],"")</f>
        <v>Neonatal Nurse Consultant</v>
      </c>
      <c r="C891">
        <v>999023</v>
      </c>
      <c r="D891" s="5" t="str">
        <f>_xlfn.XLOOKUP(role_course_map[[#This Row],[course_id]],course_data[course_id],course_data[title],"")</f>
        <v>Dementia</v>
      </c>
      <c r="E891" s="5" t="str">
        <f>_xlfn.XLOOKUP(role_course_map[[#This Row],[course_id]],course_data[course_id],course_data[topic],"")</f>
        <v>SAS : Clinical Practice</v>
      </c>
      <c r="F891" s="5" t="str">
        <f>_xlfn.XLOOKUP(role_course_map[[#This Row],[course_id]],course_data[course_id],course_data[type],"")</f>
        <v>eLearning</v>
      </c>
      <c r="K891" t="str">
        <f>role_course_map[[#This Row],[role_id]] &amp; "|" &amp; role_course_map[[#This Row],[course_id]]</f>
        <v>R0142|999023</v>
      </c>
      <c r="L891" t="str">
        <f>IF(COUNTIF(role_course_map[mapping_key],role_course_map[[#This Row],[mapping_key]])&gt;1,"DUPLICATE","OK")</f>
        <v>OK</v>
      </c>
      <c r="M891" t="str">
        <f>IF(COUNTIF(role_data[role_id],role_course_map[[#This Row],[role_id]])=0, "INVALID","VALID")</f>
        <v>VALID</v>
      </c>
      <c r="N891" t="str">
        <f>IF(COUNTIF(course_data[course_id],role_course_map[[#This Row],[course_id]])=0, "INVALID","VALID")</f>
        <v>VALID</v>
      </c>
    </row>
    <row r="892" spans="1:14" x14ac:dyDescent="0.35">
      <c r="A892" t="s">
        <v>294</v>
      </c>
      <c r="B892" s="5" t="str">
        <f>_xlfn.XLOOKUP(role_course_map[[#This Row],[role_id]], role_data[role_id], role_data[Role],"")</f>
        <v>Neonatal Fellow</v>
      </c>
      <c r="C892">
        <v>999024</v>
      </c>
      <c r="D892" s="5" t="str">
        <f>_xlfn.XLOOKUP(role_course_map[[#This Row],[course_id]],course_data[course_id],course_data[title],"")</f>
        <v>Conditions requiring specific hospital management. I.e. Parkinsons</v>
      </c>
      <c r="E892" s="5" t="str">
        <f>_xlfn.XLOOKUP(role_course_map[[#This Row],[course_id]],course_data[course_id],course_data[topic],"")</f>
        <v>SAS : Clinical Practice</v>
      </c>
      <c r="F892" s="5" t="str">
        <f>_xlfn.XLOOKUP(role_course_map[[#This Row],[course_id]],course_data[course_id],course_data[type],"")</f>
        <v>eLearning</v>
      </c>
      <c r="K892" t="str">
        <f>role_course_map[[#This Row],[role_id]] &amp; "|" &amp; role_course_map[[#This Row],[course_id]]</f>
        <v>R0141|999024</v>
      </c>
      <c r="L892" t="str">
        <f>IF(COUNTIF(role_course_map[mapping_key],role_course_map[[#This Row],[mapping_key]])&gt;1,"DUPLICATE","OK")</f>
        <v>OK</v>
      </c>
      <c r="M892" t="str">
        <f>IF(COUNTIF(role_data[role_id],role_course_map[[#This Row],[role_id]])=0, "INVALID","VALID")</f>
        <v>VALID</v>
      </c>
      <c r="N892" t="str">
        <f>IF(COUNTIF(course_data[course_id],role_course_map[[#This Row],[course_id]])=0, "INVALID","VALID")</f>
        <v>VALID</v>
      </c>
    </row>
    <row r="893" spans="1:14" x14ac:dyDescent="0.35">
      <c r="A893" t="s">
        <v>296</v>
      </c>
      <c r="B893" s="5" t="str">
        <f>_xlfn.XLOOKUP(role_course_map[[#This Row],[role_id]], role_data[role_id], role_data[Role],"")</f>
        <v>Neonatal Nurse Consultant</v>
      </c>
      <c r="C893">
        <v>999024</v>
      </c>
      <c r="D893" s="5" t="str">
        <f>_xlfn.XLOOKUP(role_course_map[[#This Row],[course_id]],course_data[course_id],course_data[title],"")</f>
        <v>Conditions requiring specific hospital management. I.e. Parkinsons</v>
      </c>
      <c r="E893" s="5" t="str">
        <f>_xlfn.XLOOKUP(role_course_map[[#This Row],[course_id]],course_data[course_id],course_data[topic],"")</f>
        <v>SAS : Clinical Practice</v>
      </c>
      <c r="F893" s="5" t="str">
        <f>_xlfn.XLOOKUP(role_course_map[[#This Row],[course_id]],course_data[course_id],course_data[type],"")</f>
        <v>eLearning</v>
      </c>
      <c r="K893" t="str">
        <f>role_course_map[[#This Row],[role_id]] &amp; "|" &amp; role_course_map[[#This Row],[course_id]]</f>
        <v>R0142|999024</v>
      </c>
      <c r="L893" t="str">
        <f>IF(COUNTIF(role_course_map[mapping_key],role_course_map[[#This Row],[mapping_key]])&gt;1,"DUPLICATE","OK")</f>
        <v>OK</v>
      </c>
      <c r="M893" t="str">
        <f>IF(COUNTIF(role_data[role_id],role_course_map[[#This Row],[role_id]])=0, "INVALID","VALID")</f>
        <v>VALID</v>
      </c>
      <c r="N893" t="str">
        <f>IF(COUNTIF(course_data[course_id],role_course_map[[#This Row],[course_id]])=0, "INVALID","VALID")</f>
        <v>VALID</v>
      </c>
    </row>
    <row r="894" spans="1:14" x14ac:dyDescent="0.35">
      <c r="A894" t="s">
        <v>296</v>
      </c>
      <c r="B894" s="5" t="str">
        <f>_xlfn.XLOOKUP(role_course_map[[#This Row],[role_id]], role_data[role_id], role_data[Role],"")</f>
        <v>Neonatal Nurse Consultant</v>
      </c>
      <c r="C894">
        <v>999095</v>
      </c>
      <c r="D894" s="5" t="str">
        <f>_xlfn.XLOOKUP(role_course_map[[#This Row],[course_id]],course_data[course_id],course_data[title],"")</f>
        <v>Mentoring</v>
      </c>
      <c r="E894" s="5" t="str">
        <f>_xlfn.XLOOKUP(role_course_map[[#This Row],[course_id]],course_data[course_id],course_data[topic],"")</f>
        <v>SAS: Staff development and experience</v>
      </c>
      <c r="F894" s="5" t="str">
        <f>_xlfn.XLOOKUP(role_course_map[[#This Row],[course_id]],course_data[course_id],course_data[type],"")</f>
        <v>eLearning</v>
      </c>
      <c r="K894" t="str">
        <f>role_course_map[[#This Row],[role_id]] &amp; "|" &amp; role_course_map[[#This Row],[course_id]]</f>
        <v>R0142|999095</v>
      </c>
      <c r="L894" t="str">
        <f>IF(COUNTIF(role_course_map[mapping_key],role_course_map[[#This Row],[mapping_key]])&gt;1,"DUPLICATE","OK")</f>
        <v>OK</v>
      </c>
      <c r="M894" t="str">
        <f>IF(COUNTIF(role_data[role_id],role_course_map[[#This Row],[role_id]])=0, "INVALID","VALID")</f>
        <v>VALID</v>
      </c>
      <c r="N894" t="str">
        <f>IF(COUNTIF(course_data[course_id],role_course_map[[#This Row],[course_id]])=0, "INVALID","VALID")</f>
        <v>VALID</v>
      </c>
    </row>
    <row r="895" spans="1:14" x14ac:dyDescent="0.35">
      <c r="A895" t="s">
        <v>296</v>
      </c>
      <c r="B895" s="5" t="str">
        <f>_xlfn.XLOOKUP(role_course_map[[#This Row],[role_id]], role_data[role_id], role_data[Role],"")</f>
        <v>Neonatal Nurse Consultant</v>
      </c>
      <c r="C895">
        <v>999096</v>
      </c>
      <c r="D895" s="5" t="str">
        <f>_xlfn.XLOOKUP(role_course_map[[#This Row],[course_id]],course_data[course_id],course_data[title],"")</f>
        <v>Supporting others in practice (Supervision)</v>
      </c>
      <c r="E895" s="5" t="str">
        <f>_xlfn.XLOOKUP(role_course_map[[#This Row],[course_id]],course_data[course_id],course_data[topic],"")</f>
        <v>SAS: Staff development and experience</v>
      </c>
      <c r="F895" s="5" t="str">
        <f>_xlfn.XLOOKUP(role_course_map[[#This Row],[course_id]],course_data[course_id],course_data[type],"")</f>
        <v>Course</v>
      </c>
      <c r="K895" t="str">
        <f>role_course_map[[#This Row],[role_id]] &amp; "|" &amp; role_course_map[[#This Row],[course_id]]</f>
        <v>R0142|999096</v>
      </c>
      <c r="L895" t="str">
        <f>IF(COUNTIF(role_course_map[mapping_key],role_course_map[[#This Row],[mapping_key]])&gt;1,"DUPLICATE","OK")</f>
        <v>OK</v>
      </c>
      <c r="M895" t="str">
        <f>IF(COUNTIF(role_data[role_id],role_course_map[[#This Row],[role_id]])=0, "INVALID","VALID")</f>
        <v>VALID</v>
      </c>
      <c r="N895" t="str">
        <f>IF(COUNTIF(course_data[course_id],role_course_map[[#This Row],[course_id]])=0, "INVALID","VALID")</f>
        <v>VALID</v>
      </c>
    </row>
    <row r="896" spans="1:14" x14ac:dyDescent="0.35">
      <c r="A896" t="s">
        <v>296</v>
      </c>
      <c r="B896" s="5" t="str">
        <f>_xlfn.XLOOKUP(role_course_map[[#This Row],[role_id]], role_data[role_id], role_data[Role],"")</f>
        <v>Neonatal Nurse Consultant</v>
      </c>
      <c r="C896">
        <v>999097</v>
      </c>
      <c r="D896" s="5" t="str">
        <f>_xlfn.XLOOKUP(role_course_map[[#This Row],[course_id]],course_data[course_id],course_data[title],"")</f>
        <v>Personal Wellbeing</v>
      </c>
      <c r="E896" s="5" t="str">
        <f>_xlfn.XLOOKUP(role_course_map[[#This Row],[course_id]],course_data[course_id],course_data[topic],"")</f>
        <v>SAS: Staff development and experience</v>
      </c>
      <c r="F896" s="5" t="str">
        <f>_xlfn.XLOOKUP(role_course_map[[#This Row],[course_id]],course_data[course_id],course_data[type],"")</f>
        <v>eLearning</v>
      </c>
      <c r="K896" t="str">
        <f>role_course_map[[#This Row],[role_id]] &amp; "|" &amp; role_course_map[[#This Row],[course_id]]</f>
        <v>R0142|999097</v>
      </c>
      <c r="L896" t="str">
        <f>IF(COUNTIF(role_course_map[mapping_key],role_course_map[[#This Row],[mapping_key]])&gt;1,"DUPLICATE","OK")</f>
        <v>OK</v>
      </c>
      <c r="M896" t="str">
        <f>IF(COUNTIF(role_data[role_id],role_course_map[[#This Row],[role_id]])=0, "INVALID","VALID")</f>
        <v>VALID</v>
      </c>
      <c r="N896" t="str">
        <f>IF(COUNTIF(course_data[course_id],role_course_map[[#This Row],[course_id]])=0, "INVALID","VALID")</f>
        <v>VALID</v>
      </c>
    </row>
    <row r="897" spans="1:14" x14ac:dyDescent="0.35">
      <c r="A897" t="s">
        <v>296</v>
      </c>
      <c r="B897" s="5" t="str">
        <f>_xlfn.XLOOKUP(role_course_map[[#This Row],[role_id]], role_data[role_id], role_data[Role],"")</f>
        <v>Neonatal Nurse Consultant</v>
      </c>
      <c r="C897">
        <v>999094</v>
      </c>
      <c r="D897" s="5" t="str">
        <f>_xlfn.XLOOKUP(role_course_map[[#This Row],[course_id]],course_data[course_id],course_data[title],"")</f>
        <v>Being well, Mind, Body &amp; Workplace</v>
      </c>
      <c r="E897" s="5" t="str">
        <f>_xlfn.XLOOKUP(role_course_map[[#This Row],[course_id]],course_data[course_id],course_data[topic],"")</f>
        <v>SAS: Staff development and experience</v>
      </c>
      <c r="F897" s="5" t="str">
        <f>_xlfn.XLOOKUP(role_course_map[[#This Row],[course_id]],course_data[course_id],course_data[type],"")</f>
        <v>eLearning</v>
      </c>
      <c r="K897" t="str">
        <f>role_course_map[[#This Row],[role_id]] &amp; "|" &amp; role_course_map[[#This Row],[course_id]]</f>
        <v>R0142|999094</v>
      </c>
      <c r="L897" t="str">
        <f>IF(COUNTIF(role_course_map[mapping_key],role_course_map[[#This Row],[mapping_key]])&gt;1,"DUPLICATE","OK")</f>
        <v>DUPLICATE</v>
      </c>
      <c r="M897" t="str">
        <f>IF(COUNTIF(role_data[role_id],role_course_map[[#This Row],[role_id]])=0, "INVALID","VALID")</f>
        <v>VALID</v>
      </c>
      <c r="N897" t="str">
        <f>IF(COUNTIF(course_data[course_id],role_course_map[[#This Row],[course_id]])=0, "INVALID","VALID")</f>
        <v>VALID</v>
      </c>
    </row>
    <row r="898" spans="1:14" x14ac:dyDescent="0.35">
      <c r="A898" t="s">
        <v>296</v>
      </c>
      <c r="B898" s="5" t="str">
        <f>_xlfn.XLOOKUP(role_course_map[[#This Row],[role_id]], role_data[role_id], role_data[Role],"")</f>
        <v>Neonatal Nurse Consultant</v>
      </c>
      <c r="C898">
        <v>999059</v>
      </c>
      <c r="D898" s="5" t="str">
        <f>_xlfn.XLOOKUP(role_course_map[[#This Row],[course_id]],course_data[course_id],course_data[title],"")</f>
        <v>Driving update (practical)</v>
      </c>
      <c r="E898" s="5" t="str">
        <f>_xlfn.XLOOKUP(role_course_map[[#This Row],[course_id]],course_data[course_id],course_data[topic],"")</f>
        <v>SAS : Health and Safety</v>
      </c>
      <c r="F898" s="5" t="str">
        <f>_xlfn.XLOOKUP(role_course_map[[#This Row],[course_id]],course_data[course_id],course_data[type],"")</f>
        <v>Course</v>
      </c>
      <c r="K898" t="str">
        <f>role_course_map[[#This Row],[role_id]] &amp; "|" &amp; role_course_map[[#This Row],[course_id]]</f>
        <v>R0142|999059</v>
      </c>
      <c r="L898" t="str">
        <f>IF(COUNTIF(role_course_map[mapping_key],role_course_map[[#This Row],[mapping_key]])&gt;1,"DUPLICATE","OK")</f>
        <v>OK</v>
      </c>
      <c r="M898" t="str">
        <f>IF(COUNTIF(role_data[role_id],role_course_map[[#This Row],[role_id]])=0, "INVALID","VALID")</f>
        <v>VALID</v>
      </c>
      <c r="N898" t="str">
        <f>IF(COUNTIF(course_data[course_id],role_course_map[[#This Row],[course_id]])=0, "INVALID","VALID")</f>
        <v>VALID</v>
      </c>
    </row>
    <row r="899" spans="1:14" x14ac:dyDescent="0.35">
      <c r="A899" t="s">
        <v>292</v>
      </c>
      <c r="B899" s="5" t="str">
        <f>_xlfn.XLOOKUP(role_course_map[[#This Row],[role_id]], role_data[role_id], role_data[Role],"")</f>
        <v>Neonatal Consultant</v>
      </c>
      <c r="C899">
        <v>999060</v>
      </c>
      <c r="D899" s="5" t="str">
        <f>_xlfn.XLOOKUP(role_course_map[[#This Row],[course_id]],course_data[course_id],course_data[title],"")</f>
        <v>COSHH</v>
      </c>
      <c r="E899" s="5" t="str">
        <f>_xlfn.XLOOKUP(role_course_map[[#This Row],[course_id]],course_data[course_id],course_data[topic],"")</f>
        <v>SAS : Health and Safety</v>
      </c>
      <c r="F899" s="5" t="str">
        <f>_xlfn.XLOOKUP(role_course_map[[#This Row],[course_id]],course_data[course_id],course_data[type],"")</f>
        <v>eLearning</v>
      </c>
      <c r="K899" t="str">
        <f>role_course_map[[#This Row],[role_id]] &amp; "|" &amp; role_course_map[[#This Row],[course_id]]</f>
        <v>R0140|999060</v>
      </c>
      <c r="L899" t="str">
        <f>IF(COUNTIF(role_course_map[mapping_key],role_course_map[[#This Row],[mapping_key]])&gt;1,"DUPLICATE","OK")</f>
        <v>OK</v>
      </c>
      <c r="M899" t="str">
        <f>IF(COUNTIF(role_data[role_id],role_course_map[[#This Row],[role_id]])=0, "INVALID","VALID")</f>
        <v>VALID</v>
      </c>
      <c r="N899" t="str">
        <f>IF(COUNTIF(course_data[course_id],role_course_map[[#This Row],[course_id]])=0, "INVALID","VALID")</f>
        <v>VALID</v>
      </c>
    </row>
    <row r="900" spans="1:14" x14ac:dyDescent="0.35">
      <c r="A900" t="s">
        <v>296</v>
      </c>
      <c r="B900" s="5" t="str">
        <f>_xlfn.XLOOKUP(role_course_map[[#This Row],[role_id]], role_data[role_id], role_data[Role],"")</f>
        <v>Neonatal Nurse Consultant</v>
      </c>
      <c r="C900">
        <v>999060</v>
      </c>
      <c r="D900" s="5" t="str">
        <f>_xlfn.XLOOKUP(role_course_map[[#This Row],[course_id]],course_data[course_id],course_data[title],"")</f>
        <v>COSHH</v>
      </c>
      <c r="E900" s="5" t="str">
        <f>_xlfn.XLOOKUP(role_course_map[[#This Row],[course_id]],course_data[course_id],course_data[topic],"")</f>
        <v>SAS : Health and Safety</v>
      </c>
      <c r="F900" s="5" t="str">
        <f>_xlfn.XLOOKUP(role_course_map[[#This Row],[course_id]],course_data[course_id],course_data[type],"")</f>
        <v>eLearning</v>
      </c>
      <c r="K900" t="str">
        <f>role_course_map[[#This Row],[role_id]] &amp; "|" &amp; role_course_map[[#This Row],[course_id]]</f>
        <v>R0142|999060</v>
      </c>
      <c r="L900" t="str">
        <f>IF(COUNTIF(role_course_map[mapping_key],role_course_map[[#This Row],[mapping_key]])&gt;1,"DUPLICATE","OK")</f>
        <v>OK</v>
      </c>
      <c r="M900" t="str">
        <f>IF(COUNTIF(role_data[role_id],role_course_map[[#This Row],[role_id]])=0, "INVALID","VALID")</f>
        <v>VALID</v>
      </c>
      <c r="N900" t="str">
        <f>IF(COUNTIF(course_data[course_id],role_course_map[[#This Row],[course_id]])=0, "INVALID","VALID")</f>
        <v>VALID</v>
      </c>
    </row>
    <row r="901" spans="1:14" x14ac:dyDescent="0.35">
      <c r="A901" t="s">
        <v>296</v>
      </c>
      <c r="B901" s="5" t="str">
        <f>_xlfn.XLOOKUP(role_course_map[[#This Row],[role_id]], role_data[role_id], role_data[Role],"")</f>
        <v>Neonatal Nurse Consultant</v>
      </c>
      <c r="C901">
        <v>999066</v>
      </c>
      <c r="D901" s="5" t="str">
        <f>_xlfn.XLOOKUP(role_course_map[[#This Row],[course_id]],course_data[course_id],course_data[title],"")</f>
        <v>NRRD Update i.e. Major Incidents/Methane/ Multiple Casualities</v>
      </c>
      <c r="E901" s="5" t="str">
        <f>_xlfn.XLOOKUP(role_course_map[[#This Row],[course_id]],course_data[course_id],course_data[topic],"")</f>
        <v>SAS : National Risk and Resilience Department (NRRD)</v>
      </c>
      <c r="F901" s="5" t="str">
        <f>_xlfn.XLOOKUP(role_course_map[[#This Row],[course_id]],course_data[course_id],course_data[type],"")</f>
        <v>eLearning</v>
      </c>
      <c r="K901" t="str">
        <f>role_course_map[[#This Row],[role_id]] &amp; "|" &amp; role_course_map[[#This Row],[course_id]]</f>
        <v>R0142|999066</v>
      </c>
      <c r="L901" t="str">
        <f>IF(COUNTIF(role_course_map[mapping_key],role_course_map[[#This Row],[mapping_key]])&gt;1,"DUPLICATE","OK")</f>
        <v>OK</v>
      </c>
      <c r="M901" t="str">
        <f>IF(COUNTIF(role_data[role_id],role_course_map[[#This Row],[role_id]])=0, "INVALID","VALID")</f>
        <v>VALID</v>
      </c>
      <c r="N901" t="str">
        <f>IF(COUNTIF(course_data[course_id],role_course_map[[#This Row],[course_id]])=0, "INVALID","VALID")</f>
        <v>VALID</v>
      </c>
    </row>
    <row r="902" spans="1:14" x14ac:dyDescent="0.35">
      <c r="A902" t="s">
        <v>296</v>
      </c>
      <c r="B902" s="5" t="str">
        <f>_xlfn.XLOOKUP(role_course_map[[#This Row],[role_id]], role_data[role_id], role_data[Role],"")</f>
        <v>Neonatal Nurse Consultant</v>
      </c>
      <c r="C902">
        <v>999025</v>
      </c>
      <c r="D902" s="5" t="str">
        <f>_xlfn.XLOOKUP(role_course_map[[#This Row],[course_id]],course_data[course_id],course_data[title],"")</f>
        <v>Professional Standards</v>
      </c>
      <c r="E902" s="5" t="str">
        <f>_xlfn.XLOOKUP(role_course_map[[#This Row],[course_id]],course_data[course_id],course_data[topic],"")</f>
        <v>SAS : Clinical Practice</v>
      </c>
      <c r="F902" s="5" t="str">
        <f>_xlfn.XLOOKUP(role_course_map[[#This Row],[course_id]],course_data[course_id],course_data[type],"")</f>
        <v>eLearning</v>
      </c>
      <c r="K902" t="str">
        <f>role_course_map[[#This Row],[role_id]] &amp; "|" &amp; role_course_map[[#This Row],[course_id]]</f>
        <v>R0142|999025</v>
      </c>
      <c r="L902" t="str">
        <f>IF(COUNTIF(role_course_map[mapping_key],role_course_map[[#This Row],[mapping_key]])&gt;1,"DUPLICATE","OK")</f>
        <v>OK</v>
      </c>
      <c r="M902" t="str">
        <f>IF(COUNTIF(role_data[role_id],role_course_map[[#This Row],[role_id]])=0, "INVALID","VALID")</f>
        <v>VALID</v>
      </c>
      <c r="N902" t="str">
        <f>IF(COUNTIF(course_data[course_id],role_course_map[[#This Row],[course_id]])=0, "INVALID","VALID")</f>
        <v>VALID</v>
      </c>
    </row>
    <row r="903" spans="1:14" x14ac:dyDescent="0.35">
      <c r="A903" t="s">
        <v>292</v>
      </c>
      <c r="B903" s="5" t="str">
        <f>_xlfn.XLOOKUP(role_course_map[[#This Row],[role_id]], role_data[role_id], role_data[Role],"")</f>
        <v>Neonatal Consultant</v>
      </c>
      <c r="C903">
        <v>999026</v>
      </c>
      <c r="D903" s="5" t="str">
        <f>_xlfn.XLOOKUP(role_course_map[[#This Row],[course_id]],course_data[course_id],course_data[title],"")</f>
        <v>Communication Standards</v>
      </c>
      <c r="E903" s="5" t="str">
        <f>_xlfn.XLOOKUP(role_course_map[[#This Row],[course_id]],course_data[course_id],course_data[topic],"")</f>
        <v>SAS : Clinical Practice</v>
      </c>
      <c r="F903" s="5" t="str">
        <f>_xlfn.XLOOKUP(role_course_map[[#This Row],[course_id]],course_data[course_id],course_data[type],"")</f>
        <v>eLearning</v>
      </c>
      <c r="K903" t="str">
        <f>role_course_map[[#This Row],[role_id]] &amp; "|" &amp; role_course_map[[#This Row],[course_id]]</f>
        <v>R0140|999026</v>
      </c>
      <c r="L903" t="str">
        <f>IF(COUNTIF(role_course_map[mapping_key],role_course_map[[#This Row],[mapping_key]])&gt;1,"DUPLICATE","OK")</f>
        <v>OK</v>
      </c>
      <c r="M903" t="str">
        <f>IF(COUNTIF(role_data[role_id],role_course_map[[#This Row],[role_id]])=0, "INVALID","VALID")</f>
        <v>VALID</v>
      </c>
      <c r="N903" t="str">
        <f>IF(COUNTIF(course_data[course_id],role_course_map[[#This Row],[course_id]])=0, "INVALID","VALID")</f>
        <v>VALID</v>
      </c>
    </row>
    <row r="904" spans="1:14" x14ac:dyDescent="0.35">
      <c r="A904" t="s">
        <v>296</v>
      </c>
      <c r="B904" s="5" t="str">
        <f>_xlfn.XLOOKUP(role_course_map[[#This Row],[role_id]], role_data[role_id], role_data[Role],"")</f>
        <v>Neonatal Nurse Consultant</v>
      </c>
      <c r="C904">
        <v>999026</v>
      </c>
      <c r="D904" s="5" t="str">
        <f>_xlfn.XLOOKUP(role_course_map[[#This Row],[course_id]],course_data[course_id],course_data[title],"")</f>
        <v>Communication Standards</v>
      </c>
      <c r="E904" s="5" t="str">
        <f>_xlfn.XLOOKUP(role_course_map[[#This Row],[course_id]],course_data[course_id],course_data[topic],"")</f>
        <v>SAS : Clinical Practice</v>
      </c>
      <c r="F904" s="5" t="str">
        <f>_xlfn.XLOOKUP(role_course_map[[#This Row],[course_id]],course_data[course_id],course_data[type],"")</f>
        <v>eLearning</v>
      </c>
      <c r="K904" t="str">
        <f>role_course_map[[#This Row],[role_id]] &amp; "|" &amp; role_course_map[[#This Row],[course_id]]</f>
        <v>R0142|999026</v>
      </c>
      <c r="L904" t="str">
        <f>IF(COUNTIF(role_course_map[mapping_key],role_course_map[[#This Row],[mapping_key]])&gt;1,"DUPLICATE","OK")</f>
        <v>OK</v>
      </c>
      <c r="M904" t="str">
        <f>IF(COUNTIF(role_data[role_id],role_course_map[[#This Row],[role_id]])=0, "INVALID","VALID")</f>
        <v>VALID</v>
      </c>
      <c r="N904" t="str">
        <f>IF(COUNTIF(course_data[course_id],role_course_map[[#This Row],[course_id]])=0, "INVALID","VALID")</f>
        <v>VALID</v>
      </c>
    </row>
    <row r="905" spans="1:14" x14ac:dyDescent="0.35">
      <c r="A905" t="s">
        <v>296</v>
      </c>
      <c r="B905" s="5" t="str">
        <f>_xlfn.XLOOKUP(role_course_map[[#This Row],[role_id]], role_data[role_id], role_data[Role],"")</f>
        <v>Neonatal Nurse Consultant</v>
      </c>
      <c r="C905">
        <v>999058</v>
      </c>
      <c r="D905" s="5" t="str">
        <f>_xlfn.XLOOKUP(role_course_map[[#This Row],[course_id]],course_data[course_id],course_data[title],"")</f>
        <v>Stress Identification &amp; Stress Management</v>
      </c>
      <c r="E905" s="5" t="str">
        <f>_xlfn.XLOOKUP(role_course_map[[#This Row],[course_id]],course_data[course_id],course_data[topic],"")</f>
        <v>SAS : Health and Safety</v>
      </c>
      <c r="F905" s="5" t="str">
        <f>_xlfn.XLOOKUP(role_course_map[[#This Row],[course_id]],course_data[course_id],course_data[type],"")</f>
        <v>eLearning</v>
      </c>
      <c r="K905" t="str">
        <f>role_course_map[[#This Row],[role_id]] &amp; "|" &amp; role_course_map[[#This Row],[course_id]]</f>
        <v>R0142|999058</v>
      </c>
      <c r="L905" t="str">
        <f>IF(COUNTIF(role_course_map[mapping_key],role_course_map[[#This Row],[mapping_key]])&gt;1,"DUPLICATE","OK")</f>
        <v>OK</v>
      </c>
      <c r="M905" t="str">
        <f>IF(COUNTIF(role_data[role_id],role_course_map[[#This Row],[role_id]])=0, "INVALID","VALID")</f>
        <v>VALID</v>
      </c>
      <c r="N905" t="str">
        <f>IF(COUNTIF(course_data[course_id],role_course_map[[#This Row],[course_id]])=0, "INVALID","VALID")</f>
        <v>VALID</v>
      </c>
    </row>
    <row r="906" spans="1:14" x14ac:dyDescent="0.35">
      <c r="A906" t="s">
        <v>294</v>
      </c>
      <c r="B906" s="5" t="str">
        <f>_xlfn.XLOOKUP(role_course_map[[#This Row],[role_id]], role_data[role_id], role_data[Role],"")</f>
        <v>Neonatal Fellow</v>
      </c>
      <c r="C906">
        <v>999056</v>
      </c>
      <c r="D906" s="5" t="str">
        <f>_xlfn.XLOOKUP(role_course_map[[#This Row],[course_id]],course_data[course_id],course_data[title],"")</f>
        <v>Driver Assessment &amp; Training</v>
      </c>
      <c r="E906" s="5" t="str">
        <f>_xlfn.XLOOKUP(role_course_map[[#This Row],[course_id]],course_data[course_id],course_data[topic],"")</f>
        <v>SAS : Health and Safety</v>
      </c>
      <c r="F906" s="5" t="str">
        <f>_xlfn.XLOOKUP(role_course_map[[#This Row],[course_id]],course_data[course_id],course_data[type],"")</f>
        <v>eLearning</v>
      </c>
      <c r="K906" t="str">
        <f>role_course_map[[#This Row],[role_id]] &amp; "|" &amp; role_course_map[[#This Row],[course_id]]</f>
        <v>R0141|999056</v>
      </c>
      <c r="L906" t="str">
        <f>IF(COUNTIF(role_course_map[mapping_key],role_course_map[[#This Row],[mapping_key]])&gt;1,"DUPLICATE","OK")</f>
        <v>OK</v>
      </c>
      <c r="M906" t="str">
        <f>IF(COUNTIF(role_data[role_id],role_course_map[[#This Row],[role_id]])=0, "INVALID","VALID")</f>
        <v>VALID</v>
      </c>
      <c r="N906" t="str">
        <f>IF(COUNTIF(course_data[course_id],role_course_map[[#This Row],[course_id]])=0, "INVALID","VALID")</f>
        <v>VALID</v>
      </c>
    </row>
    <row r="907" spans="1:14" x14ac:dyDescent="0.35">
      <c r="A907" t="s">
        <v>296</v>
      </c>
      <c r="B907" s="5" t="str">
        <f>_xlfn.XLOOKUP(role_course_map[[#This Row],[role_id]], role_data[role_id], role_data[Role],"")</f>
        <v>Neonatal Nurse Consultant</v>
      </c>
      <c r="C907">
        <v>999056</v>
      </c>
      <c r="D907" s="5" t="str">
        <f>_xlfn.XLOOKUP(role_course_map[[#This Row],[course_id]],course_data[course_id],course_data[title],"")</f>
        <v>Driver Assessment &amp; Training</v>
      </c>
      <c r="E907" s="5" t="str">
        <f>_xlfn.XLOOKUP(role_course_map[[#This Row],[course_id]],course_data[course_id],course_data[topic],"")</f>
        <v>SAS : Health and Safety</v>
      </c>
      <c r="F907" s="5" t="str">
        <f>_xlfn.XLOOKUP(role_course_map[[#This Row],[course_id]],course_data[course_id],course_data[type],"")</f>
        <v>eLearning</v>
      </c>
      <c r="K907" t="str">
        <f>role_course_map[[#This Row],[role_id]] &amp; "|" &amp; role_course_map[[#This Row],[course_id]]</f>
        <v>R0142|999056</v>
      </c>
      <c r="L907" t="str">
        <f>IF(COUNTIF(role_course_map[mapping_key],role_course_map[[#This Row],[mapping_key]])&gt;1,"DUPLICATE","OK")</f>
        <v>OK</v>
      </c>
      <c r="M907" t="str">
        <f>IF(COUNTIF(role_data[role_id],role_course_map[[#This Row],[role_id]])=0, "INVALID","VALID")</f>
        <v>VALID</v>
      </c>
      <c r="N907" t="str">
        <f>IF(COUNTIF(course_data[course_id],role_course_map[[#This Row],[course_id]])=0, "INVALID","VALID")</f>
        <v>VALID</v>
      </c>
    </row>
    <row r="908" spans="1:14" x14ac:dyDescent="0.35">
      <c r="A908" t="s">
        <v>296</v>
      </c>
      <c r="B908" s="5" t="str">
        <f>_xlfn.XLOOKUP(role_course_map[[#This Row],[role_id]], role_data[role_id], role_data[Role],"")</f>
        <v>Neonatal Nurse Consultant</v>
      </c>
      <c r="C908">
        <v>999061</v>
      </c>
      <c r="D908" s="5" t="str">
        <f>_xlfn.XLOOKUP(role_course_map[[#This Row],[course_id]],course_data[course_id],course_data[title],"")</f>
        <v>Skin Awareness</v>
      </c>
      <c r="E908" s="5" t="str">
        <f>_xlfn.XLOOKUP(role_course_map[[#This Row],[course_id]],course_data[course_id],course_data[topic],"")</f>
        <v>SAS : Health and Safety</v>
      </c>
      <c r="F908" s="5" t="str">
        <f>_xlfn.XLOOKUP(role_course_map[[#This Row],[course_id]],course_data[course_id],course_data[type],"")</f>
        <v>eLearning</v>
      </c>
      <c r="K908" t="str">
        <f>role_course_map[[#This Row],[role_id]] &amp; "|" &amp; role_course_map[[#This Row],[course_id]]</f>
        <v>R0142|999061</v>
      </c>
      <c r="L908" t="str">
        <f>IF(COUNTIF(role_course_map[mapping_key],role_course_map[[#This Row],[mapping_key]])&gt;1,"DUPLICATE","OK")</f>
        <v>OK</v>
      </c>
      <c r="M908" t="str">
        <f>IF(COUNTIF(role_data[role_id],role_course_map[[#This Row],[role_id]])=0, "INVALID","VALID")</f>
        <v>VALID</v>
      </c>
      <c r="N908" t="str">
        <f>IF(COUNTIF(course_data[course_id],role_course_map[[#This Row],[course_id]])=0, "INVALID","VALID")</f>
        <v>VALID</v>
      </c>
    </row>
    <row r="909" spans="1:14" x14ac:dyDescent="0.35">
      <c r="A909" t="s">
        <v>294</v>
      </c>
      <c r="B909" s="5" t="str">
        <f>_xlfn.XLOOKUP(role_course_map[[#This Row],[role_id]], role_data[role_id], role_data[Role],"")</f>
        <v>Neonatal Fellow</v>
      </c>
      <c r="C909">
        <v>999057</v>
      </c>
      <c r="D909" s="5" t="str">
        <f>_xlfn.XLOOKUP(role_course_map[[#This Row],[course_id]],course_data[course_id],course_data[title],"")</f>
        <v>Fatigue Awareness</v>
      </c>
      <c r="E909" s="5" t="str">
        <f>_xlfn.XLOOKUP(role_course_map[[#This Row],[course_id]],course_data[course_id],course_data[topic],"")</f>
        <v>SAS : Health and Safety</v>
      </c>
      <c r="F909" s="5" t="str">
        <f>_xlfn.XLOOKUP(role_course_map[[#This Row],[course_id]],course_data[course_id],course_data[type],"")</f>
        <v>eLearning</v>
      </c>
      <c r="K909" t="str">
        <f>role_course_map[[#This Row],[role_id]] &amp; "|" &amp; role_course_map[[#This Row],[course_id]]</f>
        <v>R0141|999057</v>
      </c>
      <c r="L909" t="str">
        <f>IF(COUNTIF(role_course_map[mapping_key],role_course_map[[#This Row],[mapping_key]])&gt;1,"DUPLICATE","OK")</f>
        <v>OK</v>
      </c>
      <c r="M909" t="str">
        <f>IF(COUNTIF(role_data[role_id],role_course_map[[#This Row],[role_id]])=0, "INVALID","VALID")</f>
        <v>VALID</v>
      </c>
      <c r="N909" t="str">
        <f>IF(COUNTIF(course_data[course_id],role_course_map[[#This Row],[course_id]])=0, "INVALID","VALID")</f>
        <v>VALID</v>
      </c>
    </row>
    <row r="910" spans="1:14" x14ac:dyDescent="0.35">
      <c r="A910" t="s">
        <v>296</v>
      </c>
      <c r="B910" s="5" t="str">
        <f>_xlfn.XLOOKUP(role_course_map[[#This Row],[role_id]], role_data[role_id], role_data[Role],"")</f>
        <v>Neonatal Nurse Consultant</v>
      </c>
      <c r="C910">
        <v>999057</v>
      </c>
      <c r="D910" s="5" t="str">
        <f>_xlfn.XLOOKUP(role_course_map[[#This Row],[course_id]],course_data[course_id],course_data[title],"")</f>
        <v>Fatigue Awareness</v>
      </c>
      <c r="E910" s="5" t="str">
        <f>_xlfn.XLOOKUP(role_course_map[[#This Row],[course_id]],course_data[course_id],course_data[topic],"")</f>
        <v>SAS : Health and Safety</v>
      </c>
      <c r="F910" s="5" t="str">
        <f>_xlfn.XLOOKUP(role_course_map[[#This Row],[course_id]],course_data[course_id],course_data[type],"")</f>
        <v>eLearning</v>
      </c>
      <c r="K910" t="str">
        <f>role_course_map[[#This Row],[role_id]] &amp; "|" &amp; role_course_map[[#This Row],[course_id]]</f>
        <v>R0142|999057</v>
      </c>
      <c r="L910" t="str">
        <f>IF(COUNTIF(role_course_map[mapping_key],role_course_map[[#This Row],[mapping_key]])&gt;1,"DUPLICATE","OK")</f>
        <v>OK</v>
      </c>
      <c r="M910" t="str">
        <f>IF(COUNTIF(role_data[role_id],role_course_map[[#This Row],[role_id]])=0, "INVALID","VALID")</f>
        <v>VALID</v>
      </c>
      <c r="N910" t="str">
        <f>IF(COUNTIF(course_data[course_id],role_course_map[[#This Row],[course_id]])=0, "INVALID","VALID")</f>
        <v>VALID</v>
      </c>
    </row>
    <row r="911" spans="1:14" x14ac:dyDescent="0.35">
      <c r="A911" t="s">
        <v>296</v>
      </c>
      <c r="B911" s="5" t="str">
        <f>_xlfn.XLOOKUP(role_course_map[[#This Row],[role_id]], role_data[role_id], role_data[Role],"")</f>
        <v>Neonatal Nurse Consultant</v>
      </c>
      <c r="C911">
        <v>999027</v>
      </c>
      <c r="D911" s="5" t="str">
        <f>_xlfn.XLOOKUP(role_course_map[[#This Row],[course_id]],course_data[course_id],course_data[title],"")</f>
        <v>Manual and Patient Handling Foundation Training - Level 2</v>
      </c>
      <c r="E911" s="5" t="str">
        <f>_xlfn.XLOOKUP(role_course_map[[#This Row],[course_id]],course_data[course_id],course_data[topic],"")</f>
        <v>SAS : Clinical Practice</v>
      </c>
      <c r="F911" s="5" t="str">
        <f>_xlfn.XLOOKUP(role_course_map[[#This Row],[course_id]],course_data[course_id],course_data[type],"")</f>
        <v>Course</v>
      </c>
      <c r="K911" t="str">
        <f>role_course_map[[#This Row],[role_id]] &amp; "|" &amp; role_course_map[[#This Row],[course_id]]</f>
        <v>R0142|999027</v>
      </c>
      <c r="L911" t="str">
        <f>IF(COUNTIF(role_course_map[mapping_key],role_course_map[[#This Row],[mapping_key]])&gt;1,"DUPLICATE","OK")</f>
        <v>OK</v>
      </c>
      <c r="M911" t="str">
        <f>IF(COUNTIF(role_data[role_id],role_course_map[[#This Row],[role_id]])=0, "INVALID","VALID")</f>
        <v>VALID</v>
      </c>
      <c r="N911" t="str">
        <f>IF(COUNTIF(course_data[course_id],role_course_map[[#This Row],[course_id]])=0, "INVALID","VALID")</f>
        <v>VALID</v>
      </c>
    </row>
    <row r="912" spans="1:14" x14ac:dyDescent="0.35">
      <c r="A912" t="s">
        <v>296</v>
      </c>
      <c r="B912" s="5" t="str">
        <f>_xlfn.XLOOKUP(role_course_map[[#This Row],[role_id]], role_data[role_id], role_data[Role],"")</f>
        <v>Neonatal Nurse Consultant</v>
      </c>
      <c r="C912">
        <v>999028</v>
      </c>
      <c r="D912" s="5" t="str">
        <f>_xlfn.XLOOKUP(role_course_map[[#This Row],[course_id]],course_data[course_id],course_data[title],"")</f>
        <v>Manual and Patient Handling Competency Assessment - Level 3</v>
      </c>
      <c r="E912" s="5" t="str">
        <f>_xlfn.XLOOKUP(role_course_map[[#This Row],[course_id]],course_data[course_id],course_data[topic],"")</f>
        <v>SAS : Clinical Practice</v>
      </c>
      <c r="F912" s="5" t="str">
        <f>_xlfn.XLOOKUP(role_course_map[[#This Row],[course_id]],course_data[course_id],course_data[type],"")</f>
        <v>Course</v>
      </c>
      <c r="K912" t="str">
        <f>role_course_map[[#This Row],[role_id]] &amp; "|" &amp; role_course_map[[#This Row],[course_id]]</f>
        <v>R0142|999028</v>
      </c>
      <c r="L912" t="str">
        <f>IF(COUNTIF(role_course_map[mapping_key],role_course_map[[#This Row],[mapping_key]])&gt;1,"DUPLICATE","OK")</f>
        <v>OK</v>
      </c>
      <c r="M912" t="str">
        <f>IF(COUNTIF(role_data[role_id],role_course_map[[#This Row],[role_id]])=0, "INVALID","VALID")</f>
        <v>VALID</v>
      </c>
      <c r="N912" t="str">
        <f>IF(COUNTIF(course_data[course_id],role_course_map[[#This Row],[course_id]])=0, "INVALID","VALID")</f>
        <v>VALID</v>
      </c>
    </row>
    <row r="913" spans="1:14" x14ac:dyDescent="0.35">
      <c r="A913" t="s">
        <v>296</v>
      </c>
      <c r="B913" s="5" t="str">
        <f>_xlfn.XLOOKUP(role_course_map[[#This Row],[role_id]], role_data[role_id], role_data[Role],"")</f>
        <v>Neonatal Nurse Consultant</v>
      </c>
      <c r="C913">
        <v>999029</v>
      </c>
      <c r="D913" s="5" t="str">
        <f>_xlfn.XLOOKUP(role_course_map[[#This Row],[course_id]],course_data[course_id],course_data[title],"")</f>
        <v>Manual and Patient Handling Competency Assessment Theory - Level 3</v>
      </c>
      <c r="E913" s="5" t="str">
        <f>_xlfn.XLOOKUP(role_course_map[[#This Row],[course_id]],course_data[course_id],course_data[topic],"")</f>
        <v>SAS : Clinical Practice</v>
      </c>
      <c r="F913" s="5" t="str">
        <f>_xlfn.XLOOKUP(role_course_map[[#This Row],[course_id]],course_data[course_id],course_data[type],"")</f>
        <v>Course</v>
      </c>
      <c r="K913" t="str">
        <f>role_course_map[[#This Row],[role_id]] &amp; "|" &amp; role_course_map[[#This Row],[course_id]]</f>
        <v>R0142|999029</v>
      </c>
      <c r="L913" t="str">
        <f>IF(COUNTIF(role_course_map[mapping_key],role_course_map[[#This Row],[mapping_key]])&gt;1,"DUPLICATE","OK")</f>
        <v>OK</v>
      </c>
      <c r="M913" t="str">
        <f>IF(COUNTIF(role_data[role_id],role_course_map[[#This Row],[role_id]])=0, "INVALID","VALID")</f>
        <v>VALID</v>
      </c>
      <c r="N913" t="str">
        <f>IF(COUNTIF(course_data[course_id],role_course_map[[#This Row],[course_id]])=0, "INVALID","VALID")</f>
        <v>VALID</v>
      </c>
    </row>
    <row r="914" spans="1:14" x14ac:dyDescent="0.35">
      <c r="A914" t="s">
        <v>296</v>
      </c>
      <c r="B914" s="5" t="str">
        <f>_xlfn.XLOOKUP(role_course_map[[#This Row],[role_id]], role_data[role_id], role_data[Role],"")</f>
        <v>Neonatal Nurse Consultant</v>
      </c>
      <c r="C914" t="s">
        <v>659</v>
      </c>
      <c r="D914" s="5" t="str">
        <f>_xlfn.XLOOKUP(role_course_map[[#This Row],[course_id]],course_data[course_id],course_data[title],"")</f>
        <v>Prevention and Management of Violence and Aggression - Breakaway training Level 2 /Restrictive movement Level 3</v>
      </c>
      <c r="E914" s="5" t="str">
        <f>_xlfn.XLOOKUP(role_course_map[[#This Row],[course_id]],course_data[course_id],course_data[topic],"")</f>
        <v>SAS : Health and Safety</v>
      </c>
      <c r="F914" s="5" t="str">
        <f>_xlfn.XLOOKUP(role_course_map[[#This Row],[course_id]],course_data[course_id],course_data[type],"")</f>
        <v>Course</v>
      </c>
      <c r="K914" t="str">
        <f>role_course_map[[#This Row],[role_id]] &amp; "|" &amp; role_course_map[[#This Row],[course_id]]</f>
        <v>R0142|2025-6 edition</v>
      </c>
      <c r="L914" t="str">
        <f>IF(COUNTIF(role_course_map[mapping_key],role_course_map[[#This Row],[mapping_key]])&gt;1,"DUPLICATE","OK")</f>
        <v>OK</v>
      </c>
      <c r="M914" t="str">
        <f>IF(COUNTIF(role_data[role_id],role_course_map[[#This Row],[role_id]])=0, "INVALID","VALID")</f>
        <v>VALID</v>
      </c>
      <c r="N914" t="str">
        <f>IF(COUNTIF(course_data[course_id],role_course_map[[#This Row],[course_id]])=0, "INVALID","VALID")</f>
        <v>VALID</v>
      </c>
    </row>
    <row r="915" spans="1:14" x14ac:dyDescent="0.35">
      <c r="A915" t="s">
        <v>296</v>
      </c>
      <c r="B915" s="5" t="str">
        <f>_xlfn.XLOOKUP(role_course_map[[#This Row],[role_id]], role_data[role_id], role_data[Role],"")</f>
        <v>Neonatal Nurse Consultant</v>
      </c>
      <c r="C915">
        <v>999055</v>
      </c>
      <c r="D915" s="5" t="str">
        <f>_xlfn.XLOOKUP(role_course_map[[#This Row],[course_id]],course_data[course_id],course_data[title],"")</f>
        <v>Prevention and Management of Violence and Aggression - Refresher</v>
      </c>
      <c r="E915" s="5" t="str">
        <f>_xlfn.XLOOKUP(role_course_map[[#This Row],[course_id]],course_data[course_id],course_data[topic],"")</f>
        <v>SAS : Health and Safety</v>
      </c>
      <c r="F915" s="5" t="str">
        <f>_xlfn.XLOOKUP(role_course_map[[#This Row],[course_id]],course_data[course_id],course_data[type],"")</f>
        <v>Course</v>
      </c>
      <c r="K915" t="str">
        <f>role_course_map[[#This Row],[role_id]] &amp; "|" &amp; role_course_map[[#This Row],[course_id]]</f>
        <v>R0142|999055</v>
      </c>
      <c r="L915" t="str">
        <f>IF(COUNTIF(role_course_map[mapping_key],role_course_map[[#This Row],[mapping_key]])&gt;1,"DUPLICATE","OK")</f>
        <v>OK</v>
      </c>
      <c r="M915" t="str">
        <f>IF(COUNTIF(role_data[role_id],role_course_map[[#This Row],[role_id]])=0, "INVALID","VALID")</f>
        <v>VALID</v>
      </c>
      <c r="N915" t="str">
        <f>IF(COUNTIF(course_data[course_id],role_course_map[[#This Row],[course_id]])=0, "INVALID","VALID")</f>
        <v>VALID</v>
      </c>
    </row>
    <row r="916" spans="1:14" x14ac:dyDescent="0.35">
      <c r="A916" t="s">
        <v>296</v>
      </c>
      <c r="B916" s="5" t="str">
        <f>_xlfn.XLOOKUP(role_course_map[[#This Row],[role_id]], role_data[role_id], role_data[Role],"")</f>
        <v>Neonatal Nurse Consultant</v>
      </c>
      <c r="C916">
        <v>64322</v>
      </c>
      <c r="D916" s="5" t="str">
        <f>_xlfn.XLOOKUP(role_course_map[[#This Row],[course_id]],course_data[course_id],course_data[title],"")</f>
        <v>Adult support and protection: practice level 2 [skilled]</v>
      </c>
      <c r="E916" s="5" t="str">
        <f>_xlfn.XLOOKUP(role_course_map[[#This Row],[course_id]],course_data[course_id],course_data[topic],"")</f>
        <v>SAS : Public Protection</v>
      </c>
      <c r="F916" s="5" t="str">
        <f>_xlfn.XLOOKUP(role_course_map[[#This Row],[course_id]],course_data[course_id],course_data[type],"")</f>
        <v>eLearning</v>
      </c>
      <c r="K916" t="str">
        <f>role_course_map[[#This Row],[role_id]] &amp; "|" &amp; role_course_map[[#This Row],[course_id]]</f>
        <v>R0142|64322</v>
      </c>
      <c r="L916" t="str">
        <f>IF(COUNTIF(role_course_map[mapping_key],role_course_map[[#This Row],[mapping_key]])&gt;1,"DUPLICATE","OK")</f>
        <v>OK</v>
      </c>
      <c r="M916" t="str">
        <f>IF(COUNTIF(role_data[role_id],role_course_map[[#This Row],[role_id]])=0, "INVALID","VALID")</f>
        <v>VALID</v>
      </c>
      <c r="N916" t="str">
        <f>IF(COUNTIF(course_data[course_id],role_course_map[[#This Row],[course_id]])=0, "INVALID","VALID")</f>
        <v>VALID</v>
      </c>
    </row>
    <row r="917" spans="1:14" x14ac:dyDescent="0.35">
      <c r="A917" t="s">
        <v>296</v>
      </c>
      <c r="B917" s="5" t="str">
        <f>_xlfn.XLOOKUP(role_course_map[[#This Row],[role_id]], role_data[role_id], role_data[Role],"")</f>
        <v>Neonatal Nurse Consultant</v>
      </c>
      <c r="C917">
        <v>64324</v>
      </c>
      <c r="D917" s="5" t="str">
        <f>_xlfn.XLOOKUP(role_course_map[[#This Row],[course_id]],course_data[course_id],course_data[title],"")</f>
        <v>Child protection: practice level 2 [skilled]</v>
      </c>
      <c r="E917" s="5" t="str">
        <f>_xlfn.XLOOKUP(role_course_map[[#This Row],[course_id]],course_data[course_id],course_data[topic],"")</f>
        <v>SAS : Public Protection</v>
      </c>
      <c r="F917" s="5" t="str">
        <f>_xlfn.XLOOKUP(role_course_map[[#This Row],[course_id]],course_data[course_id],course_data[type],"")</f>
        <v>eLearning</v>
      </c>
      <c r="K917" t="str">
        <f>role_course_map[[#This Row],[role_id]] &amp; "|" &amp; role_course_map[[#This Row],[course_id]]</f>
        <v>R0142|64324</v>
      </c>
      <c r="L917" t="str">
        <f>IF(COUNTIF(role_course_map[mapping_key],role_course_map[[#This Row],[mapping_key]])&gt;1,"DUPLICATE","OK")</f>
        <v>OK</v>
      </c>
      <c r="M917" t="str">
        <f>IF(COUNTIF(role_data[role_id],role_course_map[[#This Row],[role_id]])=0, "INVALID","VALID")</f>
        <v>VALID</v>
      </c>
      <c r="N917" t="str">
        <f>IF(COUNTIF(course_data[course_id],role_course_map[[#This Row],[course_id]])=0, "INVALID","VALID")</f>
        <v>VALID</v>
      </c>
    </row>
    <row r="918" spans="1:14" x14ac:dyDescent="0.35">
      <c r="A918" t="s">
        <v>294</v>
      </c>
      <c r="B918" s="5" t="str">
        <f>_xlfn.XLOOKUP(role_course_map[[#This Row],[role_id]], role_data[role_id], role_data[Role],"")</f>
        <v>Neonatal Fellow</v>
      </c>
      <c r="C918">
        <v>76716</v>
      </c>
      <c r="D918" s="5" t="str">
        <f>_xlfn.XLOOKUP(role_course_map[[#This Row],[course_id]],course_data[course_id],course_data[title],"")</f>
        <v>Domestic abuse awareness training tool (DAART)</v>
      </c>
      <c r="E918" s="5" t="str">
        <f>_xlfn.XLOOKUP(role_course_map[[#This Row],[course_id]],course_data[course_id],course_data[topic],"")</f>
        <v>SAS : Public Protection</v>
      </c>
      <c r="F918" s="5" t="str">
        <f>_xlfn.XLOOKUP(role_course_map[[#This Row],[course_id]],course_data[course_id],course_data[type],"")</f>
        <v>eLearning</v>
      </c>
      <c r="K918" t="str">
        <f>role_course_map[[#This Row],[role_id]] &amp; "|" &amp; role_course_map[[#This Row],[course_id]]</f>
        <v>R0141|76716</v>
      </c>
      <c r="L918" t="str">
        <f>IF(COUNTIF(role_course_map[mapping_key],role_course_map[[#This Row],[mapping_key]])&gt;1,"DUPLICATE","OK")</f>
        <v>OK</v>
      </c>
      <c r="M918" t="str">
        <f>IF(COUNTIF(role_data[role_id],role_course_map[[#This Row],[role_id]])=0, "INVALID","VALID")</f>
        <v>VALID</v>
      </c>
      <c r="N918" t="str">
        <f>IF(COUNTIF(course_data[course_id],role_course_map[[#This Row],[course_id]])=0, "INVALID","VALID")</f>
        <v>VALID</v>
      </c>
    </row>
    <row r="919" spans="1:14" x14ac:dyDescent="0.35">
      <c r="A919" t="s">
        <v>296</v>
      </c>
      <c r="B919" s="5" t="str">
        <f>_xlfn.XLOOKUP(role_course_map[[#This Row],[role_id]], role_data[role_id], role_data[Role],"")</f>
        <v>Neonatal Nurse Consultant</v>
      </c>
      <c r="C919">
        <v>76716</v>
      </c>
      <c r="D919" s="5" t="str">
        <f>_xlfn.XLOOKUP(role_course_map[[#This Row],[course_id]],course_data[course_id],course_data[title],"")</f>
        <v>Domestic abuse awareness training tool (DAART)</v>
      </c>
      <c r="E919" s="5" t="str">
        <f>_xlfn.XLOOKUP(role_course_map[[#This Row],[course_id]],course_data[course_id],course_data[topic],"")</f>
        <v>SAS : Public Protection</v>
      </c>
      <c r="F919" s="5" t="str">
        <f>_xlfn.XLOOKUP(role_course_map[[#This Row],[course_id]],course_data[course_id],course_data[type],"")</f>
        <v>eLearning</v>
      </c>
      <c r="K919" t="str">
        <f>role_course_map[[#This Row],[role_id]] &amp; "|" &amp; role_course_map[[#This Row],[course_id]]</f>
        <v>R0142|76716</v>
      </c>
      <c r="L919" t="str">
        <f>IF(COUNTIF(role_course_map[mapping_key],role_course_map[[#This Row],[mapping_key]])&gt;1,"DUPLICATE","OK")</f>
        <v>OK</v>
      </c>
      <c r="M919" t="str">
        <f>IF(COUNTIF(role_data[role_id],role_course_map[[#This Row],[role_id]])=0, "INVALID","VALID")</f>
        <v>VALID</v>
      </c>
      <c r="N919" t="str">
        <f>IF(COUNTIF(course_data[course_id],role_course_map[[#This Row],[course_id]])=0, "INVALID","VALID")</f>
        <v>VALID</v>
      </c>
    </row>
    <row r="920" spans="1:14" x14ac:dyDescent="0.35">
      <c r="A920" t="s">
        <v>296</v>
      </c>
      <c r="B920" s="5" t="str">
        <f>_xlfn.XLOOKUP(role_course_map[[#This Row],[role_id]], role_data[role_id], role_data[Role],"")</f>
        <v>Neonatal Nurse Consultant</v>
      </c>
      <c r="C920">
        <v>79666</v>
      </c>
      <c r="D920" s="5" t="str">
        <f>_xlfn.XLOOKUP(role_course_map[[#This Row],[course_id]],course_data[course_id],course_data[title],"")</f>
        <v>Getting it right for every child (GIRFEC): informed level</v>
      </c>
      <c r="E920" s="5" t="str">
        <f>_xlfn.XLOOKUP(role_course_map[[#This Row],[course_id]],course_data[course_id],course_data[topic],"")</f>
        <v>SAS : Public Protection</v>
      </c>
      <c r="F920" s="5" t="str">
        <f>_xlfn.XLOOKUP(role_course_map[[#This Row],[course_id]],course_data[course_id],course_data[type],"")</f>
        <v>eLearning</v>
      </c>
      <c r="K920" t="str">
        <f>role_course_map[[#This Row],[role_id]] &amp; "|" &amp; role_course_map[[#This Row],[course_id]]</f>
        <v>R0142|79666</v>
      </c>
      <c r="L920" t="str">
        <f>IF(COUNTIF(role_course_map[mapping_key],role_course_map[[#This Row],[mapping_key]])&gt;1,"DUPLICATE","OK")</f>
        <v>OK</v>
      </c>
      <c r="M920" t="str">
        <f>IF(COUNTIF(role_data[role_id],role_course_map[[#This Row],[role_id]])=0, "INVALID","VALID")</f>
        <v>VALID</v>
      </c>
      <c r="N920" t="str">
        <f>IF(COUNTIF(course_data[course_id],role_course_map[[#This Row],[course_id]])=0, "INVALID","VALID")</f>
        <v>VALID</v>
      </c>
    </row>
    <row r="921" spans="1:14" x14ac:dyDescent="0.35">
      <c r="A921" t="s">
        <v>296</v>
      </c>
      <c r="B921" s="5" t="str">
        <f>_xlfn.XLOOKUP(role_course_map[[#This Row],[role_id]], role_data[role_id], role_data[Role],"")</f>
        <v>Neonatal Nurse Consultant</v>
      </c>
      <c r="C921">
        <v>999074</v>
      </c>
      <c r="D921" s="5" t="str">
        <f>_xlfn.XLOOKUP(role_course_map[[#This Row],[course_id]],course_data[course_id],course_data[title],"")</f>
        <v>SAS-specific Children’s rights</v>
      </c>
      <c r="E921" s="5" t="str">
        <f>_xlfn.XLOOKUP(role_course_map[[#This Row],[course_id]],course_data[course_id],course_data[topic],"")</f>
        <v>SAS : Public Protection</v>
      </c>
      <c r="F921" s="5" t="str">
        <f>_xlfn.XLOOKUP(role_course_map[[#This Row],[course_id]],course_data[course_id],course_data[type],"")</f>
        <v>eLearning</v>
      </c>
      <c r="K921" t="str">
        <f>role_course_map[[#This Row],[role_id]] &amp; "|" &amp; role_course_map[[#This Row],[course_id]]</f>
        <v>R0142|999074</v>
      </c>
      <c r="L921" t="str">
        <f>IF(COUNTIF(role_course_map[mapping_key],role_course_map[[#This Row],[mapping_key]])&gt;1,"DUPLICATE","OK")</f>
        <v>OK</v>
      </c>
      <c r="M921" t="str">
        <f>IF(COUNTIF(role_data[role_id],role_course_map[[#This Row],[role_id]])=0, "INVALID","VALID")</f>
        <v>VALID</v>
      </c>
      <c r="N921" t="str">
        <f>IF(COUNTIF(course_data[course_id],role_course_map[[#This Row],[course_id]])=0, "INVALID","VALID")</f>
        <v>VALID</v>
      </c>
    </row>
    <row r="922" spans="1:14" x14ac:dyDescent="0.35">
      <c r="A922" t="s">
        <v>296</v>
      </c>
      <c r="B922" s="5" t="str">
        <f>_xlfn.XLOOKUP(role_course_map[[#This Row],[role_id]], role_data[role_id], role_data[Role],"")</f>
        <v>Neonatal Nurse Consultant</v>
      </c>
      <c r="C922">
        <v>999075</v>
      </c>
      <c r="D922" s="5" t="str">
        <f>_xlfn.XLOOKUP(role_course_map[[#This Row],[course_id]],course_data[course_id],course_data[title],"")</f>
        <v>Multiagency local or bespoke Level 3 delivery training</v>
      </c>
      <c r="E922" s="5" t="str">
        <f>_xlfn.XLOOKUP(role_course_map[[#This Row],[course_id]],course_data[course_id],course_data[topic],"")</f>
        <v>SAS : Public Protection</v>
      </c>
      <c r="F922" s="5" t="str">
        <f>_xlfn.XLOOKUP(role_course_map[[#This Row],[course_id]],course_data[course_id],course_data[type],"")</f>
        <v>eLearning</v>
      </c>
      <c r="K922" t="str">
        <f>role_course_map[[#This Row],[role_id]] &amp; "|" &amp; role_course_map[[#This Row],[course_id]]</f>
        <v>R0142|999075</v>
      </c>
      <c r="L922" t="str">
        <f>IF(COUNTIF(role_course_map[mapping_key],role_course_map[[#This Row],[mapping_key]])&gt;1,"DUPLICATE","OK")</f>
        <v>OK</v>
      </c>
      <c r="M922" t="str">
        <f>IF(COUNTIF(role_data[role_id],role_course_map[[#This Row],[role_id]])=0, "INVALID","VALID")</f>
        <v>VALID</v>
      </c>
      <c r="N922" t="str">
        <f>IF(COUNTIF(course_data[course_id],role_course_map[[#This Row],[course_id]])=0, "INVALID","VALID")</f>
        <v>VALID</v>
      </c>
    </row>
    <row r="923" spans="1:14" x14ac:dyDescent="0.35">
      <c r="A923" t="s">
        <v>296</v>
      </c>
      <c r="B923" s="5" t="str">
        <f>_xlfn.XLOOKUP(role_course_map[[#This Row],[role_id]], role_data[role_id], role_data[Role],"")</f>
        <v>Neonatal Nurse Consultant</v>
      </c>
      <c r="C923">
        <v>15249</v>
      </c>
      <c r="D923" s="5" t="str">
        <f>_xlfn.XLOOKUP(role_course_map[[#This Row],[course_id]],course_data[course_id],course_data[title],"")</f>
        <v>Human trafficking</v>
      </c>
      <c r="E923" s="5" t="str">
        <f>_xlfn.XLOOKUP(role_course_map[[#This Row],[course_id]],course_data[course_id],course_data[topic],"")</f>
        <v>SAS : Public Protection</v>
      </c>
      <c r="F923" s="5" t="str">
        <f>_xlfn.XLOOKUP(role_course_map[[#This Row],[course_id]],course_data[course_id],course_data[type],"")</f>
        <v>eLearning</v>
      </c>
      <c r="K923" t="str">
        <f>role_course_map[[#This Row],[role_id]] &amp; "|" &amp; role_course_map[[#This Row],[course_id]]</f>
        <v>R0142|15249</v>
      </c>
      <c r="L923" t="str">
        <f>IF(COUNTIF(role_course_map[mapping_key],role_course_map[[#This Row],[mapping_key]])&gt;1,"DUPLICATE","OK")</f>
        <v>OK</v>
      </c>
      <c r="M923" t="str">
        <f>IF(COUNTIF(role_data[role_id],role_course_map[[#This Row],[role_id]])=0, "INVALID","VALID")</f>
        <v>VALID</v>
      </c>
      <c r="N923" t="str">
        <f>IF(COUNTIF(course_data[course_id],role_course_map[[#This Row],[course_id]])=0, "INVALID","VALID")</f>
        <v>VALID</v>
      </c>
    </row>
    <row r="924" spans="1:14" x14ac:dyDescent="0.35">
      <c r="A924" t="s">
        <v>296</v>
      </c>
      <c r="B924" s="5" t="str">
        <f>_xlfn.XLOOKUP(role_course_map[[#This Row],[role_id]], role_data[role_id], role_data[Role],"")</f>
        <v>Neonatal Nurse Consultant</v>
      </c>
      <c r="C924">
        <v>89161</v>
      </c>
      <c r="D924" s="5" t="str">
        <f>_xlfn.XLOOKUP(role_course_map[[#This Row],[course_id]],course_data[course_id],course_data[title],"")</f>
        <v>Personal Protective Equipment</v>
      </c>
      <c r="E924" s="5" t="str">
        <f>_xlfn.XLOOKUP(role_course_map[[#This Row],[course_id]],course_data[course_id],course_data[topic],"")</f>
        <v>SAS : Infection Prevention and Control (IPC)</v>
      </c>
      <c r="F924" s="5" t="str">
        <f>_xlfn.XLOOKUP(role_course_map[[#This Row],[course_id]],course_data[course_id],course_data[type],"")</f>
        <v>eLearning</v>
      </c>
      <c r="K924" t="str">
        <f>role_course_map[[#This Row],[role_id]] &amp; "|" &amp; role_course_map[[#This Row],[course_id]]</f>
        <v>R0142|89161</v>
      </c>
      <c r="L924" t="str">
        <f>IF(COUNTIF(role_course_map[mapping_key],role_course_map[[#This Row],[mapping_key]])&gt;1,"DUPLICATE","OK")</f>
        <v>OK</v>
      </c>
      <c r="M924" t="str">
        <f>IF(COUNTIF(role_data[role_id],role_course_map[[#This Row],[role_id]])=0, "INVALID","VALID")</f>
        <v>VALID</v>
      </c>
      <c r="N924" t="str">
        <f>IF(COUNTIF(course_data[course_id],role_course_map[[#This Row],[course_id]])=0, "INVALID","VALID")</f>
        <v>VALID</v>
      </c>
    </row>
    <row r="925" spans="1:14" x14ac:dyDescent="0.35">
      <c r="A925" t="s">
        <v>296</v>
      </c>
      <c r="B925" s="5" t="str">
        <f>_xlfn.XLOOKUP(role_course_map[[#This Row],[role_id]], role_data[role_id], role_data[Role],"")</f>
        <v>Neonatal Nurse Consultant</v>
      </c>
      <c r="C925">
        <v>89157</v>
      </c>
      <c r="D925" s="5" t="str">
        <f>_xlfn.XLOOKUP(role_course_map[[#This Row],[course_id]],course_data[course_id],course_data[title],"")</f>
        <v>Safe Management of Care Equipment</v>
      </c>
      <c r="E925" s="5" t="str">
        <f>_xlfn.XLOOKUP(role_course_map[[#This Row],[course_id]],course_data[course_id],course_data[topic],"")</f>
        <v>SAS : Infection Prevention and Control (IPC)</v>
      </c>
      <c r="F925" s="5" t="str">
        <f>_xlfn.XLOOKUP(role_course_map[[#This Row],[course_id]],course_data[course_id],course_data[type],"")</f>
        <v>eLearning</v>
      </c>
      <c r="K925" t="str">
        <f>role_course_map[[#This Row],[role_id]] &amp; "|" &amp; role_course_map[[#This Row],[course_id]]</f>
        <v>R0142|89157</v>
      </c>
      <c r="L925" t="str">
        <f>IF(COUNTIF(role_course_map[mapping_key],role_course_map[[#This Row],[mapping_key]])&gt;1,"DUPLICATE","OK")</f>
        <v>OK</v>
      </c>
      <c r="M925" t="str">
        <f>IF(COUNTIF(role_data[role_id],role_course_map[[#This Row],[role_id]])=0, "INVALID","VALID")</f>
        <v>VALID</v>
      </c>
      <c r="N925" t="str">
        <f>IF(COUNTIF(course_data[course_id],role_course_map[[#This Row],[course_id]])=0, "INVALID","VALID")</f>
        <v>VALID</v>
      </c>
    </row>
    <row r="926" spans="1:14" x14ac:dyDescent="0.35">
      <c r="A926" t="s">
        <v>296</v>
      </c>
      <c r="B926" s="5" t="str">
        <f>_xlfn.XLOOKUP(role_course_map[[#This Row],[role_id]], role_data[role_id], role_data[Role],"")</f>
        <v>Neonatal Nurse Consultant</v>
      </c>
      <c r="C926">
        <v>89158</v>
      </c>
      <c r="D926" s="5" t="str">
        <f>_xlfn.XLOOKUP(role_course_map[[#This Row],[course_id]],course_data[course_id],course_data[title],"")</f>
        <v>Safe Management of Care Environment</v>
      </c>
      <c r="E926" s="5" t="str">
        <f>_xlfn.XLOOKUP(role_course_map[[#This Row],[course_id]],course_data[course_id],course_data[topic],"")</f>
        <v>SAS : Infection Prevention and Control (IPC)</v>
      </c>
      <c r="F926" s="5" t="str">
        <f>_xlfn.XLOOKUP(role_course_map[[#This Row],[course_id]],course_data[course_id],course_data[type],"")</f>
        <v>eLearning</v>
      </c>
      <c r="K926" t="str">
        <f>role_course_map[[#This Row],[role_id]] &amp; "|" &amp; role_course_map[[#This Row],[course_id]]</f>
        <v>R0142|89158</v>
      </c>
      <c r="L926" t="str">
        <f>IF(COUNTIF(role_course_map[mapping_key],role_course_map[[#This Row],[mapping_key]])&gt;1,"DUPLICATE","OK")</f>
        <v>OK</v>
      </c>
      <c r="M926" t="str">
        <f>IF(COUNTIF(role_data[role_id],role_course_map[[#This Row],[role_id]])=0, "INVALID","VALID")</f>
        <v>VALID</v>
      </c>
      <c r="N926" t="str">
        <f>IF(COUNTIF(course_data[course_id],role_course_map[[#This Row],[course_id]])=0, "INVALID","VALID")</f>
        <v>VALID</v>
      </c>
    </row>
    <row r="927" spans="1:14" x14ac:dyDescent="0.35">
      <c r="A927" t="s">
        <v>296</v>
      </c>
      <c r="B927" s="5" t="str">
        <f>_xlfn.XLOOKUP(role_course_map[[#This Row],[role_id]], role_data[role_id], role_data[Role],"")</f>
        <v>Neonatal Nurse Consultant</v>
      </c>
      <c r="C927">
        <v>89159</v>
      </c>
      <c r="D927" s="5" t="str">
        <f>_xlfn.XLOOKUP(role_course_map[[#This Row],[course_id]],course_data[course_id],course_data[title],"")</f>
        <v>Safe Management of Linen</v>
      </c>
      <c r="E927" s="5" t="str">
        <f>_xlfn.XLOOKUP(role_course_map[[#This Row],[course_id]],course_data[course_id],course_data[topic],"")</f>
        <v>SAS : Infection Prevention and Control (IPC)</v>
      </c>
      <c r="F927" s="5" t="str">
        <f>_xlfn.XLOOKUP(role_course_map[[#This Row],[course_id]],course_data[course_id],course_data[type],"")</f>
        <v>eLearning</v>
      </c>
      <c r="K927" t="str">
        <f>role_course_map[[#This Row],[role_id]] &amp; "|" &amp; role_course_map[[#This Row],[course_id]]</f>
        <v>R0142|89159</v>
      </c>
      <c r="L927" t="str">
        <f>IF(COUNTIF(role_course_map[mapping_key],role_course_map[[#This Row],[mapping_key]])&gt;1,"DUPLICATE","OK")</f>
        <v>OK</v>
      </c>
      <c r="M927" t="str">
        <f>IF(COUNTIF(role_data[role_id],role_course_map[[#This Row],[role_id]])=0, "INVALID","VALID")</f>
        <v>VALID</v>
      </c>
      <c r="N927" t="str">
        <f>IF(COUNTIF(course_data[course_id],role_course_map[[#This Row],[course_id]])=0, "INVALID","VALID")</f>
        <v>VALID</v>
      </c>
    </row>
    <row r="928" spans="1:14" x14ac:dyDescent="0.35">
      <c r="A928" t="s">
        <v>296</v>
      </c>
      <c r="B928" s="5" t="str">
        <f>_xlfn.XLOOKUP(role_course_map[[#This Row],[role_id]], role_data[role_id], role_data[Role],"")</f>
        <v>Neonatal Nurse Consultant</v>
      </c>
      <c r="C928">
        <v>89160</v>
      </c>
      <c r="D928" s="5" t="str">
        <f>_xlfn.XLOOKUP(role_course_map[[#This Row],[course_id]],course_data[course_id],course_data[title],"")</f>
        <v>Safe Management of blood and body fluids</v>
      </c>
      <c r="E928" s="5" t="str">
        <f>_xlfn.XLOOKUP(role_course_map[[#This Row],[course_id]],course_data[course_id],course_data[topic],"")</f>
        <v>SAS : Infection Prevention and Control (IPC)</v>
      </c>
      <c r="F928" s="5" t="str">
        <f>_xlfn.XLOOKUP(role_course_map[[#This Row],[course_id]],course_data[course_id],course_data[type],"")</f>
        <v>eLearning</v>
      </c>
      <c r="K928" t="str">
        <f>role_course_map[[#This Row],[role_id]] &amp; "|" &amp; role_course_map[[#This Row],[course_id]]</f>
        <v>R0142|89160</v>
      </c>
      <c r="L928" t="str">
        <f>IF(COUNTIF(role_course_map[mapping_key],role_course_map[[#This Row],[mapping_key]])&gt;1,"DUPLICATE","OK")</f>
        <v>OK</v>
      </c>
      <c r="M928" t="str">
        <f>IF(COUNTIF(role_data[role_id],role_course_map[[#This Row],[role_id]])=0, "INVALID","VALID")</f>
        <v>VALID</v>
      </c>
      <c r="N928" t="str">
        <f>IF(COUNTIF(course_data[course_id],role_course_map[[#This Row],[course_id]])=0, "INVALID","VALID")</f>
        <v>VALID</v>
      </c>
    </row>
    <row r="929" spans="1:14" x14ac:dyDescent="0.35">
      <c r="A929" t="s">
        <v>296</v>
      </c>
      <c r="B929" s="5" t="str">
        <f>_xlfn.XLOOKUP(role_course_map[[#This Row],[role_id]], role_data[role_id], role_data[Role],"")</f>
        <v>Neonatal Nurse Consultant</v>
      </c>
      <c r="C929">
        <v>89154</v>
      </c>
      <c r="D929" s="5" t="str">
        <f>_xlfn.XLOOKUP(role_course_map[[#This Row],[course_id]],course_data[course_id],course_data[title],"")</f>
        <v>Safe disposal of waste</v>
      </c>
      <c r="E929" s="5" t="str">
        <f>_xlfn.XLOOKUP(role_course_map[[#This Row],[course_id]],course_data[course_id],course_data[topic],"")</f>
        <v>SAS : Infection Prevention and Control (IPC)</v>
      </c>
      <c r="F929" s="5" t="str">
        <f>_xlfn.XLOOKUP(role_course_map[[#This Row],[course_id]],course_data[course_id],course_data[type],"")</f>
        <v>eLearning</v>
      </c>
      <c r="K929" t="str">
        <f>role_course_map[[#This Row],[role_id]] &amp; "|" &amp; role_course_map[[#This Row],[course_id]]</f>
        <v>R0142|89154</v>
      </c>
      <c r="L929" t="str">
        <f>IF(COUNTIF(role_course_map[mapping_key],role_course_map[[#This Row],[mapping_key]])&gt;1,"DUPLICATE","OK")</f>
        <v>OK</v>
      </c>
      <c r="M929" t="str">
        <f>IF(COUNTIF(role_data[role_id],role_course_map[[#This Row],[role_id]])=0, "INVALID","VALID")</f>
        <v>VALID</v>
      </c>
      <c r="N929" t="str">
        <f>IF(COUNTIF(course_data[course_id],role_course_map[[#This Row],[course_id]])=0, "INVALID","VALID")</f>
        <v>VALID</v>
      </c>
    </row>
    <row r="930" spans="1:14" x14ac:dyDescent="0.35">
      <c r="A930" t="s">
        <v>296</v>
      </c>
      <c r="B930" s="5" t="str">
        <f>_xlfn.XLOOKUP(role_course_map[[#This Row],[role_id]], role_data[role_id], role_data[Role],"")</f>
        <v>Neonatal Nurse Consultant</v>
      </c>
      <c r="C930">
        <v>89155</v>
      </c>
      <c r="D930" s="5" t="str">
        <f>_xlfn.XLOOKUP(role_course_map[[#This Row],[course_id]],course_data[course_id],course_data[title],"")</f>
        <v>Prevention &amp; management of occupational exposure</v>
      </c>
      <c r="E930" s="5" t="str">
        <f>_xlfn.XLOOKUP(role_course_map[[#This Row],[course_id]],course_data[course_id],course_data[topic],"")</f>
        <v>SAS : Infection Prevention and Control (IPC)</v>
      </c>
      <c r="F930" s="5" t="str">
        <f>_xlfn.XLOOKUP(role_course_map[[#This Row],[course_id]],course_data[course_id],course_data[type],"")</f>
        <v>eLearning</v>
      </c>
      <c r="K930" t="str">
        <f>role_course_map[[#This Row],[role_id]] &amp; "|" &amp; role_course_map[[#This Row],[course_id]]</f>
        <v>R0142|89155</v>
      </c>
      <c r="L930" t="str">
        <f>IF(COUNTIF(role_course_map[mapping_key],role_course_map[[#This Row],[mapping_key]])&gt;1,"DUPLICATE","OK")</f>
        <v>OK</v>
      </c>
      <c r="M930" t="str">
        <f>IF(COUNTIF(role_data[role_id],role_course_map[[#This Row],[role_id]])=0, "INVALID","VALID")</f>
        <v>VALID</v>
      </c>
      <c r="N930" t="str">
        <f>IF(COUNTIF(course_data[course_id],role_course_map[[#This Row],[course_id]])=0, "INVALID","VALID")</f>
        <v>VALID</v>
      </c>
    </row>
    <row r="931" spans="1:14" x14ac:dyDescent="0.35">
      <c r="A931" t="s">
        <v>296</v>
      </c>
      <c r="B931" s="5" t="str">
        <f>_xlfn.XLOOKUP(role_course_map[[#This Row],[role_id]], role_data[role_id], role_data[Role],"")</f>
        <v>Neonatal Nurse Consultant</v>
      </c>
      <c r="C931">
        <v>999064</v>
      </c>
      <c r="D931" s="5" t="str">
        <f>_xlfn.XLOOKUP(role_course_map[[#This Row],[course_id]],course_data[course_id],course_data[title],"")</f>
        <v>Infection prevention and control: Clostridioides difficile infection</v>
      </c>
      <c r="E931" s="5" t="str">
        <f>_xlfn.XLOOKUP(role_course_map[[#This Row],[course_id]],course_data[course_id],course_data[topic],"")</f>
        <v>SAS : Infection Prevention and Control (IPC)</v>
      </c>
      <c r="F931" s="5" t="str">
        <f>_xlfn.XLOOKUP(role_course_map[[#This Row],[course_id]],course_data[course_id],course_data[type],"")</f>
        <v>eLearning</v>
      </c>
      <c r="K931" t="str">
        <f>role_course_map[[#This Row],[role_id]] &amp; "|" &amp; role_course_map[[#This Row],[course_id]]</f>
        <v>R0142|999064</v>
      </c>
      <c r="L931" t="str">
        <f>IF(COUNTIF(role_course_map[mapping_key],role_course_map[[#This Row],[mapping_key]])&gt;1,"DUPLICATE","OK")</f>
        <v>OK</v>
      </c>
      <c r="M931" t="str">
        <f>IF(COUNTIF(role_data[role_id],role_course_map[[#This Row],[role_id]])=0, "INVALID","VALID")</f>
        <v>VALID</v>
      </c>
      <c r="N931" t="str">
        <f>IF(COUNTIF(course_data[course_id],role_course_map[[#This Row],[course_id]])=0, "INVALID","VALID")</f>
        <v>VALID</v>
      </c>
    </row>
    <row r="932" spans="1:14" x14ac:dyDescent="0.35">
      <c r="A932" t="s">
        <v>292</v>
      </c>
      <c r="B932" s="5" t="str">
        <f>_xlfn.XLOOKUP(role_course_map[[#This Row],[role_id]], role_data[role_id], role_data[Role],"")</f>
        <v>Neonatal Consultant</v>
      </c>
      <c r="C932">
        <v>999092</v>
      </c>
      <c r="D932" s="5" t="str">
        <f>_xlfn.XLOOKUP(role_course_map[[#This Row],[course_id]],course_data[course_id],course_data[title],"")</f>
        <v>Health &amp; Wellbeing Awareness for Managers</v>
      </c>
      <c r="E932" s="5" t="str">
        <f>_xlfn.XLOOKUP(role_course_map[[#This Row],[course_id]],course_data[course_id],course_data[topic],"")</f>
        <v>SAS: Staff development and experience</v>
      </c>
      <c r="F932" s="5" t="str">
        <f>_xlfn.XLOOKUP(role_course_map[[#This Row],[course_id]],course_data[course_id],course_data[type],"")</f>
        <v>eLearning</v>
      </c>
      <c r="K932" t="str">
        <f>role_course_map[[#This Row],[role_id]] &amp; "|" &amp; role_course_map[[#This Row],[course_id]]</f>
        <v>R0140|999092</v>
      </c>
      <c r="L932" t="str">
        <f>IF(COUNTIF(role_course_map[mapping_key],role_course_map[[#This Row],[mapping_key]])&gt;1,"DUPLICATE","OK")</f>
        <v>OK</v>
      </c>
      <c r="M932" t="str">
        <f>IF(COUNTIF(role_data[role_id],role_course_map[[#This Row],[role_id]])=0, "INVALID","VALID")</f>
        <v>VALID</v>
      </c>
      <c r="N932" t="str">
        <f>IF(COUNTIF(course_data[course_id],role_course_map[[#This Row],[course_id]])=0, "INVALID","VALID")</f>
        <v>VALID</v>
      </c>
    </row>
    <row r="933" spans="1:14" x14ac:dyDescent="0.35">
      <c r="A933" t="s">
        <v>296</v>
      </c>
      <c r="B933" s="5" t="str">
        <f>_xlfn.XLOOKUP(role_course_map[[#This Row],[role_id]], role_data[role_id], role_data[Role],"")</f>
        <v>Neonatal Nurse Consultant</v>
      </c>
      <c r="C933">
        <v>3256</v>
      </c>
      <c r="D933" s="5" t="str">
        <f>_xlfn.XLOOKUP(role_course_map[[#This Row],[course_id]],course_data[course_id],course_data[title],"")</f>
        <v>Antibiotic Management CHECK THIS IS THE RIGHT ONE</v>
      </c>
      <c r="E933" s="5" t="str">
        <f>_xlfn.XLOOKUP(role_course_map[[#This Row],[course_id]],course_data[course_id],course_data[topic],"")</f>
        <v>SAS : Infection Prevention and Control (IPC)</v>
      </c>
      <c r="F933" s="5" t="str">
        <f>_xlfn.XLOOKUP(role_course_map[[#This Row],[course_id]],course_data[course_id],course_data[type],"")</f>
        <v>eLearning</v>
      </c>
      <c r="K933" t="str">
        <f>role_course_map[[#This Row],[role_id]] &amp; "|" &amp; role_course_map[[#This Row],[course_id]]</f>
        <v>R0142|3256</v>
      </c>
      <c r="L933" t="str">
        <f>IF(COUNTIF(role_course_map[mapping_key],role_course_map[[#This Row],[mapping_key]])&gt;1,"DUPLICATE","OK")</f>
        <v>OK</v>
      </c>
      <c r="M933" t="str">
        <f>IF(COUNTIF(role_data[role_id],role_course_map[[#This Row],[role_id]])=0, "INVALID","VALID")</f>
        <v>VALID</v>
      </c>
      <c r="N933" t="str">
        <f>IF(COUNTIF(course_data[course_id],role_course_map[[#This Row],[course_id]])=0, "INVALID","VALID")</f>
        <v>VALID</v>
      </c>
    </row>
    <row r="934" spans="1:14" x14ac:dyDescent="0.35">
      <c r="A934" t="s">
        <v>296</v>
      </c>
      <c r="B934" s="5" t="str">
        <f>_xlfn.XLOOKUP(role_course_map[[#This Row],[role_id]], role_data[role_id], role_data[Role],"")</f>
        <v>Neonatal Nurse Consultant</v>
      </c>
      <c r="C934">
        <v>82383</v>
      </c>
      <c r="D934" s="5" t="str">
        <f>_xlfn.XLOOKUP(role_course_map[[#This Row],[course_id]],course_data[course_id],course_data[title],"")</f>
        <v>Aseptic technique</v>
      </c>
      <c r="E934" s="5" t="str">
        <f>_xlfn.XLOOKUP(role_course_map[[#This Row],[course_id]],course_data[course_id],course_data[topic],"")</f>
        <v>SAS : Infection Prevention and Control (IPC)</v>
      </c>
      <c r="F934" s="5" t="str">
        <f>_xlfn.XLOOKUP(role_course_map[[#This Row],[course_id]],course_data[course_id],course_data[type],"")</f>
        <v>eLearning</v>
      </c>
      <c r="K934" t="str">
        <f>role_course_map[[#This Row],[role_id]] &amp; "|" &amp; role_course_map[[#This Row],[course_id]]</f>
        <v>R0142|82383</v>
      </c>
      <c r="L934" t="str">
        <f>IF(COUNTIF(role_course_map[mapping_key],role_course_map[[#This Row],[mapping_key]])&gt;1,"DUPLICATE","OK")</f>
        <v>OK</v>
      </c>
      <c r="M934" t="str">
        <f>IF(COUNTIF(role_data[role_id],role_course_map[[#This Row],[role_id]])=0, "INVALID","VALID")</f>
        <v>VALID</v>
      </c>
      <c r="N934" t="str">
        <f>IF(COUNTIF(course_data[course_id],role_course_map[[#This Row],[course_id]])=0, "INVALID","VALID")</f>
        <v>VALID</v>
      </c>
    </row>
    <row r="935" spans="1:14" x14ac:dyDescent="0.35">
      <c r="A935" t="s">
        <v>296</v>
      </c>
      <c r="B935" s="5" t="str">
        <f>_xlfn.XLOOKUP(role_course_map[[#This Row],[role_id]], role_data[role_id], role_data[Role],"")</f>
        <v>Neonatal Nurse Consultant</v>
      </c>
      <c r="C935">
        <v>3886</v>
      </c>
      <c r="D935" s="5" t="str">
        <f>_xlfn.XLOOKUP(role_course_map[[#This Row],[course_id]],course_data[course_id],course_data[title],"")</f>
        <v>Prevention and management of pressure ulcers</v>
      </c>
      <c r="E935" s="5" t="str">
        <f>_xlfn.XLOOKUP(role_course_map[[#This Row],[course_id]],course_data[course_id],course_data[topic],"")</f>
        <v>SAS : Clinical Practice</v>
      </c>
      <c r="F935" s="5" t="str">
        <f>_xlfn.XLOOKUP(role_course_map[[#This Row],[course_id]],course_data[course_id],course_data[type],"")</f>
        <v>Page</v>
      </c>
      <c r="K935" t="str">
        <f>role_course_map[[#This Row],[role_id]] &amp; "|" &amp; role_course_map[[#This Row],[course_id]]</f>
        <v>R0142|3886</v>
      </c>
      <c r="L935" t="str">
        <f>IF(COUNTIF(role_course_map[mapping_key],role_course_map[[#This Row],[mapping_key]])&gt;1,"DUPLICATE","OK")</f>
        <v>OK</v>
      </c>
      <c r="M935" t="str">
        <f>IF(COUNTIF(role_data[role_id],role_course_map[[#This Row],[role_id]])=0, "INVALID","VALID")</f>
        <v>VALID</v>
      </c>
      <c r="N935" t="str">
        <f>IF(COUNTIF(course_data[course_id],role_course_map[[#This Row],[course_id]])=0, "INVALID","VALID")</f>
        <v>VALID</v>
      </c>
    </row>
    <row r="936" spans="1:14" x14ac:dyDescent="0.35">
      <c r="A936" t="s">
        <v>296</v>
      </c>
      <c r="B936" s="5" t="str">
        <f>_xlfn.XLOOKUP(role_course_map[[#This Row],[role_id]], role_data[role_id], role_data[Role],"")</f>
        <v>Neonatal Nurse Consultant</v>
      </c>
      <c r="C936">
        <v>999094</v>
      </c>
      <c r="D936" s="5" t="str">
        <f>_xlfn.XLOOKUP(role_course_map[[#This Row],[course_id]],course_data[course_id],course_data[title],"")</f>
        <v>Being well, Mind, Body &amp; Workplace</v>
      </c>
      <c r="E936" s="5" t="str">
        <f>_xlfn.XLOOKUP(role_course_map[[#This Row],[course_id]],course_data[course_id],course_data[topic],"")</f>
        <v>SAS: Staff development and experience</v>
      </c>
      <c r="F936" s="5" t="str">
        <f>_xlfn.XLOOKUP(role_course_map[[#This Row],[course_id]],course_data[course_id],course_data[type],"")</f>
        <v>eLearning</v>
      </c>
      <c r="K936" t="str">
        <f>role_course_map[[#This Row],[role_id]] &amp; "|" &amp; role_course_map[[#This Row],[course_id]]</f>
        <v>R0142|999094</v>
      </c>
      <c r="L936" t="str">
        <f>IF(COUNTIF(role_course_map[mapping_key],role_course_map[[#This Row],[mapping_key]])&gt;1,"DUPLICATE","OK")</f>
        <v>DUPLICATE</v>
      </c>
      <c r="M936" t="str">
        <f>IF(COUNTIF(role_data[role_id],role_course_map[[#This Row],[role_id]])=0, "INVALID","VALID")</f>
        <v>VALID</v>
      </c>
      <c r="N936" t="str">
        <f>IF(COUNTIF(course_data[course_id],role_course_map[[#This Row],[course_id]])=0, "INVALID","VALID")</f>
        <v>VALID</v>
      </c>
    </row>
    <row r="937" spans="1:14" x14ac:dyDescent="0.35">
      <c r="A937" t="s">
        <v>296</v>
      </c>
      <c r="B937" s="5" t="str">
        <f>_xlfn.XLOOKUP(role_course_map[[#This Row],[role_id]], role_data[role_id], role_data[Role],"")</f>
        <v>Neonatal Nurse Consultant</v>
      </c>
      <c r="C937">
        <v>999092</v>
      </c>
      <c r="D937" s="5" t="str">
        <f>_xlfn.XLOOKUP(role_course_map[[#This Row],[course_id]],course_data[course_id],course_data[title],"")</f>
        <v>Health &amp; Wellbeing Awareness for Managers</v>
      </c>
      <c r="E937" s="5" t="str">
        <f>_xlfn.XLOOKUP(role_course_map[[#This Row],[course_id]],course_data[course_id],course_data[topic],"")</f>
        <v>SAS: Staff development and experience</v>
      </c>
      <c r="F937" s="5" t="str">
        <f>_xlfn.XLOOKUP(role_course_map[[#This Row],[course_id]],course_data[course_id],course_data[type],"")</f>
        <v>eLearning</v>
      </c>
      <c r="K937" t="str">
        <f>role_course_map[[#This Row],[role_id]] &amp; "|" &amp; role_course_map[[#This Row],[course_id]]</f>
        <v>R0142|999092</v>
      </c>
      <c r="L937" t="str">
        <f>IF(COUNTIF(role_course_map[mapping_key],role_course_map[[#This Row],[mapping_key]])&gt;1,"DUPLICATE","OK")</f>
        <v>OK</v>
      </c>
      <c r="M937" t="str">
        <f>IF(COUNTIF(role_data[role_id],role_course_map[[#This Row],[role_id]])=0, "INVALID","VALID")</f>
        <v>VALID</v>
      </c>
      <c r="N937" t="str">
        <f>IF(COUNTIF(course_data[course_id],role_course_map[[#This Row],[course_id]])=0, "INVALID","VALID")</f>
        <v>VALID</v>
      </c>
    </row>
    <row r="938" spans="1:14" x14ac:dyDescent="0.35">
      <c r="A938" t="s">
        <v>296</v>
      </c>
      <c r="B938" s="5" t="str">
        <f>_xlfn.XLOOKUP(role_course_map[[#This Row],[role_id]], role_data[role_id], role_data[Role],"")</f>
        <v>Neonatal Nurse Consultant</v>
      </c>
      <c r="C938">
        <v>999093</v>
      </c>
      <c r="D938" s="5" t="str">
        <f>_xlfn.XLOOKUP(role_course_map[[#This Row],[course_id]],course_data[course_id],course_data[title],"")</f>
        <v>Managing Wellbeing Refresher for Managers</v>
      </c>
      <c r="E938" s="5" t="str">
        <f>_xlfn.XLOOKUP(role_course_map[[#This Row],[course_id]],course_data[course_id],course_data[topic],"")</f>
        <v>SAS: Staff development and experience</v>
      </c>
      <c r="F938" s="5" t="str">
        <f>_xlfn.XLOOKUP(role_course_map[[#This Row],[course_id]],course_data[course_id],course_data[type],"")</f>
        <v>eLearning</v>
      </c>
      <c r="K938" t="str">
        <f>role_course_map[[#This Row],[role_id]] &amp; "|" &amp; role_course_map[[#This Row],[course_id]]</f>
        <v>R0142|999093</v>
      </c>
      <c r="L938" t="str">
        <f>IF(COUNTIF(role_course_map[mapping_key],role_course_map[[#This Row],[mapping_key]])&gt;1,"DUPLICATE","OK")</f>
        <v>OK</v>
      </c>
      <c r="M938" t="str">
        <f>IF(COUNTIF(role_data[role_id],role_course_map[[#This Row],[role_id]])=0, "INVALID","VALID")</f>
        <v>VALID</v>
      </c>
      <c r="N938" t="str">
        <f>IF(COUNTIF(course_data[course_id],role_course_map[[#This Row],[course_id]])=0, "INVALID","VALID")</f>
        <v>VALID</v>
      </c>
    </row>
    <row r="939" spans="1:14" x14ac:dyDescent="0.35">
      <c r="A939" t="s">
        <v>294</v>
      </c>
      <c r="B939" s="5" t="str">
        <f>_xlfn.XLOOKUP(role_course_map[[#This Row],[role_id]], role_data[role_id], role_data[Role],"")</f>
        <v>Neonatal Fellow</v>
      </c>
      <c r="C939">
        <v>999094</v>
      </c>
      <c r="D939" s="5" t="str">
        <f>_xlfn.XLOOKUP(role_course_map[[#This Row],[course_id]],course_data[course_id],course_data[title],"")</f>
        <v>Being well, Mind, Body &amp; Workplace</v>
      </c>
      <c r="E939" s="5" t="str">
        <f>_xlfn.XLOOKUP(role_course_map[[#This Row],[course_id]],course_data[course_id],course_data[topic],"")</f>
        <v>SAS: Staff development and experience</v>
      </c>
      <c r="F939" s="5" t="str">
        <f>_xlfn.XLOOKUP(role_course_map[[#This Row],[course_id]],course_data[course_id],course_data[type],"")</f>
        <v>eLearning</v>
      </c>
      <c r="K939" t="str">
        <f>role_course_map[[#This Row],[role_id]] &amp; "|" &amp; role_course_map[[#This Row],[course_id]]</f>
        <v>R0141|999094</v>
      </c>
      <c r="L939" t="str">
        <f>IF(COUNTIF(role_course_map[mapping_key],role_course_map[[#This Row],[mapping_key]])&gt;1,"DUPLICATE","OK")</f>
        <v>OK</v>
      </c>
      <c r="M939" t="str">
        <f>IF(COUNTIF(role_data[role_id],role_course_map[[#This Row],[role_id]])=0, "INVALID","VALID")</f>
        <v>VALID</v>
      </c>
      <c r="N939" t="str">
        <f>IF(COUNTIF(course_data[course_id],role_course_map[[#This Row],[course_id]])=0, "INVALID","VALID")</f>
        <v>VALID</v>
      </c>
    </row>
    <row r="940" spans="1:14" x14ac:dyDescent="0.35">
      <c r="A940" t="s">
        <v>296</v>
      </c>
      <c r="B940" s="5" t="str">
        <f>_xlfn.XLOOKUP(role_course_map[[#This Row],[role_id]], role_data[role_id], role_data[Role],"")</f>
        <v>Neonatal Nurse Consultant</v>
      </c>
      <c r="C940">
        <v>999077</v>
      </c>
      <c r="D940" s="5" t="str">
        <f>_xlfn.XLOOKUP(role_course_map[[#This Row],[course_id]],course_data[course_id],course_data[title],"")</f>
        <v>ScotSTAR: Role specific Orientation &amp; Induction</v>
      </c>
      <c r="E940" s="5" t="str">
        <f>_xlfn.XLOOKUP(role_course_map[[#This Row],[course_id]],course_data[course_id],course_data[topic],"")</f>
        <v>SAS : ScotSTAR</v>
      </c>
      <c r="F940" s="5" t="str">
        <f>_xlfn.XLOOKUP(role_course_map[[#This Row],[course_id]],course_data[course_id],course_data[type],"")</f>
        <v>Course</v>
      </c>
      <c r="K940" t="str">
        <f>role_course_map[[#This Row],[role_id]] &amp; "|" &amp; role_course_map[[#This Row],[course_id]]</f>
        <v>R0142|999077</v>
      </c>
      <c r="L940" t="str">
        <f>IF(COUNTIF(role_course_map[mapping_key],role_course_map[[#This Row],[mapping_key]])&gt;1,"DUPLICATE","OK")</f>
        <v>OK</v>
      </c>
      <c r="M940" t="str">
        <f>IF(COUNTIF(role_data[role_id],role_course_map[[#This Row],[role_id]])=0, "INVALID","VALID")</f>
        <v>VALID</v>
      </c>
      <c r="N940" t="str">
        <f>IF(COUNTIF(course_data[course_id],role_course_map[[#This Row],[course_id]])=0, "INVALID","VALID")</f>
        <v>VALID</v>
      </c>
    </row>
    <row r="941" spans="1:14" x14ac:dyDescent="0.35">
      <c r="A941" t="s">
        <v>296</v>
      </c>
      <c r="B941" s="5" t="str">
        <f>_xlfn.XLOOKUP(role_course_map[[#This Row],[role_id]], role_data[role_id], role_data[Role],"")</f>
        <v>Neonatal Nurse Consultant</v>
      </c>
      <c r="C941">
        <v>999080</v>
      </c>
      <c r="D941" s="5" t="str">
        <f>_xlfn.XLOOKUP(role_course_map[[#This Row],[course_id]],course_data[course_id],course_data[title],"")</f>
        <v>HUET (on line)</v>
      </c>
      <c r="E941" s="5" t="str">
        <f>_xlfn.XLOOKUP(role_course_map[[#This Row],[course_id]],course_data[course_id],course_data[topic],"")</f>
        <v>SAS : ScotSTAR</v>
      </c>
      <c r="F941" s="5" t="str">
        <f>_xlfn.XLOOKUP(role_course_map[[#This Row],[course_id]],course_data[course_id],course_data[type],"")</f>
        <v>eLearning</v>
      </c>
      <c r="K941" t="str">
        <f>role_course_map[[#This Row],[role_id]] &amp; "|" &amp; role_course_map[[#This Row],[course_id]]</f>
        <v>R0142|999080</v>
      </c>
      <c r="L941" t="str">
        <f>IF(COUNTIF(role_course_map[mapping_key],role_course_map[[#This Row],[mapping_key]])&gt;1,"DUPLICATE","OK")</f>
        <v>OK</v>
      </c>
      <c r="M941" t="str">
        <f>IF(COUNTIF(role_data[role_id],role_course_map[[#This Row],[role_id]])=0, "INVALID","VALID")</f>
        <v>VALID</v>
      </c>
      <c r="N941" t="str">
        <f>IF(COUNTIF(course_data[course_id],role_course_map[[#This Row],[course_id]])=0, "INVALID","VALID")</f>
        <v>VALID</v>
      </c>
    </row>
    <row r="942" spans="1:14" x14ac:dyDescent="0.35">
      <c r="A942" t="s">
        <v>296</v>
      </c>
      <c r="B942" s="5" t="str">
        <f>_xlfn.XLOOKUP(role_course_map[[#This Row],[role_id]], role_data[role_id], role_data[Role],"")</f>
        <v>Neonatal Nurse Consultant</v>
      </c>
      <c r="C942">
        <v>999081</v>
      </c>
      <c r="D942" s="5" t="str">
        <f>_xlfn.XLOOKUP(role_course_map[[#This Row],[course_id]],course_data[course_id],course_data[title],"")</f>
        <v>Major Incident Training- Operational Commander</v>
      </c>
      <c r="E942" s="5" t="str">
        <f>_xlfn.XLOOKUP(role_course_map[[#This Row],[course_id]],course_data[course_id],course_data[topic],"")</f>
        <v>SAS : ScotSTAR</v>
      </c>
      <c r="F942" s="5" t="str">
        <f>_xlfn.XLOOKUP(role_course_map[[#This Row],[course_id]],course_data[course_id],course_data[type],"")</f>
        <v>Course</v>
      </c>
      <c r="K942" t="str">
        <f>role_course_map[[#This Row],[role_id]] &amp; "|" &amp; role_course_map[[#This Row],[course_id]]</f>
        <v>R0142|999081</v>
      </c>
      <c r="L942" t="str">
        <f>IF(COUNTIF(role_course_map[mapping_key],role_course_map[[#This Row],[mapping_key]])&gt;1,"DUPLICATE","OK")</f>
        <v>OK</v>
      </c>
      <c r="M942" t="str">
        <f>IF(COUNTIF(role_data[role_id],role_course_map[[#This Row],[role_id]])=0, "INVALID","VALID")</f>
        <v>VALID</v>
      </c>
      <c r="N942" t="str">
        <f>IF(COUNTIF(course_data[course_id],role_course_map[[#This Row],[course_id]])=0, "INVALID","VALID")</f>
        <v>VALID</v>
      </c>
    </row>
    <row r="943" spans="1:14" x14ac:dyDescent="0.35">
      <c r="A943" t="s">
        <v>296</v>
      </c>
      <c r="B943" s="5" t="str">
        <f>_xlfn.XLOOKUP(role_course_map[[#This Row],[role_id]], role_data[role_id], role_data[Role],"")</f>
        <v>Neonatal Nurse Consultant</v>
      </c>
      <c r="C943">
        <v>999082</v>
      </c>
      <c r="D943" s="5" t="str">
        <f>_xlfn.XLOOKUP(role_course_map[[#This Row],[course_id]],course_data[course_id],course_data[title],"")</f>
        <v>Major Incident Training - MIO</v>
      </c>
      <c r="E943" s="5" t="str">
        <f>_xlfn.XLOOKUP(role_course_map[[#This Row],[course_id]],course_data[course_id],course_data[topic],"")</f>
        <v>SAS : ScotSTAR</v>
      </c>
      <c r="F943" s="5" t="str">
        <f>_xlfn.XLOOKUP(role_course_map[[#This Row],[course_id]],course_data[course_id],course_data[type],"")</f>
        <v>Course</v>
      </c>
      <c r="K943" t="str">
        <f>role_course_map[[#This Row],[role_id]] &amp; "|" &amp; role_course_map[[#This Row],[course_id]]</f>
        <v>R0142|999082</v>
      </c>
      <c r="L943" t="str">
        <f>IF(COUNTIF(role_course_map[mapping_key],role_course_map[[#This Row],[mapping_key]])&gt;1,"DUPLICATE","OK")</f>
        <v>OK</v>
      </c>
      <c r="M943" t="str">
        <f>IF(COUNTIF(role_data[role_id],role_course_map[[#This Row],[role_id]])=0, "INVALID","VALID")</f>
        <v>VALID</v>
      </c>
      <c r="N943" t="str">
        <f>IF(COUNTIF(course_data[course_id],role_course_map[[#This Row],[course_id]])=0, "INVALID","VALID")</f>
        <v>VALID</v>
      </c>
    </row>
    <row r="944" spans="1:14" x14ac:dyDescent="0.35">
      <c r="A944" t="s">
        <v>296</v>
      </c>
      <c r="B944" s="5" t="str">
        <f>_xlfn.XLOOKUP(role_course_map[[#This Row],[role_id]], role_data[role_id], role_data[Role],"")</f>
        <v>Neonatal Nurse Consultant</v>
      </c>
      <c r="C944">
        <v>999084</v>
      </c>
      <c r="D944" s="5" t="str">
        <f>_xlfn.XLOOKUP(role_course_map[[#This Row],[course_id]],course_data[course_id],course_data[title],"")</f>
        <v>Paediatric Life Support (PLS)</v>
      </c>
      <c r="E944" s="5" t="str">
        <f>_xlfn.XLOOKUP(role_course_map[[#This Row],[course_id]],course_data[course_id],course_data[topic],"")</f>
        <v>SAS : ScotSTAR</v>
      </c>
      <c r="F944" s="5" t="str">
        <f>_xlfn.XLOOKUP(role_course_map[[#This Row],[course_id]],course_data[course_id],course_data[type],"")</f>
        <v>Course</v>
      </c>
      <c r="K944" t="str">
        <f>role_course_map[[#This Row],[role_id]] &amp; "|" &amp; role_course_map[[#This Row],[course_id]]</f>
        <v>R0142|999084</v>
      </c>
      <c r="L944" t="str">
        <f>IF(COUNTIF(role_course_map[mapping_key],role_course_map[[#This Row],[mapping_key]])&gt;1,"DUPLICATE","OK")</f>
        <v>OK</v>
      </c>
      <c r="M944" t="str">
        <f>IF(COUNTIF(role_data[role_id],role_course_map[[#This Row],[role_id]])=0, "INVALID","VALID")</f>
        <v>VALID</v>
      </c>
      <c r="N944" t="str">
        <f>IF(COUNTIF(course_data[course_id],role_course_map[[#This Row],[course_id]])=0, "INVALID","VALID")</f>
        <v>VALID</v>
      </c>
    </row>
    <row r="945" spans="1:14" x14ac:dyDescent="0.35">
      <c r="A945" t="s">
        <v>298</v>
      </c>
      <c r="B945" s="5" t="str">
        <f>_xlfn.XLOOKUP(role_course_map[[#This Row],[role_id]], role_data[role_id], role_data[Role],"")</f>
        <v>Neonatal Nurses</v>
      </c>
      <c r="C945">
        <v>999009</v>
      </c>
      <c r="D945" s="5" t="str">
        <f>_xlfn.XLOOKUP(role_course_map[[#This Row],[course_id]],course_data[course_id],course_data[title],"")</f>
        <v>Life Support</v>
      </c>
      <c r="E945" s="5" t="str">
        <f>_xlfn.XLOOKUP(role_course_map[[#This Row],[course_id]],course_data[course_id],course_data[topic],"")</f>
        <v>SAS : Clinical Practice</v>
      </c>
      <c r="F945" s="5" t="str">
        <f>_xlfn.XLOOKUP(role_course_map[[#This Row],[course_id]],course_data[course_id],course_data[type],"")</f>
        <v>Course</v>
      </c>
      <c r="K945" t="str">
        <f>role_course_map[[#This Row],[role_id]] &amp; "|" &amp; role_course_map[[#This Row],[course_id]]</f>
        <v>R0143|999009</v>
      </c>
      <c r="L945" t="str">
        <f>IF(COUNTIF(role_course_map[mapping_key],role_course_map[[#This Row],[mapping_key]])&gt;1,"DUPLICATE","OK")</f>
        <v>OK</v>
      </c>
      <c r="M945" t="str">
        <f>IF(COUNTIF(role_data[role_id],role_course_map[[#This Row],[role_id]])=0, "INVALID","VALID")</f>
        <v>VALID</v>
      </c>
      <c r="N945" t="str">
        <f>IF(COUNTIF(course_data[course_id],role_course_map[[#This Row],[course_id]])=0, "INVALID","VALID")</f>
        <v>VALID</v>
      </c>
    </row>
    <row r="946" spans="1:14" x14ac:dyDescent="0.35">
      <c r="A946" t="s">
        <v>298</v>
      </c>
      <c r="B946" s="5" t="str">
        <f>_xlfn.XLOOKUP(role_course_map[[#This Row],[role_id]], role_data[role_id], role_data[Role],"")</f>
        <v>Neonatal Nurses</v>
      </c>
      <c r="C946">
        <v>999007</v>
      </c>
      <c r="D946" s="5" t="str">
        <f>_xlfn.XLOOKUP(role_course_map[[#This Row],[course_id]],course_data[course_id],course_data[title],"")</f>
        <v>Obstetrics</v>
      </c>
      <c r="E946" s="5" t="str">
        <f>_xlfn.XLOOKUP(role_course_map[[#This Row],[course_id]],course_data[course_id],course_data[topic],"")</f>
        <v>SAS : Clinical Practice</v>
      </c>
      <c r="F946" s="5" t="str">
        <f>_xlfn.XLOOKUP(role_course_map[[#This Row],[course_id]],course_data[course_id],course_data[type],"")</f>
        <v>Course</v>
      </c>
      <c r="K946" t="str">
        <f>role_course_map[[#This Row],[role_id]] &amp; "|" &amp; role_course_map[[#This Row],[course_id]]</f>
        <v>R0143|999007</v>
      </c>
      <c r="L946" t="str">
        <f>IF(COUNTIF(role_course_map[mapping_key],role_course_map[[#This Row],[mapping_key]])&gt;1,"DUPLICATE","OK")</f>
        <v>OK</v>
      </c>
      <c r="M946" t="str">
        <f>IF(COUNTIF(role_data[role_id],role_course_map[[#This Row],[role_id]])=0, "INVALID","VALID")</f>
        <v>VALID</v>
      </c>
      <c r="N946" t="str">
        <f>IF(COUNTIF(course_data[course_id],role_course_map[[#This Row],[course_id]])=0, "INVALID","VALID")</f>
        <v>VALID</v>
      </c>
    </row>
    <row r="947" spans="1:14" x14ac:dyDescent="0.35">
      <c r="A947" t="s">
        <v>298</v>
      </c>
      <c r="B947" s="5" t="str">
        <f>_xlfn.XLOOKUP(role_course_map[[#This Row],[role_id]], role_data[role_id], role_data[Role],"")</f>
        <v>Neonatal Nurses</v>
      </c>
      <c r="C947">
        <v>999008</v>
      </c>
      <c r="D947" s="5" t="str">
        <f>_xlfn.XLOOKUP(role_course_map[[#This Row],[course_id]],course_data[course_id],course_data[title],"")</f>
        <v>Obstetrics</v>
      </c>
      <c r="E947" s="5" t="str">
        <f>_xlfn.XLOOKUP(role_course_map[[#This Row],[course_id]],course_data[course_id],course_data[topic],"")</f>
        <v>SAS : Clinical Practice</v>
      </c>
      <c r="F947" s="5" t="str">
        <f>_xlfn.XLOOKUP(role_course_map[[#This Row],[course_id]],course_data[course_id],course_data[type],"")</f>
        <v>eLearning</v>
      </c>
      <c r="K947" t="str">
        <f>role_course_map[[#This Row],[role_id]] &amp; "|" &amp; role_course_map[[#This Row],[course_id]]</f>
        <v>R0143|999008</v>
      </c>
      <c r="L947" t="str">
        <f>IF(COUNTIF(role_course_map[mapping_key],role_course_map[[#This Row],[mapping_key]])&gt;1,"DUPLICATE","OK")</f>
        <v>OK</v>
      </c>
      <c r="M947" t="str">
        <f>IF(COUNTIF(role_data[role_id],role_course_map[[#This Row],[role_id]])=0, "INVALID","VALID")</f>
        <v>VALID</v>
      </c>
      <c r="N947" t="str">
        <f>IF(COUNTIF(course_data[course_id],role_course_map[[#This Row],[course_id]])=0, "INVALID","VALID")</f>
        <v>VALID</v>
      </c>
    </row>
    <row r="948" spans="1:14" x14ac:dyDescent="0.35">
      <c r="A948" t="s">
        <v>298</v>
      </c>
      <c r="B948" s="5" t="str">
        <f>_xlfn.XLOOKUP(role_course_map[[#This Row],[role_id]], role_data[role_id], role_data[Role],"")</f>
        <v>Neonatal Nurses</v>
      </c>
      <c r="C948">
        <v>999010</v>
      </c>
      <c r="D948" s="5" t="str">
        <f>_xlfn.XLOOKUP(role_course_map[[#This Row],[course_id]],course_data[course_id],course_data[title],"")</f>
        <v>Paediatrics</v>
      </c>
      <c r="E948" s="5" t="str">
        <f>_xlfn.XLOOKUP(role_course_map[[#This Row],[course_id]],course_data[course_id],course_data[topic],"")</f>
        <v>SAS : Clinical Practice</v>
      </c>
      <c r="F948" s="5" t="str">
        <f>_xlfn.XLOOKUP(role_course_map[[#This Row],[course_id]],course_data[course_id],course_data[type],"")</f>
        <v>Course</v>
      </c>
      <c r="K948" t="str">
        <f>role_course_map[[#This Row],[role_id]] &amp; "|" &amp; role_course_map[[#This Row],[course_id]]</f>
        <v>R0143|999010</v>
      </c>
      <c r="L948" t="str">
        <f>IF(COUNTIF(role_course_map[mapping_key],role_course_map[[#This Row],[mapping_key]])&gt;1,"DUPLICATE","OK")</f>
        <v>OK</v>
      </c>
      <c r="M948" t="str">
        <f>IF(COUNTIF(role_data[role_id],role_course_map[[#This Row],[role_id]])=0, "INVALID","VALID")</f>
        <v>VALID</v>
      </c>
      <c r="N948" t="str">
        <f>IF(COUNTIF(course_data[course_id],role_course_map[[#This Row],[course_id]])=0, "INVALID","VALID")</f>
        <v>VALID</v>
      </c>
    </row>
    <row r="949" spans="1:14" x14ac:dyDescent="0.35">
      <c r="A949" t="s">
        <v>298</v>
      </c>
      <c r="B949" s="5" t="str">
        <f>_xlfn.XLOOKUP(role_course_map[[#This Row],[role_id]], role_data[role_id], role_data[Role],"")</f>
        <v>Neonatal Nurses</v>
      </c>
      <c r="C949">
        <v>999011</v>
      </c>
      <c r="D949" s="5" t="str">
        <f>_xlfn.XLOOKUP(role_course_map[[#This Row],[course_id]],course_data[course_id],course_data[title],"")</f>
        <v>Paediatrics</v>
      </c>
      <c r="E949" s="5" t="str">
        <f>_xlfn.XLOOKUP(role_course_map[[#This Row],[course_id]],course_data[course_id],course_data[topic],"")</f>
        <v>SAS : Clinical Practice</v>
      </c>
      <c r="F949" s="5" t="str">
        <f>_xlfn.XLOOKUP(role_course_map[[#This Row],[course_id]],course_data[course_id],course_data[type],"")</f>
        <v>eLearning</v>
      </c>
      <c r="K949" t="str">
        <f>role_course_map[[#This Row],[role_id]] &amp; "|" &amp; role_course_map[[#This Row],[course_id]]</f>
        <v>R0143|999011</v>
      </c>
      <c r="L949" t="str">
        <f>IF(COUNTIF(role_course_map[mapping_key],role_course_map[[#This Row],[mapping_key]])&gt;1,"DUPLICATE","OK")</f>
        <v>OK</v>
      </c>
      <c r="M949" t="str">
        <f>IF(COUNTIF(role_data[role_id],role_course_map[[#This Row],[role_id]])=0, "INVALID","VALID")</f>
        <v>VALID</v>
      </c>
      <c r="N949" t="str">
        <f>IF(COUNTIF(course_data[course_id],role_course_map[[#This Row],[course_id]])=0, "INVALID","VALID")</f>
        <v>VALID</v>
      </c>
    </row>
    <row r="950" spans="1:14" x14ac:dyDescent="0.35">
      <c r="A950" t="s">
        <v>298</v>
      </c>
      <c r="B950" s="5" t="str">
        <f>_xlfn.XLOOKUP(role_course_map[[#This Row],[role_id]], role_data[role_id], role_data[Role],"")</f>
        <v>Neonatal Nurses</v>
      </c>
      <c r="C950">
        <v>999012</v>
      </c>
      <c r="D950" s="5" t="str">
        <f>_xlfn.XLOOKUP(role_course_map[[#This Row],[course_id]],course_data[course_id],course_data[title],"")</f>
        <v>Trauma</v>
      </c>
      <c r="E950" s="5" t="str">
        <f>_xlfn.XLOOKUP(role_course_map[[#This Row],[course_id]],course_data[course_id],course_data[topic],"")</f>
        <v>SAS : Clinical Practice</v>
      </c>
      <c r="F950" s="5" t="str">
        <f>_xlfn.XLOOKUP(role_course_map[[#This Row],[course_id]],course_data[course_id],course_data[type],"")</f>
        <v>Course</v>
      </c>
      <c r="K950" t="str">
        <f>role_course_map[[#This Row],[role_id]] &amp; "|" &amp; role_course_map[[#This Row],[course_id]]</f>
        <v>R0143|999012</v>
      </c>
      <c r="L950" t="str">
        <f>IF(COUNTIF(role_course_map[mapping_key],role_course_map[[#This Row],[mapping_key]])&gt;1,"DUPLICATE","OK")</f>
        <v>OK</v>
      </c>
      <c r="M950" t="str">
        <f>IF(COUNTIF(role_data[role_id],role_course_map[[#This Row],[role_id]])=0, "INVALID","VALID")</f>
        <v>VALID</v>
      </c>
      <c r="N950" t="str">
        <f>IF(COUNTIF(course_data[course_id],role_course_map[[#This Row],[course_id]])=0, "INVALID","VALID")</f>
        <v>VALID</v>
      </c>
    </row>
    <row r="951" spans="1:14" x14ac:dyDescent="0.35">
      <c r="A951" t="s">
        <v>298</v>
      </c>
      <c r="B951" s="5" t="str">
        <f>_xlfn.XLOOKUP(role_course_map[[#This Row],[role_id]], role_data[role_id], role_data[Role],"")</f>
        <v>Neonatal Nurses</v>
      </c>
      <c r="C951">
        <v>999013</v>
      </c>
      <c r="D951" s="5" t="str">
        <f>_xlfn.XLOOKUP(role_course_map[[#This Row],[course_id]],course_data[course_id],course_data[title],"")</f>
        <v>Trauma</v>
      </c>
      <c r="E951" s="5" t="str">
        <f>_xlfn.XLOOKUP(role_course_map[[#This Row],[course_id]],course_data[course_id],course_data[topic],"")</f>
        <v>SAS : Clinical Practice</v>
      </c>
      <c r="F951" s="5" t="str">
        <f>_xlfn.XLOOKUP(role_course_map[[#This Row],[course_id]],course_data[course_id],course_data[type],"")</f>
        <v>eLearning</v>
      </c>
      <c r="K951" t="str">
        <f>role_course_map[[#This Row],[role_id]] &amp; "|" &amp; role_course_map[[#This Row],[course_id]]</f>
        <v>R0143|999013</v>
      </c>
      <c r="L951" t="str">
        <f>IF(COUNTIF(role_course_map[mapping_key],role_course_map[[#This Row],[mapping_key]])&gt;1,"DUPLICATE","OK")</f>
        <v>OK</v>
      </c>
      <c r="M951" t="str">
        <f>IF(COUNTIF(role_data[role_id],role_course_map[[#This Row],[role_id]])=0, "INVALID","VALID")</f>
        <v>VALID</v>
      </c>
      <c r="N951" t="str">
        <f>IF(COUNTIF(course_data[course_id],role_course_map[[#This Row],[course_id]])=0, "INVALID","VALID")</f>
        <v>VALID</v>
      </c>
    </row>
    <row r="952" spans="1:14" x14ac:dyDescent="0.35">
      <c r="A952" t="s">
        <v>298</v>
      </c>
      <c r="B952" s="5" t="str">
        <f>_xlfn.XLOOKUP(role_course_map[[#This Row],[role_id]], role_data[role_id], role_data[Role],"")</f>
        <v>Neonatal Nurses</v>
      </c>
      <c r="C952">
        <v>999014</v>
      </c>
      <c r="D952" s="5" t="str">
        <f>_xlfn.XLOOKUP(role_course_map[[#This Row],[course_id]],course_data[course_id],course_data[title],"")</f>
        <v>Patient Assessment</v>
      </c>
      <c r="E952" s="5" t="str">
        <f>_xlfn.XLOOKUP(role_course_map[[#This Row],[course_id]],course_data[course_id],course_data[topic],"")</f>
        <v>SAS : Clinical Practice</v>
      </c>
      <c r="F952" s="5" t="str">
        <f>_xlfn.XLOOKUP(role_course_map[[#This Row],[course_id]],course_data[course_id],course_data[type],"")</f>
        <v>Course</v>
      </c>
      <c r="K952" t="str">
        <f>role_course_map[[#This Row],[role_id]] &amp; "|" &amp; role_course_map[[#This Row],[course_id]]</f>
        <v>R0143|999014</v>
      </c>
      <c r="L952" t="str">
        <f>IF(COUNTIF(role_course_map[mapping_key],role_course_map[[#This Row],[mapping_key]])&gt;1,"DUPLICATE","OK")</f>
        <v>OK</v>
      </c>
      <c r="M952" t="str">
        <f>IF(COUNTIF(role_data[role_id],role_course_map[[#This Row],[role_id]])=0, "INVALID","VALID")</f>
        <v>VALID</v>
      </c>
      <c r="N952" t="str">
        <f>IF(COUNTIF(course_data[course_id],role_course_map[[#This Row],[course_id]])=0, "INVALID","VALID")</f>
        <v>VALID</v>
      </c>
    </row>
    <row r="953" spans="1:14" x14ac:dyDescent="0.35">
      <c r="A953" t="s">
        <v>298</v>
      </c>
      <c r="B953" s="5" t="str">
        <f>_xlfn.XLOOKUP(role_course_map[[#This Row],[role_id]], role_data[role_id], role_data[Role],"")</f>
        <v>Neonatal Nurses</v>
      </c>
      <c r="C953">
        <v>999015</v>
      </c>
      <c r="D953" s="5" t="str">
        <f>_xlfn.XLOOKUP(role_course_map[[#This Row],[course_id]],course_data[course_id],course_data[title],"")</f>
        <v>Patient Assessment</v>
      </c>
      <c r="E953" s="5" t="str">
        <f>_xlfn.XLOOKUP(role_course_map[[#This Row],[course_id]],course_data[course_id],course_data[topic],"")</f>
        <v>SAS : Clinical Practice</v>
      </c>
      <c r="F953" s="5" t="str">
        <f>_xlfn.XLOOKUP(role_course_map[[#This Row],[course_id]],course_data[course_id],course_data[type],"")</f>
        <v>eLearning</v>
      </c>
      <c r="K953" t="str">
        <f>role_course_map[[#This Row],[role_id]] &amp; "|" &amp; role_course_map[[#This Row],[course_id]]</f>
        <v>R0143|999015</v>
      </c>
      <c r="L953" t="str">
        <f>IF(COUNTIF(role_course_map[mapping_key],role_course_map[[#This Row],[mapping_key]])&gt;1,"DUPLICATE","OK")</f>
        <v>OK</v>
      </c>
      <c r="M953" t="str">
        <f>IF(COUNTIF(role_data[role_id],role_course_map[[#This Row],[role_id]])=0, "INVALID","VALID")</f>
        <v>VALID</v>
      </c>
      <c r="N953" t="str">
        <f>IF(COUNTIF(course_data[course_id],role_course_map[[#This Row],[course_id]])=0, "INVALID","VALID")</f>
        <v>VALID</v>
      </c>
    </row>
    <row r="954" spans="1:14" x14ac:dyDescent="0.35">
      <c r="A954" t="s">
        <v>298</v>
      </c>
      <c r="B954" s="5" t="str">
        <f>_xlfn.XLOOKUP(role_course_map[[#This Row],[role_id]], role_data[role_id], role_data[Role],"")</f>
        <v>Neonatal Nurses</v>
      </c>
      <c r="C954">
        <v>999018</v>
      </c>
      <c r="D954" s="5" t="str">
        <f>_xlfn.XLOOKUP(role_course_map[[#This Row],[course_id]],course_data[course_id],course_data[title],"")</f>
        <v>Learning from Events</v>
      </c>
      <c r="E954" s="5" t="str">
        <f>_xlfn.XLOOKUP(role_course_map[[#This Row],[course_id]],course_data[course_id],course_data[topic],"")</f>
        <v>SAS : Clinical Practice</v>
      </c>
      <c r="F954" s="5" t="str">
        <f>_xlfn.XLOOKUP(role_course_map[[#This Row],[course_id]],course_data[course_id],course_data[type],"")</f>
        <v>eLearning</v>
      </c>
      <c r="K954" t="str">
        <f>role_course_map[[#This Row],[role_id]] &amp; "|" &amp; role_course_map[[#This Row],[course_id]]</f>
        <v>R0143|999018</v>
      </c>
      <c r="L954" t="str">
        <f>IF(COUNTIF(role_course_map[mapping_key],role_course_map[[#This Row],[mapping_key]])&gt;1,"DUPLICATE","OK")</f>
        <v>OK</v>
      </c>
      <c r="M954" t="str">
        <f>IF(COUNTIF(role_data[role_id],role_course_map[[#This Row],[role_id]])=0, "INVALID","VALID")</f>
        <v>VALID</v>
      </c>
      <c r="N954" t="str">
        <f>IF(COUNTIF(course_data[course_id],role_course_map[[#This Row],[course_id]])=0, "INVALID","VALID")</f>
        <v>VALID</v>
      </c>
    </row>
    <row r="955" spans="1:14" x14ac:dyDescent="0.35">
      <c r="A955" t="s">
        <v>298</v>
      </c>
      <c r="B955" s="5" t="str">
        <f>_xlfn.XLOOKUP(role_course_map[[#This Row],[role_id]], role_data[role_id], role_data[Role],"")</f>
        <v>Neonatal Nurses</v>
      </c>
      <c r="C955">
        <v>999019</v>
      </c>
      <c r="D955" s="5" t="str">
        <f>_xlfn.XLOOKUP(role_course_map[[#This Row],[course_id]],course_data[course_id],course_data[title],"")</f>
        <v>Medicines Management</v>
      </c>
      <c r="E955" s="5" t="str">
        <f>_xlfn.XLOOKUP(role_course_map[[#This Row],[course_id]],course_data[course_id],course_data[topic],"")</f>
        <v>SAS : Clinical Practice</v>
      </c>
      <c r="F955" s="5" t="str">
        <f>_xlfn.XLOOKUP(role_course_map[[#This Row],[course_id]],course_data[course_id],course_data[type],"")</f>
        <v>eLearning</v>
      </c>
      <c r="K955" t="str">
        <f>role_course_map[[#This Row],[role_id]] &amp; "|" &amp; role_course_map[[#This Row],[course_id]]</f>
        <v>R0143|999019</v>
      </c>
      <c r="L955" t="str">
        <f>IF(COUNTIF(role_course_map[mapping_key],role_course_map[[#This Row],[mapping_key]])&gt;1,"DUPLICATE","OK")</f>
        <v>OK</v>
      </c>
      <c r="M955" t="str">
        <f>IF(COUNTIF(role_data[role_id],role_course_map[[#This Row],[role_id]])=0, "INVALID","VALID")</f>
        <v>VALID</v>
      </c>
      <c r="N955" t="str">
        <f>IF(COUNTIF(course_data[course_id],role_course_map[[#This Row],[course_id]])=0, "INVALID","VALID")</f>
        <v>VALID</v>
      </c>
    </row>
    <row r="956" spans="1:14" x14ac:dyDescent="0.35">
      <c r="A956" t="s">
        <v>298</v>
      </c>
      <c r="B956" s="5" t="str">
        <f>_xlfn.XLOOKUP(role_course_map[[#This Row],[role_id]], role_data[role_id], role_data[Role],"")</f>
        <v>Neonatal Nurses</v>
      </c>
      <c r="C956">
        <v>999020</v>
      </c>
      <c r="D956" s="5" t="str">
        <f>_xlfn.XLOOKUP(role_course_map[[#This Row],[course_id]],course_data[course_id],course_data[title],"")</f>
        <v>JRCALC Update</v>
      </c>
      <c r="E956" s="5" t="str">
        <f>_xlfn.XLOOKUP(role_course_map[[#This Row],[course_id]],course_data[course_id],course_data[topic],"")</f>
        <v>SAS : Clinical Practice</v>
      </c>
      <c r="F956" s="5" t="str">
        <f>_xlfn.XLOOKUP(role_course_map[[#This Row],[course_id]],course_data[course_id],course_data[type],"")</f>
        <v>eLearning</v>
      </c>
      <c r="K956" t="str">
        <f>role_course_map[[#This Row],[role_id]] &amp; "|" &amp; role_course_map[[#This Row],[course_id]]</f>
        <v>R0143|999020</v>
      </c>
      <c r="L956" t="str">
        <f>IF(COUNTIF(role_course_map[mapping_key],role_course_map[[#This Row],[mapping_key]])&gt;1,"DUPLICATE","OK")</f>
        <v>OK</v>
      </c>
      <c r="M956" t="str">
        <f>IF(COUNTIF(role_data[role_id],role_course_map[[#This Row],[role_id]])=0, "INVALID","VALID")</f>
        <v>VALID</v>
      </c>
      <c r="N956" t="str">
        <f>IF(COUNTIF(course_data[course_id],role_course_map[[#This Row],[course_id]])=0, "INVALID","VALID")</f>
        <v>VALID</v>
      </c>
    </row>
    <row r="957" spans="1:14" x14ac:dyDescent="0.35">
      <c r="A957" t="s">
        <v>298</v>
      </c>
      <c r="B957" s="5" t="str">
        <f>_xlfn.XLOOKUP(role_course_map[[#This Row],[role_id]], role_data[role_id], role_data[Role],"")</f>
        <v>Neonatal Nurses</v>
      </c>
      <c r="C957">
        <v>999021</v>
      </c>
      <c r="D957" s="5" t="str">
        <f>_xlfn.XLOOKUP(role_course_map[[#This Row],[course_id]],course_data[course_id],course_data[title],"")</f>
        <v>Mental Health</v>
      </c>
      <c r="E957" s="5" t="str">
        <f>_xlfn.XLOOKUP(role_course_map[[#This Row],[course_id]],course_data[course_id],course_data[topic],"")</f>
        <v>SAS : Clinical Practice</v>
      </c>
      <c r="F957" s="5" t="str">
        <f>_xlfn.XLOOKUP(role_course_map[[#This Row],[course_id]],course_data[course_id],course_data[type],"")</f>
        <v>eLearning</v>
      </c>
      <c r="K957" t="str">
        <f>role_course_map[[#This Row],[role_id]] &amp; "|" &amp; role_course_map[[#This Row],[course_id]]</f>
        <v>R0143|999021</v>
      </c>
      <c r="L957" t="str">
        <f>IF(COUNTIF(role_course_map[mapping_key],role_course_map[[#This Row],[mapping_key]])&gt;1,"DUPLICATE","OK")</f>
        <v>OK</v>
      </c>
      <c r="M957" t="str">
        <f>IF(COUNTIF(role_data[role_id],role_course_map[[#This Row],[role_id]])=0, "INVALID","VALID")</f>
        <v>VALID</v>
      </c>
      <c r="N957" t="str">
        <f>IF(COUNTIF(course_data[course_id],role_course_map[[#This Row],[course_id]])=0, "INVALID","VALID")</f>
        <v>VALID</v>
      </c>
    </row>
    <row r="958" spans="1:14" x14ac:dyDescent="0.35">
      <c r="A958" t="s">
        <v>298</v>
      </c>
      <c r="B958" s="5" t="str">
        <f>_xlfn.XLOOKUP(role_course_map[[#This Row],[role_id]], role_data[role_id], role_data[Role],"")</f>
        <v>Neonatal Nurses</v>
      </c>
      <c r="C958">
        <v>999022</v>
      </c>
      <c r="D958" s="5" t="str">
        <f>_xlfn.XLOOKUP(role_course_map[[#This Row],[course_id]],course_data[course_id],course_data[title],"")</f>
        <v>Learning Disabilities</v>
      </c>
      <c r="E958" s="5" t="str">
        <f>_xlfn.XLOOKUP(role_course_map[[#This Row],[course_id]],course_data[course_id],course_data[topic],"")</f>
        <v>SAS : Clinical Practice</v>
      </c>
      <c r="F958" s="5" t="str">
        <f>_xlfn.XLOOKUP(role_course_map[[#This Row],[course_id]],course_data[course_id],course_data[type],"")</f>
        <v>eLearning</v>
      </c>
      <c r="K958" t="str">
        <f>role_course_map[[#This Row],[role_id]] &amp; "|" &amp; role_course_map[[#This Row],[course_id]]</f>
        <v>R0143|999022</v>
      </c>
      <c r="L958" t="str">
        <f>IF(COUNTIF(role_course_map[mapping_key],role_course_map[[#This Row],[mapping_key]])&gt;1,"DUPLICATE","OK")</f>
        <v>OK</v>
      </c>
      <c r="M958" t="str">
        <f>IF(COUNTIF(role_data[role_id],role_course_map[[#This Row],[role_id]])=0, "INVALID","VALID")</f>
        <v>VALID</v>
      </c>
      <c r="N958" t="str">
        <f>IF(COUNTIF(course_data[course_id],role_course_map[[#This Row],[course_id]])=0, "INVALID","VALID")</f>
        <v>VALID</v>
      </c>
    </row>
    <row r="959" spans="1:14" x14ac:dyDescent="0.35">
      <c r="A959" t="s">
        <v>298</v>
      </c>
      <c r="B959" s="5" t="str">
        <f>_xlfn.XLOOKUP(role_course_map[[#This Row],[role_id]], role_data[role_id], role_data[Role],"")</f>
        <v>Neonatal Nurses</v>
      </c>
      <c r="C959">
        <v>75202</v>
      </c>
      <c r="D959" s="5" t="str">
        <f>_xlfn.XLOOKUP(role_course_map[[#This Row],[course_id]],course_data[course_id],course_data[title],"")</f>
        <v>SAS : Clinical Practice</v>
      </c>
      <c r="E959" s="5" t="str">
        <f>_xlfn.XLOOKUP(role_course_map[[#This Row],[course_id]],course_data[course_id],course_data[topic],"")</f>
        <v>SAS : Clinical Practice</v>
      </c>
      <c r="F959" s="5" t="str">
        <f>_xlfn.XLOOKUP(role_course_map[[#This Row],[course_id]],course_data[course_id],course_data[type],"")</f>
        <v>Page</v>
      </c>
      <c r="K959" t="str">
        <f>role_course_map[[#This Row],[role_id]] &amp; "|" &amp; role_course_map[[#This Row],[course_id]]</f>
        <v>R0143|75202</v>
      </c>
      <c r="L959" t="str">
        <f>IF(COUNTIF(role_course_map[mapping_key],role_course_map[[#This Row],[mapping_key]])&gt;1,"DUPLICATE","OK")</f>
        <v>OK</v>
      </c>
      <c r="M959" t="str">
        <f>IF(COUNTIF(role_data[role_id],role_course_map[[#This Row],[role_id]])=0, "INVALID","VALID")</f>
        <v>VALID</v>
      </c>
      <c r="N959" t="str">
        <f>IF(COUNTIF(course_data[course_id],role_course_map[[#This Row],[course_id]])=0, "INVALID","VALID")</f>
        <v>VALID</v>
      </c>
    </row>
    <row r="960" spans="1:14" x14ac:dyDescent="0.35">
      <c r="A960" t="s">
        <v>298</v>
      </c>
      <c r="B960" s="5" t="str">
        <f>_xlfn.XLOOKUP(role_course_map[[#This Row],[role_id]], role_data[role_id], role_data[Role],"")</f>
        <v>Neonatal Nurses</v>
      </c>
      <c r="C960">
        <v>999023</v>
      </c>
      <c r="D960" s="5" t="str">
        <f>_xlfn.XLOOKUP(role_course_map[[#This Row],[course_id]],course_data[course_id],course_data[title],"")</f>
        <v>Dementia</v>
      </c>
      <c r="E960" s="5" t="str">
        <f>_xlfn.XLOOKUP(role_course_map[[#This Row],[course_id]],course_data[course_id],course_data[topic],"")</f>
        <v>SAS : Clinical Practice</v>
      </c>
      <c r="F960" s="5" t="str">
        <f>_xlfn.XLOOKUP(role_course_map[[#This Row],[course_id]],course_data[course_id],course_data[type],"")</f>
        <v>eLearning</v>
      </c>
      <c r="K960" t="str">
        <f>role_course_map[[#This Row],[role_id]] &amp; "|" &amp; role_course_map[[#This Row],[course_id]]</f>
        <v>R0143|999023</v>
      </c>
      <c r="L960" t="str">
        <f>IF(COUNTIF(role_course_map[mapping_key],role_course_map[[#This Row],[mapping_key]])&gt;1,"DUPLICATE","OK")</f>
        <v>OK</v>
      </c>
      <c r="M960" t="str">
        <f>IF(COUNTIF(role_data[role_id],role_course_map[[#This Row],[role_id]])=0, "INVALID","VALID")</f>
        <v>VALID</v>
      </c>
      <c r="N960" t="str">
        <f>IF(COUNTIF(course_data[course_id],role_course_map[[#This Row],[course_id]])=0, "INVALID","VALID")</f>
        <v>VALID</v>
      </c>
    </row>
    <row r="961" spans="1:14" x14ac:dyDescent="0.35">
      <c r="A961" t="s">
        <v>298</v>
      </c>
      <c r="B961" s="5" t="str">
        <f>_xlfn.XLOOKUP(role_course_map[[#This Row],[role_id]], role_data[role_id], role_data[Role],"")</f>
        <v>Neonatal Nurses</v>
      </c>
      <c r="C961">
        <v>999095</v>
      </c>
      <c r="D961" s="5" t="str">
        <f>_xlfn.XLOOKUP(role_course_map[[#This Row],[course_id]],course_data[course_id],course_data[title],"")</f>
        <v>Mentoring</v>
      </c>
      <c r="E961" s="5" t="str">
        <f>_xlfn.XLOOKUP(role_course_map[[#This Row],[course_id]],course_data[course_id],course_data[topic],"")</f>
        <v>SAS: Staff development and experience</v>
      </c>
      <c r="F961" s="5" t="str">
        <f>_xlfn.XLOOKUP(role_course_map[[#This Row],[course_id]],course_data[course_id],course_data[type],"")</f>
        <v>eLearning</v>
      </c>
      <c r="K961" t="str">
        <f>role_course_map[[#This Row],[role_id]] &amp; "|" &amp; role_course_map[[#This Row],[course_id]]</f>
        <v>R0143|999095</v>
      </c>
      <c r="L961" t="str">
        <f>IF(COUNTIF(role_course_map[mapping_key],role_course_map[[#This Row],[mapping_key]])&gt;1,"DUPLICATE","OK")</f>
        <v>OK</v>
      </c>
      <c r="M961" t="str">
        <f>IF(COUNTIF(role_data[role_id],role_course_map[[#This Row],[role_id]])=0, "INVALID","VALID")</f>
        <v>VALID</v>
      </c>
      <c r="N961" t="str">
        <f>IF(COUNTIF(course_data[course_id],role_course_map[[#This Row],[course_id]])=0, "INVALID","VALID")</f>
        <v>VALID</v>
      </c>
    </row>
    <row r="962" spans="1:14" x14ac:dyDescent="0.35">
      <c r="A962" t="s">
        <v>298</v>
      </c>
      <c r="B962" s="5" t="str">
        <f>_xlfn.XLOOKUP(role_course_map[[#This Row],[role_id]], role_data[role_id], role_data[Role],"")</f>
        <v>Neonatal Nurses</v>
      </c>
      <c r="C962">
        <v>999096</v>
      </c>
      <c r="D962" s="5" t="str">
        <f>_xlfn.XLOOKUP(role_course_map[[#This Row],[course_id]],course_data[course_id],course_data[title],"")</f>
        <v>Supporting others in practice (Supervision)</v>
      </c>
      <c r="E962" s="5" t="str">
        <f>_xlfn.XLOOKUP(role_course_map[[#This Row],[course_id]],course_data[course_id],course_data[topic],"")</f>
        <v>SAS: Staff development and experience</v>
      </c>
      <c r="F962" s="5" t="str">
        <f>_xlfn.XLOOKUP(role_course_map[[#This Row],[course_id]],course_data[course_id],course_data[type],"")</f>
        <v>Course</v>
      </c>
      <c r="K962" t="str">
        <f>role_course_map[[#This Row],[role_id]] &amp; "|" &amp; role_course_map[[#This Row],[course_id]]</f>
        <v>R0143|999096</v>
      </c>
      <c r="L962" t="str">
        <f>IF(COUNTIF(role_course_map[mapping_key],role_course_map[[#This Row],[mapping_key]])&gt;1,"DUPLICATE","OK")</f>
        <v>OK</v>
      </c>
      <c r="M962" t="str">
        <f>IF(COUNTIF(role_data[role_id],role_course_map[[#This Row],[role_id]])=0, "INVALID","VALID")</f>
        <v>VALID</v>
      </c>
      <c r="N962" t="str">
        <f>IF(COUNTIF(course_data[course_id],role_course_map[[#This Row],[course_id]])=0, "INVALID","VALID")</f>
        <v>VALID</v>
      </c>
    </row>
    <row r="963" spans="1:14" x14ac:dyDescent="0.35">
      <c r="A963" t="s">
        <v>298</v>
      </c>
      <c r="B963" s="5" t="str">
        <f>_xlfn.XLOOKUP(role_course_map[[#This Row],[role_id]], role_data[role_id], role_data[Role],"")</f>
        <v>Neonatal Nurses</v>
      </c>
      <c r="C963">
        <v>999097</v>
      </c>
      <c r="D963" s="5" t="str">
        <f>_xlfn.XLOOKUP(role_course_map[[#This Row],[course_id]],course_data[course_id],course_data[title],"")</f>
        <v>Personal Wellbeing</v>
      </c>
      <c r="E963" s="5" t="str">
        <f>_xlfn.XLOOKUP(role_course_map[[#This Row],[course_id]],course_data[course_id],course_data[topic],"")</f>
        <v>SAS: Staff development and experience</v>
      </c>
      <c r="F963" s="5" t="str">
        <f>_xlfn.XLOOKUP(role_course_map[[#This Row],[course_id]],course_data[course_id],course_data[type],"")</f>
        <v>eLearning</v>
      </c>
      <c r="K963" t="str">
        <f>role_course_map[[#This Row],[role_id]] &amp; "|" &amp; role_course_map[[#This Row],[course_id]]</f>
        <v>R0143|999097</v>
      </c>
      <c r="L963" t="str">
        <f>IF(COUNTIF(role_course_map[mapping_key],role_course_map[[#This Row],[mapping_key]])&gt;1,"DUPLICATE","OK")</f>
        <v>OK</v>
      </c>
      <c r="M963" t="str">
        <f>IF(COUNTIF(role_data[role_id],role_course_map[[#This Row],[role_id]])=0, "INVALID","VALID")</f>
        <v>VALID</v>
      </c>
      <c r="N963" t="str">
        <f>IF(COUNTIF(course_data[course_id],role_course_map[[#This Row],[course_id]])=0, "INVALID","VALID")</f>
        <v>VALID</v>
      </c>
    </row>
    <row r="964" spans="1:14" x14ac:dyDescent="0.35">
      <c r="A964" t="s">
        <v>298</v>
      </c>
      <c r="B964" s="5" t="str">
        <f>_xlfn.XLOOKUP(role_course_map[[#This Row],[role_id]], role_data[role_id], role_data[Role],"")</f>
        <v>Neonatal Nurses</v>
      </c>
      <c r="C964">
        <v>79147</v>
      </c>
      <c r="D964" s="5" t="str">
        <f>_xlfn.XLOOKUP(role_course_map[[#This Row],[course_id]],course_data[course_id],course_data[title],"")</f>
        <v>Driving risks at work</v>
      </c>
      <c r="E964" s="5" t="str">
        <f>_xlfn.XLOOKUP(role_course_map[[#This Row],[course_id]],course_data[course_id],course_data[topic],"")</f>
        <v>SAS : Health and Safety</v>
      </c>
      <c r="F964" s="5" t="str">
        <f>_xlfn.XLOOKUP(role_course_map[[#This Row],[course_id]],course_data[course_id],course_data[type],"")</f>
        <v>eLearning</v>
      </c>
      <c r="K964" t="str">
        <f>role_course_map[[#This Row],[role_id]] &amp; "|" &amp; role_course_map[[#This Row],[course_id]]</f>
        <v>R0143|79147</v>
      </c>
      <c r="L964" t="str">
        <f>IF(COUNTIF(role_course_map[mapping_key],role_course_map[[#This Row],[mapping_key]])&gt;1,"DUPLICATE","OK")</f>
        <v>OK</v>
      </c>
      <c r="M964" t="str">
        <f>IF(COUNTIF(role_data[role_id],role_course_map[[#This Row],[role_id]])=0, "INVALID","VALID")</f>
        <v>VALID</v>
      </c>
      <c r="N964" t="str">
        <f>IF(COUNTIF(course_data[course_id],role_course_map[[#This Row],[course_id]])=0, "INVALID","VALID")</f>
        <v>VALID</v>
      </c>
    </row>
    <row r="965" spans="1:14" x14ac:dyDescent="0.35">
      <c r="A965" t="s">
        <v>298</v>
      </c>
      <c r="B965" s="5" t="str">
        <f>_xlfn.XLOOKUP(role_course_map[[#This Row],[role_id]], role_data[role_id], role_data[Role],"")</f>
        <v>Neonatal Nurses</v>
      </c>
      <c r="C965">
        <v>999066</v>
      </c>
      <c r="D965" s="5" t="str">
        <f>_xlfn.XLOOKUP(role_course_map[[#This Row],[course_id]],course_data[course_id],course_data[title],"")</f>
        <v>NRRD Update i.e. Major Incidents/Methane/ Multiple Casualities</v>
      </c>
      <c r="E965" s="5" t="str">
        <f>_xlfn.XLOOKUP(role_course_map[[#This Row],[course_id]],course_data[course_id],course_data[topic],"")</f>
        <v>SAS : National Risk and Resilience Department (NRRD)</v>
      </c>
      <c r="F965" s="5" t="str">
        <f>_xlfn.XLOOKUP(role_course_map[[#This Row],[course_id]],course_data[course_id],course_data[type],"")</f>
        <v>eLearning</v>
      </c>
      <c r="K965" t="str">
        <f>role_course_map[[#This Row],[role_id]] &amp; "|" &amp; role_course_map[[#This Row],[course_id]]</f>
        <v>R0143|999066</v>
      </c>
      <c r="L965" t="str">
        <f>IF(COUNTIF(role_course_map[mapping_key],role_course_map[[#This Row],[mapping_key]])&gt;1,"DUPLICATE","OK")</f>
        <v>OK</v>
      </c>
      <c r="M965" t="str">
        <f>IF(COUNTIF(role_data[role_id],role_course_map[[#This Row],[role_id]])=0, "INVALID","VALID")</f>
        <v>VALID</v>
      </c>
      <c r="N965" t="str">
        <f>IF(COUNTIF(course_data[course_id],role_course_map[[#This Row],[course_id]])=0, "INVALID","VALID")</f>
        <v>VALID</v>
      </c>
    </row>
    <row r="966" spans="1:14" x14ac:dyDescent="0.35">
      <c r="A966" t="s">
        <v>298</v>
      </c>
      <c r="B966" s="5" t="str">
        <f>_xlfn.XLOOKUP(role_course_map[[#This Row],[role_id]], role_data[role_id], role_data[Role],"")</f>
        <v>Neonatal Nurses</v>
      </c>
      <c r="C966">
        <v>999025</v>
      </c>
      <c r="D966" s="5" t="str">
        <f>_xlfn.XLOOKUP(role_course_map[[#This Row],[course_id]],course_data[course_id],course_data[title],"")</f>
        <v>Professional Standards</v>
      </c>
      <c r="E966" s="5" t="str">
        <f>_xlfn.XLOOKUP(role_course_map[[#This Row],[course_id]],course_data[course_id],course_data[topic],"")</f>
        <v>SAS : Clinical Practice</v>
      </c>
      <c r="F966" s="5" t="str">
        <f>_xlfn.XLOOKUP(role_course_map[[#This Row],[course_id]],course_data[course_id],course_data[type],"")</f>
        <v>eLearning</v>
      </c>
      <c r="K966" t="str">
        <f>role_course_map[[#This Row],[role_id]] &amp; "|" &amp; role_course_map[[#This Row],[course_id]]</f>
        <v>R0143|999025</v>
      </c>
      <c r="L966" t="str">
        <f>IF(COUNTIF(role_course_map[mapping_key],role_course_map[[#This Row],[mapping_key]])&gt;1,"DUPLICATE","OK")</f>
        <v>OK</v>
      </c>
      <c r="M966" t="str">
        <f>IF(COUNTIF(role_data[role_id],role_course_map[[#This Row],[role_id]])=0, "INVALID","VALID")</f>
        <v>VALID</v>
      </c>
      <c r="N966" t="str">
        <f>IF(COUNTIF(course_data[course_id],role_course_map[[#This Row],[course_id]])=0, "INVALID","VALID")</f>
        <v>VALID</v>
      </c>
    </row>
    <row r="967" spans="1:14" x14ac:dyDescent="0.35">
      <c r="A967" t="s">
        <v>298</v>
      </c>
      <c r="B967" s="5" t="str">
        <f>_xlfn.XLOOKUP(role_course_map[[#This Row],[role_id]], role_data[role_id], role_data[Role],"")</f>
        <v>Neonatal Nurses</v>
      </c>
      <c r="C967">
        <v>999058</v>
      </c>
      <c r="D967" s="5" t="str">
        <f>_xlfn.XLOOKUP(role_course_map[[#This Row],[course_id]],course_data[course_id],course_data[title],"")</f>
        <v>Stress Identification &amp; Stress Management</v>
      </c>
      <c r="E967" s="5" t="str">
        <f>_xlfn.XLOOKUP(role_course_map[[#This Row],[course_id]],course_data[course_id],course_data[topic],"")</f>
        <v>SAS : Health and Safety</v>
      </c>
      <c r="F967" s="5" t="str">
        <f>_xlfn.XLOOKUP(role_course_map[[#This Row],[course_id]],course_data[course_id],course_data[type],"")</f>
        <v>eLearning</v>
      </c>
      <c r="K967" t="str">
        <f>role_course_map[[#This Row],[role_id]] &amp; "|" &amp; role_course_map[[#This Row],[course_id]]</f>
        <v>R0143|999058</v>
      </c>
      <c r="L967" t="str">
        <f>IF(COUNTIF(role_course_map[mapping_key],role_course_map[[#This Row],[mapping_key]])&gt;1,"DUPLICATE","OK")</f>
        <v>OK</v>
      </c>
      <c r="M967" t="str">
        <f>IF(COUNTIF(role_data[role_id],role_course_map[[#This Row],[role_id]])=0, "INVALID","VALID")</f>
        <v>VALID</v>
      </c>
      <c r="N967" t="str">
        <f>IF(COUNTIF(course_data[course_id],role_course_map[[#This Row],[course_id]])=0, "INVALID","VALID")</f>
        <v>VALID</v>
      </c>
    </row>
    <row r="968" spans="1:14" x14ac:dyDescent="0.35">
      <c r="A968" t="s">
        <v>298</v>
      </c>
      <c r="B968" s="5" t="str">
        <f>_xlfn.XLOOKUP(role_course_map[[#This Row],[role_id]], role_data[role_id], role_data[Role],"")</f>
        <v>Neonatal Nurses</v>
      </c>
      <c r="C968">
        <v>999061</v>
      </c>
      <c r="D968" s="5" t="str">
        <f>_xlfn.XLOOKUP(role_course_map[[#This Row],[course_id]],course_data[course_id],course_data[title],"")</f>
        <v>Skin Awareness</v>
      </c>
      <c r="E968" s="5" t="str">
        <f>_xlfn.XLOOKUP(role_course_map[[#This Row],[course_id]],course_data[course_id],course_data[topic],"")</f>
        <v>SAS : Health and Safety</v>
      </c>
      <c r="F968" s="5" t="str">
        <f>_xlfn.XLOOKUP(role_course_map[[#This Row],[course_id]],course_data[course_id],course_data[type],"")</f>
        <v>eLearning</v>
      </c>
      <c r="K968" t="str">
        <f>role_course_map[[#This Row],[role_id]] &amp; "|" &amp; role_course_map[[#This Row],[course_id]]</f>
        <v>R0143|999061</v>
      </c>
      <c r="L968" t="str">
        <f>IF(COUNTIF(role_course_map[mapping_key],role_course_map[[#This Row],[mapping_key]])&gt;1,"DUPLICATE","OK")</f>
        <v>OK</v>
      </c>
      <c r="M968" t="str">
        <f>IF(COUNTIF(role_data[role_id],role_course_map[[#This Row],[role_id]])=0, "INVALID","VALID")</f>
        <v>VALID</v>
      </c>
      <c r="N968" t="str">
        <f>IF(COUNTIF(course_data[course_id],role_course_map[[#This Row],[course_id]])=0, "INVALID","VALID")</f>
        <v>VALID</v>
      </c>
    </row>
    <row r="969" spans="1:14" x14ac:dyDescent="0.35">
      <c r="A969" t="s">
        <v>298</v>
      </c>
      <c r="B969" s="5" t="str">
        <f>_xlfn.XLOOKUP(role_course_map[[#This Row],[role_id]], role_data[role_id], role_data[Role],"")</f>
        <v>Neonatal Nurses</v>
      </c>
      <c r="C969">
        <v>999027</v>
      </c>
      <c r="D969" s="5" t="str">
        <f>_xlfn.XLOOKUP(role_course_map[[#This Row],[course_id]],course_data[course_id],course_data[title],"")</f>
        <v>Manual and Patient Handling Foundation Training - Level 2</v>
      </c>
      <c r="E969" s="5" t="str">
        <f>_xlfn.XLOOKUP(role_course_map[[#This Row],[course_id]],course_data[course_id],course_data[topic],"")</f>
        <v>SAS : Clinical Practice</v>
      </c>
      <c r="F969" s="5" t="str">
        <f>_xlfn.XLOOKUP(role_course_map[[#This Row],[course_id]],course_data[course_id],course_data[type],"")</f>
        <v>Course</v>
      </c>
      <c r="K969" t="str">
        <f>role_course_map[[#This Row],[role_id]] &amp; "|" &amp; role_course_map[[#This Row],[course_id]]</f>
        <v>R0143|999027</v>
      </c>
      <c r="L969" t="str">
        <f>IF(COUNTIF(role_course_map[mapping_key],role_course_map[[#This Row],[mapping_key]])&gt;1,"DUPLICATE","OK")</f>
        <v>OK</v>
      </c>
      <c r="M969" t="str">
        <f>IF(COUNTIF(role_data[role_id],role_course_map[[#This Row],[role_id]])=0, "INVALID","VALID")</f>
        <v>VALID</v>
      </c>
      <c r="N969" t="str">
        <f>IF(COUNTIF(course_data[course_id],role_course_map[[#This Row],[course_id]])=0, "INVALID","VALID")</f>
        <v>VALID</v>
      </c>
    </row>
    <row r="970" spans="1:14" x14ac:dyDescent="0.35">
      <c r="A970" t="s">
        <v>298</v>
      </c>
      <c r="B970" s="5" t="str">
        <f>_xlfn.XLOOKUP(role_course_map[[#This Row],[role_id]], role_data[role_id], role_data[Role],"")</f>
        <v>Neonatal Nurses</v>
      </c>
      <c r="C970">
        <v>999028</v>
      </c>
      <c r="D970" s="5" t="str">
        <f>_xlfn.XLOOKUP(role_course_map[[#This Row],[course_id]],course_data[course_id],course_data[title],"")</f>
        <v>Manual and Patient Handling Competency Assessment - Level 3</v>
      </c>
      <c r="E970" s="5" t="str">
        <f>_xlfn.XLOOKUP(role_course_map[[#This Row],[course_id]],course_data[course_id],course_data[topic],"")</f>
        <v>SAS : Clinical Practice</v>
      </c>
      <c r="F970" s="5" t="str">
        <f>_xlfn.XLOOKUP(role_course_map[[#This Row],[course_id]],course_data[course_id],course_data[type],"")</f>
        <v>Course</v>
      </c>
      <c r="K970" t="str">
        <f>role_course_map[[#This Row],[role_id]] &amp; "|" &amp; role_course_map[[#This Row],[course_id]]</f>
        <v>R0143|999028</v>
      </c>
      <c r="L970" t="str">
        <f>IF(COUNTIF(role_course_map[mapping_key],role_course_map[[#This Row],[mapping_key]])&gt;1,"DUPLICATE","OK")</f>
        <v>OK</v>
      </c>
      <c r="M970" t="str">
        <f>IF(COUNTIF(role_data[role_id],role_course_map[[#This Row],[role_id]])=0, "INVALID","VALID")</f>
        <v>VALID</v>
      </c>
      <c r="N970" t="str">
        <f>IF(COUNTIF(course_data[course_id],role_course_map[[#This Row],[course_id]])=0, "INVALID","VALID")</f>
        <v>VALID</v>
      </c>
    </row>
    <row r="971" spans="1:14" x14ac:dyDescent="0.35">
      <c r="A971" t="s">
        <v>298</v>
      </c>
      <c r="B971" s="5" t="str">
        <f>_xlfn.XLOOKUP(role_course_map[[#This Row],[role_id]], role_data[role_id], role_data[Role],"")</f>
        <v>Neonatal Nurses</v>
      </c>
      <c r="C971">
        <v>999029</v>
      </c>
      <c r="D971" s="5" t="str">
        <f>_xlfn.XLOOKUP(role_course_map[[#This Row],[course_id]],course_data[course_id],course_data[title],"")</f>
        <v>Manual and Patient Handling Competency Assessment Theory - Level 3</v>
      </c>
      <c r="E971" s="5" t="str">
        <f>_xlfn.XLOOKUP(role_course_map[[#This Row],[course_id]],course_data[course_id],course_data[topic],"")</f>
        <v>SAS : Clinical Practice</v>
      </c>
      <c r="F971" s="5" t="str">
        <f>_xlfn.XLOOKUP(role_course_map[[#This Row],[course_id]],course_data[course_id],course_data[type],"")</f>
        <v>Course</v>
      </c>
      <c r="K971" t="str">
        <f>role_course_map[[#This Row],[role_id]] &amp; "|" &amp; role_course_map[[#This Row],[course_id]]</f>
        <v>R0143|999029</v>
      </c>
      <c r="L971" t="str">
        <f>IF(COUNTIF(role_course_map[mapping_key],role_course_map[[#This Row],[mapping_key]])&gt;1,"DUPLICATE","OK")</f>
        <v>OK</v>
      </c>
      <c r="M971" t="str">
        <f>IF(COUNTIF(role_data[role_id],role_course_map[[#This Row],[role_id]])=0, "INVALID","VALID")</f>
        <v>VALID</v>
      </c>
      <c r="N971" t="str">
        <f>IF(COUNTIF(course_data[course_id],role_course_map[[#This Row],[course_id]])=0, "INVALID","VALID")</f>
        <v>VALID</v>
      </c>
    </row>
    <row r="972" spans="1:14" x14ac:dyDescent="0.35">
      <c r="A972" t="s">
        <v>298</v>
      </c>
      <c r="B972" s="5" t="str">
        <f>_xlfn.XLOOKUP(role_course_map[[#This Row],[role_id]], role_data[role_id], role_data[Role],"")</f>
        <v>Neonatal Nurses</v>
      </c>
      <c r="C972" t="s">
        <v>659</v>
      </c>
      <c r="D972" s="5" t="str">
        <f>_xlfn.XLOOKUP(role_course_map[[#This Row],[course_id]],course_data[course_id],course_data[title],"")</f>
        <v>Prevention and Management of Violence and Aggression - Breakaway training Level 2 /Restrictive movement Level 3</v>
      </c>
      <c r="E972" s="5" t="str">
        <f>_xlfn.XLOOKUP(role_course_map[[#This Row],[course_id]],course_data[course_id],course_data[topic],"")</f>
        <v>SAS : Health and Safety</v>
      </c>
      <c r="F972" s="5" t="str">
        <f>_xlfn.XLOOKUP(role_course_map[[#This Row],[course_id]],course_data[course_id],course_data[type],"")</f>
        <v>Course</v>
      </c>
      <c r="K972" t="str">
        <f>role_course_map[[#This Row],[role_id]] &amp; "|" &amp; role_course_map[[#This Row],[course_id]]</f>
        <v>R0143|2025-6 edition</v>
      </c>
      <c r="L972" t="str">
        <f>IF(COUNTIF(role_course_map[mapping_key],role_course_map[[#This Row],[mapping_key]])&gt;1,"DUPLICATE","OK")</f>
        <v>OK</v>
      </c>
      <c r="M972" t="str">
        <f>IF(COUNTIF(role_data[role_id],role_course_map[[#This Row],[role_id]])=0, "INVALID","VALID")</f>
        <v>VALID</v>
      </c>
      <c r="N972" t="str">
        <f>IF(COUNTIF(course_data[course_id],role_course_map[[#This Row],[course_id]])=0, "INVALID","VALID")</f>
        <v>VALID</v>
      </c>
    </row>
    <row r="973" spans="1:14" x14ac:dyDescent="0.35">
      <c r="A973" t="s">
        <v>298</v>
      </c>
      <c r="B973" s="5" t="str">
        <f>_xlfn.XLOOKUP(role_course_map[[#This Row],[role_id]], role_data[role_id], role_data[Role],"")</f>
        <v>Neonatal Nurses</v>
      </c>
      <c r="C973">
        <v>999055</v>
      </c>
      <c r="D973" s="5" t="str">
        <f>_xlfn.XLOOKUP(role_course_map[[#This Row],[course_id]],course_data[course_id],course_data[title],"")</f>
        <v>Prevention and Management of Violence and Aggression - Refresher</v>
      </c>
      <c r="E973" s="5" t="str">
        <f>_xlfn.XLOOKUP(role_course_map[[#This Row],[course_id]],course_data[course_id],course_data[topic],"")</f>
        <v>SAS : Health and Safety</v>
      </c>
      <c r="F973" s="5" t="str">
        <f>_xlfn.XLOOKUP(role_course_map[[#This Row],[course_id]],course_data[course_id],course_data[type],"")</f>
        <v>Course</v>
      </c>
      <c r="K973" t="str">
        <f>role_course_map[[#This Row],[role_id]] &amp; "|" &amp; role_course_map[[#This Row],[course_id]]</f>
        <v>R0143|999055</v>
      </c>
      <c r="L973" t="str">
        <f>IF(COUNTIF(role_course_map[mapping_key],role_course_map[[#This Row],[mapping_key]])&gt;1,"DUPLICATE","OK")</f>
        <v>OK</v>
      </c>
      <c r="M973" t="str">
        <f>IF(COUNTIF(role_data[role_id],role_course_map[[#This Row],[role_id]])=0, "INVALID","VALID")</f>
        <v>VALID</v>
      </c>
      <c r="N973" t="str">
        <f>IF(COUNTIF(course_data[course_id],role_course_map[[#This Row],[course_id]])=0, "INVALID","VALID")</f>
        <v>VALID</v>
      </c>
    </row>
    <row r="974" spans="1:14" x14ac:dyDescent="0.35">
      <c r="A974" t="s">
        <v>298</v>
      </c>
      <c r="B974" s="5" t="str">
        <f>_xlfn.XLOOKUP(role_course_map[[#This Row],[role_id]], role_data[role_id], role_data[Role],"")</f>
        <v>Neonatal Nurses</v>
      </c>
      <c r="C974">
        <v>64322</v>
      </c>
      <c r="D974" s="5" t="str">
        <f>_xlfn.XLOOKUP(role_course_map[[#This Row],[course_id]],course_data[course_id],course_data[title],"")</f>
        <v>Adult support and protection: practice level 2 [skilled]</v>
      </c>
      <c r="E974" s="5" t="str">
        <f>_xlfn.XLOOKUP(role_course_map[[#This Row],[course_id]],course_data[course_id],course_data[topic],"")</f>
        <v>SAS : Public Protection</v>
      </c>
      <c r="F974" s="5" t="str">
        <f>_xlfn.XLOOKUP(role_course_map[[#This Row],[course_id]],course_data[course_id],course_data[type],"")</f>
        <v>eLearning</v>
      </c>
      <c r="K974" t="str">
        <f>role_course_map[[#This Row],[role_id]] &amp; "|" &amp; role_course_map[[#This Row],[course_id]]</f>
        <v>R0143|64322</v>
      </c>
      <c r="L974" t="str">
        <f>IF(COUNTIF(role_course_map[mapping_key],role_course_map[[#This Row],[mapping_key]])&gt;1,"DUPLICATE","OK")</f>
        <v>OK</v>
      </c>
      <c r="M974" t="str">
        <f>IF(COUNTIF(role_data[role_id],role_course_map[[#This Row],[role_id]])=0, "INVALID","VALID")</f>
        <v>VALID</v>
      </c>
      <c r="N974" t="str">
        <f>IF(COUNTIF(course_data[course_id],role_course_map[[#This Row],[course_id]])=0, "INVALID","VALID")</f>
        <v>VALID</v>
      </c>
    </row>
    <row r="975" spans="1:14" x14ac:dyDescent="0.35">
      <c r="A975" t="s">
        <v>298</v>
      </c>
      <c r="B975" s="5" t="str">
        <f>_xlfn.XLOOKUP(role_course_map[[#This Row],[role_id]], role_data[role_id], role_data[Role],"")</f>
        <v>Neonatal Nurses</v>
      </c>
      <c r="C975">
        <v>64324</v>
      </c>
      <c r="D975" s="5" t="str">
        <f>_xlfn.XLOOKUP(role_course_map[[#This Row],[course_id]],course_data[course_id],course_data[title],"")</f>
        <v>Child protection: practice level 2 [skilled]</v>
      </c>
      <c r="E975" s="5" t="str">
        <f>_xlfn.XLOOKUP(role_course_map[[#This Row],[course_id]],course_data[course_id],course_data[topic],"")</f>
        <v>SAS : Public Protection</v>
      </c>
      <c r="F975" s="5" t="str">
        <f>_xlfn.XLOOKUP(role_course_map[[#This Row],[course_id]],course_data[course_id],course_data[type],"")</f>
        <v>eLearning</v>
      </c>
      <c r="K975" t="str">
        <f>role_course_map[[#This Row],[role_id]] &amp; "|" &amp; role_course_map[[#This Row],[course_id]]</f>
        <v>R0143|64324</v>
      </c>
      <c r="L975" t="str">
        <f>IF(COUNTIF(role_course_map[mapping_key],role_course_map[[#This Row],[mapping_key]])&gt;1,"DUPLICATE","OK")</f>
        <v>OK</v>
      </c>
      <c r="M975" t="str">
        <f>IF(COUNTIF(role_data[role_id],role_course_map[[#This Row],[role_id]])=0, "INVALID","VALID")</f>
        <v>VALID</v>
      </c>
      <c r="N975" t="str">
        <f>IF(COUNTIF(course_data[course_id],role_course_map[[#This Row],[course_id]])=0, "INVALID","VALID")</f>
        <v>VALID</v>
      </c>
    </row>
    <row r="976" spans="1:14" x14ac:dyDescent="0.35">
      <c r="A976" t="s">
        <v>298</v>
      </c>
      <c r="B976" s="5" t="str">
        <f>_xlfn.XLOOKUP(role_course_map[[#This Row],[role_id]], role_data[role_id], role_data[Role],"")</f>
        <v>Neonatal Nurses</v>
      </c>
      <c r="C976">
        <v>79666</v>
      </c>
      <c r="D976" s="5" t="str">
        <f>_xlfn.XLOOKUP(role_course_map[[#This Row],[course_id]],course_data[course_id],course_data[title],"")</f>
        <v>Getting it right for every child (GIRFEC): informed level</v>
      </c>
      <c r="E976" s="5" t="str">
        <f>_xlfn.XLOOKUP(role_course_map[[#This Row],[course_id]],course_data[course_id],course_data[topic],"")</f>
        <v>SAS : Public Protection</v>
      </c>
      <c r="F976" s="5" t="str">
        <f>_xlfn.XLOOKUP(role_course_map[[#This Row],[course_id]],course_data[course_id],course_data[type],"")</f>
        <v>eLearning</v>
      </c>
      <c r="K976" t="str">
        <f>role_course_map[[#This Row],[role_id]] &amp; "|" &amp; role_course_map[[#This Row],[course_id]]</f>
        <v>R0143|79666</v>
      </c>
      <c r="L976" t="str">
        <f>IF(COUNTIF(role_course_map[mapping_key],role_course_map[[#This Row],[mapping_key]])&gt;1,"DUPLICATE","OK")</f>
        <v>OK</v>
      </c>
      <c r="M976" t="str">
        <f>IF(COUNTIF(role_data[role_id],role_course_map[[#This Row],[role_id]])=0, "INVALID","VALID")</f>
        <v>VALID</v>
      </c>
      <c r="N976" t="str">
        <f>IF(COUNTIF(course_data[course_id],role_course_map[[#This Row],[course_id]])=0, "INVALID","VALID")</f>
        <v>VALID</v>
      </c>
    </row>
    <row r="977" spans="1:14" x14ac:dyDescent="0.35">
      <c r="A977" t="s">
        <v>298</v>
      </c>
      <c r="B977" s="5" t="str">
        <f>_xlfn.XLOOKUP(role_course_map[[#This Row],[role_id]], role_data[role_id], role_data[Role],"")</f>
        <v>Neonatal Nurses</v>
      </c>
      <c r="C977">
        <v>999074</v>
      </c>
      <c r="D977" s="5" t="str">
        <f>_xlfn.XLOOKUP(role_course_map[[#This Row],[course_id]],course_data[course_id],course_data[title],"")</f>
        <v>SAS-specific Children’s rights</v>
      </c>
      <c r="E977" s="5" t="str">
        <f>_xlfn.XLOOKUP(role_course_map[[#This Row],[course_id]],course_data[course_id],course_data[topic],"")</f>
        <v>SAS : Public Protection</v>
      </c>
      <c r="F977" s="5" t="str">
        <f>_xlfn.XLOOKUP(role_course_map[[#This Row],[course_id]],course_data[course_id],course_data[type],"")</f>
        <v>eLearning</v>
      </c>
      <c r="K977" t="str">
        <f>role_course_map[[#This Row],[role_id]] &amp; "|" &amp; role_course_map[[#This Row],[course_id]]</f>
        <v>R0143|999074</v>
      </c>
      <c r="L977" t="str">
        <f>IF(COUNTIF(role_course_map[mapping_key],role_course_map[[#This Row],[mapping_key]])&gt;1,"DUPLICATE","OK")</f>
        <v>OK</v>
      </c>
      <c r="M977" t="str">
        <f>IF(COUNTIF(role_data[role_id],role_course_map[[#This Row],[role_id]])=0, "INVALID","VALID")</f>
        <v>VALID</v>
      </c>
      <c r="N977" t="str">
        <f>IF(COUNTIF(course_data[course_id],role_course_map[[#This Row],[course_id]])=0, "INVALID","VALID")</f>
        <v>VALID</v>
      </c>
    </row>
    <row r="978" spans="1:14" x14ac:dyDescent="0.35">
      <c r="A978" t="s">
        <v>298</v>
      </c>
      <c r="B978" s="5" t="str">
        <f>_xlfn.XLOOKUP(role_course_map[[#This Row],[role_id]], role_data[role_id], role_data[Role],"")</f>
        <v>Neonatal Nurses</v>
      </c>
      <c r="C978">
        <v>999075</v>
      </c>
      <c r="D978" s="5" t="str">
        <f>_xlfn.XLOOKUP(role_course_map[[#This Row],[course_id]],course_data[course_id],course_data[title],"")</f>
        <v>Multiagency local or bespoke Level 3 delivery training</v>
      </c>
      <c r="E978" s="5" t="str">
        <f>_xlfn.XLOOKUP(role_course_map[[#This Row],[course_id]],course_data[course_id],course_data[topic],"")</f>
        <v>SAS : Public Protection</v>
      </c>
      <c r="F978" s="5" t="str">
        <f>_xlfn.XLOOKUP(role_course_map[[#This Row],[course_id]],course_data[course_id],course_data[type],"")</f>
        <v>eLearning</v>
      </c>
      <c r="K978" t="str">
        <f>role_course_map[[#This Row],[role_id]] &amp; "|" &amp; role_course_map[[#This Row],[course_id]]</f>
        <v>R0143|999075</v>
      </c>
      <c r="L978" t="str">
        <f>IF(COUNTIF(role_course_map[mapping_key],role_course_map[[#This Row],[mapping_key]])&gt;1,"DUPLICATE","OK")</f>
        <v>OK</v>
      </c>
      <c r="M978" t="str">
        <f>IF(COUNTIF(role_data[role_id],role_course_map[[#This Row],[role_id]])=0, "INVALID","VALID")</f>
        <v>VALID</v>
      </c>
      <c r="N978" t="str">
        <f>IF(COUNTIF(course_data[course_id],role_course_map[[#This Row],[course_id]])=0, "INVALID","VALID")</f>
        <v>VALID</v>
      </c>
    </row>
    <row r="979" spans="1:14" x14ac:dyDescent="0.35">
      <c r="A979" t="s">
        <v>298</v>
      </c>
      <c r="B979" s="5" t="str">
        <f>_xlfn.XLOOKUP(role_course_map[[#This Row],[role_id]], role_data[role_id], role_data[Role],"")</f>
        <v>Neonatal Nurses</v>
      </c>
      <c r="C979">
        <v>15249</v>
      </c>
      <c r="D979" s="5" t="str">
        <f>_xlfn.XLOOKUP(role_course_map[[#This Row],[course_id]],course_data[course_id],course_data[title],"")</f>
        <v>Human trafficking</v>
      </c>
      <c r="E979" s="5" t="str">
        <f>_xlfn.XLOOKUP(role_course_map[[#This Row],[course_id]],course_data[course_id],course_data[topic],"")</f>
        <v>SAS : Public Protection</v>
      </c>
      <c r="F979" s="5" t="str">
        <f>_xlfn.XLOOKUP(role_course_map[[#This Row],[course_id]],course_data[course_id],course_data[type],"")</f>
        <v>eLearning</v>
      </c>
      <c r="K979" t="str">
        <f>role_course_map[[#This Row],[role_id]] &amp; "|" &amp; role_course_map[[#This Row],[course_id]]</f>
        <v>R0143|15249</v>
      </c>
      <c r="L979" t="str">
        <f>IF(COUNTIF(role_course_map[mapping_key],role_course_map[[#This Row],[mapping_key]])&gt;1,"DUPLICATE","OK")</f>
        <v>OK</v>
      </c>
      <c r="M979" t="str">
        <f>IF(COUNTIF(role_data[role_id],role_course_map[[#This Row],[role_id]])=0, "INVALID","VALID")</f>
        <v>VALID</v>
      </c>
      <c r="N979" t="str">
        <f>IF(COUNTIF(course_data[course_id],role_course_map[[#This Row],[course_id]])=0, "INVALID","VALID")</f>
        <v>VALID</v>
      </c>
    </row>
    <row r="980" spans="1:14" x14ac:dyDescent="0.35">
      <c r="A980" t="s">
        <v>298</v>
      </c>
      <c r="B980" s="5" t="str">
        <f>_xlfn.XLOOKUP(role_course_map[[#This Row],[role_id]], role_data[role_id], role_data[Role],"")</f>
        <v>Neonatal Nurses</v>
      </c>
      <c r="C980">
        <v>89161</v>
      </c>
      <c r="D980" s="5" t="str">
        <f>_xlfn.XLOOKUP(role_course_map[[#This Row],[course_id]],course_data[course_id],course_data[title],"")</f>
        <v>Personal Protective Equipment</v>
      </c>
      <c r="E980" s="5" t="str">
        <f>_xlfn.XLOOKUP(role_course_map[[#This Row],[course_id]],course_data[course_id],course_data[topic],"")</f>
        <v>SAS : Infection Prevention and Control (IPC)</v>
      </c>
      <c r="F980" s="5" t="str">
        <f>_xlfn.XLOOKUP(role_course_map[[#This Row],[course_id]],course_data[course_id],course_data[type],"")</f>
        <v>eLearning</v>
      </c>
      <c r="K980" t="str">
        <f>role_course_map[[#This Row],[role_id]] &amp; "|" &amp; role_course_map[[#This Row],[course_id]]</f>
        <v>R0143|89161</v>
      </c>
      <c r="L980" t="str">
        <f>IF(COUNTIF(role_course_map[mapping_key],role_course_map[[#This Row],[mapping_key]])&gt;1,"DUPLICATE","OK")</f>
        <v>OK</v>
      </c>
      <c r="M980" t="str">
        <f>IF(COUNTIF(role_data[role_id],role_course_map[[#This Row],[role_id]])=0, "INVALID","VALID")</f>
        <v>VALID</v>
      </c>
      <c r="N980" t="str">
        <f>IF(COUNTIF(course_data[course_id],role_course_map[[#This Row],[course_id]])=0, "INVALID","VALID")</f>
        <v>VALID</v>
      </c>
    </row>
    <row r="981" spans="1:14" x14ac:dyDescent="0.35">
      <c r="A981" t="s">
        <v>298</v>
      </c>
      <c r="B981" s="5" t="str">
        <f>_xlfn.XLOOKUP(role_course_map[[#This Row],[role_id]], role_data[role_id], role_data[Role],"")</f>
        <v>Neonatal Nurses</v>
      </c>
      <c r="C981">
        <v>89157</v>
      </c>
      <c r="D981" s="5" t="str">
        <f>_xlfn.XLOOKUP(role_course_map[[#This Row],[course_id]],course_data[course_id],course_data[title],"")</f>
        <v>Safe Management of Care Equipment</v>
      </c>
      <c r="E981" s="5" t="str">
        <f>_xlfn.XLOOKUP(role_course_map[[#This Row],[course_id]],course_data[course_id],course_data[topic],"")</f>
        <v>SAS : Infection Prevention and Control (IPC)</v>
      </c>
      <c r="F981" s="5" t="str">
        <f>_xlfn.XLOOKUP(role_course_map[[#This Row],[course_id]],course_data[course_id],course_data[type],"")</f>
        <v>eLearning</v>
      </c>
      <c r="K981" t="str">
        <f>role_course_map[[#This Row],[role_id]] &amp; "|" &amp; role_course_map[[#This Row],[course_id]]</f>
        <v>R0143|89157</v>
      </c>
      <c r="L981" t="str">
        <f>IF(COUNTIF(role_course_map[mapping_key],role_course_map[[#This Row],[mapping_key]])&gt;1,"DUPLICATE","OK")</f>
        <v>OK</v>
      </c>
      <c r="M981" t="str">
        <f>IF(COUNTIF(role_data[role_id],role_course_map[[#This Row],[role_id]])=0, "INVALID","VALID")</f>
        <v>VALID</v>
      </c>
      <c r="N981" t="str">
        <f>IF(COUNTIF(course_data[course_id],role_course_map[[#This Row],[course_id]])=0, "INVALID","VALID")</f>
        <v>VALID</v>
      </c>
    </row>
    <row r="982" spans="1:14" x14ac:dyDescent="0.35">
      <c r="A982" t="s">
        <v>298</v>
      </c>
      <c r="B982" s="5" t="str">
        <f>_xlfn.XLOOKUP(role_course_map[[#This Row],[role_id]], role_data[role_id], role_data[Role],"")</f>
        <v>Neonatal Nurses</v>
      </c>
      <c r="C982">
        <v>89158</v>
      </c>
      <c r="D982" s="5" t="str">
        <f>_xlfn.XLOOKUP(role_course_map[[#This Row],[course_id]],course_data[course_id],course_data[title],"")</f>
        <v>Safe Management of Care Environment</v>
      </c>
      <c r="E982" s="5" t="str">
        <f>_xlfn.XLOOKUP(role_course_map[[#This Row],[course_id]],course_data[course_id],course_data[topic],"")</f>
        <v>SAS : Infection Prevention and Control (IPC)</v>
      </c>
      <c r="F982" s="5" t="str">
        <f>_xlfn.XLOOKUP(role_course_map[[#This Row],[course_id]],course_data[course_id],course_data[type],"")</f>
        <v>eLearning</v>
      </c>
      <c r="K982" t="str">
        <f>role_course_map[[#This Row],[role_id]] &amp; "|" &amp; role_course_map[[#This Row],[course_id]]</f>
        <v>R0143|89158</v>
      </c>
      <c r="L982" t="str">
        <f>IF(COUNTIF(role_course_map[mapping_key],role_course_map[[#This Row],[mapping_key]])&gt;1,"DUPLICATE","OK")</f>
        <v>OK</v>
      </c>
      <c r="M982" t="str">
        <f>IF(COUNTIF(role_data[role_id],role_course_map[[#This Row],[role_id]])=0, "INVALID","VALID")</f>
        <v>VALID</v>
      </c>
      <c r="N982" t="str">
        <f>IF(COUNTIF(course_data[course_id],role_course_map[[#This Row],[course_id]])=0, "INVALID","VALID")</f>
        <v>VALID</v>
      </c>
    </row>
    <row r="983" spans="1:14" x14ac:dyDescent="0.35">
      <c r="A983" t="s">
        <v>298</v>
      </c>
      <c r="B983" s="5" t="str">
        <f>_xlfn.XLOOKUP(role_course_map[[#This Row],[role_id]], role_data[role_id], role_data[Role],"")</f>
        <v>Neonatal Nurses</v>
      </c>
      <c r="C983">
        <v>89159</v>
      </c>
      <c r="D983" s="5" t="str">
        <f>_xlfn.XLOOKUP(role_course_map[[#This Row],[course_id]],course_data[course_id],course_data[title],"")</f>
        <v>Safe Management of Linen</v>
      </c>
      <c r="E983" s="5" t="str">
        <f>_xlfn.XLOOKUP(role_course_map[[#This Row],[course_id]],course_data[course_id],course_data[topic],"")</f>
        <v>SAS : Infection Prevention and Control (IPC)</v>
      </c>
      <c r="F983" s="5" t="str">
        <f>_xlfn.XLOOKUP(role_course_map[[#This Row],[course_id]],course_data[course_id],course_data[type],"")</f>
        <v>eLearning</v>
      </c>
      <c r="K983" t="str">
        <f>role_course_map[[#This Row],[role_id]] &amp; "|" &amp; role_course_map[[#This Row],[course_id]]</f>
        <v>R0143|89159</v>
      </c>
      <c r="L983" t="str">
        <f>IF(COUNTIF(role_course_map[mapping_key],role_course_map[[#This Row],[mapping_key]])&gt;1,"DUPLICATE","OK")</f>
        <v>OK</v>
      </c>
      <c r="M983" t="str">
        <f>IF(COUNTIF(role_data[role_id],role_course_map[[#This Row],[role_id]])=0, "INVALID","VALID")</f>
        <v>VALID</v>
      </c>
      <c r="N983" t="str">
        <f>IF(COUNTIF(course_data[course_id],role_course_map[[#This Row],[course_id]])=0, "INVALID","VALID")</f>
        <v>VALID</v>
      </c>
    </row>
    <row r="984" spans="1:14" x14ac:dyDescent="0.35">
      <c r="A984" t="s">
        <v>298</v>
      </c>
      <c r="B984" s="5" t="str">
        <f>_xlfn.XLOOKUP(role_course_map[[#This Row],[role_id]], role_data[role_id], role_data[Role],"")</f>
        <v>Neonatal Nurses</v>
      </c>
      <c r="C984">
        <v>89160</v>
      </c>
      <c r="D984" s="5" t="str">
        <f>_xlfn.XLOOKUP(role_course_map[[#This Row],[course_id]],course_data[course_id],course_data[title],"")</f>
        <v>Safe Management of blood and body fluids</v>
      </c>
      <c r="E984" s="5" t="str">
        <f>_xlfn.XLOOKUP(role_course_map[[#This Row],[course_id]],course_data[course_id],course_data[topic],"")</f>
        <v>SAS : Infection Prevention and Control (IPC)</v>
      </c>
      <c r="F984" s="5" t="str">
        <f>_xlfn.XLOOKUP(role_course_map[[#This Row],[course_id]],course_data[course_id],course_data[type],"")</f>
        <v>eLearning</v>
      </c>
      <c r="K984" t="str">
        <f>role_course_map[[#This Row],[role_id]] &amp; "|" &amp; role_course_map[[#This Row],[course_id]]</f>
        <v>R0143|89160</v>
      </c>
      <c r="L984" t="str">
        <f>IF(COUNTIF(role_course_map[mapping_key],role_course_map[[#This Row],[mapping_key]])&gt;1,"DUPLICATE","OK")</f>
        <v>OK</v>
      </c>
      <c r="M984" t="str">
        <f>IF(COUNTIF(role_data[role_id],role_course_map[[#This Row],[role_id]])=0, "INVALID","VALID")</f>
        <v>VALID</v>
      </c>
      <c r="N984" t="str">
        <f>IF(COUNTIF(course_data[course_id],role_course_map[[#This Row],[course_id]])=0, "INVALID","VALID")</f>
        <v>VALID</v>
      </c>
    </row>
    <row r="985" spans="1:14" x14ac:dyDescent="0.35">
      <c r="A985" t="s">
        <v>298</v>
      </c>
      <c r="B985" s="5" t="str">
        <f>_xlfn.XLOOKUP(role_course_map[[#This Row],[role_id]], role_data[role_id], role_data[Role],"")</f>
        <v>Neonatal Nurses</v>
      </c>
      <c r="C985">
        <v>89154</v>
      </c>
      <c r="D985" s="5" t="str">
        <f>_xlfn.XLOOKUP(role_course_map[[#This Row],[course_id]],course_data[course_id],course_data[title],"")</f>
        <v>Safe disposal of waste</v>
      </c>
      <c r="E985" s="5" t="str">
        <f>_xlfn.XLOOKUP(role_course_map[[#This Row],[course_id]],course_data[course_id],course_data[topic],"")</f>
        <v>SAS : Infection Prevention and Control (IPC)</v>
      </c>
      <c r="F985" s="5" t="str">
        <f>_xlfn.XLOOKUP(role_course_map[[#This Row],[course_id]],course_data[course_id],course_data[type],"")</f>
        <v>eLearning</v>
      </c>
      <c r="K985" t="str">
        <f>role_course_map[[#This Row],[role_id]] &amp; "|" &amp; role_course_map[[#This Row],[course_id]]</f>
        <v>R0143|89154</v>
      </c>
      <c r="L985" t="str">
        <f>IF(COUNTIF(role_course_map[mapping_key],role_course_map[[#This Row],[mapping_key]])&gt;1,"DUPLICATE","OK")</f>
        <v>OK</v>
      </c>
      <c r="M985" t="str">
        <f>IF(COUNTIF(role_data[role_id],role_course_map[[#This Row],[role_id]])=0, "INVALID","VALID")</f>
        <v>VALID</v>
      </c>
      <c r="N985" t="str">
        <f>IF(COUNTIF(course_data[course_id],role_course_map[[#This Row],[course_id]])=0, "INVALID","VALID")</f>
        <v>VALID</v>
      </c>
    </row>
    <row r="986" spans="1:14" x14ac:dyDescent="0.35">
      <c r="A986" t="s">
        <v>298</v>
      </c>
      <c r="B986" s="5" t="str">
        <f>_xlfn.XLOOKUP(role_course_map[[#This Row],[role_id]], role_data[role_id], role_data[Role],"")</f>
        <v>Neonatal Nurses</v>
      </c>
      <c r="C986">
        <v>89155</v>
      </c>
      <c r="D986" s="5" t="str">
        <f>_xlfn.XLOOKUP(role_course_map[[#This Row],[course_id]],course_data[course_id],course_data[title],"")</f>
        <v>Prevention &amp; management of occupational exposure</v>
      </c>
      <c r="E986" s="5" t="str">
        <f>_xlfn.XLOOKUP(role_course_map[[#This Row],[course_id]],course_data[course_id],course_data[topic],"")</f>
        <v>SAS : Infection Prevention and Control (IPC)</v>
      </c>
      <c r="F986" s="5" t="str">
        <f>_xlfn.XLOOKUP(role_course_map[[#This Row],[course_id]],course_data[course_id],course_data[type],"")</f>
        <v>eLearning</v>
      </c>
      <c r="K986" t="str">
        <f>role_course_map[[#This Row],[role_id]] &amp; "|" &amp; role_course_map[[#This Row],[course_id]]</f>
        <v>R0143|89155</v>
      </c>
      <c r="L986" t="str">
        <f>IF(COUNTIF(role_course_map[mapping_key],role_course_map[[#This Row],[mapping_key]])&gt;1,"DUPLICATE","OK")</f>
        <v>OK</v>
      </c>
      <c r="M986" t="str">
        <f>IF(COUNTIF(role_data[role_id],role_course_map[[#This Row],[role_id]])=0, "INVALID","VALID")</f>
        <v>VALID</v>
      </c>
      <c r="N986" t="str">
        <f>IF(COUNTIF(course_data[course_id],role_course_map[[#This Row],[course_id]])=0, "INVALID","VALID")</f>
        <v>VALID</v>
      </c>
    </row>
    <row r="987" spans="1:14" x14ac:dyDescent="0.35">
      <c r="A987" t="s">
        <v>298</v>
      </c>
      <c r="B987" s="5" t="str">
        <f>_xlfn.XLOOKUP(role_course_map[[#This Row],[role_id]], role_data[role_id], role_data[Role],"")</f>
        <v>Neonatal Nurses</v>
      </c>
      <c r="C987">
        <v>999064</v>
      </c>
      <c r="D987" s="5" t="str">
        <f>_xlfn.XLOOKUP(role_course_map[[#This Row],[course_id]],course_data[course_id],course_data[title],"")</f>
        <v>Infection prevention and control: Clostridioides difficile infection</v>
      </c>
      <c r="E987" s="5" t="str">
        <f>_xlfn.XLOOKUP(role_course_map[[#This Row],[course_id]],course_data[course_id],course_data[topic],"")</f>
        <v>SAS : Infection Prevention and Control (IPC)</v>
      </c>
      <c r="F987" s="5" t="str">
        <f>_xlfn.XLOOKUP(role_course_map[[#This Row],[course_id]],course_data[course_id],course_data[type],"")</f>
        <v>eLearning</v>
      </c>
      <c r="K987" t="str">
        <f>role_course_map[[#This Row],[role_id]] &amp; "|" &amp; role_course_map[[#This Row],[course_id]]</f>
        <v>R0143|999064</v>
      </c>
      <c r="L987" t="str">
        <f>IF(COUNTIF(role_course_map[mapping_key],role_course_map[[#This Row],[mapping_key]])&gt;1,"DUPLICATE","OK")</f>
        <v>OK</v>
      </c>
      <c r="M987" t="str">
        <f>IF(COUNTIF(role_data[role_id],role_course_map[[#This Row],[role_id]])=0, "INVALID","VALID")</f>
        <v>VALID</v>
      </c>
      <c r="N987" t="str">
        <f>IF(COUNTIF(course_data[course_id],role_course_map[[#This Row],[course_id]])=0, "INVALID","VALID")</f>
        <v>VALID</v>
      </c>
    </row>
    <row r="988" spans="1:14" x14ac:dyDescent="0.35">
      <c r="A988" t="s">
        <v>298</v>
      </c>
      <c r="B988" s="5" t="str">
        <f>_xlfn.XLOOKUP(role_course_map[[#This Row],[role_id]], role_data[role_id], role_data[Role],"")</f>
        <v>Neonatal Nurses</v>
      </c>
      <c r="C988">
        <v>3886</v>
      </c>
      <c r="D988" s="5" t="str">
        <f>_xlfn.XLOOKUP(role_course_map[[#This Row],[course_id]],course_data[course_id],course_data[title],"")</f>
        <v>Prevention and management of pressure ulcers</v>
      </c>
      <c r="E988" s="5" t="str">
        <f>_xlfn.XLOOKUP(role_course_map[[#This Row],[course_id]],course_data[course_id],course_data[topic],"")</f>
        <v>SAS : Clinical Practice</v>
      </c>
      <c r="F988" s="5" t="str">
        <f>_xlfn.XLOOKUP(role_course_map[[#This Row],[course_id]],course_data[course_id],course_data[type],"")</f>
        <v>Page</v>
      </c>
      <c r="K988" t="str">
        <f>role_course_map[[#This Row],[role_id]] &amp; "|" &amp; role_course_map[[#This Row],[course_id]]</f>
        <v>R0143|3886</v>
      </c>
      <c r="L988" t="str">
        <f>IF(COUNTIF(role_course_map[mapping_key],role_course_map[[#This Row],[mapping_key]])&gt;1,"DUPLICATE","OK")</f>
        <v>OK</v>
      </c>
      <c r="M988" t="str">
        <f>IF(COUNTIF(role_data[role_id],role_course_map[[#This Row],[role_id]])=0, "INVALID","VALID")</f>
        <v>VALID</v>
      </c>
      <c r="N988" t="str">
        <f>IF(COUNTIF(course_data[course_id],role_course_map[[#This Row],[course_id]])=0, "INVALID","VALID")</f>
        <v>VALID</v>
      </c>
    </row>
    <row r="989" spans="1:14" x14ac:dyDescent="0.35">
      <c r="A989" t="s">
        <v>298</v>
      </c>
      <c r="B989" s="5" t="str">
        <f>_xlfn.XLOOKUP(role_course_map[[#This Row],[role_id]], role_data[role_id], role_data[Role],"")</f>
        <v>Neonatal Nurses</v>
      </c>
      <c r="C989">
        <v>999077</v>
      </c>
      <c r="D989" s="5" t="str">
        <f>_xlfn.XLOOKUP(role_course_map[[#This Row],[course_id]],course_data[course_id],course_data[title],"")</f>
        <v>ScotSTAR: Role specific Orientation &amp; Induction</v>
      </c>
      <c r="E989" s="5" t="str">
        <f>_xlfn.XLOOKUP(role_course_map[[#This Row],[course_id]],course_data[course_id],course_data[topic],"")</f>
        <v>SAS : ScotSTAR</v>
      </c>
      <c r="F989" s="5" t="str">
        <f>_xlfn.XLOOKUP(role_course_map[[#This Row],[course_id]],course_data[course_id],course_data[type],"")</f>
        <v>Course</v>
      </c>
      <c r="K989" t="str">
        <f>role_course_map[[#This Row],[role_id]] &amp; "|" &amp; role_course_map[[#This Row],[course_id]]</f>
        <v>R0143|999077</v>
      </c>
      <c r="L989" t="str">
        <f>IF(COUNTIF(role_course_map[mapping_key],role_course_map[[#This Row],[mapping_key]])&gt;1,"DUPLICATE","OK")</f>
        <v>OK</v>
      </c>
      <c r="M989" t="str">
        <f>IF(COUNTIF(role_data[role_id],role_course_map[[#This Row],[role_id]])=0, "INVALID","VALID")</f>
        <v>VALID</v>
      </c>
      <c r="N989" t="str">
        <f>IF(COUNTIF(course_data[course_id],role_course_map[[#This Row],[course_id]])=0, "INVALID","VALID")</f>
        <v>VALID</v>
      </c>
    </row>
    <row r="990" spans="1:14" x14ac:dyDescent="0.35">
      <c r="A990" t="s">
        <v>294</v>
      </c>
      <c r="B990" s="5" t="str">
        <f>_xlfn.XLOOKUP(role_course_map[[#This Row],[role_id]], role_data[role_id], role_data[Role],"")</f>
        <v>Neonatal Fellow</v>
      </c>
      <c r="C990">
        <v>999080</v>
      </c>
      <c r="D990" s="5" t="str">
        <f>_xlfn.XLOOKUP(role_course_map[[#This Row],[course_id]],course_data[course_id],course_data[title],"")</f>
        <v>HUET (on line)</v>
      </c>
      <c r="E990" s="5" t="str">
        <f>_xlfn.XLOOKUP(role_course_map[[#This Row],[course_id]],course_data[course_id],course_data[topic],"")</f>
        <v>SAS : ScotSTAR</v>
      </c>
      <c r="F990" s="5" t="str">
        <f>_xlfn.XLOOKUP(role_course_map[[#This Row],[course_id]],course_data[course_id],course_data[type],"")</f>
        <v>eLearning</v>
      </c>
      <c r="K990" t="str">
        <f>role_course_map[[#This Row],[role_id]] &amp; "|" &amp; role_course_map[[#This Row],[course_id]]</f>
        <v>R0141|999080</v>
      </c>
      <c r="L990" t="str">
        <f>IF(COUNTIF(role_course_map[mapping_key],role_course_map[[#This Row],[mapping_key]])&gt;1,"DUPLICATE","OK")</f>
        <v>OK</v>
      </c>
      <c r="M990" t="str">
        <f>IF(COUNTIF(role_data[role_id],role_course_map[[#This Row],[role_id]])=0, "INVALID","VALID")</f>
        <v>VALID</v>
      </c>
      <c r="N990" t="str">
        <f>IF(COUNTIF(course_data[course_id],role_course_map[[#This Row],[course_id]])=0, "INVALID","VALID")</f>
        <v>VALID</v>
      </c>
    </row>
    <row r="991" spans="1:14" x14ac:dyDescent="0.35">
      <c r="A991" t="s">
        <v>300</v>
      </c>
      <c r="B991" s="5" t="str">
        <f>_xlfn.XLOOKUP(role_course_map[[#This Row],[role_id]], role_data[role_id], role_data[Role],"")</f>
        <v>Neonatal Transport Nurse</v>
      </c>
      <c r="C991">
        <v>999009</v>
      </c>
      <c r="D991" s="5" t="str">
        <f>_xlfn.XLOOKUP(role_course_map[[#This Row],[course_id]],course_data[course_id],course_data[title],"")</f>
        <v>Life Support</v>
      </c>
      <c r="E991" s="5" t="str">
        <f>_xlfn.XLOOKUP(role_course_map[[#This Row],[course_id]],course_data[course_id],course_data[topic],"")</f>
        <v>SAS : Clinical Practice</v>
      </c>
      <c r="F991" s="5" t="str">
        <f>_xlfn.XLOOKUP(role_course_map[[#This Row],[course_id]],course_data[course_id],course_data[type],"")</f>
        <v>Course</v>
      </c>
      <c r="K991" t="str">
        <f>role_course_map[[#This Row],[role_id]] &amp; "|" &amp; role_course_map[[#This Row],[course_id]]</f>
        <v>R0144|999009</v>
      </c>
      <c r="L991" t="str">
        <f>IF(COUNTIF(role_course_map[mapping_key],role_course_map[[#This Row],[mapping_key]])&gt;1,"DUPLICATE","OK")</f>
        <v>OK</v>
      </c>
      <c r="M991" t="str">
        <f>IF(COUNTIF(role_data[role_id],role_course_map[[#This Row],[role_id]])=0, "INVALID","VALID")</f>
        <v>VALID</v>
      </c>
      <c r="N991" t="str">
        <f>IF(COUNTIF(course_data[course_id],role_course_map[[#This Row],[course_id]])=0, "INVALID","VALID")</f>
        <v>VALID</v>
      </c>
    </row>
    <row r="992" spans="1:14" x14ac:dyDescent="0.35">
      <c r="A992" t="s">
        <v>300</v>
      </c>
      <c r="B992" s="5" t="str">
        <f>_xlfn.XLOOKUP(role_course_map[[#This Row],[role_id]], role_data[role_id], role_data[Role],"")</f>
        <v>Neonatal Transport Nurse</v>
      </c>
      <c r="C992">
        <v>999007</v>
      </c>
      <c r="D992" s="5" t="str">
        <f>_xlfn.XLOOKUP(role_course_map[[#This Row],[course_id]],course_data[course_id],course_data[title],"")</f>
        <v>Obstetrics</v>
      </c>
      <c r="E992" s="5" t="str">
        <f>_xlfn.XLOOKUP(role_course_map[[#This Row],[course_id]],course_data[course_id],course_data[topic],"")</f>
        <v>SAS : Clinical Practice</v>
      </c>
      <c r="F992" s="5" t="str">
        <f>_xlfn.XLOOKUP(role_course_map[[#This Row],[course_id]],course_data[course_id],course_data[type],"")</f>
        <v>Course</v>
      </c>
      <c r="K992" t="str">
        <f>role_course_map[[#This Row],[role_id]] &amp; "|" &amp; role_course_map[[#This Row],[course_id]]</f>
        <v>R0144|999007</v>
      </c>
      <c r="L992" t="str">
        <f>IF(COUNTIF(role_course_map[mapping_key],role_course_map[[#This Row],[mapping_key]])&gt;1,"DUPLICATE","OK")</f>
        <v>OK</v>
      </c>
      <c r="M992" t="str">
        <f>IF(COUNTIF(role_data[role_id],role_course_map[[#This Row],[role_id]])=0, "INVALID","VALID")</f>
        <v>VALID</v>
      </c>
      <c r="N992" t="str">
        <f>IF(COUNTIF(course_data[course_id],role_course_map[[#This Row],[course_id]])=0, "INVALID","VALID")</f>
        <v>VALID</v>
      </c>
    </row>
    <row r="993" spans="1:14" x14ac:dyDescent="0.35">
      <c r="A993" t="s">
        <v>300</v>
      </c>
      <c r="B993" s="5" t="str">
        <f>_xlfn.XLOOKUP(role_course_map[[#This Row],[role_id]], role_data[role_id], role_data[Role],"")</f>
        <v>Neonatal Transport Nurse</v>
      </c>
      <c r="C993">
        <v>999008</v>
      </c>
      <c r="D993" s="5" t="str">
        <f>_xlfn.XLOOKUP(role_course_map[[#This Row],[course_id]],course_data[course_id],course_data[title],"")</f>
        <v>Obstetrics</v>
      </c>
      <c r="E993" s="5" t="str">
        <f>_xlfn.XLOOKUP(role_course_map[[#This Row],[course_id]],course_data[course_id],course_data[topic],"")</f>
        <v>SAS : Clinical Practice</v>
      </c>
      <c r="F993" s="5" t="str">
        <f>_xlfn.XLOOKUP(role_course_map[[#This Row],[course_id]],course_data[course_id],course_data[type],"")</f>
        <v>eLearning</v>
      </c>
      <c r="K993" t="str">
        <f>role_course_map[[#This Row],[role_id]] &amp; "|" &amp; role_course_map[[#This Row],[course_id]]</f>
        <v>R0144|999008</v>
      </c>
      <c r="L993" t="str">
        <f>IF(COUNTIF(role_course_map[mapping_key],role_course_map[[#This Row],[mapping_key]])&gt;1,"DUPLICATE","OK")</f>
        <v>OK</v>
      </c>
      <c r="M993" t="str">
        <f>IF(COUNTIF(role_data[role_id],role_course_map[[#This Row],[role_id]])=0, "INVALID","VALID")</f>
        <v>VALID</v>
      </c>
      <c r="N993" t="str">
        <f>IF(COUNTIF(course_data[course_id],role_course_map[[#This Row],[course_id]])=0, "INVALID","VALID")</f>
        <v>VALID</v>
      </c>
    </row>
    <row r="994" spans="1:14" x14ac:dyDescent="0.35">
      <c r="A994" t="s">
        <v>300</v>
      </c>
      <c r="B994" s="5" t="str">
        <f>_xlfn.XLOOKUP(role_course_map[[#This Row],[role_id]], role_data[role_id], role_data[Role],"")</f>
        <v>Neonatal Transport Nurse</v>
      </c>
      <c r="C994">
        <v>999010</v>
      </c>
      <c r="D994" s="5" t="str">
        <f>_xlfn.XLOOKUP(role_course_map[[#This Row],[course_id]],course_data[course_id],course_data[title],"")</f>
        <v>Paediatrics</v>
      </c>
      <c r="E994" s="5" t="str">
        <f>_xlfn.XLOOKUP(role_course_map[[#This Row],[course_id]],course_data[course_id],course_data[topic],"")</f>
        <v>SAS : Clinical Practice</v>
      </c>
      <c r="F994" s="5" t="str">
        <f>_xlfn.XLOOKUP(role_course_map[[#This Row],[course_id]],course_data[course_id],course_data[type],"")</f>
        <v>Course</v>
      </c>
      <c r="K994" t="str">
        <f>role_course_map[[#This Row],[role_id]] &amp; "|" &amp; role_course_map[[#This Row],[course_id]]</f>
        <v>R0144|999010</v>
      </c>
      <c r="L994" t="str">
        <f>IF(COUNTIF(role_course_map[mapping_key],role_course_map[[#This Row],[mapping_key]])&gt;1,"DUPLICATE","OK")</f>
        <v>OK</v>
      </c>
      <c r="M994" t="str">
        <f>IF(COUNTIF(role_data[role_id],role_course_map[[#This Row],[role_id]])=0, "INVALID","VALID")</f>
        <v>VALID</v>
      </c>
      <c r="N994" t="str">
        <f>IF(COUNTIF(course_data[course_id],role_course_map[[#This Row],[course_id]])=0, "INVALID","VALID")</f>
        <v>VALID</v>
      </c>
    </row>
    <row r="995" spans="1:14" x14ac:dyDescent="0.35">
      <c r="A995" t="s">
        <v>300</v>
      </c>
      <c r="B995" s="5" t="str">
        <f>_xlfn.XLOOKUP(role_course_map[[#This Row],[role_id]], role_data[role_id], role_data[Role],"")</f>
        <v>Neonatal Transport Nurse</v>
      </c>
      <c r="C995">
        <v>999011</v>
      </c>
      <c r="D995" s="5" t="str">
        <f>_xlfn.XLOOKUP(role_course_map[[#This Row],[course_id]],course_data[course_id],course_data[title],"")</f>
        <v>Paediatrics</v>
      </c>
      <c r="E995" s="5" t="str">
        <f>_xlfn.XLOOKUP(role_course_map[[#This Row],[course_id]],course_data[course_id],course_data[topic],"")</f>
        <v>SAS : Clinical Practice</v>
      </c>
      <c r="F995" s="5" t="str">
        <f>_xlfn.XLOOKUP(role_course_map[[#This Row],[course_id]],course_data[course_id],course_data[type],"")</f>
        <v>eLearning</v>
      </c>
      <c r="K995" t="str">
        <f>role_course_map[[#This Row],[role_id]] &amp; "|" &amp; role_course_map[[#This Row],[course_id]]</f>
        <v>R0144|999011</v>
      </c>
      <c r="L995" t="str">
        <f>IF(COUNTIF(role_course_map[mapping_key],role_course_map[[#This Row],[mapping_key]])&gt;1,"DUPLICATE","OK")</f>
        <v>OK</v>
      </c>
      <c r="M995" t="str">
        <f>IF(COUNTIF(role_data[role_id],role_course_map[[#This Row],[role_id]])=0, "INVALID","VALID")</f>
        <v>VALID</v>
      </c>
      <c r="N995" t="str">
        <f>IF(COUNTIF(course_data[course_id],role_course_map[[#This Row],[course_id]])=0, "INVALID","VALID")</f>
        <v>VALID</v>
      </c>
    </row>
    <row r="996" spans="1:14" x14ac:dyDescent="0.35">
      <c r="A996" t="s">
        <v>300</v>
      </c>
      <c r="B996" s="5" t="str">
        <f>_xlfn.XLOOKUP(role_course_map[[#This Row],[role_id]], role_data[role_id], role_data[Role],"")</f>
        <v>Neonatal Transport Nurse</v>
      </c>
      <c r="C996">
        <v>999012</v>
      </c>
      <c r="D996" s="5" t="str">
        <f>_xlfn.XLOOKUP(role_course_map[[#This Row],[course_id]],course_data[course_id],course_data[title],"")</f>
        <v>Trauma</v>
      </c>
      <c r="E996" s="5" t="str">
        <f>_xlfn.XLOOKUP(role_course_map[[#This Row],[course_id]],course_data[course_id],course_data[topic],"")</f>
        <v>SAS : Clinical Practice</v>
      </c>
      <c r="F996" s="5" t="str">
        <f>_xlfn.XLOOKUP(role_course_map[[#This Row],[course_id]],course_data[course_id],course_data[type],"")</f>
        <v>Course</v>
      </c>
      <c r="K996" t="str">
        <f>role_course_map[[#This Row],[role_id]] &amp; "|" &amp; role_course_map[[#This Row],[course_id]]</f>
        <v>R0144|999012</v>
      </c>
      <c r="L996" t="str">
        <f>IF(COUNTIF(role_course_map[mapping_key],role_course_map[[#This Row],[mapping_key]])&gt;1,"DUPLICATE","OK")</f>
        <v>OK</v>
      </c>
      <c r="M996" t="str">
        <f>IF(COUNTIF(role_data[role_id],role_course_map[[#This Row],[role_id]])=0, "INVALID","VALID")</f>
        <v>VALID</v>
      </c>
      <c r="N996" t="str">
        <f>IF(COUNTIF(course_data[course_id],role_course_map[[#This Row],[course_id]])=0, "INVALID","VALID")</f>
        <v>VALID</v>
      </c>
    </row>
    <row r="997" spans="1:14" x14ac:dyDescent="0.35">
      <c r="A997" t="s">
        <v>300</v>
      </c>
      <c r="B997" s="5" t="str">
        <f>_xlfn.XLOOKUP(role_course_map[[#This Row],[role_id]], role_data[role_id], role_data[Role],"")</f>
        <v>Neonatal Transport Nurse</v>
      </c>
      <c r="C997">
        <v>999013</v>
      </c>
      <c r="D997" s="5" t="str">
        <f>_xlfn.XLOOKUP(role_course_map[[#This Row],[course_id]],course_data[course_id],course_data[title],"")</f>
        <v>Trauma</v>
      </c>
      <c r="E997" s="5" t="str">
        <f>_xlfn.XLOOKUP(role_course_map[[#This Row],[course_id]],course_data[course_id],course_data[topic],"")</f>
        <v>SAS : Clinical Practice</v>
      </c>
      <c r="F997" s="5" t="str">
        <f>_xlfn.XLOOKUP(role_course_map[[#This Row],[course_id]],course_data[course_id],course_data[type],"")</f>
        <v>eLearning</v>
      </c>
      <c r="K997" t="str">
        <f>role_course_map[[#This Row],[role_id]] &amp; "|" &amp; role_course_map[[#This Row],[course_id]]</f>
        <v>R0144|999013</v>
      </c>
      <c r="L997" t="str">
        <f>IF(COUNTIF(role_course_map[mapping_key],role_course_map[[#This Row],[mapping_key]])&gt;1,"DUPLICATE","OK")</f>
        <v>OK</v>
      </c>
      <c r="M997" t="str">
        <f>IF(COUNTIF(role_data[role_id],role_course_map[[#This Row],[role_id]])=0, "INVALID","VALID")</f>
        <v>VALID</v>
      </c>
      <c r="N997" t="str">
        <f>IF(COUNTIF(course_data[course_id],role_course_map[[#This Row],[course_id]])=0, "INVALID","VALID")</f>
        <v>VALID</v>
      </c>
    </row>
    <row r="998" spans="1:14" x14ac:dyDescent="0.35">
      <c r="A998" t="s">
        <v>300</v>
      </c>
      <c r="B998" s="5" t="str">
        <f>_xlfn.XLOOKUP(role_course_map[[#This Row],[role_id]], role_data[role_id], role_data[Role],"")</f>
        <v>Neonatal Transport Nurse</v>
      </c>
      <c r="C998">
        <v>999014</v>
      </c>
      <c r="D998" s="5" t="str">
        <f>_xlfn.XLOOKUP(role_course_map[[#This Row],[course_id]],course_data[course_id],course_data[title],"")</f>
        <v>Patient Assessment</v>
      </c>
      <c r="E998" s="5" t="str">
        <f>_xlfn.XLOOKUP(role_course_map[[#This Row],[course_id]],course_data[course_id],course_data[topic],"")</f>
        <v>SAS : Clinical Practice</v>
      </c>
      <c r="F998" s="5" t="str">
        <f>_xlfn.XLOOKUP(role_course_map[[#This Row],[course_id]],course_data[course_id],course_data[type],"")</f>
        <v>Course</v>
      </c>
      <c r="K998" t="str">
        <f>role_course_map[[#This Row],[role_id]] &amp; "|" &amp; role_course_map[[#This Row],[course_id]]</f>
        <v>R0144|999014</v>
      </c>
      <c r="L998" t="str">
        <f>IF(COUNTIF(role_course_map[mapping_key],role_course_map[[#This Row],[mapping_key]])&gt;1,"DUPLICATE","OK")</f>
        <v>OK</v>
      </c>
      <c r="M998" t="str">
        <f>IF(COUNTIF(role_data[role_id],role_course_map[[#This Row],[role_id]])=0, "INVALID","VALID")</f>
        <v>VALID</v>
      </c>
      <c r="N998" t="str">
        <f>IF(COUNTIF(course_data[course_id],role_course_map[[#This Row],[course_id]])=0, "INVALID","VALID")</f>
        <v>VALID</v>
      </c>
    </row>
    <row r="999" spans="1:14" x14ac:dyDescent="0.35">
      <c r="A999" t="s">
        <v>300</v>
      </c>
      <c r="B999" s="5" t="str">
        <f>_xlfn.XLOOKUP(role_course_map[[#This Row],[role_id]], role_data[role_id], role_data[Role],"")</f>
        <v>Neonatal Transport Nurse</v>
      </c>
      <c r="C999">
        <v>999015</v>
      </c>
      <c r="D999" s="5" t="str">
        <f>_xlfn.XLOOKUP(role_course_map[[#This Row],[course_id]],course_data[course_id],course_data[title],"")</f>
        <v>Patient Assessment</v>
      </c>
      <c r="E999" s="5" t="str">
        <f>_xlfn.XLOOKUP(role_course_map[[#This Row],[course_id]],course_data[course_id],course_data[topic],"")</f>
        <v>SAS : Clinical Practice</v>
      </c>
      <c r="F999" s="5" t="str">
        <f>_xlfn.XLOOKUP(role_course_map[[#This Row],[course_id]],course_data[course_id],course_data[type],"")</f>
        <v>eLearning</v>
      </c>
      <c r="K999" t="str">
        <f>role_course_map[[#This Row],[role_id]] &amp; "|" &amp; role_course_map[[#This Row],[course_id]]</f>
        <v>R0144|999015</v>
      </c>
      <c r="L999" t="str">
        <f>IF(COUNTIF(role_course_map[mapping_key],role_course_map[[#This Row],[mapping_key]])&gt;1,"DUPLICATE","OK")</f>
        <v>OK</v>
      </c>
      <c r="M999" t="str">
        <f>IF(COUNTIF(role_data[role_id],role_course_map[[#This Row],[role_id]])=0, "INVALID","VALID")</f>
        <v>VALID</v>
      </c>
      <c r="N999" t="str">
        <f>IF(COUNTIF(course_data[course_id],role_course_map[[#This Row],[course_id]])=0, "INVALID","VALID")</f>
        <v>VALID</v>
      </c>
    </row>
    <row r="1000" spans="1:14" x14ac:dyDescent="0.35">
      <c r="A1000" t="s">
        <v>298</v>
      </c>
      <c r="B1000" s="5" t="str">
        <f>_xlfn.XLOOKUP(role_course_map[[#This Row],[role_id]], role_data[role_id], role_data[Role],"")</f>
        <v>Neonatal Nurses</v>
      </c>
      <c r="C1000">
        <v>999016</v>
      </c>
      <c r="D1000" s="5" t="str">
        <f>_xlfn.XLOOKUP(role_course_map[[#This Row],[course_id]],course_data[course_id],course_data[title],"")</f>
        <v>Clinical Skills</v>
      </c>
      <c r="E1000" s="5" t="str">
        <f>_xlfn.XLOOKUP(role_course_map[[#This Row],[course_id]],course_data[course_id],course_data[topic],"")</f>
        <v>SAS : Clinical Practice</v>
      </c>
      <c r="F1000" s="5" t="str">
        <f>_xlfn.XLOOKUP(role_course_map[[#This Row],[course_id]],course_data[course_id],course_data[type],"")</f>
        <v>Course</v>
      </c>
      <c r="K1000" t="str">
        <f>role_course_map[[#This Row],[role_id]] &amp; "|" &amp; role_course_map[[#This Row],[course_id]]</f>
        <v>R0143|999016</v>
      </c>
      <c r="L1000" t="str">
        <f>IF(COUNTIF(role_course_map[mapping_key],role_course_map[[#This Row],[mapping_key]])&gt;1,"DUPLICATE","OK")</f>
        <v>OK</v>
      </c>
      <c r="M1000" t="str">
        <f>IF(COUNTIF(role_data[role_id],role_course_map[[#This Row],[role_id]])=0, "INVALID","VALID")</f>
        <v>VALID</v>
      </c>
      <c r="N1000" t="str">
        <f>IF(COUNTIF(course_data[course_id],role_course_map[[#This Row],[course_id]])=0, "INVALID","VALID")</f>
        <v>VALID</v>
      </c>
    </row>
    <row r="1001" spans="1:14" x14ac:dyDescent="0.35">
      <c r="A1001" t="s">
        <v>300</v>
      </c>
      <c r="B1001" s="5" t="str">
        <f>_xlfn.XLOOKUP(role_course_map[[#This Row],[role_id]], role_data[role_id], role_data[Role],"")</f>
        <v>Neonatal Transport Nurse</v>
      </c>
      <c r="C1001">
        <v>999016</v>
      </c>
      <c r="D1001" s="5" t="str">
        <f>_xlfn.XLOOKUP(role_course_map[[#This Row],[course_id]],course_data[course_id],course_data[title],"")</f>
        <v>Clinical Skills</v>
      </c>
      <c r="E1001" s="5" t="str">
        <f>_xlfn.XLOOKUP(role_course_map[[#This Row],[course_id]],course_data[course_id],course_data[topic],"")</f>
        <v>SAS : Clinical Practice</v>
      </c>
      <c r="F1001" s="5" t="str">
        <f>_xlfn.XLOOKUP(role_course_map[[#This Row],[course_id]],course_data[course_id],course_data[type],"")</f>
        <v>Course</v>
      </c>
      <c r="K1001" t="str">
        <f>role_course_map[[#This Row],[role_id]] &amp; "|" &amp; role_course_map[[#This Row],[course_id]]</f>
        <v>R0144|999016</v>
      </c>
      <c r="L1001" t="str">
        <f>IF(COUNTIF(role_course_map[mapping_key],role_course_map[[#This Row],[mapping_key]])&gt;1,"DUPLICATE","OK")</f>
        <v>OK</v>
      </c>
      <c r="M1001" t="str">
        <f>IF(COUNTIF(role_data[role_id],role_course_map[[#This Row],[role_id]])=0, "INVALID","VALID")</f>
        <v>VALID</v>
      </c>
      <c r="N1001" t="str">
        <f>IF(COUNTIF(course_data[course_id],role_course_map[[#This Row],[course_id]])=0, "INVALID","VALID")</f>
        <v>VALID</v>
      </c>
    </row>
    <row r="1002" spans="1:14" x14ac:dyDescent="0.35">
      <c r="A1002" t="s">
        <v>300</v>
      </c>
      <c r="B1002" s="5" t="str">
        <f>_xlfn.XLOOKUP(role_course_map[[#This Row],[role_id]], role_data[role_id], role_data[Role],"")</f>
        <v>Neonatal Transport Nurse</v>
      </c>
      <c r="C1002">
        <v>999017</v>
      </c>
      <c r="D1002" s="5" t="str">
        <f>_xlfn.XLOOKUP(role_course_map[[#This Row],[course_id]],course_data[course_id],course_data[title],"")</f>
        <v>Clinical Skills</v>
      </c>
      <c r="E1002" s="5" t="str">
        <f>_xlfn.XLOOKUP(role_course_map[[#This Row],[course_id]],course_data[course_id],course_data[topic],"")</f>
        <v>SAS : Clinical Practice</v>
      </c>
      <c r="F1002" s="5" t="str">
        <f>_xlfn.XLOOKUP(role_course_map[[#This Row],[course_id]],course_data[course_id],course_data[type],"")</f>
        <v>eLearning</v>
      </c>
      <c r="K1002" t="str">
        <f>role_course_map[[#This Row],[role_id]] &amp; "|" &amp; role_course_map[[#This Row],[course_id]]</f>
        <v>R0144|999017</v>
      </c>
      <c r="L1002" t="str">
        <f>IF(COUNTIF(role_course_map[mapping_key],role_course_map[[#This Row],[mapping_key]])&gt;1,"DUPLICATE","OK")</f>
        <v>OK</v>
      </c>
      <c r="M1002" t="str">
        <f>IF(COUNTIF(role_data[role_id],role_course_map[[#This Row],[role_id]])=0, "INVALID","VALID")</f>
        <v>VALID</v>
      </c>
      <c r="N1002" t="str">
        <f>IF(COUNTIF(course_data[course_id],role_course_map[[#This Row],[course_id]])=0, "INVALID","VALID")</f>
        <v>VALID</v>
      </c>
    </row>
    <row r="1003" spans="1:14" x14ac:dyDescent="0.35">
      <c r="A1003" t="s">
        <v>300</v>
      </c>
      <c r="B1003" s="5" t="str">
        <f>_xlfn.XLOOKUP(role_course_map[[#This Row],[role_id]], role_data[role_id], role_data[Role],"")</f>
        <v>Neonatal Transport Nurse</v>
      </c>
      <c r="C1003">
        <v>999018</v>
      </c>
      <c r="D1003" s="5" t="str">
        <f>_xlfn.XLOOKUP(role_course_map[[#This Row],[course_id]],course_data[course_id],course_data[title],"")</f>
        <v>Learning from Events</v>
      </c>
      <c r="E1003" s="5" t="str">
        <f>_xlfn.XLOOKUP(role_course_map[[#This Row],[course_id]],course_data[course_id],course_data[topic],"")</f>
        <v>SAS : Clinical Practice</v>
      </c>
      <c r="F1003" s="5" t="str">
        <f>_xlfn.XLOOKUP(role_course_map[[#This Row],[course_id]],course_data[course_id],course_data[type],"")</f>
        <v>eLearning</v>
      </c>
      <c r="K1003" t="str">
        <f>role_course_map[[#This Row],[role_id]] &amp; "|" &amp; role_course_map[[#This Row],[course_id]]</f>
        <v>R0144|999018</v>
      </c>
      <c r="L1003" t="str">
        <f>IF(COUNTIF(role_course_map[mapping_key],role_course_map[[#This Row],[mapping_key]])&gt;1,"DUPLICATE","OK")</f>
        <v>OK</v>
      </c>
      <c r="M1003" t="str">
        <f>IF(COUNTIF(role_data[role_id],role_course_map[[#This Row],[role_id]])=0, "INVALID","VALID")</f>
        <v>VALID</v>
      </c>
      <c r="N1003" t="str">
        <f>IF(COUNTIF(course_data[course_id],role_course_map[[#This Row],[course_id]])=0, "INVALID","VALID")</f>
        <v>VALID</v>
      </c>
    </row>
    <row r="1004" spans="1:14" x14ac:dyDescent="0.35">
      <c r="A1004" t="s">
        <v>300</v>
      </c>
      <c r="B1004" s="5" t="str">
        <f>_xlfn.XLOOKUP(role_course_map[[#This Row],[role_id]], role_data[role_id], role_data[Role],"")</f>
        <v>Neonatal Transport Nurse</v>
      </c>
      <c r="C1004">
        <v>999019</v>
      </c>
      <c r="D1004" s="5" t="str">
        <f>_xlfn.XLOOKUP(role_course_map[[#This Row],[course_id]],course_data[course_id],course_data[title],"")</f>
        <v>Medicines Management</v>
      </c>
      <c r="E1004" s="5" t="str">
        <f>_xlfn.XLOOKUP(role_course_map[[#This Row],[course_id]],course_data[course_id],course_data[topic],"")</f>
        <v>SAS : Clinical Practice</v>
      </c>
      <c r="F1004" s="5" t="str">
        <f>_xlfn.XLOOKUP(role_course_map[[#This Row],[course_id]],course_data[course_id],course_data[type],"")</f>
        <v>eLearning</v>
      </c>
      <c r="K1004" t="str">
        <f>role_course_map[[#This Row],[role_id]] &amp; "|" &amp; role_course_map[[#This Row],[course_id]]</f>
        <v>R0144|999019</v>
      </c>
      <c r="L1004" t="str">
        <f>IF(COUNTIF(role_course_map[mapping_key],role_course_map[[#This Row],[mapping_key]])&gt;1,"DUPLICATE","OK")</f>
        <v>OK</v>
      </c>
      <c r="M1004" t="str">
        <f>IF(COUNTIF(role_data[role_id],role_course_map[[#This Row],[role_id]])=0, "INVALID","VALID")</f>
        <v>VALID</v>
      </c>
      <c r="N1004" t="str">
        <f>IF(COUNTIF(course_data[course_id],role_course_map[[#This Row],[course_id]])=0, "INVALID","VALID")</f>
        <v>VALID</v>
      </c>
    </row>
    <row r="1005" spans="1:14" x14ac:dyDescent="0.35">
      <c r="A1005" t="s">
        <v>300</v>
      </c>
      <c r="B1005" s="5" t="str">
        <f>_xlfn.XLOOKUP(role_course_map[[#This Row],[role_id]], role_data[role_id], role_data[Role],"")</f>
        <v>Neonatal Transport Nurse</v>
      </c>
      <c r="C1005">
        <v>999020</v>
      </c>
      <c r="D1005" s="5" t="str">
        <f>_xlfn.XLOOKUP(role_course_map[[#This Row],[course_id]],course_data[course_id],course_data[title],"")</f>
        <v>JRCALC Update</v>
      </c>
      <c r="E1005" s="5" t="str">
        <f>_xlfn.XLOOKUP(role_course_map[[#This Row],[course_id]],course_data[course_id],course_data[topic],"")</f>
        <v>SAS : Clinical Practice</v>
      </c>
      <c r="F1005" s="5" t="str">
        <f>_xlfn.XLOOKUP(role_course_map[[#This Row],[course_id]],course_data[course_id],course_data[type],"")</f>
        <v>eLearning</v>
      </c>
      <c r="K1005" t="str">
        <f>role_course_map[[#This Row],[role_id]] &amp; "|" &amp; role_course_map[[#This Row],[course_id]]</f>
        <v>R0144|999020</v>
      </c>
      <c r="L1005" t="str">
        <f>IF(COUNTIF(role_course_map[mapping_key],role_course_map[[#This Row],[mapping_key]])&gt;1,"DUPLICATE","OK")</f>
        <v>OK</v>
      </c>
      <c r="M1005" t="str">
        <f>IF(COUNTIF(role_data[role_id],role_course_map[[#This Row],[role_id]])=0, "INVALID","VALID")</f>
        <v>VALID</v>
      </c>
      <c r="N1005" t="str">
        <f>IF(COUNTIF(course_data[course_id],role_course_map[[#This Row],[course_id]])=0, "INVALID","VALID")</f>
        <v>VALID</v>
      </c>
    </row>
    <row r="1006" spans="1:14" x14ac:dyDescent="0.35">
      <c r="A1006" t="s">
        <v>300</v>
      </c>
      <c r="B1006" s="5" t="str">
        <f>_xlfn.XLOOKUP(role_course_map[[#This Row],[role_id]], role_data[role_id], role_data[Role],"")</f>
        <v>Neonatal Transport Nurse</v>
      </c>
      <c r="C1006">
        <v>999021</v>
      </c>
      <c r="D1006" s="5" t="str">
        <f>_xlfn.XLOOKUP(role_course_map[[#This Row],[course_id]],course_data[course_id],course_data[title],"")</f>
        <v>Mental Health</v>
      </c>
      <c r="E1006" s="5" t="str">
        <f>_xlfn.XLOOKUP(role_course_map[[#This Row],[course_id]],course_data[course_id],course_data[topic],"")</f>
        <v>SAS : Clinical Practice</v>
      </c>
      <c r="F1006" s="5" t="str">
        <f>_xlfn.XLOOKUP(role_course_map[[#This Row],[course_id]],course_data[course_id],course_data[type],"")</f>
        <v>eLearning</v>
      </c>
      <c r="K1006" t="str">
        <f>role_course_map[[#This Row],[role_id]] &amp; "|" &amp; role_course_map[[#This Row],[course_id]]</f>
        <v>R0144|999021</v>
      </c>
      <c r="L1006" t="str">
        <f>IF(COUNTIF(role_course_map[mapping_key],role_course_map[[#This Row],[mapping_key]])&gt;1,"DUPLICATE","OK")</f>
        <v>OK</v>
      </c>
      <c r="M1006" t="str">
        <f>IF(COUNTIF(role_data[role_id],role_course_map[[#This Row],[role_id]])=0, "INVALID","VALID")</f>
        <v>VALID</v>
      </c>
      <c r="N1006" t="str">
        <f>IF(COUNTIF(course_data[course_id],role_course_map[[#This Row],[course_id]])=0, "INVALID","VALID")</f>
        <v>VALID</v>
      </c>
    </row>
    <row r="1007" spans="1:14" x14ac:dyDescent="0.35">
      <c r="A1007" t="s">
        <v>300</v>
      </c>
      <c r="B1007" s="5" t="str">
        <f>_xlfn.XLOOKUP(role_course_map[[#This Row],[role_id]], role_data[role_id], role_data[Role],"")</f>
        <v>Neonatal Transport Nurse</v>
      </c>
      <c r="C1007">
        <v>999022</v>
      </c>
      <c r="D1007" s="5" t="str">
        <f>_xlfn.XLOOKUP(role_course_map[[#This Row],[course_id]],course_data[course_id],course_data[title],"")</f>
        <v>Learning Disabilities</v>
      </c>
      <c r="E1007" s="5" t="str">
        <f>_xlfn.XLOOKUP(role_course_map[[#This Row],[course_id]],course_data[course_id],course_data[topic],"")</f>
        <v>SAS : Clinical Practice</v>
      </c>
      <c r="F1007" s="5" t="str">
        <f>_xlfn.XLOOKUP(role_course_map[[#This Row],[course_id]],course_data[course_id],course_data[type],"")</f>
        <v>eLearning</v>
      </c>
      <c r="K1007" t="str">
        <f>role_course_map[[#This Row],[role_id]] &amp; "|" &amp; role_course_map[[#This Row],[course_id]]</f>
        <v>R0144|999022</v>
      </c>
      <c r="L1007" t="str">
        <f>IF(COUNTIF(role_course_map[mapping_key],role_course_map[[#This Row],[mapping_key]])&gt;1,"DUPLICATE","OK")</f>
        <v>OK</v>
      </c>
      <c r="M1007" t="str">
        <f>IF(COUNTIF(role_data[role_id],role_course_map[[#This Row],[role_id]])=0, "INVALID","VALID")</f>
        <v>VALID</v>
      </c>
      <c r="N1007" t="str">
        <f>IF(COUNTIF(course_data[course_id],role_course_map[[#This Row],[course_id]])=0, "INVALID","VALID")</f>
        <v>VALID</v>
      </c>
    </row>
    <row r="1008" spans="1:14" x14ac:dyDescent="0.35">
      <c r="A1008" t="s">
        <v>300</v>
      </c>
      <c r="B1008" s="5" t="str">
        <f>_xlfn.XLOOKUP(role_course_map[[#This Row],[role_id]], role_data[role_id], role_data[Role],"")</f>
        <v>Neonatal Transport Nurse</v>
      </c>
      <c r="C1008">
        <v>75202</v>
      </c>
      <c r="D1008" s="5" t="str">
        <f>_xlfn.XLOOKUP(role_course_map[[#This Row],[course_id]],course_data[course_id],course_data[title],"")</f>
        <v>SAS : Clinical Practice</v>
      </c>
      <c r="E1008" s="5" t="str">
        <f>_xlfn.XLOOKUP(role_course_map[[#This Row],[course_id]],course_data[course_id],course_data[topic],"")</f>
        <v>SAS : Clinical Practice</v>
      </c>
      <c r="F1008" s="5" t="str">
        <f>_xlfn.XLOOKUP(role_course_map[[#This Row],[course_id]],course_data[course_id],course_data[type],"")</f>
        <v>Page</v>
      </c>
      <c r="K1008" t="str">
        <f>role_course_map[[#This Row],[role_id]] &amp; "|" &amp; role_course_map[[#This Row],[course_id]]</f>
        <v>R0144|75202</v>
      </c>
      <c r="L1008" t="str">
        <f>IF(COUNTIF(role_course_map[mapping_key],role_course_map[[#This Row],[mapping_key]])&gt;1,"DUPLICATE","OK")</f>
        <v>OK</v>
      </c>
      <c r="M1008" t="str">
        <f>IF(COUNTIF(role_data[role_id],role_course_map[[#This Row],[role_id]])=0, "INVALID","VALID")</f>
        <v>VALID</v>
      </c>
      <c r="N1008" t="str">
        <f>IF(COUNTIF(course_data[course_id],role_course_map[[#This Row],[course_id]])=0, "INVALID","VALID")</f>
        <v>VALID</v>
      </c>
    </row>
    <row r="1009" spans="1:14" x14ac:dyDescent="0.35">
      <c r="A1009" t="s">
        <v>300</v>
      </c>
      <c r="B1009" s="5" t="str">
        <f>_xlfn.XLOOKUP(role_course_map[[#This Row],[role_id]], role_data[role_id], role_data[Role],"")</f>
        <v>Neonatal Transport Nurse</v>
      </c>
      <c r="C1009">
        <v>999023</v>
      </c>
      <c r="D1009" s="5" t="str">
        <f>_xlfn.XLOOKUP(role_course_map[[#This Row],[course_id]],course_data[course_id],course_data[title],"")</f>
        <v>Dementia</v>
      </c>
      <c r="E1009" s="5" t="str">
        <f>_xlfn.XLOOKUP(role_course_map[[#This Row],[course_id]],course_data[course_id],course_data[topic],"")</f>
        <v>SAS : Clinical Practice</v>
      </c>
      <c r="F1009" s="5" t="str">
        <f>_xlfn.XLOOKUP(role_course_map[[#This Row],[course_id]],course_data[course_id],course_data[type],"")</f>
        <v>eLearning</v>
      </c>
      <c r="K1009" t="str">
        <f>role_course_map[[#This Row],[role_id]] &amp; "|" &amp; role_course_map[[#This Row],[course_id]]</f>
        <v>R0144|999023</v>
      </c>
      <c r="L1009" t="str">
        <f>IF(COUNTIF(role_course_map[mapping_key],role_course_map[[#This Row],[mapping_key]])&gt;1,"DUPLICATE","OK")</f>
        <v>OK</v>
      </c>
      <c r="M1009" t="str">
        <f>IF(COUNTIF(role_data[role_id],role_course_map[[#This Row],[role_id]])=0, "INVALID","VALID")</f>
        <v>VALID</v>
      </c>
      <c r="N1009" t="str">
        <f>IF(COUNTIF(course_data[course_id],role_course_map[[#This Row],[course_id]])=0, "INVALID","VALID")</f>
        <v>VALID</v>
      </c>
    </row>
    <row r="1010" spans="1:14" x14ac:dyDescent="0.35">
      <c r="A1010" t="s">
        <v>298</v>
      </c>
      <c r="B1010" s="5" t="str">
        <f>_xlfn.XLOOKUP(role_course_map[[#This Row],[role_id]], role_data[role_id], role_data[Role],"")</f>
        <v>Neonatal Nurses</v>
      </c>
      <c r="C1010">
        <v>999024</v>
      </c>
      <c r="D1010" s="5" t="str">
        <f>_xlfn.XLOOKUP(role_course_map[[#This Row],[course_id]],course_data[course_id],course_data[title],"")</f>
        <v>Conditions requiring specific hospital management. I.e. Parkinsons</v>
      </c>
      <c r="E1010" s="5" t="str">
        <f>_xlfn.XLOOKUP(role_course_map[[#This Row],[course_id]],course_data[course_id],course_data[topic],"")</f>
        <v>SAS : Clinical Practice</v>
      </c>
      <c r="F1010" s="5" t="str">
        <f>_xlfn.XLOOKUP(role_course_map[[#This Row],[course_id]],course_data[course_id],course_data[type],"")</f>
        <v>eLearning</v>
      </c>
      <c r="K1010" t="str">
        <f>role_course_map[[#This Row],[role_id]] &amp; "|" &amp; role_course_map[[#This Row],[course_id]]</f>
        <v>R0143|999024</v>
      </c>
      <c r="L1010" t="str">
        <f>IF(COUNTIF(role_course_map[mapping_key],role_course_map[[#This Row],[mapping_key]])&gt;1,"DUPLICATE","OK")</f>
        <v>OK</v>
      </c>
      <c r="M1010" t="str">
        <f>IF(COUNTIF(role_data[role_id],role_course_map[[#This Row],[role_id]])=0, "INVALID","VALID")</f>
        <v>VALID</v>
      </c>
      <c r="N1010" t="str">
        <f>IF(COUNTIF(course_data[course_id],role_course_map[[#This Row],[course_id]])=0, "INVALID","VALID")</f>
        <v>VALID</v>
      </c>
    </row>
    <row r="1011" spans="1:14" x14ac:dyDescent="0.35">
      <c r="A1011" t="s">
        <v>300</v>
      </c>
      <c r="B1011" s="5" t="str">
        <f>_xlfn.XLOOKUP(role_course_map[[#This Row],[role_id]], role_data[role_id], role_data[Role],"")</f>
        <v>Neonatal Transport Nurse</v>
      </c>
      <c r="C1011">
        <v>999024</v>
      </c>
      <c r="D1011" s="5" t="str">
        <f>_xlfn.XLOOKUP(role_course_map[[#This Row],[course_id]],course_data[course_id],course_data[title],"")</f>
        <v>Conditions requiring specific hospital management. I.e. Parkinsons</v>
      </c>
      <c r="E1011" s="5" t="str">
        <f>_xlfn.XLOOKUP(role_course_map[[#This Row],[course_id]],course_data[course_id],course_data[topic],"")</f>
        <v>SAS : Clinical Practice</v>
      </c>
      <c r="F1011" s="5" t="str">
        <f>_xlfn.XLOOKUP(role_course_map[[#This Row],[course_id]],course_data[course_id],course_data[type],"")</f>
        <v>eLearning</v>
      </c>
      <c r="K1011" t="str">
        <f>role_course_map[[#This Row],[role_id]] &amp; "|" &amp; role_course_map[[#This Row],[course_id]]</f>
        <v>R0144|999024</v>
      </c>
      <c r="L1011" t="str">
        <f>IF(COUNTIF(role_course_map[mapping_key],role_course_map[[#This Row],[mapping_key]])&gt;1,"DUPLICATE","OK")</f>
        <v>OK</v>
      </c>
      <c r="M1011" t="str">
        <f>IF(COUNTIF(role_data[role_id],role_course_map[[#This Row],[role_id]])=0, "INVALID","VALID")</f>
        <v>VALID</v>
      </c>
      <c r="N1011" t="str">
        <f>IF(COUNTIF(course_data[course_id],role_course_map[[#This Row],[course_id]])=0, "INVALID","VALID")</f>
        <v>VALID</v>
      </c>
    </row>
    <row r="1012" spans="1:14" x14ac:dyDescent="0.35">
      <c r="A1012" t="s">
        <v>300</v>
      </c>
      <c r="B1012" s="5" t="str">
        <f>_xlfn.XLOOKUP(role_course_map[[#This Row],[role_id]], role_data[role_id], role_data[Role],"")</f>
        <v>Neonatal Transport Nurse</v>
      </c>
      <c r="C1012">
        <v>999095</v>
      </c>
      <c r="D1012" s="5" t="str">
        <f>_xlfn.XLOOKUP(role_course_map[[#This Row],[course_id]],course_data[course_id],course_data[title],"")</f>
        <v>Mentoring</v>
      </c>
      <c r="E1012" s="5" t="str">
        <f>_xlfn.XLOOKUP(role_course_map[[#This Row],[course_id]],course_data[course_id],course_data[topic],"")</f>
        <v>SAS: Staff development and experience</v>
      </c>
      <c r="F1012" s="5" t="str">
        <f>_xlfn.XLOOKUP(role_course_map[[#This Row],[course_id]],course_data[course_id],course_data[type],"")</f>
        <v>eLearning</v>
      </c>
      <c r="K1012" t="str">
        <f>role_course_map[[#This Row],[role_id]] &amp; "|" &amp; role_course_map[[#This Row],[course_id]]</f>
        <v>R0144|999095</v>
      </c>
      <c r="L1012" t="str">
        <f>IF(COUNTIF(role_course_map[mapping_key],role_course_map[[#This Row],[mapping_key]])&gt;1,"DUPLICATE","OK")</f>
        <v>OK</v>
      </c>
      <c r="M1012" t="str">
        <f>IF(COUNTIF(role_data[role_id],role_course_map[[#This Row],[role_id]])=0, "INVALID","VALID")</f>
        <v>VALID</v>
      </c>
      <c r="N1012" t="str">
        <f>IF(COUNTIF(course_data[course_id],role_course_map[[#This Row],[course_id]])=0, "INVALID","VALID")</f>
        <v>VALID</v>
      </c>
    </row>
    <row r="1013" spans="1:14" x14ac:dyDescent="0.35">
      <c r="A1013" t="s">
        <v>300</v>
      </c>
      <c r="B1013" s="5" t="str">
        <f>_xlfn.XLOOKUP(role_course_map[[#This Row],[role_id]], role_data[role_id], role_data[Role],"")</f>
        <v>Neonatal Transport Nurse</v>
      </c>
      <c r="C1013">
        <v>999096</v>
      </c>
      <c r="D1013" s="5" t="str">
        <f>_xlfn.XLOOKUP(role_course_map[[#This Row],[course_id]],course_data[course_id],course_data[title],"")</f>
        <v>Supporting others in practice (Supervision)</v>
      </c>
      <c r="E1013" s="5" t="str">
        <f>_xlfn.XLOOKUP(role_course_map[[#This Row],[course_id]],course_data[course_id],course_data[topic],"")</f>
        <v>SAS: Staff development and experience</v>
      </c>
      <c r="F1013" s="5" t="str">
        <f>_xlfn.XLOOKUP(role_course_map[[#This Row],[course_id]],course_data[course_id],course_data[type],"")</f>
        <v>Course</v>
      </c>
      <c r="K1013" t="str">
        <f>role_course_map[[#This Row],[role_id]] &amp; "|" &amp; role_course_map[[#This Row],[course_id]]</f>
        <v>R0144|999096</v>
      </c>
      <c r="L1013" t="str">
        <f>IF(COUNTIF(role_course_map[mapping_key],role_course_map[[#This Row],[mapping_key]])&gt;1,"DUPLICATE","OK")</f>
        <v>OK</v>
      </c>
      <c r="M1013" t="str">
        <f>IF(COUNTIF(role_data[role_id],role_course_map[[#This Row],[role_id]])=0, "INVALID","VALID")</f>
        <v>VALID</v>
      </c>
      <c r="N1013" t="str">
        <f>IF(COUNTIF(course_data[course_id],role_course_map[[#This Row],[course_id]])=0, "INVALID","VALID")</f>
        <v>VALID</v>
      </c>
    </row>
    <row r="1014" spans="1:14" x14ac:dyDescent="0.35">
      <c r="A1014" t="s">
        <v>300</v>
      </c>
      <c r="B1014" s="5" t="str">
        <f>_xlfn.XLOOKUP(role_course_map[[#This Row],[role_id]], role_data[role_id], role_data[Role],"")</f>
        <v>Neonatal Transport Nurse</v>
      </c>
      <c r="C1014">
        <v>999097</v>
      </c>
      <c r="D1014" s="5" t="str">
        <f>_xlfn.XLOOKUP(role_course_map[[#This Row],[course_id]],course_data[course_id],course_data[title],"")</f>
        <v>Personal Wellbeing</v>
      </c>
      <c r="E1014" s="5" t="str">
        <f>_xlfn.XLOOKUP(role_course_map[[#This Row],[course_id]],course_data[course_id],course_data[topic],"")</f>
        <v>SAS: Staff development and experience</v>
      </c>
      <c r="F1014" s="5" t="str">
        <f>_xlfn.XLOOKUP(role_course_map[[#This Row],[course_id]],course_data[course_id],course_data[type],"")</f>
        <v>eLearning</v>
      </c>
      <c r="K1014" t="str">
        <f>role_course_map[[#This Row],[role_id]] &amp; "|" &amp; role_course_map[[#This Row],[course_id]]</f>
        <v>R0144|999097</v>
      </c>
      <c r="L1014" t="str">
        <f>IF(COUNTIF(role_course_map[mapping_key],role_course_map[[#This Row],[mapping_key]])&gt;1,"DUPLICATE","OK")</f>
        <v>OK</v>
      </c>
      <c r="M1014" t="str">
        <f>IF(COUNTIF(role_data[role_id],role_course_map[[#This Row],[role_id]])=0, "INVALID","VALID")</f>
        <v>VALID</v>
      </c>
      <c r="N1014" t="str">
        <f>IF(COUNTIF(course_data[course_id],role_course_map[[#This Row],[course_id]])=0, "INVALID","VALID")</f>
        <v>VALID</v>
      </c>
    </row>
    <row r="1015" spans="1:14" x14ac:dyDescent="0.35">
      <c r="A1015" t="s">
        <v>300</v>
      </c>
      <c r="B1015" s="5" t="str">
        <f>_xlfn.XLOOKUP(role_course_map[[#This Row],[role_id]], role_data[role_id], role_data[Role],"")</f>
        <v>Neonatal Transport Nurse</v>
      </c>
      <c r="C1015">
        <v>999059</v>
      </c>
      <c r="D1015" s="5" t="str">
        <f>_xlfn.XLOOKUP(role_course_map[[#This Row],[course_id]],course_data[course_id],course_data[title],"")</f>
        <v>Driving update (practical)</v>
      </c>
      <c r="E1015" s="5" t="str">
        <f>_xlfn.XLOOKUP(role_course_map[[#This Row],[course_id]],course_data[course_id],course_data[topic],"")</f>
        <v>SAS : Health and Safety</v>
      </c>
      <c r="F1015" s="5" t="str">
        <f>_xlfn.XLOOKUP(role_course_map[[#This Row],[course_id]],course_data[course_id],course_data[type],"")</f>
        <v>Course</v>
      </c>
      <c r="K1015" t="str">
        <f>role_course_map[[#This Row],[role_id]] &amp; "|" &amp; role_course_map[[#This Row],[course_id]]</f>
        <v>R0144|999059</v>
      </c>
      <c r="L1015" t="str">
        <f>IF(COUNTIF(role_course_map[mapping_key],role_course_map[[#This Row],[mapping_key]])&gt;1,"DUPLICATE","OK")</f>
        <v>OK</v>
      </c>
      <c r="M1015" t="str">
        <f>IF(COUNTIF(role_data[role_id],role_course_map[[#This Row],[role_id]])=0, "INVALID","VALID")</f>
        <v>VALID</v>
      </c>
      <c r="N1015" t="str">
        <f>IF(COUNTIF(course_data[course_id],role_course_map[[#This Row],[course_id]])=0, "INVALID","VALID")</f>
        <v>VALID</v>
      </c>
    </row>
    <row r="1016" spans="1:14" x14ac:dyDescent="0.35">
      <c r="A1016" t="s">
        <v>298</v>
      </c>
      <c r="B1016" s="5" t="str">
        <f>_xlfn.XLOOKUP(role_course_map[[#This Row],[role_id]], role_data[role_id], role_data[Role],"")</f>
        <v>Neonatal Nurses</v>
      </c>
      <c r="C1016">
        <v>999060</v>
      </c>
      <c r="D1016" s="5" t="str">
        <f>_xlfn.XLOOKUP(role_course_map[[#This Row],[course_id]],course_data[course_id],course_data[title],"")</f>
        <v>COSHH</v>
      </c>
      <c r="E1016" s="5" t="str">
        <f>_xlfn.XLOOKUP(role_course_map[[#This Row],[course_id]],course_data[course_id],course_data[topic],"")</f>
        <v>SAS : Health and Safety</v>
      </c>
      <c r="F1016" s="5" t="str">
        <f>_xlfn.XLOOKUP(role_course_map[[#This Row],[course_id]],course_data[course_id],course_data[type],"")</f>
        <v>eLearning</v>
      </c>
      <c r="K1016" t="str">
        <f>role_course_map[[#This Row],[role_id]] &amp; "|" &amp; role_course_map[[#This Row],[course_id]]</f>
        <v>R0143|999060</v>
      </c>
      <c r="L1016" t="str">
        <f>IF(COUNTIF(role_course_map[mapping_key],role_course_map[[#This Row],[mapping_key]])&gt;1,"DUPLICATE","OK")</f>
        <v>OK</v>
      </c>
      <c r="M1016" t="str">
        <f>IF(COUNTIF(role_data[role_id],role_course_map[[#This Row],[role_id]])=0, "INVALID","VALID")</f>
        <v>VALID</v>
      </c>
      <c r="N1016" t="str">
        <f>IF(COUNTIF(course_data[course_id],role_course_map[[#This Row],[course_id]])=0, "INVALID","VALID")</f>
        <v>VALID</v>
      </c>
    </row>
    <row r="1017" spans="1:14" x14ac:dyDescent="0.35">
      <c r="A1017" t="s">
        <v>300</v>
      </c>
      <c r="B1017" s="5" t="str">
        <f>_xlfn.XLOOKUP(role_course_map[[#This Row],[role_id]], role_data[role_id], role_data[Role],"")</f>
        <v>Neonatal Transport Nurse</v>
      </c>
      <c r="C1017">
        <v>999060</v>
      </c>
      <c r="D1017" s="5" t="str">
        <f>_xlfn.XLOOKUP(role_course_map[[#This Row],[course_id]],course_data[course_id],course_data[title],"")</f>
        <v>COSHH</v>
      </c>
      <c r="E1017" s="5" t="str">
        <f>_xlfn.XLOOKUP(role_course_map[[#This Row],[course_id]],course_data[course_id],course_data[topic],"")</f>
        <v>SAS : Health and Safety</v>
      </c>
      <c r="F1017" s="5" t="str">
        <f>_xlfn.XLOOKUP(role_course_map[[#This Row],[course_id]],course_data[course_id],course_data[type],"")</f>
        <v>eLearning</v>
      </c>
      <c r="K1017" t="str">
        <f>role_course_map[[#This Row],[role_id]] &amp; "|" &amp; role_course_map[[#This Row],[course_id]]</f>
        <v>R0144|999060</v>
      </c>
      <c r="L1017" t="str">
        <f>IF(COUNTIF(role_course_map[mapping_key],role_course_map[[#This Row],[mapping_key]])&gt;1,"DUPLICATE","OK")</f>
        <v>OK</v>
      </c>
      <c r="M1017" t="str">
        <f>IF(COUNTIF(role_data[role_id],role_course_map[[#This Row],[role_id]])=0, "INVALID","VALID")</f>
        <v>VALID</v>
      </c>
      <c r="N1017" t="str">
        <f>IF(COUNTIF(course_data[course_id],role_course_map[[#This Row],[course_id]])=0, "INVALID","VALID")</f>
        <v>VALID</v>
      </c>
    </row>
    <row r="1018" spans="1:14" x14ac:dyDescent="0.35">
      <c r="A1018" t="s">
        <v>300</v>
      </c>
      <c r="B1018" s="5" t="str">
        <f>_xlfn.XLOOKUP(role_course_map[[#This Row],[role_id]], role_data[role_id], role_data[Role],"")</f>
        <v>Neonatal Transport Nurse</v>
      </c>
      <c r="C1018">
        <v>999066</v>
      </c>
      <c r="D1018" s="5" t="str">
        <f>_xlfn.XLOOKUP(role_course_map[[#This Row],[course_id]],course_data[course_id],course_data[title],"")</f>
        <v>NRRD Update i.e. Major Incidents/Methane/ Multiple Casualities</v>
      </c>
      <c r="E1018" s="5" t="str">
        <f>_xlfn.XLOOKUP(role_course_map[[#This Row],[course_id]],course_data[course_id],course_data[topic],"")</f>
        <v>SAS : National Risk and Resilience Department (NRRD)</v>
      </c>
      <c r="F1018" s="5" t="str">
        <f>_xlfn.XLOOKUP(role_course_map[[#This Row],[course_id]],course_data[course_id],course_data[type],"")</f>
        <v>eLearning</v>
      </c>
      <c r="K1018" t="str">
        <f>role_course_map[[#This Row],[role_id]] &amp; "|" &amp; role_course_map[[#This Row],[course_id]]</f>
        <v>R0144|999066</v>
      </c>
      <c r="L1018" t="str">
        <f>IF(COUNTIF(role_course_map[mapping_key],role_course_map[[#This Row],[mapping_key]])&gt;1,"DUPLICATE","OK")</f>
        <v>OK</v>
      </c>
      <c r="M1018" t="str">
        <f>IF(COUNTIF(role_data[role_id],role_course_map[[#This Row],[role_id]])=0, "INVALID","VALID")</f>
        <v>VALID</v>
      </c>
      <c r="N1018" t="str">
        <f>IF(COUNTIF(course_data[course_id],role_course_map[[#This Row],[course_id]])=0, "INVALID","VALID")</f>
        <v>VALID</v>
      </c>
    </row>
    <row r="1019" spans="1:14" x14ac:dyDescent="0.35">
      <c r="A1019" t="s">
        <v>300</v>
      </c>
      <c r="B1019" s="5" t="str">
        <f>_xlfn.XLOOKUP(role_course_map[[#This Row],[role_id]], role_data[role_id], role_data[Role],"")</f>
        <v>Neonatal Transport Nurse</v>
      </c>
      <c r="C1019">
        <v>999025</v>
      </c>
      <c r="D1019" s="5" t="str">
        <f>_xlfn.XLOOKUP(role_course_map[[#This Row],[course_id]],course_data[course_id],course_data[title],"")</f>
        <v>Professional Standards</v>
      </c>
      <c r="E1019" s="5" t="str">
        <f>_xlfn.XLOOKUP(role_course_map[[#This Row],[course_id]],course_data[course_id],course_data[topic],"")</f>
        <v>SAS : Clinical Practice</v>
      </c>
      <c r="F1019" s="5" t="str">
        <f>_xlfn.XLOOKUP(role_course_map[[#This Row],[course_id]],course_data[course_id],course_data[type],"")</f>
        <v>eLearning</v>
      </c>
      <c r="K1019" t="str">
        <f>role_course_map[[#This Row],[role_id]] &amp; "|" &amp; role_course_map[[#This Row],[course_id]]</f>
        <v>R0144|999025</v>
      </c>
      <c r="L1019" t="str">
        <f>IF(COUNTIF(role_course_map[mapping_key],role_course_map[[#This Row],[mapping_key]])&gt;1,"DUPLICATE","OK")</f>
        <v>OK</v>
      </c>
      <c r="M1019" t="str">
        <f>IF(COUNTIF(role_data[role_id],role_course_map[[#This Row],[role_id]])=0, "INVALID","VALID")</f>
        <v>VALID</v>
      </c>
      <c r="N1019" t="str">
        <f>IF(COUNTIF(course_data[course_id],role_course_map[[#This Row],[course_id]])=0, "INVALID","VALID")</f>
        <v>VALID</v>
      </c>
    </row>
    <row r="1020" spans="1:14" x14ac:dyDescent="0.35">
      <c r="A1020" t="s">
        <v>298</v>
      </c>
      <c r="B1020" s="5" t="str">
        <f>_xlfn.XLOOKUP(role_course_map[[#This Row],[role_id]], role_data[role_id], role_data[Role],"")</f>
        <v>Neonatal Nurses</v>
      </c>
      <c r="C1020">
        <v>999026</v>
      </c>
      <c r="D1020" s="5" t="str">
        <f>_xlfn.XLOOKUP(role_course_map[[#This Row],[course_id]],course_data[course_id],course_data[title],"")</f>
        <v>Communication Standards</v>
      </c>
      <c r="E1020" s="5" t="str">
        <f>_xlfn.XLOOKUP(role_course_map[[#This Row],[course_id]],course_data[course_id],course_data[topic],"")</f>
        <v>SAS : Clinical Practice</v>
      </c>
      <c r="F1020" s="5" t="str">
        <f>_xlfn.XLOOKUP(role_course_map[[#This Row],[course_id]],course_data[course_id],course_data[type],"")</f>
        <v>eLearning</v>
      </c>
      <c r="K1020" t="str">
        <f>role_course_map[[#This Row],[role_id]] &amp; "|" &amp; role_course_map[[#This Row],[course_id]]</f>
        <v>R0143|999026</v>
      </c>
      <c r="L1020" t="str">
        <f>IF(COUNTIF(role_course_map[mapping_key],role_course_map[[#This Row],[mapping_key]])&gt;1,"DUPLICATE","OK")</f>
        <v>OK</v>
      </c>
      <c r="M1020" t="str">
        <f>IF(COUNTIF(role_data[role_id],role_course_map[[#This Row],[role_id]])=0, "INVALID","VALID")</f>
        <v>VALID</v>
      </c>
      <c r="N1020" t="str">
        <f>IF(COUNTIF(course_data[course_id],role_course_map[[#This Row],[course_id]])=0, "INVALID","VALID")</f>
        <v>VALID</v>
      </c>
    </row>
    <row r="1021" spans="1:14" x14ac:dyDescent="0.35">
      <c r="A1021" t="s">
        <v>300</v>
      </c>
      <c r="B1021" s="5" t="str">
        <f>_xlfn.XLOOKUP(role_course_map[[#This Row],[role_id]], role_data[role_id], role_data[Role],"")</f>
        <v>Neonatal Transport Nurse</v>
      </c>
      <c r="C1021">
        <v>999026</v>
      </c>
      <c r="D1021" s="5" t="str">
        <f>_xlfn.XLOOKUP(role_course_map[[#This Row],[course_id]],course_data[course_id],course_data[title],"")</f>
        <v>Communication Standards</v>
      </c>
      <c r="E1021" s="5" t="str">
        <f>_xlfn.XLOOKUP(role_course_map[[#This Row],[course_id]],course_data[course_id],course_data[topic],"")</f>
        <v>SAS : Clinical Practice</v>
      </c>
      <c r="F1021" s="5" t="str">
        <f>_xlfn.XLOOKUP(role_course_map[[#This Row],[course_id]],course_data[course_id],course_data[type],"")</f>
        <v>eLearning</v>
      </c>
      <c r="K1021" t="str">
        <f>role_course_map[[#This Row],[role_id]] &amp; "|" &amp; role_course_map[[#This Row],[course_id]]</f>
        <v>R0144|999026</v>
      </c>
      <c r="L1021" t="str">
        <f>IF(COUNTIF(role_course_map[mapping_key],role_course_map[[#This Row],[mapping_key]])&gt;1,"DUPLICATE","OK")</f>
        <v>OK</v>
      </c>
      <c r="M1021" t="str">
        <f>IF(COUNTIF(role_data[role_id],role_course_map[[#This Row],[role_id]])=0, "INVALID","VALID")</f>
        <v>VALID</v>
      </c>
      <c r="N1021" t="str">
        <f>IF(COUNTIF(course_data[course_id],role_course_map[[#This Row],[course_id]])=0, "INVALID","VALID")</f>
        <v>VALID</v>
      </c>
    </row>
    <row r="1022" spans="1:14" x14ac:dyDescent="0.35">
      <c r="A1022" t="s">
        <v>300</v>
      </c>
      <c r="B1022" s="5" t="str">
        <f>_xlfn.XLOOKUP(role_course_map[[#This Row],[role_id]], role_data[role_id], role_data[Role],"")</f>
        <v>Neonatal Transport Nurse</v>
      </c>
      <c r="C1022">
        <v>999058</v>
      </c>
      <c r="D1022" s="5" t="str">
        <f>_xlfn.XLOOKUP(role_course_map[[#This Row],[course_id]],course_data[course_id],course_data[title],"")</f>
        <v>Stress Identification &amp; Stress Management</v>
      </c>
      <c r="E1022" s="5" t="str">
        <f>_xlfn.XLOOKUP(role_course_map[[#This Row],[course_id]],course_data[course_id],course_data[topic],"")</f>
        <v>SAS : Health and Safety</v>
      </c>
      <c r="F1022" s="5" t="str">
        <f>_xlfn.XLOOKUP(role_course_map[[#This Row],[course_id]],course_data[course_id],course_data[type],"")</f>
        <v>eLearning</v>
      </c>
      <c r="K1022" t="str">
        <f>role_course_map[[#This Row],[role_id]] &amp; "|" &amp; role_course_map[[#This Row],[course_id]]</f>
        <v>R0144|999058</v>
      </c>
      <c r="L1022" t="str">
        <f>IF(COUNTIF(role_course_map[mapping_key],role_course_map[[#This Row],[mapping_key]])&gt;1,"DUPLICATE","OK")</f>
        <v>OK</v>
      </c>
      <c r="M1022" t="str">
        <f>IF(COUNTIF(role_data[role_id],role_course_map[[#This Row],[role_id]])=0, "INVALID","VALID")</f>
        <v>VALID</v>
      </c>
      <c r="N1022" t="str">
        <f>IF(COUNTIF(course_data[course_id],role_course_map[[#This Row],[course_id]])=0, "INVALID","VALID")</f>
        <v>VALID</v>
      </c>
    </row>
    <row r="1023" spans="1:14" x14ac:dyDescent="0.35">
      <c r="A1023" t="s">
        <v>298</v>
      </c>
      <c r="B1023" s="5" t="str">
        <f>_xlfn.XLOOKUP(role_course_map[[#This Row],[role_id]], role_data[role_id], role_data[Role],"")</f>
        <v>Neonatal Nurses</v>
      </c>
      <c r="C1023">
        <v>999056</v>
      </c>
      <c r="D1023" s="5" t="str">
        <f>_xlfn.XLOOKUP(role_course_map[[#This Row],[course_id]],course_data[course_id],course_data[title],"")</f>
        <v>Driver Assessment &amp; Training</v>
      </c>
      <c r="E1023" s="5" t="str">
        <f>_xlfn.XLOOKUP(role_course_map[[#This Row],[course_id]],course_data[course_id],course_data[topic],"")</f>
        <v>SAS : Health and Safety</v>
      </c>
      <c r="F1023" s="5" t="str">
        <f>_xlfn.XLOOKUP(role_course_map[[#This Row],[course_id]],course_data[course_id],course_data[type],"")</f>
        <v>eLearning</v>
      </c>
      <c r="K1023" t="str">
        <f>role_course_map[[#This Row],[role_id]] &amp; "|" &amp; role_course_map[[#This Row],[course_id]]</f>
        <v>R0143|999056</v>
      </c>
      <c r="L1023" t="str">
        <f>IF(COUNTIF(role_course_map[mapping_key],role_course_map[[#This Row],[mapping_key]])&gt;1,"DUPLICATE","OK")</f>
        <v>OK</v>
      </c>
      <c r="M1023" t="str">
        <f>IF(COUNTIF(role_data[role_id],role_course_map[[#This Row],[role_id]])=0, "INVALID","VALID")</f>
        <v>VALID</v>
      </c>
      <c r="N1023" t="str">
        <f>IF(COUNTIF(course_data[course_id],role_course_map[[#This Row],[course_id]])=0, "INVALID","VALID")</f>
        <v>VALID</v>
      </c>
    </row>
    <row r="1024" spans="1:14" x14ac:dyDescent="0.35">
      <c r="A1024" t="s">
        <v>300</v>
      </c>
      <c r="B1024" s="5" t="str">
        <f>_xlfn.XLOOKUP(role_course_map[[#This Row],[role_id]], role_data[role_id], role_data[Role],"")</f>
        <v>Neonatal Transport Nurse</v>
      </c>
      <c r="C1024">
        <v>999056</v>
      </c>
      <c r="D1024" s="5" t="str">
        <f>_xlfn.XLOOKUP(role_course_map[[#This Row],[course_id]],course_data[course_id],course_data[title],"")</f>
        <v>Driver Assessment &amp; Training</v>
      </c>
      <c r="E1024" s="5" t="str">
        <f>_xlfn.XLOOKUP(role_course_map[[#This Row],[course_id]],course_data[course_id],course_data[topic],"")</f>
        <v>SAS : Health and Safety</v>
      </c>
      <c r="F1024" s="5" t="str">
        <f>_xlfn.XLOOKUP(role_course_map[[#This Row],[course_id]],course_data[course_id],course_data[type],"")</f>
        <v>eLearning</v>
      </c>
      <c r="K1024" t="str">
        <f>role_course_map[[#This Row],[role_id]] &amp; "|" &amp; role_course_map[[#This Row],[course_id]]</f>
        <v>R0144|999056</v>
      </c>
      <c r="L1024" t="str">
        <f>IF(COUNTIF(role_course_map[mapping_key],role_course_map[[#This Row],[mapping_key]])&gt;1,"DUPLICATE","OK")</f>
        <v>OK</v>
      </c>
      <c r="M1024" t="str">
        <f>IF(COUNTIF(role_data[role_id],role_course_map[[#This Row],[role_id]])=0, "INVALID","VALID")</f>
        <v>VALID</v>
      </c>
      <c r="N1024" t="str">
        <f>IF(COUNTIF(course_data[course_id],role_course_map[[#This Row],[course_id]])=0, "INVALID","VALID")</f>
        <v>VALID</v>
      </c>
    </row>
    <row r="1025" spans="1:14" x14ac:dyDescent="0.35">
      <c r="A1025" t="s">
        <v>300</v>
      </c>
      <c r="B1025" s="5" t="str">
        <f>_xlfn.XLOOKUP(role_course_map[[#This Row],[role_id]], role_data[role_id], role_data[Role],"")</f>
        <v>Neonatal Transport Nurse</v>
      </c>
      <c r="C1025">
        <v>999061</v>
      </c>
      <c r="D1025" s="5" t="str">
        <f>_xlfn.XLOOKUP(role_course_map[[#This Row],[course_id]],course_data[course_id],course_data[title],"")</f>
        <v>Skin Awareness</v>
      </c>
      <c r="E1025" s="5" t="str">
        <f>_xlfn.XLOOKUP(role_course_map[[#This Row],[course_id]],course_data[course_id],course_data[topic],"")</f>
        <v>SAS : Health and Safety</v>
      </c>
      <c r="F1025" s="5" t="str">
        <f>_xlfn.XLOOKUP(role_course_map[[#This Row],[course_id]],course_data[course_id],course_data[type],"")</f>
        <v>eLearning</v>
      </c>
      <c r="K1025" t="str">
        <f>role_course_map[[#This Row],[role_id]] &amp; "|" &amp; role_course_map[[#This Row],[course_id]]</f>
        <v>R0144|999061</v>
      </c>
      <c r="L1025" t="str">
        <f>IF(COUNTIF(role_course_map[mapping_key],role_course_map[[#This Row],[mapping_key]])&gt;1,"DUPLICATE","OK")</f>
        <v>OK</v>
      </c>
      <c r="M1025" t="str">
        <f>IF(COUNTIF(role_data[role_id],role_course_map[[#This Row],[role_id]])=0, "INVALID","VALID")</f>
        <v>VALID</v>
      </c>
      <c r="N1025" t="str">
        <f>IF(COUNTIF(course_data[course_id],role_course_map[[#This Row],[course_id]])=0, "INVALID","VALID")</f>
        <v>VALID</v>
      </c>
    </row>
    <row r="1026" spans="1:14" x14ac:dyDescent="0.35">
      <c r="A1026" t="s">
        <v>298</v>
      </c>
      <c r="B1026" s="5" t="str">
        <f>_xlfn.XLOOKUP(role_course_map[[#This Row],[role_id]], role_data[role_id], role_data[Role],"")</f>
        <v>Neonatal Nurses</v>
      </c>
      <c r="C1026">
        <v>999057</v>
      </c>
      <c r="D1026" s="5" t="str">
        <f>_xlfn.XLOOKUP(role_course_map[[#This Row],[course_id]],course_data[course_id],course_data[title],"")</f>
        <v>Fatigue Awareness</v>
      </c>
      <c r="E1026" s="5" t="str">
        <f>_xlfn.XLOOKUP(role_course_map[[#This Row],[course_id]],course_data[course_id],course_data[topic],"")</f>
        <v>SAS : Health and Safety</v>
      </c>
      <c r="F1026" s="5" t="str">
        <f>_xlfn.XLOOKUP(role_course_map[[#This Row],[course_id]],course_data[course_id],course_data[type],"")</f>
        <v>eLearning</v>
      </c>
      <c r="K1026" t="str">
        <f>role_course_map[[#This Row],[role_id]] &amp; "|" &amp; role_course_map[[#This Row],[course_id]]</f>
        <v>R0143|999057</v>
      </c>
      <c r="L1026" t="str">
        <f>IF(COUNTIF(role_course_map[mapping_key],role_course_map[[#This Row],[mapping_key]])&gt;1,"DUPLICATE","OK")</f>
        <v>OK</v>
      </c>
      <c r="M1026" t="str">
        <f>IF(COUNTIF(role_data[role_id],role_course_map[[#This Row],[role_id]])=0, "INVALID","VALID")</f>
        <v>VALID</v>
      </c>
      <c r="N1026" t="str">
        <f>IF(COUNTIF(course_data[course_id],role_course_map[[#This Row],[course_id]])=0, "INVALID","VALID")</f>
        <v>VALID</v>
      </c>
    </row>
    <row r="1027" spans="1:14" x14ac:dyDescent="0.35">
      <c r="A1027" t="s">
        <v>300</v>
      </c>
      <c r="B1027" s="5" t="str">
        <f>_xlfn.XLOOKUP(role_course_map[[#This Row],[role_id]], role_data[role_id], role_data[Role],"")</f>
        <v>Neonatal Transport Nurse</v>
      </c>
      <c r="C1027">
        <v>999057</v>
      </c>
      <c r="D1027" s="5" t="str">
        <f>_xlfn.XLOOKUP(role_course_map[[#This Row],[course_id]],course_data[course_id],course_data[title],"")</f>
        <v>Fatigue Awareness</v>
      </c>
      <c r="E1027" s="5" t="str">
        <f>_xlfn.XLOOKUP(role_course_map[[#This Row],[course_id]],course_data[course_id],course_data[topic],"")</f>
        <v>SAS : Health and Safety</v>
      </c>
      <c r="F1027" s="5" t="str">
        <f>_xlfn.XLOOKUP(role_course_map[[#This Row],[course_id]],course_data[course_id],course_data[type],"")</f>
        <v>eLearning</v>
      </c>
      <c r="K1027" t="str">
        <f>role_course_map[[#This Row],[role_id]] &amp; "|" &amp; role_course_map[[#This Row],[course_id]]</f>
        <v>R0144|999057</v>
      </c>
      <c r="L1027" t="str">
        <f>IF(COUNTIF(role_course_map[mapping_key],role_course_map[[#This Row],[mapping_key]])&gt;1,"DUPLICATE","OK")</f>
        <v>OK</v>
      </c>
      <c r="M1027" t="str">
        <f>IF(COUNTIF(role_data[role_id],role_course_map[[#This Row],[role_id]])=0, "INVALID","VALID")</f>
        <v>VALID</v>
      </c>
      <c r="N1027" t="str">
        <f>IF(COUNTIF(course_data[course_id],role_course_map[[#This Row],[course_id]])=0, "INVALID","VALID")</f>
        <v>VALID</v>
      </c>
    </row>
    <row r="1028" spans="1:14" x14ac:dyDescent="0.35">
      <c r="A1028" t="s">
        <v>300</v>
      </c>
      <c r="B1028" s="5" t="str">
        <f>_xlfn.XLOOKUP(role_course_map[[#This Row],[role_id]], role_data[role_id], role_data[Role],"")</f>
        <v>Neonatal Transport Nurse</v>
      </c>
      <c r="C1028">
        <v>999027</v>
      </c>
      <c r="D1028" s="5" t="str">
        <f>_xlfn.XLOOKUP(role_course_map[[#This Row],[course_id]],course_data[course_id],course_data[title],"")</f>
        <v>Manual and Patient Handling Foundation Training - Level 2</v>
      </c>
      <c r="E1028" s="5" t="str">
        <f>_xlfn.XLOOKUP(role_course_map[[#This Row],[course_id]],course_data[course_id],course_data[topic],"")</f>
        <v>SAS : Clinical Practice</v>
      </c>
      <c r="F1028" s="5" t="str">
        <f>_xlfn.XLOOKUP(role_course_map[[#This Row],[course_id]],course_data[course_id],course_data[type],"")</f>
        <v>Course</v>
      </c>
      <c r="K1028" t="str">
        <f>role_course_map[[#This Row],[role_id]] &amp; "|" &amp; role_course_map[[#This Row],[course_id]]</f>
        <v>R0144|999027</v>
      </c>
      <c r="L1028" t="str">
        <f>IF(COUNTIF(role_course_map[mapping_key],role_course_map[[#This Row],[mapping_key]])&gt;1,"DUPLICATE","OK")</f>
        <v>OK</v>
      </c>
      <c r="M1028" t="str">
        <f>IF(COUNTIF(role_data[role_id],role_course_map[[#This Row],[role_id]])=0, "INVALID","VALID")</f>
        <v>VALID</v>
      </c>
      <c r="N1028" t="str">
        <f>IF(COUNTIF(course_data[course_id],role_course_map[[#This Row],[course_id]])=0, "INVALID","VALID")</f>
        <v>VALID</v>
      </c>
    </row>
    <row r="1029" spans="1:14" x14ac:dyDescent="0.35">
      <c r="A1029" t="s">
        <v>300</v>
      </c>
      <c r="B1029" s="5" t="str">
        <f>_xlfn.XLOOKUP(role_course_map[[#This Row],[role_id]], role_data[role_id], role_data[Role],"")</f>
        <v>Neonatal Transport Nurse</v>
      </c>
      <c r="C1029">
        <v>999028</v>
      </c>
      <c r="D1029" s="5" t="str">
        <f>_xlfn.XLOOKUP(role_course_map[[#This Row],[course_id]],course_data[course_id],course_data[title],"")</f>
        <v>Manual and Patient Handling Competency Assessment - Level 3</v>
      </c>
      <c r="E1029" s="5" t="str">
        <f>_xlfn.XLOOKUP(role_course_map[[#This Row],[course_id]],course_data[course_id],course_data[topic],"")</f>
        <v>SAS : Clinical Practice</v>
      </c>
      <c r="F1029" s="5" t="str">
        <f>_xlfn.XLOOKUP(role_course_map[[#This Row],[course_id]],course_data[course_id],course_data[type],"")</f>
        <v>Course</v>
      </c>
      <c r="K1029" t="str">
        <f>role_course_map[[#This Row],[role_id]] &amp; "|" &amp; role_course_map[[#This Row],[course_id]]</f>
        <v>R0144|999028</v>
      </c>
      <c r="L1029" t="str">
        <f>IF(COUNTIF(role_course_map[mapping_key],role_course_map[[#This Row],[mapping_key]])&gt;1,"DUPLICATE","OK")</f>
        <v>OK</v>
      </c>
      <c r="M1029" t="str">
        <f>IF(COUNTIF(role_data[role_id],role_course_map[[#This Row],[role_id]])=0, "INVALID","VALID")</f>
        <v>VALID</v>
      </c>
      <c r="N1029" t="str">
        <f>IF(COUNTIF(course_data[course_id],role_course_map[[#This Row],[course_id]])=0, "INVALID","VALID")</f>
        <v>VALID</v>
      </c>
    </row>
    <row r="1030" spans="1:14" x14ac:dyDescent="0.35">
      <c r="A1030" t="s">
        <v>300</v>
      </c>
      <c r="B1030" s="5" t="str">
        <f>_xlfn.XLOOKUP(role_course_map[[#This Row],[role_id]], role_data[role_id], role_data[Role],"")</f>
        <v>Neonatal Transport Nurse</v>
      </c>
      <c r="C1030">
        <v>999029</v>
      </c>
      <c r="D1030" s="5" t="str">
        <f>_xlfn.XLOOKUP(role_course_map[[#This Row],[course_id]],course_data[course_id],course_data[title],"")</f>
        <v>Manual and Patient Handling Competency Assessment Theory - Level 3</v>
      </c>
      <c r="E1030" s="5" t="str">
        <f>_xlfn.XLOOKUP(role_course_map[[#This Row],[course_id]],course_data[course_id],course_data[topic],"")</f>
        <v>SAS : Clinical Practice</v>
      </c>
      <c r="F1030" s="5" t="str">
        <f>_xlfn.XLOOKUP(role_course_map[[#This Row],[course_id]],course_data[course_id],course_data[type],"")</f>
        <v>Course</v>
      </c>
      <c r="K1030" t="str">
        <f>role_course_map[[#This Row],[role_id]] &amp; "|" &amp; role_course_map[[#This Row],[course_id]]</f>
        <v>R0144|999029</v>
      </c>
      <c r="L1030" t="str">
        <f>IF(COUNTIF(role_course_map[mapping_key],role_course_map[[#This Row],[mapping_key]])&gt;1,"DUPLICATE","OK")</f>
        <v>OK</v>
      </c>
      <c r="M1030" t="str">
        <f>IF(COUNTIF(role_data[role_id],role_course_map[[#This Row],[role_id]])=0, "INVALID","VALID")</f>
        <v>VALID</v>
      </c>
      <c r="N1030" t="str">
        <f>IF(COUNTIF(course_data[course_id],role_course_map[[#This Row],[course_id]])=0, "INVALID","VALID")</f>
        <v>VALID</v>
      </c>
    </row>
    <row r="1031" spans="1:14" x14ac:dyDescent="0.35">
      <c r="A1031" t="s">
        <v>300</v>
      </c>
      <c r="B1031" s="5" t="str">
        <f>_xlfn.XLOOKUP(role_course_map[[#This Row],[role_id]], role_data[role_id], role_data[Role],"")</f>
        <v>Neonatal Transport Nurse</v>
      </c>
      <c r="C1031" t="s">
        <v>659</v>
      </c>
      <c r="D1031" s="5" t="str">
        <f>_xlfn.XLOOKUP(role_course_map[[#This Row],[course_id]],course_data[course_id],course_data[title],"")</f>
        <v>Prevention and Management of Violence and Aggression - Breakaway training Level 2 /Restrictive movement Level 3</v>
      </c>
      <c r="E1031" s="5" t="str">
        <f>_xlfn.XLOOKUP(role_course_map[[#This Row],[course_id]],course_data[course_id],course_data[topic],"")</f>
        <v>SAS : Health and Safety</v>
      </c>
      <c r="F1031" s="5" t="str">
        <f>_xlfn.XLOOKUP(role_course_map[[#This Row],[course_id]],course_data[course_id],course_data[type],"")</f>
        <v>Course</v>
      </c>
      <c r="K1031" t="str">
        <f>role_course_map[[#This Row],[role_id]] &amp; "|" &amp; role_course_map[[#This Row],[course_id]]</f>
        <v>R0144|2025-6 edition</v>
      </c>
      <c r="L1031" t="str">
        <f>IF(COUNTIF(role_course_map[mapping_key],role_course_map[[#This Row],[mapping_key]])&gt;1,"DUPLICATE","OK")</f>
        <v>OK</v>
      </c>
      <c r="M1031" t="str">
        <f>IF(COUNTIF(role_data[role_id],role_course_map[[#This Row],[role_id]])=0, "INVALID","VALID")</f>
        <v>VALID</v>
      </c>
      <c r="N1031" t="str">
        <f>IF(COUNTIF(course_data[course_id],role_course_map[[#This Row],[course_id]])=0, "INVALID","VALID")</f>
        <v>VALID</v>
      </c>
    </row>
    <row r="1032" spans="1:14" x14ac:dyDescent="0.35">
      <c r="A1032" t="s">
        <v>300</v>
      </c>
      <c r="B1032" s="5" t="str">
        <f>_xlfn.XLOOKUP(role_course_map[[#This Row],[role_id]], role_data[role_id], role_data[Role],"")</f>
        <v>Neonatal Transport Nurse</v>
      </c>
      <c r="C1032">
        <v>999055</v>
      </c>
      <c r="D1032" s="5" t="str">
        <f>_xlfn.XLOOKUP(role_course_map[[#This Row],[course_id]],course_data[course_id],course_data[title],"")</f>
        <v>Prevention and Management of Violence and Aggression - Refresher</v>
      </c>
      <c r="E1032" s="5" t="str">
        <f>_xlfn.XLOOKUP(role_course_map[[#This Row],[course_id]],course_data[course_id],course_data[topic],"")</f>
        <v>SAS : Health and Safety</v>
      </c>
      <c r="F1032" s="5" t="str">
        <f>_xlfn.XLOOKUP(role_course_map[[#This Row],[course_id]],course_data[course_id],course_data[type],"")</f>
        <v>Course</v>
      </c>
      <c r="K1032" t="str">
        <f>role_course_map[[#This Row],[role_id]] &amp; "|" &amp; role_course_map[[#This Row],[course_id]]</f>
        <v>R0144|999055</v>
      </c>
      <c r="L1032" t="str">
        <f>IF(COUNTIF(role_course_map[mapping_key],role_course_map[[#This Row],[mapping_key]])&gt;1,"DUPLICATE","OK")</f>
        <v>OK</v>
      </c>
      <c r="M1032" t="str">
        <f>IF(COUNTIF(role_data[role_id],role_course_map[[#This Row],[role_id]])=0, "INVALID","VALID")</f>
        <v>VALID</v>
      </c>
      <c r="N1032" t="str">
        <f>IF(COUNTIF(course_data[course_id],role_course_map[[#This Row],[course_id]])=0, "INVALID","VALID")</f>
        <v>VALID</v>
      </c>
    </row>
    <row r="1033" spans="1:14" x14ac:dyDescent="0.35">
      <c r="A1033" t="s">
        <v>300</v>
      </c>
      <c r="B1033" s="5" t="str">
        <f>_xlfn.XLOOKUP(role_course_map[[#This Row],[role_id]], role_data[role_id], role_data[Role],"")</f>
        <v>Neonatal Transport Nurse</v>
      </c>
      <c r="C1033">
        <v>64322</v>
      </c>
      <c r="D1033" s="5" t="str">
        <f>_xlfn.XLOOKUP(role_course_map[[#This Row],[course_id]],course_data[course_id],course_data[title],"")</f>
        <v>Adult support and protection: practice level 2 [skilled]</v>
      </c>
      <c r="E1033" s="5" t="str">
        <f>_xlfn.XLOOKUP(role_course_map[[#This Row],[course_id]],course_data[course_id],course_data[topic],"")</f>
        <v>SAS : Public Protection</v>
      </c>
      <c r="F1033" s="5" t="str">
        <f>_xlfn.XLOOKUP(role_course_map[[#This Row],[course_id]],course_data[course_id],course_data[type],"")</f>
        <v>eLearning</v>
      </c>
      <c r="K1033" t="str">
        <f>role_course_map[[#This Row],[role_id]] &amp; "|" &amp; role_course_map[[#This Row],[course_id]]</f>
        <v>R0144|64322</v>
      </c>
      <c r="L1033" t="str">
        <f>IF(COUNTIF(role_course_map[mapping_key],role_course_map[[#This Row],[mapping_key]])&gt;1,"DUPLICATE","OK")</f>
        <v>OK</v>
      </c>
      <c r="M1033" t="str">
        <f>IF(COUNTIF(role_data[role_id],role_course_map[[#This Row],[role_id]])=0, "INVALID","VALID")</f>
        <v>VALID</v>
      </c>
      <c r="N1033" t="str">
        <f>IF(COUNTIF(course_data[course_id],role_course_map[[#This Row],[course_id]])=0, "INVALID","VALID")</f>
        <v>VALID</v>
      </c>
    </row>
    <row r="1034" spans="1:14" x14ac:dyDescent="0.35">
      <c r="A1034" t="s">
        <v>300</v>
      </c>
      <c r="B1034" s="5" t="str">
        <f>_xlfn.XLOOKUP(role_course_map[[#This Row],[role_id]], role_data[role_id], role_data[Role],"")</f>
        <v>Neonatal Transport Nurse</v>
      </c>
      <c r="C1034">
        <v>64324</v>
      </c>
      <c r="D1034" s="5" t="str">
        <f>_xlfn.XLOOKUP(role_course_map[[#This Row],[course_id]],course_data[course_id],course_data[title],"")</f>
        <v>Child protection: practice level 2 [skilled]</v>
      </c>
      <c r="E1034" s="5" t="str">
        <f>_xlfn.XLOOKUP(role_course_map[[#This Row],[course_id]],course_data[course_id],course_data[topic],"")</f>
        <v>SAS : Public Protection</v>
      </c>
      <c r="F1034" s="5" t="str">
        <f>_xlfn.XLOOKUP(role_course_map[[#This Row],[course_id]],course_data[course_id],course_data[type],"")</f>
        <v>eLearning</v>
      </c>
      <c r="K1034" t="str">
        <f>role_course_map[[#This Row],[role_id]] &amp; "|" &amp; role_course_map[[#This Row],[course_id]]</f>
        <v>R0144|64324</v>
      </c>
      <c r="L1034" t="str">
        <f>IF(COUNTIF(role_course_map[mapping_key],role_course_map[[#This Row],[mapping_key]])&gt;1,"DUPLICATE","OK")</f>
        <v>OK</v>
      </c>
      <c r="M1034" t="str">
        <f>IF(COUNTIF(role_data[role_id],role_course_map[[#This Row],[role_id]])=0, "INVALID","VALID")</f>
        <v>VALID</v>
      </c>
      <c r="N1034" t="str">
        <f>IF(COUNTIF(course_data[course_id],role_course_map[[#This Row],[course_id]])=0, "INVALID","VALID")</f>
        <v>VALID</v>
      </c>
    </row>
    <row r="1035" spans="1:14" x14ac:dyDescent="0.35">
      <c r="A1035" t="s">
        <v>298</v>
      </c>
      <c r="B1035" s="5" t="str">
        <f>_xlfn.XLOOKUP(role_course_map[[#This Row],[role_id]], role_data[role_id], role_data[Role],"")</f>
        <v>Neonatal Nurses</v>
      </c>
      <c r="C1035">
        <v>76716</v>
      </c>
      <c r="D1035" s="5" t="str">
        <f>_xlfn.XLOOKUP(role_course_map[[#This Row],[course_id]],course_data[course_id],course_data[title],"")</f>
        <v>Domestic abuse awareness training tool (DAART)</v>
      </c>
      <c r="E1035" s="5" t="str">
        <f>_xlfn.XLOOKUP(role_course_map[[#This Row],[course_id]],course_data[course_id],course_data[topic],"")</f>
        <v>SAS : Public Protection</v>
      </c>
      <c r="F1035" s="5" t="str">
        <f>_xlfn.XLOOKUP(role_course_map[[#This Row],[course_id]],course_data[course_id],course_data[type],"")</f>
        <v>eLearning</v>
      </c>
      <c r="K1035" t="str">
        <f>role_course_map[[#This Row],[role_id]] &amp; "|" &amp; role_course_map[[#This Row],[course_id]]</f>
        <v>R0143|76716</v>
      </c>
      <c r="L1035" t="str">
        <f>IF(COUNTIF(role_course_map[mapping_key],role_course_map[[#This Row],[mapping_key]])&gt;1,"DUPLICATE","OK")</f>
        <v>OK</v>
      </c>
      <c r="M1035" t="str">
        <f>IF(COUNTIF(role_data[role_id],role_course_map[[#This Row],[role_id]])=0, "INVALID","VALID")</f>
        <v>VALID</v>
      </c>
      <c r="N1035" t="str">
        <f>IF(COUNTIF(course_data[course_id],role_course_map[[#This Row],[course_id]])=0, "INVALID","VALID")</f>
        <v>VALID</v>
      </c>
    </row>
    <row r="1036" spans="1:14" x14ac:dyDescent="0.35">
      <c r="A1036" t="s">
        <v>300</v>
      </c>
      <c r="B1036" s="5" t="str">
        <f>_xlfn.XLOOKUP(role_course_map[[#This Row],[role_id]], role_data[role_id], role_data[Role],"")</f>
        <v>Neonatal Transport Nurse</v>
      </c>
      <c r="C1036">
        <v>76716</v>
      </c>
      <c r="D1036" s="5" t="str">
        <f>_xlfn.XLOOKUP(role_course_map[[#This Row],[course_id]],course_data[course_id],course_data[title],"")</f>
        <v>Domestic abuse awareness training tool (DAART)</v>
      </c>
      <c r="E1036" s="5" t="str">
        <f>_xlfn.XLOOKUP(role_course_map[[#This Row],[course_id]],course_data[course_id],course_data[topic],"")</f>
        <v>SAS : Public Protection</v>
      </c>
      <c r="F1036" s="5" t="str">
        <f>_xlfn.XLOOKUP(role_course_map[[#This Row],[course_id]],course_data[course_id],course_data[type],"")</f>
        <v>eLearning</v>
      </c>
      <c r="K1036" t="str">
        <f>role_course_map[[#This Row],[role_id]] &amp; "|" &amp; role_course_map[[#This Row],[course_id]]</f>
        <v>R0144|76716</v>
      </c>
      <c r="L1036" t="str">
        <f>IF(COUNTIF(role_course_map[mapping_key],role_course_map[[#This Row],[mapping_key]])&gt;1,"DUPLICATE","OK")</f>
        <v>OK</v>
      </c>
      <c r="M1036" t="str">
        <f>IF(COUNTIF(role_data[role_id],role_course_map[[#This Row],[role_id]])=0, "INVALID","VALID")</f>
        <v>VALID</v>
      </c>
      <c r="N1036" t="str">
        <f>IF(COUNTIF(course_data[course_id],role_course_map[[#This Row],[course_id]])=0, "INVALID","VALID")</f>
        <v>VALID</v>
      </c>
    </row>
    <row r="1037" spans="1:14" x14ac:dyDescent="0.35">
      <c r="A1037" t="s">
        <v>300</v>
      </c>
      <c r="B1037" s="5" t="str">
        <f>_xlfn.XLOOKUP(role_course_map[[#This Row],[role_id]], role_data[role_id], role_data[Role],"")</f>
        <v>Neonatal Transport Nurse</v>
      </c>
      <c r="C1037">
        <v>79666</v>
      </c>
      <c r="D1037" s="5" t="str">
        <f>_xlfn.XLOOKUP(role_course_map[[#This Row],[course_id]],course_data[course_id],course_data[title],"")</f>
        <v>Getting it right for every child (GIRFEC): informed level</v>
      </c>
      <c r="E1037" s="5" t="str">
        <f>_xlfn.XLOOKUP(role_course_map[[#This Row],[course_id]],course_data[course_id],course_data[topic],"")</f>
        <v>SAS : Public Protection</v>
      </c>
      <c r="F1037" s="5" t="str">
        <f>_xlfn.XLOOKUP(role_course_map[[#This Row],[course_id]],course_data[course_id],course_data[type],"")</f>
        <v>eLearning</v>
      </c>
      <c r="K1037" t="str">
        <f>role_course_map[[#This Row],[role_id]] &amp; "|" &amp; role_course_map[[#This Row],[course_id]]</f>
        <v>R0144|79666</v>
      </c>
      <c r="L1037" t="str">
        <f>IF(COUNTIF(role_course_map[mapping_key],role_course_map[[#This Row],[mapping_key]])&gt;1,"DUPLICATE","OK")</f>
        <v>OK</v>
      </c>
      <c r="M1037" t="str">
        <f>IF(COUNTIF(role_data[role_id],role_course_map[[#This Row],[role_id]])=0, "INVALID","VALID")</f>
        <v>VALID</v>
      </c>
      <c r="N1037" t="str">
        <f>IF(COUNTIF(course_data[course_id],role_course_map[[#This Row],[course_id]])=0, "INVALID","VALID")</f>
        <v>VALID</v>
      </c>
    </row>
    <row r="1038" spans="1:14" x14ac:dyDescent="0.35">
      <c r="A1038" t="s">
        <v>300</v>
      </c>
      <c r="B1038" s="5" t="str">
        <f>_xlfn.XLOOKUP(role_course_map[[#This Row],[role_id]], role_data[role_id], role_data[Role],"")</f>
        <v>Neonatal Transport Nurse</v>
      </c>
      <c r="C1038">
        <v>999074</v>
      </c>
      <c r="D1038" s="5" t="str">
        <f>_xlfn.XLOOKUP(role_course_map[[#This Row],[course_id]],course_data[course_id],course_data[title],"")</f>
        <v>SAS-specific Children’s rights</v>
      </c>
      <c r="E1038" s="5" t="str">
        <f>_xlfn.XLOOKUP(role_course_map[[#This Row],[course_id]],course_data[course_id],course_data[topic],"")</f>
        <v>SAS : Public Protection</v>
      </c>
      <c r="F1038" s="5" t="str">
        <f>_xlfn.XLOOKUP(role_course_map[[#This Row],[course_id]],course_data[course_id],course_data[type],"")</f>
        <v>eLearning</v>
      </c>
      <c r="K1038" t="str">
        <f>role_course_map[[#This Row],[role_id]] &amp; "|" &amp; role_course_map[[#This Row],[course_id]]</f>
        <v>R0144|999074</v>
      </c>
      <c r="L1038" t="str">
        <f>IF(COUNTIF(role_course_map[mapping_key],role_course_map[[#This Row],[mapping_key]])&gt;1,"DUPLICATE","OK")</f>
        <v>OK</v>
      </c>
      <c r="M1038" t="str">
        <f>IF(COUNTIF(role_data[role_id],role_course_map[[#This Row],[role_id]])=0, "INVALID","VALID")</f>
        <v>VALID</v>
      </c>
      <c r="N1038" t="str">
        <f>IF(COUNTIF(course_data[course_id],role_course_map[[#This Row],[course_id]])=0, "INVALID","VALID")</f>
        <v>VALID</v>
      </c>
    </row>
    <row r="1039" spans="1:14" x14ac:dyDescent="0.35">
      <c r="A1039" t="s">
        <v>300</v>
      </c>
      <c r="B1039" s="5" t="str">
        <f>_xlfn.XLOOKUP(role_course_map[[#This Row],[role_id]], role_data[role_id], role_data[Role],"")</f>
        <v>Neonatal Transport Nurse</v>
      </c>
      <c r="C1039">
        <v>999075</v>
      </c>
      <c r="D1039" s="5" t="str">
        <f>_xlfn.XLOOKUP(role_course_map[[#This Row],[course_id]],course_data[course_id],course_data[title],"")</f>
        <v>Multiagency local or bespoke Level 3 delivery training</v>
      </c>
      <c r="E1039" s="5" t="str">
        <f>_xlfn.XLOOKUP(role_course_map[[#This Row],[course_id]],course_data[course_id],course_data[topic],"")</f>
        <v>SAS : Public Protection</v>
      </c>
      <c r="F1039" s="5" t="str">
        <f>_xlfn.XLOOKUP(role_course_map[[#This Row],[course_id]],course_data[course_id],course_data[type],"")</f>
        <v>eLearning</v>
      </c>
      <c r="K1039" t="str">
        <f>role_course_map[[#This Row],[role_id]] &amp; "|" &amp; role_course_map[[#This Row],[course_id]]</f>
        <v>R0144|999075</v>
      </c>
      <c r="L1039" t="str">
        <f>IF(COUNTIF(role_course_map[mapping_key],role_course_map[[#This Row],[mapping_key]])&gt;1,"DUPLICATE","OK")</f>
        <v>OK</v>
      </c>
      <c r="M1039" t="str">
        <f>IF(COUNTIF(role_data[role_id],role_course_map[[#This Row],[role_id]])=0, "INVALID","VALID")</f>
        <v>VALID</v>
      </c>
      <c r="N1039" t="str">
        <f>IF(COUNTIF(course_data[course_id],role_course_map[[#This Row],[course_id]])=0, "INVALID","VALID")</f>
        <v>VALID</v>
      </c>
    </row>
    <row r="1040" spans="1:14" x14ac:dyDescent="0.35">
      <c r="A1040" t="s">
        <v>300</v>
      </c>
      <c r="B1040" s="5" t="str">
        <f>_xlfn.XLOOKUP(role_course_map[[#This Row],[role_id]], role_data[role_id], role_data[Role],"")</f>
        <v>Neonatal Transport Nurse</v>
      </c>
      <c r="C1040">
        <v>15249</v>
      </c>
      <c r="D1040" s="5" t="str">
        <f>_xlfn.XLOOKUP(role_course_map[[#This Row],[course_id]],course_data[course_id],course_data[title],"")</f>
        <v>Human trafficking</v>
      </c>
      <c r="E1040" s="5" t="str">
        <f>_xlfn.XLOOKUP(role_course_map[[#This Row],[course_id]],course_data[course_id],course_data[topic],"")</f>
        <v>SAS : Public Protection</v>
      </c>
      <c r="F1040" s="5" t="str">
        <f>_xlfn.XLOOKUP(role_course_map[[#This Row],[course_id]],course_data[course_id],course_data[type],"")</f>
        <v>eLearning</v>
      </c>
      <c r="K1040" t="str">
        <f>role_course_map[[#This Row],[role_id]] &amp; "|" &amp; role_course_map[[#This Row],[course_id]]</f>
        <v>R0144|15249</v>
      </c>
      <c r="L1040" t="str">
        <f>IF(COUNTIF(role_course_map[mapping_key],role_course_map[[#This Row],[mapping_key]])&gt;1,"DUPLICATE","OK")</f>
        <v>OK</v>
      </c>
      <c r="M1040" t="str">
        <f>IF(COUNTIF(role_data[role_id],role_course_map[[#This Row],[role_id]])=0, "INVALID","VALID")</f>
        <v>VALID</v>
      </c>
      <c r="N1040" t="str">
        <f>IF(COUNTIF(course_data[course_id],role_course_map[[#This Row],[course_id]])=0, "INVALID","VALID")</f>
        <v>VALID</v>
      </c>
    </row>
    <row r="1041" spans="1:14" x14ac:dyDescent="0.35">
      <c r="A1041" t="s">
        <v>300</v>
      </c>
      <c r="B1041" s="5" t="str">
        <f>_xlfn.XLOOKUP(role_course_map[[#This Row],[role_id]], role_data[role_id], role_data[Role],"")</f>
        <v>Neonatal Transport Nurse</v>
      </c>
      <c r="C1041">
        <v>89161</v>
      </c>
      <c r="D1041" s="5" t="str">
        <f>_xlfn.XLOOKUP(role_course_map[[#This Row],[course_id]],course_data[course_id],course_data[title],"")</f>
        <v>Personal Protective Equipment</v>
      </c>
      <c r="E1041" s="5" t="str">
        <f>_xlfn.XLOOKUP(role_course_map[[#This Row],[course_id]],course_data[course_id],course_data[topic],"")</f>
        <v>SAS : Infection Prevention and Control (IPC)</v>
      </c>
      <c r="F1041" s="5" t="str">
        <f>_xlfn.XLOOKUP(role_course_map[[#This Row],[course_id]],course_data[course_id],course_data[type],"")</f>
        <v>eLearning</v>
      </c>
      <c r="K1041" t="str">
        <f>role_course_map[[#This Row],[role_id]] &amp; "|" &amp; role_course_map[[#This Row],[course_id]]</f>
        <v>R0144|89161</v>
      </c>
      <c r="L1041" t="str">
        <f>IF(COUNTIF(role_course_map[mapping_key],role_course_map[[#This Row],[mapping_key]])&gt;1,"DUPLICATE","OK")</f>
        <v>OK</v>
      </c>
      <c r="M1041" t="str">
        <f>IF(COUNTIF(role_data[role_id],role_course_map[[#This Row],[role_id]])=0, "INVALID","VALID")</f>
        <v>VALID</v>
      </c>
      <c r="N1041" t="str">
        <f>IF(COUNTIF(course_data[course_id],role_course_map[[#This Row],[course_id]])=0, "INVALID","VALID")</f>
        <v>VALID</v>
      </c>
    </row>
    <row r="1042" spans="1:14" x14ac:dyDescent="0.35">
      <c r="A1042" t="s">
        <v>300</v>
      </c>
      <c r="B1042" s="5" t="str">
        <f>_xlfn.XLOOKUP(role_course_map[[#This Row],[role_id]], role_data[role_id], role_data[Role],"")</f>
        <v>Neonatal Transport Nurse</v>
      </c>
      <c r="C1042">
        <v>89157</v>
      </c>
      <c r="D1042" s="5" t="str">
        <f>_xlfn.XLOOKUP(role_course_map[[#This Row],[course_id]],course_data[course_id],course_data[title],"")</f>
        <v>Safe Management of Care Equipment</v>
      </c>
      <c r="E1042" s="5" t="str">
        <f>_xlfn.XLOOKUP(role_course_map[[#This Row],[course_id]],course_data[course_id],course_data[topic],"")</f>
        <v>SAS : Infection Prevention and Control (IPC)</v>
      </c>
      <c r="F1042" s="5" t="str">
        <f>_xlfn.XLOOKUP(role_course_map[[#This Row],[course_id]],course_data[course_id],course_data[type],"")</f>
        <v>eLearning</v>
      </c>
      <c r="K1042" t="str">
        <f>role_course_map[[#This Row],[role_id]] &amp; "|" &amp; role_course_map[[#This Row],[course_id]]</f>
        <v>R0144|89157</v>
      </c>
      <c r="L1042" t="str">
        <f>IF(COUNTIF(role_course_map[mapping_key],role_course_map[[#This Row],[mapping_key]])&gt;1,"DUPLICATE","OK")</f>
        <v>OK</v>
      </c>
      <c r="M1042" t="str">
        <f>IF(COUNTIF(role_data[role_id],role_course_map[[#This Row],[role_id]])=0, "INVALID","VALID")</f>
        <v>VALID</v>
      </c>
      <c r="N1042" t="str">
        <f>IF(COUNTIF(course_data[course_id],role_course_map[[#This Row],[course_id]])=0, "INVALID","VALID")</f>
        <v>VALID</v>
      </c>
    </row>
    <row r="1043" spans="1:14" x14ac:dyDescent="0.35">
      <c r="A1043" t="s">
        <v>300</v>
      </c>
      <c r="B1043" s="5" t="str">
        <f>_xlfn.XLOOKUP(role_course_map[[#This Row],[role_id]], role_data[role_id], role_data[Role],"")</f>
        <v>Neonatal Transport Nurse</v>
      </c>
      <c r="C1043">
        <v>89158</v>
      </c>
      <c r="D1043" s="5" t="str">
        <f>_xlfn.XLOOKUP(role_course_map[[#This Row],[course_id]],course_data[course_id],course_data[title],"")</f>
        <v>Safe Management of Care Environment</v>
      </c>
      <c r="E1043" s="5" t="str">
        <f>_xlfn.XLOOKUP(role_course_map[[#This Row],[course_id]],course_data[course_id],course_data[topic],"")</f>
        <v>SAS : Infection Prevention and Control (IPC)</v>
      </c>
      <c r="F1043" s="5" t="str">
        <f>_xlfn.XLOOKUP(role_course_map[[#This Row],[course_id]],course_data[course_id],course_data[type],"")</f>
        <v>eLearning</v>
      </c>
      <c r="K1043" t="str">
        <f>role_course_map[[#This Row],[role_id]] &amp; "|" &amp; role_course_map[[#This Row],[course_id]]</f>
        <v>R0144|89158</v>
      </c>
      <c r="L1043" t="str">
        <f>IF(COUNTIF(role_course_map[mapping_key],role_course_map[[#This Row],[mapping_key]])&gt;1,"DUPLICATE","OK")</f>
        <v>OK</v>
      </c>
      <c r="M1043" t="str">
        <f>IF(COUNTIF(role_data[role_id],role_course_map[[#This Row],[role_id]])=0, "INVALID","VALID")</f>
        <v>VALID</v>
      </c>
      <c r="N1043" t="str">
        <f>IF(COUNTIF(course_data[course_id],role_course_map[[#This Row],[course_id]])=0, "INVALID","VALID")</f>
        <v>VALID</v>
      </c>
    </row>
    <row r="1044" spans="1:14" x14ac:dyDescent="0.35">
      <c r="A1044" t="s">
        <v>300</v>
      </c>
      <c r="B1044" s="5" t="str">
        <f>_xlfn.XLOOKUP(role_course_map[[#This Row],[role_id]], role_data[role_id], role_data[Role],"")</f>
        <v>Neonatal Transport Nurse</v>
      </c>
      <c r="C1044">
        <v>89159</v>
      </c>
      <c r="D1044" s="5" t="str">
        <f>_xlfn.XLOOKUP(role_course_map[[#This Row],[course_id]],course_data[course_id],course_data[title],"")</f>
        <v>Safe Management of Linen</v>
      </c>
      <c r="E1044" s="5" t="str">
        <f>_xlfn.XLOOKUP(role_course_map[[#This Row],[course_id]],course_data[course_id],course_data[topic],"")</f>
        <v>SAS : Infection Prevention and Control (IPC)</v>
      </c>
      <c r="F1044" s="5" t="str">
        <f>_xlfn.XLOOKUP(role_course_map[[#This Row],[course_id]],course_data[course_id],course_data[type],"")</f>
        <v>eLearning</v>
      </c>
      <c r="K1044" t="str">
        <f>role_course_map[[#This Row],[role_id]] &amp; "|" &amp; role_course_map[[#This Row],[course_id]]</f>
        <v>R0144|89159</v>
      </c>
      <c r="L1044" t="str">
        <f>IF(COUNTIF(role_course_map[mapping_key],role_course_map[[#This Row],[mapping_key]])&gt;1,"DUPLICATE","OK")</f>
        <v>OK</v>
      </c>
      <c r="M1044" t="str">
        <f>IF(COUNTIF(role_data[role_id],role_course_map[[#This Row],[role_id]])=0, "INVALID","VALID")</f>
        <v>VALID</v>
      </c>
      <c r="N1044" t="str">
        <f>IF(COUNTIF(course_data[course_id],role_course_map[[#This Row],[course_id]])=0, "INVALID","VALID")</f>
        <v>VALID</v>
      </c>
    </row>
    <row r="1045" spans="1:14" x14ac:dyDescent="0.35">
      <c r="A1045" t="s">
        <v>300</v>
      </c>
      <c r="B1045" s="5" t="str">
        <f>_xlfn.XLOOKUP(role_course_map[[#This Row],[role_id]], role_data[role_id], role_data[Role],"")</f>
        <v>Neonatal Transport Nurse</v>
      </c>
      <c r="C1045">
        <v>89160</v>
      </c>
      <c r="D1045" s="5" t="str">
        <f>_xlfn.XLOOKUP(role_course_map[[#This Row],[course_id]],course_data[course_id],course_data[title],"")</f>
        <v>Safe Management of blood and body fluids</v>
      </c>
      <c r="E1045" s="5" t="str">
        <f>_xlfn.XLOOKUP(role_course_map[[#This Row],[course_id]],course_data[course_id],course_data[topic],"")</f>
        <v>SAS : Infection Prevention and Control (IPC)</v>
      </c>
      <c r="F1045" s="5" t="str">
        <f>_xlfn.XLOOKUP(role_course_map[[#This Row],[course_id]],course_data[course_id],course_data[type],"")</f>
        <v>eLearning</v>
      </c>
      <c r="K1045" t="str">
        <f>role_course_map[[#This Row],[role_id]] &amp; "|" &amp; role_course_map[[#This Row],[course_id]]</f>
        <v>R0144|89160</v>
      </c>
      <c r="L1045" t="str">
        <f>IF(COUNTIF(role_course_map[mapping_key],role_course_map[[#This Row],[mapping_key]])&gt;1,"DUPLICATE","OK")</f>
        <v>OK</v>
      </c>
      <c r="M1045" t="str">
        <f>IF(COUNTIF(role_data[role_id],role_course_map[[#This Row],[role_id]])=0, "INVALID","VALID")</f>
        <v>VALID</v>
      </c>
      <c r="N1045" t="str">
        <f>IF(COUNTIF(course_data[course_id],role_course_map[[#This Row],[course_id]])=0, "INVALID","VALID")</f>
        <v>VALID</v>
      </c>
    </row>
    <row r="1046" spans="1:14" x14ac:dyDescent="0.35">
      <c r="A1046" t="s">
        <v>300</v>
      </c>
      <c r="B1046" s="5" t="str">
        <f>_xlfn.XLOOKUP(role_course_map[[#This Row],[role_id]], role_data[role_id], role_data[Role],"")</f>
        <v>Neonatal Transport Nurse</v>
      </c>
      <c r="C1046">
        <v>89154</v>
      </c>
      <c r="D1046" s="5" t="str">
        <f>_xlfn.XLOOKUP(role_course_map[[#This Row],[course_id]],course_data[course_id],course_data[title],"")</f>
        <v>Safe disposal of waste</v>
      </c>
      <c r="E1046" s="5" t="str">
        <f>_xlfn.XLOOKUP(role_course_map[[#This Row],[course_id]],course_data[course_id],course_data[topic],"")</f>
        <v>SAS : Infection Prevention and Control (IPC)</v>
      </c>
      <c r="F1046" s="5" t="str">
        <f>_xlfn.XLOOKUP(role_course_map[[#This Row],[course_id]],course_data[course_id],course_data[type],"")</f>
        <v>eLearning</v>
      </c>
      <c r="K1046" t="str">
        <f>role_course_map[[#This Row],[role_id]] &amp; "|" &amp; role_course_map[[#This Row],[course_id]]</f>
        <v>R0144|89154</v>
      </c>
      <c r="L1046" t="str">
        <f>IF(COUNTIF(role_course_map[mapping_key],role_course_map[[#This Row],[mapping_key]])&gt;1,"DUPLICATE","OK")</f>
        <v>OK</v>
      </c>
      <c r="M1046" t="str">
        <f>IF(COUNTIF(role_data[role_id],role_course_map[[#This Row],[role_id]])=0, "INVALID","VALID")</f>
        <v>VALID</v>
      </c>
      <c r="N1046" t="str">
        <f>IF(COUNTIF(course_data[course_id],role_course_map[[#This Row],[course_id]])=0, "INVALID","VALID")</f>
        <v>VALID</v>
      </c>
    </row>
    <row r="1047" spans="1:14" x14ac:dyDescent="0.35">
      <c r="A1047" t="s">
        <v>300</v>
      </c>
      <c r="B1047" s="5" t="str">
        <f>_xlfn.XLOOKUP(role_course_map[[#This Row],[role_id]], role_data[role_id], role_data[Role],"")</f>
        <v>Neonatal Transport Nurse</v>
      </c>
      <c r="C1047">
        <v>89155</v>
      </c>
      <c r="D1047" s="5" t="str">
        <f>_xlfn.XLOOKUP(role_course_map[[#This Row],[course_id]],course_data[course_id],course_data[title],"")</f>
        <v>Prevention &amp; management of occupational exposure</v>
      </c>
      <c r="E1047" s="5" t="str">
        <f>_xlfn.XLOOKUP(role_course_map[[#This Row],[course_id]],course_data[course_id],course_data[topic],"")</f>
        <v>SAS : Infection Prevention and Control (IPC)</v>
      </c>
      <c r="F1047" s="5" t="str">
        <f>_xlfn.XLOOKUP(role_course_map[[#This Row],[course_id]],course_data[course_id],course_data[type],"")</f>
        <v>eLearning</v>
      </c>
      <c r="K1047" t="str">
        <f>role_course_map[[#This Row],[role_id]] &amp; "|" &amp; role_course_map[[#This Row],[course_id]]</f>
        <v>R0144|89155</v>
      </c>
      <c r="L1047" t="str">
        <f>IF(COUNTIF(role_course_map[mapping_key],role_course_map[[#This Row],[mapping_key]])&gt;1,"DUPLICATE","OK")</f>
        <v>OK</v>
      </c>
      <c r="M1047" t="str">
        <f>IF(COUNTIF(role_data[role_id],role_course_map[[#This Row],[role_id]])=0, "INVALID","VALID")</f>
        <v>VALID</v>
      </c>
      <c r="N1047" t="str">
        <f>IF(COUNTIF(course_data[course_id],role_course_map[[#This Row],[course_id]])=0, "INVALID","VALID")</f>
        <v>VALID</v>
      </c>
    </row>
    <row r="1048" spans="1:14" x14ac:dyDescent="0.35">
      <c r="A1048" t="s">
        <v>300</v>
      </c>
      <c r="B1048" s="5" t="str">
        <f>_xlfn.XLOOKUP(role_course_map[[#This Row],[role_id]], role_data[role_id], role_data[Role],"")</f>
        <v>Neonatal Transport Nurse</v>
      </c>
      <c r="C1048">
        <v>999064</v>
      </c>
      <c r="D1048" s="5" t="str">
        <f>_xlfn.XLOOKUP(role_course_map[[#This Row],[course_id]],course_data[course_id],course_data[title],"")</f>
        <v>Infection prevention and control: Clostridioides difficile infection</v>
      </c>
      <c r="E1048" s="5" t="str">
        <f>_xlfn.XLOOKUP(role_course_map[[#This Row],[course_id]],course_data[course_id],course_data[topic],"")</f>
        <v>SAS : Infection Prevention and Control (IPC)</v>
      </c>
      <c r="F1048" s="5" t="str">
        <f>_xlfn.XLOOKUP(role_course_map[[#This Row],[course_id]],course_data[course_id],course_data[type],"")</f>
        <v>eLearning</v>
      </c>
      <c r="K1048" t="str">
        <f>role_course_map[[#This Row],[role_id]] &amp; "|" &amp; role_course_map[[#This Row],[course_id]]</f>
        <v>R0144|999064</v>
      </c>
      <c r="L1048" t="str">
        <f>IF(COUNTIF(role_course_map[mapping_key],role_course_map[[#This Row],[mapping_key]])&gt;1,"DUPLICATE","OK")</f>
        <v>OK</v>
      </c>
      <c r="M1048" t="str">
        <f>IF(COUNTIF(role_data[role_id],role_course_map[[#This Row],[role_id]])=0, "INVALID","VALID")</f>
        <v>VALID</v>
      </c>
      <c r="N1048" t="str">
        <f>IF(COUNTIF(course_data[course_id],role_course_map[[#This Row],[course_id]])=0, "INVALID","VALID")</f>
        <v>VALID</v>
      </c>
    </row>
    <row r="1049" spans="1:14" x14ac:dyDescent="0.35">
      <c r="A1049" t="s">
        <v>300</v>
      </c>
      <c r="B1049" s="5" t="str">
        <f>_xlfn.XLOOKUP(role_course_map[[#This Row],[role_id]], role_data[role_id], role_data[Role],"")</f>
        <v>Neonatal Transport Nurse</v>
      </c>
      <c r="C1049">
        <v>3256</v>
      </c>
      <c r="D1049" s="5" t="str">
        <f>_xlfn.XLOOKUP(role_course_map[[#This Row],[course_id]],course_data[course_id],course_data[title],"")</f>
        <v>Antibiotic Management CHECK THIS IS THE RIGHT ONE</v>
      </c>
      <c r="E1049" s="5" t="str">
        <f>_xlfn.XLOOKUP(role_course_map[[#This Row],[course_id]],course_data[course_id],course_data[topic],"")</f>
        <v>SAS : Infection Prevention and Control (IPC)</v>
      </c>
      <c r="F1049" s="5" t="str">
        <f>_xlfn.XLOOKUP(role_course_map[[#This Row],[course_id]],course_data[course_id],course_data[type],"")</f>
        <v>eLearning</v>
      </c>
      <c r="K1049" t="str">
        <f>role_course_map[[#This Row],[role_id]] &amp; "|" &amp; role_course_map[[#This Row],[course_id]]</f>
        <v>R0144|3256</v>
      </c>
      <c r="L1049" t="str">
        <f>IF(COUNTIF(role_course_map[mapping_key],role_course_map[[#This Row],[mapping_key]])&gt;1,"DUPLICATE","OK")</f>
        <v>OK</v>
      </c>
      <c r="M1049" t="str">
        <f>IF(COUNTIF(role_data[role_id],role_course_map[[#This Row],[role_id]])=0, "INVALID","VALID")</f>
        <v>VALID</v>
      </c>
      <c r="N1049" t="str">
        <f>IF(COUNTIF(course_data[course_id],role_course_map[[#This Row],[course_id]])=0, "INVALID","VALID")</f>
        <v>VALID</v>
      </c>
    </row>
    <row r="1050" spans="1:14" x14ac:dyDescent="0.35">
      <c r="A1050" t="s">
        <v>300</v>
      </c>
      <c r="B1050" s="5" t="str">
        <f>_xlfn.XLOOKUP(role_course_map[[#This Row],[role_id]], role_data[role_id], role_data[Role],"")</f>
        <v>Neonatal Transport Nurse</v>
      </c>
      <c r="C1050">
        <v>82383</v>
      </c>
      <c r="D1050" s="5" t="str">
        <f>_xlfn.XLOOKUP(role_course_map[[#This Row],[course_id]],course_data[course_id],course_data[title],"")</f>
        <v>Aseptic technique</v>
      </c>
      <c r="E1050" s="5" t="str">
        <f>_xlfn.XLOOKUP(role_course_map[[#This Row],[course_id]],course_data[course_id],course_data[topic],"")</f>
        <v>SAS : Infection Prevention and Control (IPC)</v>
      </c>
      <c r="F1050" s="5" t="str">
        <f>_xlfn.XLOOKUP(role_course_map[[#This Row],[course_id]],course_data[course_id],course_data[type],"")</f>
        <v>eLearning</v>
      </c>
      <c r="K1050" t="str">
        <f>role_course_map[[#This Row],[role_id]] &amp; "|" &amp; role_course_map[[#This Row],[course_id]]</f>
        <v>R0144|82383</v>
      </c>
      <c r="L1050" t="str">
        <f>IF(COUNTIF(role_course_map[mapping_key],role_course_map[[#This Row],[mapping_key]])&gt;1,"DUPLICATE","OK")</f>
        <v>OK</v>
      </c>
      <c r="M1050" t="str">
        <f>IF(COUNTIF(role_data[role_id],role_course_map[[#This Row],[role_id]])=0, "INVALID","VALID")</f>
        <v>VALID</v>
      </c>
      <c r="N1050" t="str">
        <f>IF(COUNTIF(course_data[course_id],role_course_map[[#This Row],[course_id]])=0, "INVALID","VALID")</f>
        <v>VALID</v>
      </c>
    </row>
    <row r="1051" spans="1:14" x14ac:dyDescent="0.35">
      <c r="A1051" t="s">
        <v>300</v>
      </c>
      <c r="B1051" s="5" t="str">
        <f>_xlfn.XLOOKUP(role_course_map[[#This Row],[role_id]], role_data[role_id], role_data[Role],"")</f>
        <v>Neonatal Transport Nurse</v>
      </c>
      <c r="C1051">
        <v>3886</v>
      </c>
      <c r="D1051" s="5" t="str">
        <f>_xlfn.XLOOKUP(role_course_map[[#This Row],[course_id]],course_data[course_id],course_data[title],"")</f>
        <v>Prevention and management of pressure ulcers</v>
      </c>
      <c r="E1051" s="5" t="str">
        <f>_xlfn.XLOOKUP(role_course_map[[#This Row],[course_id]],course_data[course_id],course_data[topic],"")</f>
        <v>SAS : Clinical Practice</v>
      </c>
      <c r="F1051" s="5" t="str">
        <f>_xlfn.XLOOKUP(role_course_map[[#This Row],[course_id]],course_data[course_id],course_data[type],"")</f>
        <v>Page</v>
      </c>
      <c r="K1051" t="str">
        <f>role_course_map[[#This Row],[role_id]] &amp; "|" &amp; role_course_map[[#This Row],[course_id]]</f>
        <v>R0144|3886</v>
      </c>
      <c r="L1051" t="str">
        <f>IF(COUNTIF(role_course_map[mapping_key],role_course_map[[#This Row],[mapping_key]])&gt;1,"DUPLICATE","OK")</f>
        <v>OK</v>
      </c>
      <c r="M1051" t="str">
        <f>IF(COUNTIF(role_data[role_id],role_course_map[[#This Row],[role_id]])=0, "INVALID","VALID")</f>
        <v>VALID</v>
      </c>
      <c r="N1051" t="str">
        <f>IF(COUNTIF(course_data[course_id],role_course_map[[#This Row],[course_id]])=0, "INVALID","VALID")</f>
        <v>VALID</v>
      </c>
    </row>
    <row r="1052" spans="1:14" x14ac:dyDescent="0.35">
      <c r="A1052" t="s">
        <v>298</v>
      </c>
      <c r="B1052" s="5" t="str">
        <f>_xlfn.XLOOKUP(role_course_map[[#This Row],[role_id]], role_data[role_id], role_data[Role],"")</f>
        <v>Neonatal Nurses</v>
      </c>
      <c r="C1052">
        <v>999094</v>
      </c>
      <c r="D1052" s="5" t="str">
        <f>_xlfn.XLOOKUP(role_course_map[[#This Row],[course_id]],course_data[course_id],course_data[title],"")</f>
        <v>Being well, Mind, Body &amp; Workplace</v>
      </c>
      <c r="E1052" s="5" t="str">
        <f>_xlfn.XLOOKUP(role_course_map[[#This Row],[course_id]],course_data[course_id],course_data[topic],"")</f>
        <v>SAS: Staff development and experience</v>
      </c>
      <c r="F1052" s="5" t="str">
        <f>_xlfn.XLOOKUP(role_course_map[[#This Row],[course_id]],course_data[course_id],course_data[type],"")</f>
        <v>eLearning</v>
      </c>
      <c r="K1052" t="str">
        <f>role_course_map[[#This Row],[role_id]] &amp; "|" &amp; role_course_map[[#This Row],[course_id]]</f>
        <v>R0143|999094</v>
      </c>
      <c r="L1052" t="str">
        <f>IF(COUNTIF(role_course_map[mapping_key],role_course_map[[#This Row],[mapping_key]])&gt;1,"DUPLICATE","OK")</f>
        <v>OK</v>
      </c>
      <c r="M1052" t="str">
        <f>IF(COUNTIF(role_data[role_id],role_course_map[[#This Row],[role_id]])=0, "INVALID","VALID")</f>
        <v>VALID</v>
      </c>
      <c r="N1052" t="str">
        <f>IF(COUNTIF(course_data[course_id],role_course_map[[#This Row],[course_id]])=0, "INVALID","VALID")</f>
        <v>VALID</v>
      </c>
    </row>
    <row r="1053" spans="1:14" x14ac:dyDescent="0.35">
      <c r="A1053" t="s">
        <v>300</v>
      </c>
      <c r="B1053" s="5" t="str">
        <f>_xlfn.XLOOKUP(role_course_map[[#This Row],[role_id]], role_data[role_id], role_data[Role],"")</f>
        <v>Neonatal Transport Nurse</v>
      </c>
      <c r="C1053">
        <v>999094</v>
      </c>
      <c r="D1053" s="5" t="str">
        <f>_xlfn.XLOOKUP(role_course_map[[#This Row],[course_id]],course_data[course_id],course_data[title],"")</f>
        <v>Being well, Mind, Body &amp; Workplace</v>
      </c>
      <c r="E1053" s="5" t="str">
        <f>_xlfn.XLOOKUP(role_course_map[[#This Row],[course_id]],course_data[course_id],course_data[topic],"")</f>
        <v>SAS: Staff development and experience</v>
      </c>
      <c r="F1053" s="5" t="str">
        <f>_xlfn.XLOOKUP(role_course_map[[#This Row],[course_id]],course_data[course_id],course_data[type],"")</f>
        <v>eLearning</v>
      </c>
      <c r="K1053" t="str">
        <f>role_course_map[[#This Row],[role_id]] &amp; "|" &amp; role_course_map[[#This Row],[course_id]]</f>
        <v>R0144|999094</v>
      </c>
      <c r="L1053" t="str">
        <f>IF(COUNTIF(role_course_map[mapping_key],role_course_map[[#This Row],[mapping_key]])&gt;1,"DUPLICATE","OK")</f>
        <v>OK</v>
      </c>
      <c r="M1053" t="str">
        <f>IF(COUNTIF(role_data[role_id],role_course_map[[#This Row],[role_id]])=0, "INVALID","VALID")</f>
        <v>VALID</v>
      </c>
      <c r="N1053" t="str">
        <f>IF(COUNTIF(course_data[course_id],role_course_map[[#This Row],[course_id]])=0, "INVALID","VALID")</f>
        <v>VALID</v>
      </c>
    </row>
    <row r="1054" spans="1:14" x14ac:dyDescent="0.35">
      <c r="A1054" t="s">
        <v>300</v>
      </c>
      <c r="B1054" s="5" t="str">
        <f>_xlfn.XLOOKUP(role_course_map[[#This Row],[role_id]], role_data[role_id], role_data[Role],"")</f>
        <v>Neonatal Transport Nurse</v>
      </c>
      <c r="C1054">
        <v>999077</v>
      </c>
      <c r="D1054" s="5" t="str">
        <f>_xlfn.XLOOKUP(role_course_map[[#This Row],[course_id]],course_data[course_id],course_data[title],"")</f>
        <v>ScotSTAR: Role specific Orientation &amp; Induction</v>
      </c>
      <c r="E1054" s="5" t="str">
        <f>_xlfn.XLOOKUP(role_course_map[[#This Row],[course_id]],course_data[course_id],course_data[topic],"")</f>
        <v>SAS : ScotSTAR</v>
      </c>
      <c r="F1054" s="5" t="str">
        <f>_xlfn.XLOOKUP(role_course_map[[#This Row],[course_id]],course_data[course_id],course_data[type],"")</f>
        <v>Course</v>
      </c>
      <c r="K1054" t="str">
        <f>role_course_map[[#This Row],[role_id]] &amp; "|" &amp; role_course_map[[#This Row],[course_id]]</f>
        <v>R0144|999077</v>
      </c>
      <c r="L1054" t="str">
        <f>IF(COUNTIF(role_course_map[mapping_key],role_course_map[[#This Row],[mapping_key]])&gt;1,"DUPLICATE","OK")</f>
        <v>OK</v>
      </c>
      <c r="M1054" t="str">
        <f>IF(COUNTIF(role_data[role_id],role_course_map[[#This Row],[role_id]])=0, "INVALID","VALID")</f>
        <v>VALID</v>
      </c>
      <c r="N1054" t="str">
        <f>IF(COUNTIF(course_data[course_id],role_course_map[[#This Row],[course_id]])=0, "INVALID","VALID")</f>
        <v>VALID</v>
      </c>
    </row>
    <row r="1055" spans="1:14" x14ac:dyDescent="0.35">
      <c r="A1055" t="s">
        <v>298</v>
      </c>
      <c r="B1055" s="5" t="str">
        <f>_xlfn.XLOOKUP(role_course_map[[#This Row],[role_id]], role_data[role_id], role_data[Role],"")</f>
        <v>Neonatal Nurses</v>
      </c>
      <c r="C1055">
        <v>999080</v>
      </c>
      <c r="D1055" s="5" t="str">
        <f>_xlfn.XLOOKUP(role_course_map[[#This Row],[course_id]],course_data[course_id],course_data[title],"")</f>
        <v>HUET (on line)</v>
      </c>
      <c r="E1055" s="5" t="str">
        <f>_xlfn.XLOOKUP(role_course_map[[#This Row],[course_id]],course_data[course_id],course_data[topic],"")</f>
        <v>SAS : ScotSTAR</v>
      </c>
      <c r="F1055" s="5" t="str">
        <f>_xlfn.XLOOKUP(role_course_map[[#This Row],[course_id]],course_data[course_id],course_data[type],"")</f>
        <v>eLearning</v>
      </c>
      <c r="K1055" t="str">
        <f>role_course_map[[#This Row],[role_id]] &amp; "|" &amp; role_course_map[[#This Row],[course_id]]</f>
        <v>R0143|999080</v>
      </c>
      <c r="L1055" t="str">
        <f>IF(COUNTIF(role_course_map[mapping_key],role_course_map[[#This Row],[mapping_key]])&gt;1,"DUPLICATE","OK")</f>
        <v>OK</v>
      </c>
      <c r="M1055" t="str">
        <f>IF(COUNTIF(role_data[role_id],role_course_map[[#This Row],[role_id]])=0, "INVALID","VALID")</f>
        <v>VALID</v>
      </c>
      <c r="N1055" t="str">
        <f>IF(COUNTIF(course_data[course_id],role_course_map[[#This Row],[course_id]])=0, "INVALID","VALID")</f>
        <v>VALID</v>
      </c>
    </row>
    <row r="1056" spans="1:14" x14ac:dyDescent="0.35">
      <c r="A1056" t="s">
        <v>302</v>
      </c>
      <c r="B1056" s="5" t="str">
        <f>_xlfn.XLOOKUP(role_course_map[[#This Row],[role_id]], role_data[role_id], role_data[Role],"")</f>
        <v>Nurse Consultant</v>
      </c>
      <c r="C1056">
        <v>999009</v>
      </c>
      <c r="D1056" s="5" t="str">
        <f>_xlfn.XLOOKUP(role_course_map[[#This Row],[course_id]],course_data[course_id],course_data[title],"")</f>
        <v>Life Support</v>
      </c>
      <c r="E1056" s="5" t="str">
        <f>_xlfn.XLOOKUP(role_course_map[[#This Row],[course_id]],course_data[course_id],course_data[topic],"")</f>
        <v>SAS : Clinical Practice</v>
      </c>
      <c r="F1056" s="5" t="str">
        <f>_xlfn.XLOOKUP(role_course_map[[#This Row],[course_id]],course_data[course_id],course_data[type],"")</f>
        <v>Course</v>
      </c>
      <c r="K1056" t="str">
        <f>role_course_map[[#This Row],[role_id]] &amp; "|" &amp; role_course_map[[#This Row],[course_id]]</f>
        <v>R0145|999009</v>
      </c>
      <c r="L1056" t="str">
        <f>IF(COUNTIF(role_course_map[mapping_key],role_course_map[[#This Row],[mapping_key]])&gt;1,"DUPLICATE","OK")</f>
        <v>OK</v>
      </c>
      <c r="M1056" t="str">
        <f>IF(COUNTIF(role_data[role_id],role_course_map[[#This Row],[role_id]])=0, "INVALID","VALID")</f>
        <v>VALID</v>
      </c>
      <c r="N1056" t="str">
        <f>IF(COUNTIF(course_data[course_id],role_course_map[[#This Row],[course_id]])=0, "INVALID","VALID")</f>
        <v>VALID</v>
      </c>
    </row>
    <row r="1057" spans="1:14" x14ac:dyDescent="0.35">
      <c r="A1057" t="s">
        <v>302</v>
      </c>
      <c r="B1057" s="5" t="str">
        <f>_xlfn.XLOOKUP(role_course_map[[#This Row],[role_id]], role_data[role_id], role_data[Role],"")</f>
        <v>Nurse Consultant</v>
      </c>
      <c r="C1057">
        <v>999007</v>
      </c>
      <c r="D1057" s="5" t="str">
        <f>_xlfn.XLOOKUP(role_course_map[[#This Row],[course_id]],course_data[course_id],course_data[title],"")</f>
        <v>Obstetrics</v>
      </c>
      <c r="E1057" s="5" t="str">
        <f>_xlfn.XLOOKUP(role_course_map[[#This Row],[course_id]],course_data[course_id],course_data[topic],"")</f>
        <v>SAS : Clinical Practice</v>
      </c>
      <c r="F1057" s="5" t="str">
        <f>_xlfn.XLOOKUP(role_course_map[[#This Row],[course_id]],course_data[course_id],course_data[type],"")</f>
        <v>Course</v>
      </c>
      <c r="K1057" t="str">
        <f>role_course_map[[#This Row],[role_id]] &amp; "|" &amp; role_course_map[[#This Row],[course_id]]</f>
        <v>R0145|999007</v>
      </c>
      <c r="L1057" t="str">
        <f>IF(COUNTIF(role_course_map[mapping_key],role_course_map[[#This Row],[mapping_key]])&gt;1,"DUPLICATE","OK")</f>
        <v>OK</v>
      </c>
      <c r="M1057" t="str">
        <f>IF(COUNTIF(role_data[role_id],role_course_map[[#This Row],[role_id]])=0, "INVALID","VALID")</f>
        <v>VALID</v>
      </c>
      <c r="N1057" t="str">
        <f>IF(COUNTIF(course_data[course_id],role_course_map[[#This Row],[course_id]])=0, "INVALID","VALID")</f>
        <v>VALID</v>
      </c>
    </row>
    <row r="1058" spans="1:14" x14ac:dyDescent="0.35">
      <c r="A1058" t="s">
        <v>302</v>
      </c>
      <c r="B1058" s="5" t="str">
        <f>_xlfn.XLOOKUP(role_course_map[[#This Row],[role_id]], role_data[role_id], role_data[Role],"")</f>
        <v>Nurse Consultant</v>
      </c>
      <c r="C1058">
        <v>999008</v>
      </c>
      <c r="D1058" s="5" t="str">
        <f>_xlfn.XLOOKUP(role_course_map[[#This Row],[course_id]],course_data[course_id],course_data[title],"")</f>
        <v>Obstetrics</v>
      </c>
      <c r="E1058" s="5" t="str">
        <f>_xlfn.XLOOKUP(role_course_map[[#This Row],[course_id]],course_data[course_id],course_data[topic],"")</f>
        <v>SAS : Clinical Practice</v>
      </c>
      <c r="F1058" s="5" t="str">
        <f>_xlfn.XLOOKUP(role_course_map[[#This Row],[course_id]],course_data[course_id],course_data[type],"")</f>
        <v>eLearning</v>
      </c>
      <c r="K1058" t="str">
        <f>role_course_map[[#This Row],[role_id]] &amp; "|" &amp; role_course_map[[#This Row],[course_id]]</f>
        <v>R0145|999008</v>
      </c>
      <c r="L1058" t="str">
        <f>IF(COUNTIF(role_course_map[mapping_key],role_course_map[[#This Row],[mapping_key]])&gt;1,"DUPLICATE","OK")</f>
        <v>OK</v>
      </c>
      <c r="M1058" t="str">
        <f>IF(COUNTIF(role_data[role_id],role_course_map[[#This Row],[role_id]])=0, "INVALID","VALID")</f>
        <v>VALID</v>
      </c>
      <c r="N1058" t="str">
        <f>IF(COUNTIF(course_data[course_id],role_course_map[[#This Row],[course_id]])=0, "INVALID","VALID")</f>
        <v>VALID</v>
      </c>
    </row>
    <row r="1059" spans="1:14" x14ac:dyDescent="0.35">
      <c r="A1059" t="s">
        <v>302</v>
      </c>
      <c r="B1059" s="5" t="str">
        <f>_xlfn.XLOOKUP(role_course_map[[#This Row],[role_id]], role_data[role_id], role_data[Role],"")</f>
        <v>Nurse Consultant</v>
      </c>
      <c r="C1059">
        <v>999010</v>
      </c>
      <c r="D1059" s="5" t="str">
        <f>_xlfn.XLOOKUP(role_course_map[[#This Row],[course_id]],course_data[course_id],course_data[title],"")</f>
        <v>Paediatrics</v>
      </c>
      <c r="E1059" s="5" t="str">
        <f>_xlfn.XLOOKUP(role_course_map[[#This Row],[course_id]],course_data[course_id],course_data[topic],"")</f>
        <v>SAS : Clinical Practice</v>
      </c>
      <c r="F1059" s="5" t="str">
        <f>_xlfn.XLOOKUP(role_course_map[[#This Row],[course_id]],course_data[course_id],course_data[type],"")</f>
        <v>Course</v>
      </c>
      <c r="K1059" t="str">
        <f>role_course_map[[#This Row],[role_id]] &amp; "|" &amp; role_course_map[[#This Row],[course_id]]</f>
        <v>R0145|999010</v>
      </c>
      <c r="L1059" t="str">
        <f>IF(COUNTIF(role_course_map[mapping_key],role_course_map[[#This Row],[mapping_key]])&gt;1,"DUPLICATE","OK")</f>
        <v>OK</v>
      </c>
      <c r="M1059" t="str">
        <f>IF(COUNTIF(role_data[role_id],role_course_map[[#This Row],[role_id]])=0, "INVALID","VALID")</f>
        <v>VALID</v>
      </c>
      <c r="N1059" t="str">
        <f>IF(COUNTIF(course_data[course_id],role_course_map[[#This Row],[course_id]])=0, "INVALID","VALID")</f>
        <v>VALID</v>
      </c>
    </row>
    <row r="1060" spans="1:14" x14ac:dyDescent="0.35">
      <c r="A1060" t="s">
        <v>302</v>
      </c>
      <c r="B1060" s="5" t="str">
        <f>_xlfn.XLOOKUP(role_course_map[[#This Row],[role_id]], role_data[role_id], role_data[Role],"")</f>
        <v>Nurse Consultant</v>
      </c>
      <c r="C1060">
        <v>999011</v>
      </c>
      <c r="D1060" s="5" t="str">
        <f>_xlfn.XLOOKUP(role_course_map[[#This Row],[course_id]],course_data[course_id],course_data[title],"")</f>
        <v>Paediatrics</v>
      </c>
      <c r="E1060" s="5" t="str">
        <f>_xlfn.XLOOKUP(role_course_map[[#This Row],[course_id]],course_data[course_id],course_data[topic],"")</f>
        <v>SAS : Clinical Practice</v>
      </c>
      <c r="F1060" s="5" t="str">
        <f>_xlfn.XLOOKUP(role_course_map[[#This Row],[course_id]],course_data[course_id],course_data[type],"")</f>
        <v>eLearning</v>
      </c>
      <c r="K1060" t="str">
        <f>role_course_map[[#This Row],[role_id]] &amp; "|" &amp; role_course_map[[#This Row],[course_id]]</f>
        <v>R0145|999011</v>
      </c>
      <c r="L1060" t="str">
        <f>IF(COUNTIF(role_course_map[mapping_key],role_course_map[[#This Row],[mapping_key]])&gt;1,"DUPLICATE","OK")</f>
        <v>OK</v>
      </c>
      <c r="M1060" t="str">
        <f>IF(COUNTIF(role_data[role_id],role_course_map[[#This Row],[role_id]])=0, "INVALID","VALID")</f>
        <v>VALID</v>
      </c>
      <c r="N1060" t="str">
        <f>IF(COUNTIF(course_data[course_id],role_course_map[[#This Row],[course_id]])=0, "INVALID","VALID")</f>
        <v>VALID</v>
      </c>
    </row>
    <row r="1061" spans="1:14" x14ac:dyDescent="0.35">
      <c r="A1061" t="s">
        <v>302</v>
      </c>
      <c r="B1061" s="5" t="str">
        <f>_xlfn.XLOOKUP(role_course_map[[#This Row],[role_id]], role_data[role_id], role_data[Role],"")</f>
        <v>Nurse Consultant</v>
      </c>
      <c r="C1061">
        <v>999012</v>
      </c>
      <c r="D1061" s="5" t="str">
        <f>_xlfn.XLOOKUP(role_course_map[[#This Row],[course_id]],course_data[course_id],course_data[title],"")</f>
        <v>Trauma</v>
      </c>
      <c r="E1061" s="5" t="str">
        <f>_xlfn.XLOOKUP(role_course_map[[#This Row],[course_id]],course_data[course_id],course_data[topic],"")</f>
        <v>SAS : Clinical Practice</v>
      </c>
      <c r="F1061" s="5" t="str">
        <f>_xlfn.XLOOKUP(role_course_map[[#This Row],[course_id]],course_data[course_id],course_data[type],"")</f>
        <v>Course</v>
      </c>
      <c r="K1061" t="str">
        <f>role_course_map[[#This Row],[role_id]] &amp; "|" &amp; role_course_map[[#This Row],[course_id]]</f>
        <v>R0145|999012</v>
      </c>
      <c r="L1061" t="str">
        <f>IF(COUNTIF(role_course_map[mapping_key],role_course_map[[#This Row],[mapping_key]])&gt;1,"DUPLICATE","OK")</f>
        <v>OK</v>
      </c>
      <c r="M1061" t="str">
        <f>IF(COUNTIF(role_data[role_id],role_course_map[[#This Row],[role_id]])=0, "INVALID","VALID")</f>
        <v>VALID</v>
      </c>
      <c r="N1061" t="str">
        <f>IF(COUNTIF(course_data[course_id],role_course_map[[#This Row],[course_id]])=0, "INVALID","VALID")</f>
        <v>VALID</v>
      </c>
    </row>
    <row r="1062" spans="1:14" x14ac:dyDescent="0.35">
      <c r="A1062" t="s">
        <v>302</v>
      </c>
      <c r="B1062" s="5" t="str">
        <f>_xlfn.XLOOKUP(role_course_map[[#This Row],[role_id]], role_data[role_id], role_data[Role],"")</f>
        <v>Nurse Consultant</v>
      </c>
      <c r="C1062">
        <v>999013</v>
      </c>
      <c r="D1062" s="5" t="str">
        <f>_xlfn.XLOOKUP(role_course_map[[#This Row],[course_id]],course_data[course_id],course_data[title],"")</f>
        <v>Trauma</v>
      </c>
      <c r="E1062" s="5" t="str">
        <f>_xlfn.XLOOKUP(role_course_map[[#This Row],[course_id]],course_data[course_id],course_data[topic],"")</f>
        <v>SAS : Clinical Practice</v>
      </c>
      <c r="F1062" s="5" t="str">
        <f>_xlfn.XLOOKUP(role_course_map[[#This Row],[course_id]],course_data[course_id],course_data[type],"")</f>
        <v>eLearning</v>
      </c>
      <c r="K1062" t="str">
        <f>role_course_map[[#This Row],[role_id]] &amp; "|" &amp; role_course_map[[#This Row],[course_id]]</f>
        <v>R0145|999013</v>
      </c>
      <c r="L1062" t="str">
        <f>IF(COUNTIF(role_course_map[mapping_key],role_course_map[[#This Row],[mapping_key]])&gt;1,"DUPLICATE","OK")</f>
        <v>OK</v>
      </c>
      <c r="M1062" t="str">
        <f>IF(COUNTIF(role_data[role_id],role_course_map[[#This Row],[role_id]])=0, "INVALID","VALID")</f>
        <v>VALID</v>
      </c>
      <c r="N1062" t="str">
        <f>IF(COUNTIF(course_data[course_id],role_course_map[[#This Row],[course_id]])=0, "INVALID","VALID")</f>
        <v>VALID</v>
      </c>
    </row>
    <row r="1063" spans="1:14" x14ac:dyDescent="0.35">
      <c r="A1063" t="s">
        <v>302</v>
      </c>
      <c r="B1063" s="5" t="str">
        <f>_xlfn.XLOOKUP(role_course_map[[#This Row],[role_id]], role_data[role_id], role_data[Role],"")</f>
        <v>Nurse Consultant</v>
      </c>
      <c r="C1063">
        <v>999014</v>
      </c>
      <c r="D1063" s="5" t="str">
        <f>_xlfn.XLOOKUP(role_course_map[[#This Row],[course_id]],course_data[course_id],course_data[title],"")</f>
        <v>Patient Assessment</v>
      </c>
      <c r="E1063" s="5" t="str">
        <f>_xlfn.XLOOKUP(role_course_map[[#This Row],[course_id]],course_data[course_id],course_data[topic],"")</f>
        <v>SAS : Clinical Practice</v>
      </c>
      <c r="F1063" s="5" t="str">
        <f>_xlfn.XLOOKUP(role_course_map[[#This Row],[course_id]],course_data[course_id],course_data[type],"")</f>
        <v>Course</v>
      </c>
      <c r="K1063" t="str">
        <f>role_course_map[[#This Row],[role_id]] &amp; "|" &amp; role_course_map[[#This Row],[course_id]]</f>
        <v>R0145|999014</v>
      </c>
      <c r="L1063" t="str">
        <f>IF(COUNTIF(role_course_map[mapping_key],role_course_map[[#This Row],[mapping_key]])&gt;1,"DUPLICATE","OK")</f>
        <v>OK</v>
      </c>
      <c r="M1063" t="str">
        <f>IF(COUNTIF(role_data[role_id],role_course_map[[#This Row],[role_id]])=0, "INVALID","VALID")</f>
        <v>VALID</v>
      </c>
      <c r="N1063" t="str">
        <f>IF(COUNTIF(course_data[course_id],role_course_map[[#This Row],[course_id]])=0, "INVALID","VALID")</f>
        <v>VALID</v>
      </c>
    </row>
    <row r="1064" spans="1:14" x14ac:dyDescent="0.35">
      <c r="A1064" t="s">
        <v>302</v>
      </c>
      <c r="B1064" s="5" t="str">
        <f>_xlfn.XLOOKUP(role_course_map[[#This Row],[role_id]], role_data[role_id], role_data[Role],"")</f>
        <v>Nurse Consultant</v>
      </c>
      <c r="C1064">
        <v>999015</v>
      </c>
      <c r="D1064" s="5" t="str">
        <f>_xlfn.XLOOKUP(role_course_map[[#This Row],[course_id]],course_data[course_id],course_data[title],"")</f>
        <v>Patient Assessment</v>
      </c>
      <c r="E1064" s="5" t="str">
        <f>_xlfn.XLOOKUP(role_course_map[[#This Row],[course_id]],course_data[course_id],course_data[topic],"")</f>
        <v>SAS : Clinical Practice</v>
      </c>
      <c r="F1064" s="5" t="str">
        <f>_xlfn.XLOOKUP(role_course_map[[#This Row],[course_id]],course_data[course_id],course_data[type],"")</f>
        <v>eLearning</v>
      </c>
      <c r="K1064" t="str">
        <f>role_course_map[[#This Row],[role_id]] &amp; "|" &amp; role_course_map[[#This Row],[course_id]]</f>
        <v>R0145|999015</v>
      </c>
      <c r="L1064" t="str">
        <f>IF(COUNTIF(role_course_map[mapping_key],role_course_map[[#This Row],[mapping_key]])&gt;1,"DUPLICATE","OK")</f>
        <v>OK</v>
      </c>
      <c r="M1064" t="str">
        <f>IF(COUNTIF(role_data[role_id],role_course_map[[#This Row],[role_id]])=0, "INVALID","VALID")</f>
        <v>VALID</v>
      </c>
      <c r="N1064" t="str">
        <f>IF(COUNTIF(course_data[course_id],role_course_map[[#This Row],[course_id]])=0, "INVALID","VALID")</f>
        <v>VALID</v>
      </c>
    </row>
    <row r="1065" spans="1:14" x14ac:dyDescent="0.35">
      <c r="A1065" t="s">
        <v>302</v>
      </c>
      <c r="B1065" s="5" t="str">
        <f>_xlfn.XLOOKUP(role_course_map[[#This Row],[role_id]], role_data[role_id], role_data[Role],"")</f>
        <v>Nurse Consultant</v>
      </c>
      <c r="C1065">
        <v>999016</v>
      </c>
      <c r="D1065" s="5" t="str">
        <f>_xlfn.XLOOKUP(role_course_map[[#This Row],[course_id]],course_data[course_id],course_data[title],"")</f>
        <v>Clinical Skills</v>
      </c>
      <c r="E1065" s="5" t="str">
        <f>_xlfn.XLOOKUP(role_course_map[[#This Row],[course_id]],course_data[course_id],course_data[topic],"")</f>
        <v>SAS : Clinical Practice</v>
      </c>
      <c r="F1065" s="5" t="str">
        <f>_xlfn.XLOOKUP(role_course_map[[#This Row],[course_id]],course_data[course_id],course_data[type],"")</f>
        <v>Course</v>
      </c>
      <c r="K1065" t="str">
        <f>role_course_map[[#This Row],[role_id]] &amp; "|" &amp; role_course_map[[#This Row],[course_id]]</f>
        <v>R0145|999016</v>
      </c>
      <c r="L1065" t="str">
        <f>IF(COUNTIF(role_course_map[mapping_key],role_course_map[[#This Row],[mapping_key]])&gt;1,"DUPLICATE","OK")</f>
        <v>OK</v>
      </c>
      <c r="M1065" t="str">
        <f>IF(COUNTIF(role_data[role_id],role_course_map[[#This Row],[role_id]])=0, "INVALID","VALID")</f>
        <v>VALID</v>
      </c>
      <c r="N1065" t="str">
        <f>IF(COUNTIF(course_data[course_id],role_course_map[[#This Row],[course_id]])=0, "INVALID","VALID")</f>
        <v>VALID</v>
      </c>
    </row>
    <row r="1066" spans="1:14" x14ac:dyDescent="0.35">
      <c r="A1066" t="s">
        <v>302</v>
      </c>
      <c r="B1066" s="5" t="str">
        <f>_xlfn.XLOOKUP(role_course_map[[#This Row],[role_id]], role_data[role_id], role_data[Role],"")</f>
        <v>Nurse Consultant</v>
      </c>
      <c r="C1066">
        <v>999017</v>
      </c>
      <c r="D1066" s="5" t="str">
        <f>_xlfn.XLOOKUP(role_course_map[[#This Row],[course_id]],course_data[course_id],course_data[title],"")</f>
        <v>Clinical Skills</v>
      </c>
      <c r="E1066" s="5" t="str">
        <f>_xlfn.XLOOKUP(role_course_map[[#This Row],[course_id]],course_data[course_id],course_data[topic],"")</f>
        <v>SAS : Clinical Practice</v>
      </c>
      <c r="F1066" s="5" t="str">
        <f>_xlfn.XLOOKUP(role_course_map[[#This Row],[course_id]],course_data[course_id],course_data[type],"")</f>
        <v>eLearning</v>
      </c>
      <c r="K1066" t="str">
        <f>role_course_map[[#This Row],[role_id]] &amp; "|" &amp; role_course_map[[#This Row],[course_id]]</f>
        <v>R0145|999017</v>
      </c>
      <c r="L1066" t="str">
        <f>IF(COUNTIF(role_course_map[mapping_key],role_course_map[[#This Row],[mapping_key]])&gt;1,"DUPLICATE","OK")</f>
        <v>OK</v>
      </c>
      <c r="M1066" t="str">
        <f>IF(COUNTIF(role_data[role_id],role_course_map[[#This Row],[role_id]])=0, "INVALID","VALID")</f>
        <v>VALID</v>
      </c>
      <c r="N1066" t="str">
        <f>IF(COUNTIF(course_data[course_id],role_course_map[[#This Row],[course_id]])=0, "INVALID","VALID")</f>
        <v>VALID</v>
      </c>
    </row>
    <row r="1067" spans="1:14" x14ac:dyDescent="0.35">
      <c r="A1067" t="s">
        <v>302</v>
      </c>
      <c r="B1067" s="5" t="str">
        <f>_xlfn.XLOOKUP(role_course_map[[#This Row],[role_id]], role_data[role_id], role_data[Role],"")</f>
        <v>Nurse Consultant</v>
      </c>
      <c r="C1067">
        <v>999018</v>
      </c>
      <c r="D1067" s="5" t="str">
        <f>_xlfn.XLOOKUP(role_course_map[[#This Row],[course_id]],course_data[course_id],course_data[title],"")</f>
        <v>Learning from Events</v>
      </c>
      <c r="E1067" s="5" t="str">
        <f>_xlfn.XLOOKUP(role_course_map[[#This Row],[course_id]],course_data[course_id],course_data[topic],"")</f>
        <v>SAS : Clinical Practice</v>
      </c>
      <c r="F1067" s="5" t="str">
        <f>_xlfn.XLOOKUP(role_course_map[[#This Row],[course_id]],course_data[course_id],course_data[type],"")</f>
        <v>eLearning</v>
      </c>
      <c r="K1067" t="str">
        <f>role_course_map[[#This Row],[role_id]] &amp; "|" &amp; role_course_map[[#This Row],[course_id]]</f>
        <v>R0145|999018</v>
      </c>
      <c r="L1067" t="str">
        <f>IF(COUNTIF(role_course_map[mapping_key],role_course_map[[#This Row],[mapping_key]])&gt;1,"DUPLICATE","OK")</f>
        <v>OK</v>
      </c>
      <c r="M1067" t="str">
        <f>IF(COUNTIF(role_data[role_id],role_course_map[[#This Row],[role_id]])=0, "INVALID","VALID")</f>
        <v>VALID</v>
      </c>
      <c r="N1067" t="str">
        <f>IF(COUNTIF(course_data[course_id],role_course_map[[#This Row],[course_id]])=0, "INVALID","VALID")</f>
        <v>VALID</v>
      </c>
    </row>
    <row r="1068" spans="1:14" x14ac:dyDescent="0.35">
      <c r="A1068" t="s">
        <v>302</v>
      </c>
      <c r="B1068" s="5" t="str">
        <f>_xlfn.XLOOKUP(role_course_map[[#This Row],[role_id]], role_data[role_id], role_data[Role],"")</f>
        <v>Nurse Consultant</v>
      </c>
      <c r="C1068">
        <v>999019</v>
      </c>
      <c r="D1068" s="5" t="str">
        <f>_xlfn.XLOOKUP(role_course_map[[#This Row],[course_id]],course_data[course_id],course_data[title],"")</f>
        <v>Medicines Management</v>
      </c>
      <c r="E1068" s="5" t="str">
        <f>_xlfn.XLOOKUP(role_course_map[[#This Row],[course_id]],course_data[course_id],course_data[topic],"")</f>
        <v>SAS : Clinical Practice</v>
      </c>
      <c r="F1068" s="5" t="str">
        <f>_xlfn.XLOOKUP(role_course_map[[#This Row],[course_id]],course_data[course_id],course_data[type],"")</f>
        <v>eLearning</v>
      </c>
      <c r="K1068" t="str">
        <f>role_course_map[[#This Row],[role_id]] &amp; "|" &amp; role_course_map[[#This Row],[course_id]]</f>
        <v>R0145|999019</v>
      </c>
      <c r="L1068" t="str">
        <f>IF(COUNTIF(role_course_map[mapping_key],role_course_map[[#This Row],[mapping_key]])&gt;1,"DUPLICATE","OK")</f>
        <v>OK</v>
      </c>
      <c r="M1068" t="str">
        <f>IF(COUNTIF(role_data[role_id],role_course_map[[#This Row],[role_id]])=0, "INVALID","VALID")</f>
        <v>VALID</v>
      </c>
      <c r="N1068" t="str">
        <f>IF(COUNTIF(course_data[course_id],role_course_map[[#This Row],[course_id]])=0, "INVALID","VALID")</f>
        <v>VALID</v>
      </c>
    </row>
    <row r="1069" spans="1:14" x14ac:dyDescent="0.35">
      <c r="A1069" t="s">
        <v>302</v>
      </c>
      <c r="B1069" s="5" t="str">
        <f>_xlfn.XLOOKUP(role_course_map[[#This Row],[role_id]], role_data[role_id], role_data[Role],"")</f>
        <v>Nurse Consultant</v>
      </c>
      <c r="C1069">
        <v>999020</v>
      </c>
      <c r="D1069" s="5" t="str">
        <f>_xlfn.XLOOKUP(role_course_map[[#This Row],[course_id]],course_data[course_id],course_data[title],"")</f>
        <v>JRCALC Update</v>
      </c>
      <c r="E1069" s="5" t="str">
        <f>_xlfn.XLOOKUP(role_course_map[[#This Row],[course_id]],course_data[course_id],course_data[topic],"")</f>
        <v>SAS : Clinical Practice</v>
      </c>
      <c r="F1069" s="5" t="str">
        <f>_xlfn.XLOOKUP(role_course_map[[#This Row],[course_id]],course_data[course_id],course_data[type],"")</f>
        <v>eLearning</v>
      </c>
      <c r="K1069" t="str">
        <f>role_course_map[[#This Row],[role_id]] &amp; "|" &amp; role_course_map[[#This Row],[course_id]]</f>
        <v>R0145|999020</v>
      </c>
      <c r="L1069" t="str">
        <f>IF(COUNTIF(role_course_map[mapping_key],role_course_map[[#This Row],[mapping_key]])&gt;1,"DUPLICATE","OK")</f>
        <v>OK</v>
      </c>
      <c r="M1069" t="str">
        <f>IF(COUNTIF(role_data[role_id],role_course_map[[#This Row],[role_id]])=0, "INVALID","VALID")</f>
        <v>VALID</v>
      </c>
      <c r="N1069" t="str">
        <f>IF(COUNTIF(course_data[course_id],role_course_map[[#This Row],[course_id]])=0, "INVALID","VALID")</f>
        <v>VALID</v>
      </c>
    </row>
    <row r="1070" spans="1:14" x14ac:dyDescent="0.35">
      <c r="A1070" t="s">
        <v>302</v>
      </c>
      <c r="B1070" s="5" t="str">
        <f>_xlfn.XLOOKUP(role_course_map[[#This Row],[role_id]], role_data[role_id], role_data[Role],"")</f>
        <v>Nurse Consultant</v>
      </c>
      <c r="C1070">
        <v>999021</v>
      </c>
      <c r="D1070" s="5" t="str">
        <f>_xlfn.XLOOKUP(role_course_map[[#This Row],[course_id]],course_data[course_id],course_data[title],"")</f>
        <v>Mental Health</v>
      </c>
      <c r="E1070" s="5" t="str">
        <f>_xlfn.XLOOKUP(role_course_map[[#This Row],[course_id]],course_data[course_id],course_data[topic],"")</f>
        <v>SAS : Clinical Practice</v>
      </c>
      <c r="F1070" s="5" t="str">
        <f>_xlfn.XLOOKUP(role_course_map[[#This Row],[course_id]],course_data[course_id],course_data[type],"")</f>
        <v>eLearning</v>
      </c>
      <c r="K1070" t="str">
        <f>role_course_map[[#This Row],[role_id]] &amp; "|" &amp; role_course_map[[#This Row],[course_id]]</f>
        <v>R0145|999021</v>
      </c>
      <c r="L1070" t="str">
        <f>IF(COUNTIF(role_course_map[mapping_key],role_course_map[[#This Row],[mapping_key]])&gt;1,"DUPLICATE","OK")</f>
        <v>OK</v>
      </c>
      <c r="M1070" t="str">
        <f>IF(COUNTIF(role_data[role_id],role_course_map[[#This Row],[role_id]])=0, "INVALID","VALID")</f>
        <v>VALID</v>
      </c>
      <c r="N1070" t="str">
        <f>IF(COUNTIF(course_data[course_id],role_course_map[[#This Row],[course_id]])=0, "INVALID","VALID")</f>
        <v>VALID</v>
      </c>
    </row>
    <row r="1071" spans="1:14" x14ac:dyDescent="0.35">
      <c r="A1071" t="s">
        <v>302</v>
      </c>
      <c r="B1071" s="5" t="str">
        <f>_xlfn.XLOOKUP(role_course_map[[#This Row],[role_id]], role_data[role_id], role_data[Role],"")</f>
        <v>Nurse Consultant</v>
      </c>
      <c r="C1071">
        <v>999022</v>
      </c>
      <c r="D1071" s="5" t="str">
        <f>_xlfn.XLOOKUP(role_course_map[[#This Row],[course_id]],course_data[course_id],course_data[title],"")</f>
        <v>Learning Disabilities</v>
      </c>
      <c r="E1071" s="5" t="str">
        <f>_xlfn.XLOOKUP(role_course_map[[#This Row],[course_id]],course_data[course_id],course_data[topic],"")</f>
        <v>SAS : Clinical Practice</v>
      </c>
      <c r="F1071" s="5" t="str">
        <f>_xlfn.XLOOKUP(role_course_map[[#This Row],[course_id]],course_data[course_id],course_data[type],"")</f>
        <v>eLearning</v>
      </c>
      <c r="K1071" t="str">
        <f>role_course_map[[#This Row],[role_id]] &amp; "|" &amp; role_course_map[[#This Row],[course_id]]</f>
        <v>R0145|999022</v>
      </c>
      <c r="L1071" t="str">
        <f>IF(COUNTIF(role_course_map[mapping_key],role_course_map[[#This Row],[mapping_key]])&gt;1,"DUPLICATE","OK")</f>
        <v>OK</v>
      </c>
      <c r="M1071" t="str">
        <f>IF(COUNTIF(role_data[role_id],role_course_map[[#This Row],[role_id]])=0, "INVALID","VALID")</f>
        <v>VALID</v>
      </c>
      <c r="N1071" t="str">
        <f>IF(COUNTIF(course_data[course_id],role_course_map[[#This Row],[course_id]])=0, "INVALID","VALID")</f>
        <v>VALID</v>
      </c>
    </row>
    <row r="1072" spans="1:14" x14ac:dyDescent="0.35">
      <c r="A1072" t="s">
        <v>302</v>
      </c>
      <c r="B1072" s="5" t="str">
        <f>_xlfn.XLOOKUP(role_course_map[[#This Row],[role_id]], role_data[role_id], role_data[Role],"")</f>
        <v>Nurse Consultant</v>
      </c>
      <c r="C1072">
        <v>75202</v>
      </c>
      <c r="D1072" s="5" t="str">
        <f>_xlfn.XLOOKUP(role_course_map[[#This Row],[course_id]],course_data[course_id],course_data[title],"")</f>
        <v>SAS : Clinical Practice</v>
      </c>
      <c r="E1072" s="5" t="str">
        <f>_xlfn.XLOOKUP(role_course_map[[#This Row],[course_id]],course_data[course_id],course_data[topic],"")</f>
        <v>SAS : Clinical Practice</v>
      </c>
      <c r="F1072" s="5" t="str">
        <f>_xlfn.XLOOKUP(role_course_map[[#This Row],[course_id]],course_data[course_id],course_data[type],"")</f>
        <v>Page</v>
      </c>
      <c r="K1072" t="str">
        <f>role_course_map[[#This Row],[role_id]] &amp; "|" &amp; role_course_map[[#This Row],[course_id]]</f>
        <v>R0145|75202</v>
      </c>
      <c r="L1072" t="str">
        <f>IF(COUNTIF(role_course_map[mapping_key],role_course_map[[#This Row],[mapping_key]])&gt;1,"DUPLICATE","OK")</f>
        <v>OK</v>
      </c>
      <c r="M1072" t="str">
        <f>IF(COUNTIF(role_data[role_id],role_course_map[[#This Row],[role_id]])=0, "INVALID","VALID")</f>
        <v>VALID</v>
      </c>
      <c r="N1072" t="str">
        <f>IF(COUNTIF(course_data[course_id],role_course_map[[#This Row],[course_id]])=0, "INVALID","VALID")</f>
        <v>VALID</v>
      </c>
    </row>
    <row r="1073" spans="1:14" x14ac:dyDescent="0.35">
      <c r="A1073" t="s">
        <v>302</v>
      </c>
      <c r="B1073" s="5" t="str">
        <f>_xlfn.XLOOKUP(role_course_map[[#This Row],[role_id]], role_data[role_id], role_data[Role],"")</f>
        <v>Nurse Consultant</v>
      </c>
      <c r="C1073">
        <v>999023</v>
      </c>
      <c r="D1073" s="5" t="str">
        <f>_xlfn.XLOOKUP(role_course_map[[#This Row],[course_id]],course_data[course_id],course_data[title],"")</f>
        <v>Dementia</v>
      </c>
      <c r="E1073" s="5" t="str">
        <f>_xlfn.XLOOKUP(role_course_map[[#This Row],[course_id]],course_data[course_id],course_data[topic],"")</f>
        <v>SAS : Clinical Practice</v>
      </c>
      <c r="F1073" s="5" t="str">
        <f>_xlfn.XLOOKUP(role_course_map[[#This Row],[course_id]],course_data[course_id],course_data[type],"")</f>
        <v>eLearning</v>
      </c>
      <c r="K1073" t="str">
        <f>role_course_map[[#This Row],[role_id]] &amp; "|" &amp; role_course_map[[#This Row],[course_id]]</f>
        <v>R0145|999023</v>
      </c>
      <c r="L1073" t="str">
        <f>IF(COUNTIF(role_course_map[mapping_key],role_course_map[[#This Row],[mapping_key]])&gt;1,"DUPLICATE","OK")</f>
        <v>OK</v>
      </c>
      <c r="M1073" t="str">
        <f>IF(COUNTIF(role_data[role_id],role_course_map[[#This Row],[role_id]])=0, "INVALID","VALID")</f>
        <v>VALID</v>
      </c>
      <c r="N1073" t="str">
        <f>IF(COUNTIF(course_data[course_id],role_course_map[[#This Row],[course_id]])=0, "INVALID","VALID")</f>
        <v>VALID</v>
      </c>
    </row>
    <row r="1074" spans="1:14" x14ac:dyDescent="0.35">
      <c r="A1074" t="s">
        <v>302</v>
      </c>
      <c r="B1074" s="5" t="str">
        <f>_xlfn.XLOOKUP(role_course_map[[#This Row],[role_id]], role_data[role_id], role_data[Role],"")</f>
        <v>Nurse Consultant</v>
      </c>
      <c r="C1074">
        <v>999024</v>
      </c>
      <c r="D1074" s="5" t="str">
        <f>_xlfn.XLOOKUP(role_course_map[[#This Row],[course_id]],course_data[course_id],course_data[title],"")</f>
        <v>Conditions requiring specific hospital management. I.e. Parkinsons</v>
      </c>
      <c r="E1074" s="5" t="str">
        <f>_xlfn.XLOOKUP(role_course_map[[#This Row],[course_id]],course_data[course_id],course_data[topic],"")</f>
        <v>SAS : Clinical Practice</v>
      </c>
      <c r="F1074" s="5" t="str">
        <f>_xlfn.XLOOKUP(role_course_map[[#This Row],[course_id]],course_data[course_id],course_data[type],"")</f>
        <v>eLearning</v>
      </c>
      <c r="K1074" t="str">
        <f>role_course_map[[#This Row],[role_id]] &amp; "|" &amp; role_course_map[[#This Row],[course_id]]</f>
        <v>R0145|999024</v>
      </c>
      <c r="L1074" t="str">
        <f>IF(COUNTIF(role_course_map[mapping_key],role_course_map[[#This Row],[mapping_key]])&gt;1,"DUPLICATE","OK")</f>
        <v>OK</v>
      </c>
      <c r="M1074" t="str">
        <f>IF(COUNTIF(role_data[role_id],role_course_map[[#This Row],[role_id]])=0, "INVALID","VALID")</f>
        <v>VALID</v>
      </c>
      <c r="N1074" t="str">
        <f>IF(COUNTIF(course_data[course_id],role_course_map[[#This Row],[course_id]])=0, "INVALID","VALID")</f>
        <v>VALID</v>
      </c>
    </row>
    <row r="1075" spans="1:14" x14ac:dyDescent="0.35">
      <c r="A1075" t="s">
        <v>302</v>
      </c>
      <c r="B1075" s="5" t="str">
        <f>_xlfn.XLOOKUP(role_course_map[[#This Row],[role_id]], role_data[role_id], role_data[Role],"")</f>
        <v>Nurse Consultant</v>
      </c>
      <c r="C1075">
        <v>999095</v>
      </c>
      <c r="D1075" s="5" t="str">
        <f>_xlfn.XLOOKUP(role_course_map[[#This Row],[course_id]],course_data[course_id],course_data[title],"")</f>
        <v>Mentoring</v>
      </c>
      <c r="E1075" s="5" t="str">
        <f>_xlfn.XLOOKUP(role_course_map[[#This Row],[course_id]],course_data[course_id],course_data[topic],"")</f>
        <v>SAS: Staff development and experience</v>
      </c>
      <c r="F1075" s="5" t="str">
        <f>_xlfn.XLOOKUP(role_course_map[[#This Row],[course_id]],course_data[course_id],course_data[type],"")</f>
        <v>eLearning</v>
      </c>
      <c r="K1075" t="str">
        <f>role_course_map[[#This Row],[role_id]] &amp; "|" &amp; role_course_map[[#This Row],[course_id]]</f>
        <v>R0145|999095</v>
      </c>
      <c r="L1075" t="str">
        <f>IF(COUNTIF(role_course_map[mapping_key],role_course_map[[#This Row],[mapping_key]])&gt;1,"DUPLICATE","OK")</f>
        <v>OK</v>
      </c>
      <c r="M1075" t="str">
        <f>IF(COUNTIF(role_data[role_id],role_course_map[[#This Row],[role_id]])=0, "INVALID","VALID")</f>
        <v>VALID</v>
      </c>
      <c r="N1075" t="str">
        <f>IF(COUNTIF(course_data[course_id],role_course_map[[#This Row],[course_id]])=0, "INVALID","VALID")</f>
        <v>VALID</v>
      </c>
    </row>
    <row r="1076" spans="1:14" x14ac:dyDescent="0.35">
      <c r="A1076" t="s">
        <v>302</v>
      </c>
      <c r="B1076" s="5" t="str">
        <f>_xlfn.XLOOKUP(role_course_map[[#This Row],[role_id]], role_data[role_id], role_data[Role],"")</f>
        <v>Nurse Consultant</v>
      </c>
      <c r="C1076">
        <v>999096</v>
      </c>
      <c r="D1076" s="5" t="str">
        <f>_xlfn.XLOOKUP(role_course_map[[#This Row],[course_id]],course_data[course_id],course_data[title],"")</f>
        <v>Supporting others in practice (Supervision)</v>
      </c>
      <c r="E1076" s="5" t="str">
        <f>_xlfn.XLOOKUP(role_course_map[[#This Row],[course_id]],course_data[course_id],course_data[topic],"")</f>
        <v>SAS: Staff development and experience</v>
      </c>
      <c r="F1076" s="5" t="str">
        <f>_xlfn.XLOOKUP(role_course_map[[#This Row],[course_id]],course_data[course_id],course_data[type],"")</f>
        <v>Course</v>
      </c>
      <c r="K1076" t="str">
        <f>role_course_map[[#This Row],[role_id]] &amp; "|" &amp; role_course_map[[#This Row],[course_id]]</f>
        <v>R0145|999096</v>
      </c>
      <c r="L1076" t="str">
        <f>IF(COUNTIF(role_course_map[mapping_key],role_course_map[[#This Row],[mapping_key]])&gt;1,"DUPLICATE","OK")</f>
        <v>OK</v>
      </c>
      <c r="M1076" t="str">
        <f>IF(COUNTIF(role_data[role_id],role_course_map[[#This Row],[role_id]])=0, "INVALID","VALID")</f>
        <v>VALID</v>
      </c>
      <c r="N1076" t="str">
        <f>IF(COUNTIF(course_data[course_id],role_course_map[[#This Row],[course_id]])=0, "INVALID","VALID")</f>
        <v>VALID</v>
      </c>
    </row>
    <row r="1077" spans="1:14" x14ac:dyDescent="0.35">
      <c r="A1077" t="s">
        <v>302</v>
      </c>
      <c r="B1077" s="5" t="str">
        <f>_xlfn.XLOOKUP(role_course_map[[#This Row],[role_id]], role_data[role_id], role_data[Role],"")</f>
        <v>Nurse Consultant</v>
      </c>
      <c r="C1077">
        <v>999097</v>
      </c>
      <c r="D1077" s="5" t="str">
        <f>_xlfn.XLOOKUP(role_course_map[[#This Row],[course_id]],course_data[course_id],course_data[title],"")</f>
        <v>Personal Wellbeing</v>
      </c>
      <c r="E1077" s="5" t="str">
        <f>_xlfn.XLOOKUP(role_course_map[[#This Row],[course_id]],course_data[course_id],course_data[topic],"")</f>
        <v>SAS: Staff development and experience</v>
      </c>
      <c r="F1077" s="5" t="str">
        <f>_xlfn.XLOOKUP(role_course_map[[#This Row],[course_id]],course_data[course_id],course_data[type],"")</f>
        <v>eLearning</v>
      </c>
      <c r="K1077" t="str">
        <f>role_course_map[[#This Row],[role_id]] &amp; "|" &amp; role_course_map[[#This Row],[course_id]]</f>
        <v>R0145|999097</v>
      </c>
      <c r="L1077" t="str">
        <f>IF(COUNTIF(role_course_map[mapping_key],role_course_map[[#This Row],[mapping_key]])&gt;1,"DUPLICATE","OK")</f>
        <v>OK</v>
      </c>
      <c r="M1077" t="str">
        <f>IF(COUNTIF(role_data[role_id],role_course_map[[#This Row],[role_id]])=0, "INVALID","VALID")</f>
        <v>VALID</v>
      </c>
      <c r="N1077" t="str">
        <f>IF(COUNTIF(course_data[course_id],role_course_map[[#This Row],[course_id]])=0, "INVALID","VALID")</f>
        <v>VALID</v>
      </c>
    </row>
    <row r="1078" spans="1:14" x14ac:dyDescent="0.35">
      <c r="A1078" t="s">
        <v>302</v>
      </c>
      <c r="B1078" s="5" t="str">
        <f>_xlfn.XLOOKUP(role_course_map[[#This Row],[role_id]], role_data[role_id], role_data[Role],"")</f>
        <v>Nurse Consultant</v>
      </c>
      <c r="C1078">
        <v>999059</v>
      </c>
      <c r="D1078" s="5" t="str">
        <f>_xlfn.XLOOKUP(role_course_map[[#This Row],[course_id]],course_data[course_id],course_data[title],"")</f>
        <v>Driving update (practical)</v>
      </c>
      <c r="E1078" s="5" t="str">
        <f>_xlfn.XLOOKUP(role_course_map[[#This Row],[course_id]],course_data[course_id],course_data[topic],"")</f>
        <v>SAS : Health and Safety</v>
      </c>
      <c r="F1078" s="5" t="str">
        <f>_xlfn.XLOOKUP(role_course_map[[#This Row],[course_id]],course_data[course_id],course_data[type],"")</f>
        <v>Course</v>
      </c>
      <c r="K1078" t="str">
        <f>role_course_map[[#This Row],[role_id]] &amp; "|" &amp; role_course_map[[#This Row],[course_id]]</f>
        <v>R0145|999059</v>
      </c>
      <c r="L1078" t="str">
        <f>IF(COUNTIF(role_course_map[mapping_key],role_course_map[[#This Row],[mapping_key]])&gt;1,"DUPLICATE","OK")</f>
        <v>OK</v>
      </c>
      <c r="M1078" t="str">
        <f>IF(COUNTIF(role_data[role_id],role_course_map[[#This Row],[role_id]])=0, "INVALID","VALID")</f>
        <v>VALID</v>
      </c>
      <c r="N1078" t="str">
        <f>IF(COUNTIF(course_data[course_id],role_course_map[[#This Row],[course_id]])=0, "INVALID","VALID")</f>
        <v>VALID</v>
      </c>
    </row>
    <row r="1079" spans="1:14" x14ac:dyDescent="0.35">
      <c r="A1079" t="s">
        <v>302</v>
      </c>
      <c r="B1079" s="5" t="str">
        <f>_xlfn.XLOOKUP(role_course_map[[#This Row],[role_id]], role_data[role_id], role_data[Role],"")</f>
        <v>Nurse Consultant</v>
      </c>
      <c r="C1079">
        <v>999060</v>
      </c>
      <c r="D1079" s="5" t="str">
        <f>_xlfn.XLOOKUP(role_course_map[[#This Row],[course_id]],course_data[course_id],course_data[title],"")</f>
        <v>COSHH</v>
      </c>
      <c r="E1079" s="5" t="str">
        <f>_xlfn.XLOOKUP(role_course_map[[#This Row],[course_id]],course_data[course_id],course_data[topic],"")</f>
        <v>SAS : Health and Safety</v>
      </c>
      <c r="F1079" s="5" t="str">
        <f>_xlfn.XLOOKUP(role_course_map[[#This Row],[course_id]],course_data[course_id],course_data[type],"")</f>
        <v>eLearning</v>
      </c>
      <c r="K1079" t="str">
        <f>role_course_map[[#This Row],[role_id]] &amp; "|" &amp; role_course_map[[#This Row],[course_id]]</f>
        <v>R0145|999060</v>
      </c>
      <c r="L1079" t="str">
        <f>IF(COUNTIF(role_course_map[mapping_key],role_course_map[[#This Row],[mapping_key]])&gt;1,"DUPLICATE","OK")</f>
        <v>OK</v>
      </c>
      <c r="M1079" t="str">
        <f>IF(COUNTIF(role_data[role_id],role_course_map[[#This Row],[role_id]])=0, "INVALID","VALID")</f>
        <v>VALID</v>
      </c>
      <c r="N1079" t="str">
        <f>IF(COUNTIF(course_data[course_id],role_course_map[[#This Row],[course_id]])=0, "INVALID","VALID")</f>
        <v>VALID</v>
      </c>
    </row>
    <row r="1080" spans="1:14" x14ac:dyDescent="0.35">
      <c r="A1080" t="s">
        <v>302</v>
      </c>
      <c r="B1080" s="5" t="str">
        <f>_xlfn.XLOOKUP(role_course_map[[#This Row],[role_id]], role_data[role_id], role_data[Role],"")</f>
        <v>Nurse Consultant</v>
      </c>
      <c r="C1080">
        <v>999066</v>
      </c>
      <c r="D1080" s="5" t="str">
        <f>_xlfn.XLOOKUP(role_course_map[[#This Row],[course_id]],course_data[course_id],course_data[title],"")</f>
        <v>NRRD Update i.e. Major Incidents/Methane/ Multiple Casualities</v>
      </c>
      <c r="E1080" s="5" t="str">
        <f>_xlfn.XLOOKUP(role_course_map[[#This Row],[course_id]],course_data[course_id],course_data[topic],"")</f>
        <v>SAS : National Risk and Resilience Department (NRRD)</v>
      </c>
      <c r="F1080" s="5" t="str">
        <f>_xlfn.XLOOKUP(role_course_map[[#This Row],[course_id]],course_data[course_id],course_data[type],"")</f>
        <v>eLearning</v>
      </c>
      <c r="K1080" t="str">
        <f>role_course_map[[#This Row],[role_id]] &amp; "|" &amp; role_course_map[[#This Row],[course_id]]</f>
        <v>R0145|999066</v>
      </c>
      <c r="L1080" t="str">
        <f>IF(COUNTIF(role_course_map[mapping_key],role_course_map[[#This Row],[mapping_key]])&gt;1,"DUPLICATE","OK")</f>
        <v>OK</v>
      </c>
      <c r="M1080" t="str">
        <f>IF(COUNTIF(role_data[role_id],role_course_map[[#This Row],[role_id]])=0, "INVALID","VALID")</f>
        <v>VALID</v>
      </c>
      <c r="N1080" t="str">
        <f>IF(COUNTIF(course_data[course_id],role_course_map[[#This Row],[course_id]])=0, "INVALID","VALID")</f>
        <v>VALID</v>
      </c>
    </row>
    <row r="1081" spans="1:14" x14ac:dyDescent="0.35">
      <c r="A1081" t="s">
        <v>302</v>
      </c>
      <c r="B1081" s="5" t="str">
        <f>_xlfn.XLOOKUP(role_course_map[[#This Row],[role_id]], role_data[role_id], role_data[Role],"")</f>
        <v>Nurse Consultant</v>
      </c>
      <c r="C1081">
        <v>999025</v>
      </c>
      <c r="D1081" s="5" t="str">
        <f>_xlfn.XLOOKUP(role_course_map[[#This Row],[course_id]],course_data[course_id],course_data[title],"")</f>
        <v>Professional Standards</v>
      </c>
      <c r="E1081" s="5" t="str">
        <f>_xlfn.XLOOKUP(role_course_map[[#This Row],[course_id]],course_data[course_id],course_data[topic],"")</f>
        <v>SAS : Clinical Practice</v>
      </c>
      <c r="F1081" s="5" t="str">
        <f>_xlfn.XLOOKUP(role_course_map[[#This Row],[course_id]],course_data[course_id],course_data[type],"")</f>
        <v>eLearning</v>
      </c>
      <c r="K1081" t="str">
        <f>role_course_map[[#This Row],[role_id]] &amp; "|" &amp; role_course_map[[#This Row],[course_id]]</f>
        <v>R0145|999025</v>
      </c>
      <c r="L1081" t="str">
        <f>IF(COUNTIF(role_course_map[mapping_key],role_course_map[[#This Row],[mapping_key]])&gt;1,"DUPLICATE","OK")</f>
        <v>OK</v>
      </c>
      <c r="M1081" t="str">
        <f>IF(COUNTIF(role_data[role_id],role_course_map[[#This Row],[role_id]])=0, "INVALID","VALID")</f>
        <v>VALID</v>
      </c>
      <c r="N1081" t="str">
        <f>IF(COUNTIF(course_data[course_id],role_course_map[[#This Row],[course_id]])=0, "INVALID","VALID")</f>
        <v>VALID</v>
      </c>
    </row>
    <row r="1082" spans="1:14" x14ac:dyDescent="0.35">
      <c r="A1082" t="s">
        <v>302</v>
      </c>
      <c r="B1082" s="5" t="str">
        <f>_xlfn.XLOOKUP(role_course_map[[#This Row],[role_id]], role_data[role_id], role_data[Role],"")</f>
        <v>Nurse Consultant</v>
      </c>
      <c r="C1082">
        <v>999026</v>
      </c>
      <c r="D1082" s="5" t="str">
        <f>_xlfn.XLOOKUP(role_course_map[[#This Row],[course_id]],course_data[course_id],course_data[title],"")</f>
        <v>Communication Standards</v>
      </c>
      <c r="E1082" s="5" t="str">
        <f>_xlfn.XLOOKUP(role_course_map[[#This Row],[course_id]],course_data[course_id],course_data[topic],"")</f>
        <v>SAS : Clinical Practice</v>
      </c>
      <c r="F1082" s="5" t="str">
        <f>_xlfn.XLOOKUP(role_course_map[[#This Row],[course_id]],course_data[course_id],course_data[type],"")</f>
        <v>eLearning</v>
      </c>
      <c r="K1082" t="str">
        <f>role_course_map[[#This Row],[role_id]] &amp; "|" &amp; role_course_map[[#This Row],[course_id]]</f>
        <v>R0145|999026</v>
      </c>
      <c r="L1082" t="str">
        <f>IF(COUNTIF(role_course_map[mapping_key],role_course_map[[#This Row],[mapping_key]])&gt;1,"DUPLICATE","OK")</f>
        <v>OK</v>
      </c>
      <c r="M1082" t="str">
        <f>IF(COUNTIF(role_data[role_id],role_course_map[[#This Row],[role_id]])=0, "INVALID","VALID")</f>
        <v>VALID</v>
      </c>
      <c r="N1082" t="str">
        <f>IF(COUNTIF(course_data[course_id],role_course_map[[#This Row],[course_id]])=0, "INVALID","VALID")</f>
        <v>VALID</v>
      </c>
    </row>
    <row r="1083" spans="1:14" x14ac:dyDescent="0.35">
      <c r="A1083" t="s">
        <v>302</v>
      </c>
      <c r="B1083" s="5" t="str">
        <f>_xlfn.XLOOKUP(role_course_map[[#This Row],[role_id]], role_data[role_id], role_data[Role],"")</f>
        <v>Nurse Consultant</v>
      </c>
      <c r="C1083">
        <v>999058</v>
      </c>
      <c r="D1083" s="5" t="str">
        <f>_xlfn.XLOOKUP(role_course_map[[#This Row],[course_id]],course_data[course_id],course_data[title],"")</f>
        <v>Stress Identification &amp; Stress Management</v>
      </c>
      <c r="E1083" s="5" t="str">
        <f>_xlfn.XLOOKUP(role_course_map[[#This Row],[course_id]],course_data[course_id],course_data[topic],"")</f>
        <v>SAS : Health and Safety</v>
      </c>
      <c r="F1083" s="5" t="str">
        <f>_xlfn.XLOOKUP(role_course_map[[#This Row],[course_id]],course_data[course_id],course_data[type],"")</f>
        <v>eLearning</v>
      </c>
      <c r="K1083" t="str">
        <f>role_course_map[[#This Row],[role_id]] &amp; "|" &amp; role_course_map[[#This Row],[course_id]]</f>
        <v>R0145|999058</v>
      </c>
      <c r="L1083" t="str">
        <f>IF(COUNTIF(role_course_map[mapping_key],role_course_map[[#This Row],[mapping_key]])&gt;1,"DUPLICATE","OK")</f>
        <v>OK</v>
      </c>
      <c r="M1083" t="str">
        <f>IF(COUNTIF(role_data[role_id],role_course_map[[#This Row],[role_id]])=0, "INVALID","VALID")</f>
        <v>VALID</v>
      </c>
      <c r="N1083" t="str">
        <f>IF(COUNTIF(course_data[course_id],role_course_map[[#This Row],[course_id]])=0, "INVALID","VALID")</f>
        <v>VALID</v>
      </c>
    </row>
    <row r="1084" spans="1:14" x14ac:dyDescent="0.35">
      <c r="A1084" t="s">
        <v>302</v>
      </c>
      <c r="B1084" s="5" t="str">
        <f>_xlfn.XLOOKUP(role_course_map[[#This Row],[role_id]], role_data[role_id], role_data[Role],"")</f>
        <v>Nurse Consultant</v>
      </c>
      <c r="C1084">
        <v>999056</v>
      </c>
      <c r="D1084" s="5" t="str">
        <f>_xlfn.XLOOKUP(role_course_map[[#This Row],[course_id]],course_data[course_id],course_data[title],"")</f>
        <v>Driver Assessment &amp; Training</v>
      </c>
      <c r="E1084" s="5" t="str">
        <f>_xlfn.XLOOKUP(role_course_map[[#This Row],[course_id]],course_data[course_id],course_data[topic],"")</f>
        <v>SAS : Health and Safety</v>
      </c>
      <c r="F1084" s="5" t="str">
        <f>_xlfn.XLOOKUP(role_course_map[[#This Row],[course_id]],course_data[course_id],course_data[type],"")</f>
        <v>eLearning</v>
      </c>
      <c r="K1084" t="str">
        <f>role_course_map[[#This Row],[role_id]] &amp; "|" &amp; role_course_map[[#This Row],[course_id]]</f>
        <v>R0145|999056</v>
      </c>
      <c r="L1084" t="str">
        <f>IF(COUNTIF(role_course_map[mapping_key],role_course_map[[#This Row],[mapping_key]])&gt;1,"DUPLICATE","OK")</f>
        <v>OK</v>
      </c>
      <c r="M1084" t="str">
        <f>IF(COUNTIF(role_data[role_id],role_course_map[[#This Row],[role_id]])=0, "INVALID","VALID")</f>
        <v>VALID</v>
      </c>
      <c r="N1084" t="str">
        <f>IF(COUNTIF(course_data[course_id],role_course_map[[#This Row],[course_id]])=0, "INVALID","VALID")</f>
        <v>VALID</v>
      </c>
    </row>
    <row r="1085" spans="1:14" x14ac:dyDescent="0.35">
      <c r="A1085" t="s">
        <v>302</v>
      </c>
      <c r="B1085" s="5" t="str">
        <f>_xlfn.XLOOKUP(role_course_map[[#This Row],[role_id]], role_data[role_id], role_data[Role],"")</f>
        <v>Nurse Consultant</v>
      </c>
      <c r="C1085">
        <v>999061</v>
      </c>
      <c r="D1085" s="5" t="str">
        <f>_xlfn.XLOOKUP(role_course_map[[#This Row],[course_id]],course_data[course_id],course_data[title],"")</f>
        <v>Skin Awareness</v>
      </c>
      <c r="E1085" s="5" t="str">
        <f>_xlfn.XLOOKUP(role_course_map[[#This Row],[course_id]],course_data[course_id],course_data[topic],"")</f>
        <v>SAS : Health and Safety</v>
      </c>
      <c r="F1085" s="5" t="str">
        <f>_xlfn.XLOOKUP(role_course_map[[#This Row],[course_id]],course_data[course_id],course_data[type],"")</f>
        <v>eLearning</v>
      </c>
      <c r="K1085" t="str">
        <f>role_course_map[[#This Row],[role_id]] &amp; "|" &amp; role_course_map[[#This Row],[course_id]]</f>
        <v>R0145|999061</v>
      </c>
      <c r="L1085" t="str">
        <f>IF(COUNTIF(role_course_map[mapping_key],role_course_map[[#This Row],[mapping_key]])&gt;1,"DUPLICATE","OK")</f>
        <v>OK</v>
      </c>
      <c r="M1085" t="str">
        <f>IF(COUNTIF(role_data[role_id],role_course_map[[#This Row],[role_id]])=0, "INVALID","VALID")</f>
        <v>VALID</v>
      </c>
      <c r="N1085" t="str">
        <f>IF(COUNTIF(course_data[course_id],role_course_map[[#This Row],[course_id]])=0, "INVALID","VALID")</f>
        <v>VALID</v>
      </c>
    </row>
    <row r="1086" spans="1:14" x14ac:dyDescent="0.35">
      <c r="A1086" t="s">
        <v>302</v>
      </c>
      <c r="B1086" s="5" t="str">
        <f>_xlfn.XLOOKUP(role_course_map[[#This Row],[role_id]], role_data[role_id], role_data[Role],"")</f>
        <v>Nurse Consultant</v>
      </c>
      <c r="C1086">
        <v>999057</v>
      </c>
      <c r="D1086" s="5" t="str">
        <f>_xlfn.XLOOKUP(role_course_map[[#This Row],[course_id]],course_data[course_id],course_data[title],"")</f>
        <v>Fatigue Awareness</v>
      </c>
      <c r="E1086" s="5" t="str">
        <f>_xlfn.XLOOKUP(role_course_map[[#This Row],[course_id]],course_data[course_id],course_data[topic],"")</f>
        <v>SAS : Health and Safety</v>
      </c>
      <c r="F1086" s="5" t="str">
        <f>_xlfn.XLOOKUP(role_course_map[[#This Row],[course_id]],course_data[course_id],course_data[type],"")</f>
        <v>eLearning</v>
      </c>
      <c r="K1086" t="str">
        <f>role_course_map[[#This Row],[role_id]] &amp; "|" &amp; role_course_map[[#This Row],[course_id]]</f>
        <v>R0145|999057</v>
      </c>
      <c r="L1086" t="str">
        <f>IF(COUNTIF(role_course_map[mapping_key],role_course_map[[#This Row],[mapping_key]])&gt;1,"DUPLICATE","OK")</f>
        <v>OK</v>
      </c>
      <c r="M1086" t="str">
        <f>IF(COUNTIF(role_data[role_id],role_course_map[[#This Row],[role_id]])=0, "INVALID","VALID")</f>
        <v>VALID</v>
      </c>
      <c r="N1086" t="str">
        <f>IF(COUNTIF(course_data[course_id],role_course_map[[#This Row],[course_id]])=0, "INVALID","VALID")</f>
        <v>VALID</v>
      </c>
    </row>
    <row r="1087" spans="1:14" x14ac:dyDescent="0.35">
      <c r="A1087" t="s">
        <v>302</v>
      </c>
      <c r="B1087" s="5" t="str">
        <f>_xlfn.XLOOKUP(role_course_map[[#This Row],[role_id]], role_data[role_id], role_data[Role],"")</f>
        <v>Nurse Consultant</v>
      </c>
      <c r="C1087">
        <v>999027</v>
      </c>
      <c r="D1087" s="5" t="str">
        <f>_xlfn.XLOOKUP(role_course_map[[#This Row],[course_id]],course_data[course_id],course_data[title],"")</f>
        <v>Manual and Patient Handling Foundation Training - Level 2</v>
      </c>
      <c r="E1087" s="5" t="str">
        <f>_xlfn.XLOOKUP(role_course_map[[#This Row],[course_id]],course_data[course_id],course_data[topic],"")</f>
        <v>SAS : Clinical Practice</v>
      </c>
      <c r="F1087" s="5" t="str">
        <f>_xlfn.XLOOKUP(role_course_map[[#This Row],[course_id]],course_data[course_id],course_data[type],"")</f>
        <v>Course</v>
      </c>
      <c r="K1087" t="str">
        <f>role_course_map[[#This Row],[role_id]] &amp; "|" &amp; role_course_map[[#This Row],[course_id]]</f>
        <v>R0145|999027</v>
      </c>
      <c r="L1087" t="str">
        <f>IF(COUNTIF(role_course_map[mapping_key],role_course_map[[#This Row],[mapping_key]])&gt;1,"DUPLICATE","OK")</f>
        <v>OK</v>
      </c>
      <c r="M1087" t="str">
        <f>IF(COUNTIF(role_data[role_id],role_course_map[[#This Row],[role_id]])=0, "INVALID","VALID")</f>
        <v>VALID</v>
      </c>
      <c r="N1087" t="str">
        <f>IF(COUNTIF(course_data[course_id],role_course_map[[#This Row],[course_id]])=0, "INVALID","VALID")</f>
        <v>VALID</v>
      </c>
    </row>
    <row r="1088" spans="1:14" x14ac:dyDescent="0.35">
      <c r="A1088" t="s">
        <v>302</v>
      </c>
      <c r="B1088" s="5" t="str">
        <f>_xlfn.XLOOKUP(role_course_map[[#This Row],[role_id]], role_data[role_id], role_data[Role],"")</f>
        <v>Nurse Consultant</v>
      </c>
      <c r="C1088">
        <v>999028</v>
      </c>
      <c r="D1088" s="5" t="str">
        <f>_xlfn.XLOOKUP(role_course_map[[#This Row],[course_id]],course_data[course_id],course_data[title],"")</f>
        <v>Manual and Patient Handling Competency Assessment - Level 3</v>
      </c>
      <c r="E1088" s="5" t="str">
        <f>_xlfn.XLOOKUP(role_course_map[[#This Row],[course_id]],course_data[course_id],course_data[topic],"")</f>
        <v>SAS : Clinical Practice</v>
      </c>
      <c r="F1088" s="5" t="str">
        <f>_xlfn.XLOOKUP(role_course_map[[#This Row],[course_id]],course_data[course_id],course_data[type],"")</f>
        <v>Course</v>
      </c>
      <c r="K1088" t="str">
        <f>role_course_map[[#This Row],[role_id]] &amp; "|" &amp; role_course_map[[#This Row],[course_id]]</f>
        <v>R0145|999028</v>
      </c>
      <c r="L1088" t="str">
        <f>IF(COUNTIF(role_course_map[mapping_key],role_course_map[[#This Row],[mapping_key]])&gt;1,"DUPLICATE","OK")</f>
        <v>OK</v>
      </c>
      <c r="M1088" t="str">
        <f>IF(COUNTIF(role_data[role_id],role_course_map[[#This Row],[role_id]])=0, "INVALID","VALID")</f>
        <v>VALID</v>
      </c>
      <c r="N1088" t="str">
        <f>IF(COUNTIF(course_data[course_id],role_course_map[[#This Row],[course_id]])=0, "INVALID","VALID")</f>
        <v>VALID</v>
      </c>
    </row>
    <row r="1089" spans="1:14" x14ac:dyDescent="0.35">
      <c r="A1089" t="s">
        <v>302</v>
      </c>
      <c r="B1089" s="5" t="str">
        <f>_xlfn.XLOOKUP(role_course_map[[#This Row],[role_id]], role_data[role_id], role_data[Role],"")</f>
        <v>Nurse Consultant</v>
      </c>
      <c r="C1089">
        <v>999029</v>
      </c>
      <c r="D1089" s="5" t="str">
        <f>_xlfn.XLOOKUP(role_course_map[[#This Row],[course_id]],course_data[course_id],course_data[title],"")</f>
        <v>Manual and Patient Handling Competency Assessment Theory - Level 3</v>
      </c>
      <c r="E1089" s="5" t="str">
        <f>_xlfn.XLOOKUP(role_course_map[[#This Row],[course_id]],course_data[course_id],course_data[topic],"")</f>
        <v>SAS : Clinical Practice</v>
      </c>
      <c r="F1089" s="5" t="str">
        <f>_xlfn.XLOOKUP(role_course_map[[#This Row],[course_id]],course_data[course_id],course_data[type],"")</f>
        <v>Course</v>
      </c>
      <c r="K1089" t="str">
        <f>role_course_map[[#This Row],[role_id]] &amp; "|" &amp; role_course_map[[#This Row],[course_id]]</f>
        <v>R0145|999029</v>
      </c>
      <c r="L1089" t="str">
        <f>IF(COUNTIF(role_course_map[mapping_key],role_course_map[[#This Row],[mapping_key]])&gt;1,"DUPLICATE","OK")</f>
        <v>OK</v>
      </c>
      <c r="M1089" t="str">
        <f>IF(COUNTIF(role_data[role_id],role_course_map[[#This Row],[role_id]])=0, "INVALID","VALID")</f>
        <v>VALID</v>
      </c>
      <c r="N1089" t="str">
        <f>IF(COUNTIF(course_data[course_id],role_course_map[[#This Row],[course_id]])=0, "INVALID","VALID")</f>
        <v>VALID</v>
      </c>
    </row>
    <row r="1090" spans="1:14" x14ac:dyDescent="0.35">
      <c r="A1090" t="s">
        <v>302</v>
      </c>
      <c r="B1090" s="5" t="str">
        <f>_xlfn.XLOOKUP(role_course_map[[#This Row],[role_id]], role_data[role_id], role_data[Role],"")</f>
        <v>Nurse Consultant</v>
      </c>
      <c r="C1090" t="s">
        <v>659</v>
      </c>
      <c r="D1090" s="5" t="str">
        <f>_xlfn.XLOOKUP(role_course_map[[#This Row],[course_id]],course_data[course_id],course_data[title],"")</f>
        <v>Prevention and Management of Violence and Aggression - Breakaway training Level 2 /Restrictive movement Level 3</v>
      </c>
      <c r="E1090" s="5" t="str">
        <f>_xlfn.XLOOKUP(role_course_map[[#This Row],[course_id]],course_data[course_id],course_data[topic],"")</f>
        <v>SAS : Health and Safety</v>
      </c>
      <c r="F1090" s="5" t="str">
        <f>_xlfn.XLOOKUP(role_course_map[[#This Row],[course_id]],course_data[course_id],course_data[type],"")</f>
        <v>Course</v>
      </c>
      <c r="K1090" t="str">
        <f>role_course_map[[#This Row],[role_id]] &amp; "|" &amp; role_course_map[[#This Row],[course_id]]</f>
        <v>R0145|2025-6 edition</v>
      </c>
      <c r="L1090" t="str">
        <f>IF(COUNTIF(role_course_map[mapping_key],role_course_map[[#This Row],[mapping_key]])&gt;1,"DUPLICATE","OK")</f>
        <v>OK</v>
      </c>
      <c r="M1090" t="str">
        <f>IF(COUNTIF(role_data[role_id],role_course_map[[#This Row],[role_id]])=0, "INVALID","VALID")</f>
        <v>VALID</v>
      </c>
      <c r="N1090" t="str">
        <f>IF(COUNTIF(course_data[course_id],role_course_map[[#This Row],[course_id]])=0, "INVALID","VALID")</f>
        <v>VALID</v>
      </c>
    </row>
    <row r="1091" spans="1:14" x14ac:dyDescent="0.35">
      <c r="A1091" t="s">
        <v>302</v>
      </c>
      <c r="B1091" s="5" t="str">
        <f>_xlfn.XLOOKUP(role_course_map[[#This Row],[role_id]], role_data[role_id], role_data[Role],"")</f>
        <v>Nurse Consultant</v>
      </c>
      <c r="C1091">
        <v>999055</v>
      </c>
      <c r="D1091" s="5" t="str">
        <f>_xlfn.XLOOKUP(role_course_map[[#This Row],[course_id]],course_data[course_id],course_data[title],"")</f>
        <v>Prevention and Management of Violence and Aggression - Refresher</v>
      </c>
      <c r="E1091" s="5" t="str">
        <f>_xlfn.XLOOKUP(role_course_map[[#This Row],[course_id]],course_data[course_id],course_data[topic],"")</f>
        <v>SAS : Health and Safety</v>
      </c>
      <c r="F1091" s="5" t="str">
        <f>_xlfn.XLOOKUP(role_course_map[[#This Row],[course_id]],course_data[course_id],course_data[type],"")</f>
        <v>Course</v>
      </c>
      <c r="K1091" t="str">
        <f>role_course_map[[#This Row],[role_id]] &amp; "|" &amp; role_course_map[[#This Row],[course_id]]</f>
        <v>R0145|999055</v>
      </c>
      <c r="L1091" t="str">
        <f>IF(COUNTIF(role_course_map[mapping_key],role_course_map[[#This Row],[mapping_key]])&gt;1,"DUPLICATE","OK")</f>
        <v>OK</v>
      </c>
      <c r="M1091" t="str">
        <f>IF(COUNTIF(role_data[role_id],role_course_map[[#This Row],[role_id]])=0, "INVALID","VALID")</f>
        <v>VALID</v>
      </c>
      <c r="N1091" t="str">
        <f>IF(COUNTIF(course_data[course_id],role_course_map[[#This Row],[course_id]])=0, "INVALID","VALID")</f>
        <v>VALID</v>
      </c>
    </row>
    <row r="1092" spans="1:14" x14ac:dyDescent="0.35">
      <c r="A1092" t="s">
        <v>302</v>
      </c>
      <c r="B1092" s="5" t="str">
        <f>_xlfn.XLOOKUP(role_course_map[[#This Row],[role_id]], role_data[role_id], role_data[Role],"")</f>
        <v>Nurse Consultant</v>
      </c>
      <c r="C1092">
        <v>64322</v>
      </c>
      <c r="D1092" s="5" t="str">
        <f>_xlfn.XLOOKUP(role_course_map[[#This Row],[course_id]],course_data[course_id],course_data[title],"")</f>
        <v>Adult support and protection: practice level 2 [skilled]</v>
      </c>
      <c r="E1092" s="5" t="str">
        <f>_xlfn.XLOOKUP(role_course_map[[#This Row],[course_id]],course_data[course_id],course_data[topic],"")</f>
        <v>SAS : Public Protection</v>
      </c>
      <c r="F1092" s="5" t="str">
        <f>_xlfn.XLOOKUP(role_course_map[[#This Row],[course_id]],course_data[course_id],course_data[type],"")</f>
        <v>eLearning</v>
      </c>
      <c r="K1092" t="str">
        <f>role_course_map[[#This Row],[role_id]] &amp; "|" &amp; role_course_map[[#This Row],[course_id]]</f>
        <v>R0145|64322</v>
      </c>
      <c r="L1092" t="str">
        <f>IF(COUNTIF(role_course_map[mapping_key],role_course_map[[#This Row],[mapping_key]])&gt;1,"DUPLICATE","OK")</f>
        <v>OK</v>
      </c>
      <c r="M1092" t="str">
        <f>IF(COUNTIF(role_data[role_id],role_course_map[[#This Row],[role_id]])=0, "INVALID","VALID")</f>
        <v>VALID</v>
      </c>
      <c r="N1092" t="str">
        <f>IF(COUNTIF(course_data[course_id],role_course_map[[#This Row],[course_id]])=0, "INVALID","VALID")</f>
        <v>VALID</v>
      </c>
    </row>
    <row r="1093" spans="1:14" x14ac:dyDescent="0.35">
      <c r="A1093" t="s">
        <v>302</v>
      </c>
      <c r="B1093" s="5" t="str">
        <f>_xlfn.XLOOKUP(role_course_map[[#This Row],[role_id]], role_data[role_id], role_data[Role],"")</f>
        <v>Nurse Consultant</v>
      </c>
      <c r="C1093">
        <v>64324</v>
      </c>
      <c r="D1093" s="5" t="str">
        <f>_xlfn.XLOOKUP(role_course_map[[#This Row],[course_id]],course_data[course_id],course_data[title],"")</f>
        <v>Child protection: practice level 2 [skilled]</v>
      </c>
      <c r="E1093" s="5" t="str">
        <f>_xlfn.XLOOKUP(role_course_map[[#This Row],[course_id]],course_data[course_id],course_data[topic],"")</f>
        <v>SAS : Public Protection</v>
      </c>
      <c r="F1093" s="5" t="str">
        <f>_xlfn.XLOOKUP(role_course_map[[#This Row],[course_id]],course_data[course_id],course_data[type],"")</f>
        <v>eLearning</v>
      </c>
      <c r="K1093" t="str">
        <f>role_course_map[[#This Row],[role_id]] &amp; "|" &amp; role_course_map[[#This Row],[course_id]]</f>
        <v>R0145|64324</v>
      </c>
      <c r="L1093" t="str">
        <f>IF(COUNTIF(role_course_map[mapping_key],role_course_map[[#This Row],[mapping_key]])&gt;1,"DUPLICATE","OK")</f>
        <v>OK</v>
      </c>
      <c r="M1093" t="str">
        <f>IF(COUNTIF(role_data[role_id],role_course_map[[#This Row],[role_id]])=0, "INVALID","VALID")</f>
        <v>VALID</v>
      </c>
      <c r="N1093" t="str">
        <f>IF(COUNTIF(course_data[course_id],role_course_map[[#This Row],[course_id]])=0, "INVALID","VALID")</f>
        <v>VALID</v>
      </c>
    </row>
    <row r="1094" spans="1:14" x14ac:dyDescent="0.35">
      <c r="A1094" t="s">
        <v>302</v>
      </c>
      <c r="B1094" s="5" t="str">
        <f>_xlfn.XLOOKUP(role_course_map[[#This Row],[role_id]], role_data[role_id], role_data[Role],"")</f>
        <v>Nurse Consultant</v>
      </c>
      <c r="C1094">
        <v>76716</v>
      </c>
      <c r="D1094" s="5" t="str">
        <f>_xlfn.XLOOKUP(role_course_map[[#This Row],[course_id]],course_data[course_id],course_data[title],"")</f>
        <v>Domestic abuse awareness training tool (DAART)</v>
      </c>
      <c r="E1094" s="5" t="str">
        <f>_xlfn.XLOOKUP(role_course_map[[#This Row],[course_id]],course_data[course_id],course_data[topic],"")</f>
        <v>SAS : Public Protection</v>
      </c>
      <c r="F1094" s="5" t="str">
        <f>_xlfn.XLOOKUP(role_course_map[[#This Row],[course_id]],course_data[course_id],course_data[type],"")</f>
        <v>eLearning</v>
      </c>
      <c r="K1094" t="str">
        <f>role_course_map[[#This Row],[role_id]] &amp; "|" &amp; role_course_map[[#This Row],[course_id]]</f>
        <v>R0145|76716</v>
      </c>
      <c r="L1094" t="str">
        <f>IF(COUNTIF(role_course_map[mapping_key],role_course_map[[#This Row],[mapping_key]])&gt;1,"DUPLICATE","OK")</f>
        <v>OK</v>
      </c>
      <c r="M1094" t="str">
        <f>IF(COUNTIF(role_data[role_id],role_course_map[[#This Row],[role_id]])=0, "INVALID","VALID")</f>
        <v>VALID</v>
      </c>
      <c r="N1094" t="str">
        <f>IF(COUNTIF(course_data[course_id],role_course_map[[#This Row],[course_id]])=0, "INVALID","VALID")</f>
        <v>VALID</v>
      </c>
    </row>
    <row r="1095" spans="1:14" x14ac:dyDescent="0.35">
      <c r="A1095" t="s">
        <v>302</v>
      </c>
      <c r="B1095" s="5" t="str">
        <f>_xlfn.XLOOKUP(role_course_map[[#This Row],[role_id]], role_data[role_id], role_data[Role],"")</f>
        <v>Nurse Consultant</v>
      </c>
      <c r="C1095">
        <v>79666</v>
      </c>
      <c r="D1095" s="5" t="str">
        <f>_xlfn.XLOOKUP(role_course_map[[#This Row],[course_id]],course_data[course_id],course_data[title],"")</f>
        <v>Getting it right for every child (GIRFEC): informed level</v>
      </c>
      <c r="E1095" s="5" t="str">
        <f>_xlfn.XLOOKUP(role_course_map[[#This Row],[course_id]],course_data[course_id],course_data[topic],"")</f>
        <v>SAS : Public Protection</v>
      </c>
      <c r="F1095" s="5" t="str">
        <f>_xlfn.XLOOKUP(role_course_map[[#This Row],[course_id]],course_data[course_id],course_data[type],"")</f>
        <v>eLearning</v>
      </c>
      <c r="K1095" t="str">
        <f>role_course_map[[#This Row],[role_id]] &amp; "|" &amp; role_course_map[[#This Row],[course_id]]</f>
        <v>R0145|79666</v>
      </c>
      <c r="L1095" t="str">
        <f>IF(COUNTIF(role_course_map[mapping_key],role_course_map[[#This Row],[mapping_key]])&gt;1,"DUPLICATE","OK")</f>
        <v>OK</v>
      </c>
      <c r="M1095" t="str">
        <f>IF(COUNTIF(role_data[role_id],role_course_map[[#This Row],[role_id]])=0, "INVALID","VALID")</f>
        <v>VALID</v>
      </c>
      <c r="N1095" t="str">
        <f>IF(COUNTIF(course_data[course_id],role_course_map[[#This Row],[course_id]])=0, "INVALID","VALID")</f>
        <v>VALID</v>
      </c>
    </row>
    <row r="1096" spans="1:14" x14ac:dyDescent="0.35">
      <c r="A1096" t="s">
        <v>302</v>
      </c>
      <c r="B1096" s="5" t="str">
        <f>_xlfn.XLOOKUP(role_course_map[[#This Row],[role_id]], role_data[role_id], role_data[Role],"")</f>
        <v>Nurse Consultant</v>
      </c>
      <c r="C1096">
        <v>999074</v>
      </c>
      <c r="D1096" s="5" t="str">
        <f>_xlfn.XLOOKUP(role_course_map[[#This Row],[course_id]],course_data[course_id],course_data[title],"")</f>
        <v>SAS-specific Children’s rights</v>
      </c>
      <c r="E1096" s="5" t="str">
        <f>_xlfn.XLOOKUP(role_course_map[[#This Row],[course_id]],course_data[course_id],course_data[topic],"")</f>
        <v>SAS : Public Protection</v>
      </c>
      <c r="F1096" s="5" t="str">
        <f>_xlfn.XLOOKUP(role_course_map[[#This Row],[course_id]],course_data[course_id],course_data[type],"")</f>
        <v>eLearning</v>
      </c>
      <c r="K1096" t="str">
        <f>role_course_map[[#This Row],[role_id]] &amp; "|" &amp; role_course_map[[#This Row],[course_id]]</f>
        <v>R0145|999074</v>
      </c>
      <c r="L1096" t="str">
        <f>IF(COUNTIF(role_course_map[mapping_key],role_course_map[[#This Row],[mapping_key]])&gt;1,"DUPLICATE","OK")</f>
        <v>OK</v>
      </c>
      <c r="M1096" t="str">
        <f>IF(COUNTIF(role_data[role_id],role_course_map[[#This Row],[role_id]])=0, "INVALID","VALID")</f>
        <v>VALID</v>
      </c>
      <c r="N1096" t="str">
        <f>IF(COUNTIF(course_data[course_id],role_course_map[[#This Row],[course_id]])=0, "INVALID","VALID")</f>
        <v>VALID</v>
      </c>
    </row>
    <row r="1097" spans="1:14" x14ac:dyDescent="0.35">
      <c r="A1097" t="s">
        <v>302</v>
      </c>
      <c r="B1097" s="5" t="str">
        <f>_xlfn.XLOOKUP(role_course_map[[#This Row],[role_id]], role_data[role_id], role_data[Role],"")</f>
        <v>Nurse Consultant</v>
      </c>
      <c r="C1097">
        <v>999075</v>
      </c>
      <c r="D1097" s="5" t="str">
        <f>_xlfn.XLOOKUP(role_course_map[[#This Row],[course_id]],course_data[course_id],course_data[title],"")</f>
        <v>Multiagency local or bespoke Level 3 delivery training</v>
      </c>
      <c r="E1097" s="5" t="str">
        <f>_xlfn.XLOOKUP(role_course_map[[#This Row],[course_id]],course_data[course_id],course_data[topic],"")</f>
        <v>SAS : Public Protection</v>
      </c>
      <c r="F1097" s="5" t="str">
        <f>_xlfn.XLOOKUP(role_course_map[[#This Row],[course_id]],course_data[course_id],course_data[type],"")</f>
        <v>eLearning</v>
      </c>
      <c r="K1097" t="str">
        <f>role_course_map[[#This Row],[role_id]] &amp; "|" &amp; role_course_map[[#This Row],[course_id]]</f>
        <v>R0145|999075</v>
      </c>
      <c r="L1097" t="str">
        <f>IF(COUNTIF(role_course_map[mapping_key],role_course_map[[#This Row],[mapping_key]])&gt;1,"DUPLICATE","OK")</f>
        <v>OK</v>
      </c>
      <c r="M1097" t="str">
        <f>IF(COUNTIF(role_data[role_id],role_course_map[[#This Row],[role_id]])=0, "INVALID","VALID")</f>
        <v>VALID</v>
      </c>
      <c r="N1097" t="str">
        <f>IF(COUNTIF(course_data[course_id],role_course_map[[#This Row],[course_id]])=0, "INVALID","VALID")</f>
        <v>VALID</v>
      </c>
    </row>
    <row r="1098" spans="1:14" x14ac:dyDescent="0.35">
      <c r="A1098" t="s">
        <v>302</v>
      </c>
      <c r="B1098" s="5" t="str">
        <f>_xlfn.XLOOKUP(role_course_map[[#This Row],[role_id]], role_data[role_id], role_data[Role],"")</f>
        <v>Nurse Consultant</v>
      </c>
      <c r="C1098">
        <v>15249</v>
      </c>
      <c r="D1098" s="5" t="str">
        <f>_xlfn.XLOOKUP(role_course_map[[#This Row],[course_id]],course_data[course_id],course_data[title],"")</f>
        <v>Human trafficking</v>
      </c>
      <c r="E1098" s="5" t="str">
        <f>_xlfn.XLOOKUP(role_course_map[[#This Row],[course_id]],course_data[course_id],course_data[topic],"")</f>
        <v>SAS : Public Protection</v>
      </c>
      <c r="F1098" s="5" t="str">
        <f>_xlfn.XLOOKUP(role_course_map[[#This Row],[course_id]],course_data[course_id],course_data[type],"")</f>
        <v>eLearning</v>
      </c>
      <c r="K1098" t="str">
        <f>role_course_map[[#This Row],[role_id]] &amp; "|" &amp; role_course_map[[#This Row],[course_id]]</f>
        <v>R0145|15249</v>
      </c>
      <c r="L1098" t="str">
        <f>IF(COUNTIF(role_course_map[mapping_key],role_course_map[[#This Row],[mapping_key]])&gt;1,"DUPLICATE","OK")</f>
        <v>OK</v>
      </c>
      <c r="M1098" t="str">
        <f>IF(COUNTIF(role_data[role_id],role_course_map[[#This Row],[role_id]])=0, "INVALID","VALID")</f>
        <v>VALID</v>
      </c>
      <c r="N1098" t="str">
        <f>IF(COUNTIF(course_data[course_id],role_course_map[[#This Row],[course_id]])=0, "INVALID","VALID")</f>
        <v>VALID</v>
      </c>
    </row>
    <row r="1099" spans="1:14" x14ac:dyDescent="0.35">
      <c r="A1099" t="s">
        <v>302</v>
      </c>
      <c r="B1099" s="5" t="str">
        <f>_xlfn.XLOOKUP(role_course_map[[#This Row],[role_id]], role_data[role_id], role_data[Role],"")</f>
        <v>Nurse Consultant</v>
      </c>
      <c r="C1099">
        <v>89161</v>
      </c>
      <c r="D1099" s="5" t="str">
        <f>_xlfn.XLOOKUP(role_course_map[[#This Row],[course_id]],course_data[course_id],course_data[title],"")</f>
        <v>Personal Protective Equipment</v>
      </c>
      <c r="E1099" s="5" t="str">
        <f>_xlfn.XLOOKUP(role_course_map[[#This Row],[course_id]],course_data[course_id],course_data[topic],"")</f>
        <v>SAS : Infection Prevention and Control (IPC)</v>
      </c>
      <c r="F1099" s="5" t="str">
        <f>_xlfn.XLOOKUP(role_course_map[[#This Row],[course_id]],course_data[course_id],course_data[type],"")</f>
        <v>eLearning</v>
      </c>
      <c r="K1099" t="str">
        <f>role_course_map[[#This Row],[role_id]] &amp; "|" &amp; role_course_map[[#This Row],[course_id]]</f>
        <v>R0145|89161</v>
      </c>
      <c r="L1099" t="str">
        <f>IF(COUNTIF(role_course_map[mapping_key],role_course_map[[#This Row],[mapping_key]])&gt;1,"DUPLICATE","OK")</f>
        <v>OK</v>
      </c>
      <c r="M1099" t="str">
        <f>IF(COUNTIF(role_data[role_id],role_course_map[[#This Row],[role_id]])=0, "INVALID","VALID")</f>
        <v>VALID</v>
      </c>
      <c r="N1099" t="str">
        <f>IF(COUNTIF(course_data[course_id],role_course_map[[#This Row],[course_id]])=0, "INVALID","VALID")</f>
        <v>VALID</v>
      </c>
    </row>
    <row r="1100" spans="1:14" x14ac:dyDescent="0.35">
      <c r="A1100" t="s">
        <v>302</v>
      </c>
      <c r="B1100" s="5" t="str">
        <f>_xlfn.XLOOKUP(role_course_map[[#This Row],[role_id]], role_data[role_id], role_data[Role],"")</f>
        <v>Nurse Consultant</v>
      </c>
      <c r="C1100">
        <v>89157</v>
      </c>
      <c r="D1100" s="5" t="str">
        <f>_xlfn.XLOOKUP(role_course_map[[#This Row],[course_id]],course_data[course_id],course_data[title],"")</f>
        <v>Safe Management of Care Equipment</v>
      </c>
      <c r="E1100" s="5" t="str">
        <f>_xlfn.XLOOKUP(role_course_map[[#This Row],[course_id]],course_data[course_id],course_data[topic],"")</f>
        <v>SAS : Infection Prevention and Control (IPC)</v>
      </c>
      <c r="F1100" s="5" t="str">
        <f>_xlfn.XLOOKUP(role_course_map[[#This Row],[course_id]],course_data[course_id],course_data[type],"")</f>
        <v>eLearning</v>
      </c>
      <c r="K1100" t="str">
        <f>role_course_map[[#This Row],[role_id]] &amp; "|" &amp; role_course_map[[#This Row],[course_id]]</f>
        <v>R0145|89157</v>
      </c>
      <c r="L1100" t="str">
        <f>IF(COUNTIF(role_course_map[mapping_key],role_course_map[[#This Row],[mapping_key]])&gt;1,"DUPLICATE","OK")</f>
        <v>OK</v>
      </c>
      <c r="M1100" t="str">
        <f>IF(COUNTIF(role_data[role_id],role_course_map[[#This Row],[role_id]])=0, "INVALID","VALID")</f>
        <v>VALID</v>
      </c>
      <c r="N1100" t="str">
        <f>IF(COUNTIF(course_data[course_id],role_course_map[[#This Row],[course_id]])=0, "INVALID","VALID")</f>
        <v>VALID</v>
      </c>
    </row>
    <row r="1101" spans="1:14" x14ac:dyDescent="0.35">
      <c r="A1101" t="s">
        <v>302</v>
      </c>
      <c r="B1101" s="5" t="str">
        <f>_xlfn.XLOOKUP(role_course_map[[#This Row],[role_id]], role_data[role_id], role_data[Role],"")</f>
        <v>Nurse Consultant</v>
      </c>
      <c r="C1101">
        <v>89158</v>
      </c>
      <c r="D1101" s="5" t="str">
        <f>_xlfn.XLOOKUP(role_course_map[[#This Row],[course_id]],course_data[course_id],course_data[title],"")</f>
        <v>Safe Management of Care Environment</v>
      </c>
      <c r="E1101" s="5" t="str">
        <f>_xlfn.XLOOKUP(role_course_map[[#This Row],[course_id]],course_data[course_id],course_data[topic],"")</f>
        <v>SAS : Infection Prevention and Control (IPC)</v>
      </c>
      <c r="F1101" s="5" t="str">
        <f>_xlfn.XLOOKUP(role_course_map[[#This Row],[course_id]],course_data[course_id],course_data[type],"")</f>
        <v>eLearning</v>
      </c>
      <c r="K1101" t="str">
        <f>role_course_map[[#This Row],[role_id]] &amp; "|" &amp; role_course_map[[#This Row],[course_id]]</f>
        <v>R0145|89158</v>
      </c>
      <c r="L1101" t="str">
        <f>IF(COUNTIF(role_course_map[mapping_key],role_course_map[[#This Row],[mapping_key]])&gt;1,"DUPLICATE","OK")</f>
        <v>OK</v>
      </c>
      <c r="M1101" t="str">
        <f>IF(COUNTIF(role_data[role_id],role_course_map[[#This Row],[role_id]])=0, "INVALID","VALID")</f>
        <v>VALID</v>
      </c>
      <c r="N1101" t="str">
        <f>IF(COUNTIF(course_data[course_id],role_course_map[[#This Row],[course_id]])=0, "INVALID","VALID")</f>
        <v>VALID</v>
      </c>
    </row>
    <row r="1102" spans="1:14" x14ac:dyDescent="0.35">
      <c r="A1102" t="s">
        <v>302</v>
      </c>
      <c r="B1102" s="5" t="str">
        <f>_xlfn.XLOOKUP(role_course_map[[#This Row],[role_id]], role_data[role_id], role_data[Role],"")</f>
        <v>Nurse Consultant</v>
      </c>
      <c r="C1102">
        <v>89159</v>
      </c>
      <c r="D1102" s="5" t="str">
        <f>_xlfn.XLOOKUP(role_course_map[[#This Row],[course_id]],course_data[course_id],course_data[title],"")</f>
        <v>Safe Management of Linen</v>
      </c>
      <c r="E1102" s="5" t="str">
        <f>_xlfn.XLOOKUP(role_course_map[[#This Row],[course_id]],course_data[course_id],course_data[topic],"")</f>
        <v>SAS : Infection Prevention and Control (IPC)</v>
      </c>
      <c r="F1102" s="5" t="str">
        <f>_xlfn.XLOOKUP(role_course_map[[#This Row],[course_id]],course_data[course_id],course_data[type],"")</f>
        <v>eLearning</v>
      </c>
      <c r="K1102" t="str">
        <f>role_course_map[[#This Row],[role_id]] &amp; "|" &amp; role_course_map[[#This Row],[course_id]]</f>
        <v>R0145|89159</v>
      </c>
      <c r="L1102" t="str">
        <f>IF(COUNTIF(role_course_map[mapping_key],role_course_map[[#This Row],[mapping_key]])&gt;1,"DUPLICATE","OK")</f>
        <v>OK</v>
      </c>
      <c r="M1102" t="str">
        <f>IF(COUNTIF(role_data[role_id],role_course_map[[#This Row],[role_id]])=0, "INVALID","VALID")</f>
        <v>VALID</v>
      </c>
      <c r="N1102" t="str">
        <f>IF(COUNTIF(course_data[course_id],role_course_map[[#This Row],[course_id]])=0, "INVALID","VALID")</f>
        <v>VALID</v>
      </c>
    </row>
    <row r="1103" spans="1:14" x14ac:dyDescent="0.35">
      <c r="A1103" t="s">
        <v>302</v>
      </c>
      <c r="B1103" s="5" t="str">
        <f>_xlfn.XLOOKUP(role_course_map[[#This Row],[role_id]], role_data[role_id], role_data[Role],"")</f>
        <v>Nurse Consultant</v>
      </c>
      <c r="C1103">
        <v>89160</v>
      </c>
      <c r="D1103" s="5" t="str">
        <f>_xlfn.XLOOKUP(role_course_map[[#This Row],[course_id]],course_data[course_id],course_data[title],"")</f>
        <v>Safe Management of blood and body fluids</v>
      </c>
      <c r="E1103" s="5" t="str">
        <f>_xlfn.XLOOKUP(role_course_map[[#This Row],[course_id]],course_data[course_id],course_data[topic],"")</f>
        <v>SAS : Infection Prevention and Control (IPC)</v>
      </c>
      <c r="F1103" s="5" t="str">
        <f>_xlfn.XLOOKUP(role_course_map[[#This Row],[course_id]],course_data[course_id],course_data[type],"")</f>
        <v>eLearning</v>
      </c>
      <c r="K1103" t="str">
        <f>role_course_map[[#This Row],[role_id]] &amp; "|" &amp; role_course_map[[#This Row],[course_id]]</f>
        <v>R0145|89160</v>
      </c>
      <c r="L1103" t="str">
        <f>IF(COUNTIF(role_course_map[mapping_key],role_course_map[[#This Row],[mapping_key]])&gt;1,"DUPLICATE","OK")</f>
        <v>OK</v>
      </c>
      <c r="M1103" t="str">
        <f>IF(COUNTIF(role_data[role_id],role_course_map[[#This Row],[role_id]])=0, "INVALID","VALID")</f>
        <v>VALID</v>
      </c>
      <c r="N1103" t="str">
        <f>IF(COUNTIF(course_data[course_id],role_course_map[[#This Row],[course_id]])=0, "INVALID","VALID")</f>
        <v>VALID</v>
      </c>
    </row>
    <row r="1104" spans="1:14" x14ac:dyDescent="0.35">
      <c r="A1104" t="s">
        <v>302</v>
      </c>
      <c r="B1104" s="5" t="str">
        <f>_xlfn.XLOOKUP(role_course_map[[#This Row],[role_id]], role_data[role_id], role_data[Role],"")</f>
        <v>Nurse Consultant</v>
      </c>
      <c r="C1104">
        <v>89154</v>
      </c>
      <c r="D1104" s="5" t="str">
        <f>_xlfn.XLOOKUP(role_course_map[[#This Row],[course_id]],course_data[course_id],course_data[title],"")</f>
        <v>Safe disposal of waste</v>
      </c>
      <c r="E1104" s="5" t="str">
        <f>_xlfn.XLOOKUP(role_course_map[[#This Row],[course_id]],course_data[course_id],course_data[topic],"")</f>
        <v>SAS : Infection Prevention and Control (IPC)</v>
      </c>
      <c r="F1104" s="5" t="str">
        <f>_xlfn.XLOOKUP(role_course_map[[#This Row],[course_id]],course_data[course_id],course_data[type],"")</f>
        <v>eLearning</v>
      </c>
      <c r="K1104" t="str">
        <f>role_course_map[[#This Row],[role_id]] &amp; "|" &amp; role_course_map[[#This Row],[course_id]]</f>
        <v>R0145|89154</v>
      </c>
      <c r="L1104" t="str">
        <f>IF(COUNTIF(role_course_map[mapping_key],role_course_map[[#This Row],[mapping_key]])&gt;1,"DUPLICATE","OK")</f>
        <v>OK</v>
      </c>
      <c r="M1104" t="str">
        <f>IF(COUNTIF(role_data[role_id],role_course_map[[#This Row],[role_id]])=0, "INVALID","VALID")</f>
        <v>VALID</v>
      </c>
      <c r="N1104" t="str">
        <f>IF(COUNTIF(course_data[course_id],role_course_map[[#This Row],[course_id]])=0, "INVALID","VALID")</f>
        <v>VALID</v>
      </c>
    </row>
    <row r="1105" spans="1:14" x14ac:dyDescent="0.35">
      <c r="A1105" t="s">
        <v>302</v>
      </c>
      <c r="B1105" s="5" t="str">
        <f>_xlfn.XLOOKUP(role_course_map[[#This Row],[role_id]], role_data[role_id], role_data[Role],"")</f>
        <v>Nurse Consultant</v>
      </c>
      <c r="C1105">
        <v>89155</v>
      </c>
      <c r="D1105" s="5" t="str">
        <f>_xlfn.XLOOKUP(role_course_map[[#This Row],[course_id]],course_data[course_id],course_data[title],"")</f>
        <v>Prevention &amp; management of occupational exposure</v>
      </c>
      <c r="E1105" s="5" t="str">
        <f>_xlfn.XLOOKUP(role_course_map[[#This Row],[course_id]],course_data[course_id],course_data[topic],"")</f>
        <v>SAS : Infection Prevention and Control (IPC)</v>
      </c>
      <c r="F1105" s="5" t="str">
        <f>_xlfn.XLOOKUP(role_course_map[[#This Row],[course_id]],course_data[course_id],course_data[type],"")</f>
        <v>eLearning</v>
      </c>
      <c r="K1105" t="str">
        <f>role_course_map[[#This Row],[role_id]] &amp; "|" &amp; role_course_map[[#This Row],[course_id]]</f>
        <v>R0145|89155</v>
      </c>
      <c r="L1105" t="str">
        <f>IF(COUNTIF(role_course_map[mapping_key],role_course_map[[#This Row],[mapping_key]])&gt;1,"DUPLICATE","OK")</f>
        <v>OK</v>
      </c>
      <c r="M1105" t="str">
        <f>IF(COUNTIF(role_data[role_id],role_course_map[[#This Row],[role_id]])=0, "INVALID","VALID")</f>
        <v>VALID</v>
      </c>
      <c r="N1105" t="str">
        <f>IF(COUNTIF(course_data[course_id],role_course_map[[#This Row],[course_id]])=0, "INVALID","VALID")</f>
        <v>VALID</v>
      </c>
    </row>
    <row r="1106" spans="1:14" x14ac:dyDescent="0.35">
      <c r="A1106" t="s">
        <v>302</v>
      </c>
      <c r="B1106" s="5" t="str">
        <f>_xlfn.XLOOKUP(role_course_map[[#This Row],[role_id]], role_data[role_id], role_data[Role],"")</f>
        <v>Nurse Consultant</v>
      </c>
      <c r="C1106">
        <v>999064</v>
      </c>
      <c r="D1106" s="5" t="str">
        <f>_xlfn.XLOOKUP(role_course_map[[#This Row],[course_id]],course_data[course_id],course_data[title],"")</f>
        <v>Infection prevention and control: Clostridioides difficile infection</v>
      </c>
      <c r="E1106" s="5" t="str">
        <f>_xlfn.XLOOKUP(role_course_map[[#This Row],[course_id]],course_data[course_id],course_data[topic],"")</f>
        <v>SAS : Infection Prevention and Control (IPC)</v>
      </c>
      <c r="F1106" s="5" t="str">
        <f>_xlfn.XLOOKUP(role_course_map[[#This Row],[course_id]],course_data[course_id],course_data[type],"")</f>
        <v>eLearning</v>
      </c>
      <c r="K1106" t="str">
        <f>role_course_map[[#This Row],[role_id]] &amp; "|" &amp; role_course_map[[#This Row],[course_id]]</f>
        <v>R0145|999064</v>
      </c>
      <c r="L1106" t="str">
        <f>IF(COUNTIF(role_course_map[mapping_key],role_course_map[[#This Row],[mapping_key]])&gt;1,"DUPLICATE","OK")</f>
        <v>OK</v>
      </c>
      <c r="M1106" t="str">
        <f>IF(COUNTIF(role_data[role_id],role_course_map[[#This Row],[role_id]])=0, "INVALID","VALID")</f>
        <v>VALID</v>
      </c>
      <c r="N1106" t="str">
        <f>IF(COUNTIF(course_data[course_id],role_course_map[[#This Row],[course_id]])=0, "INVALID","VALID")</f>
        <v>VALID</v>
      </c>
    </row>
    <row r="1107" spans="1:14" x14ac:dyDescent="0.35">
      <c r="A1107" t="s">
        <v>302</v>
      </c>
      <c r="B1107" s="5" t="str">
        <f>_xlfn.XLOOKUP(role_course_map[[#This Row],[role_id]], role_data[role_id], role_data[Role],"")</f>
        <v>Nurse Consultant</v>
      </c>
      <c r="C1107">
        <v>3256</v>
      </c>
      <c r="D1107" s="5" t="str">
        <f>_xlfn.XLOOKUP(role_course_map[[#This Row],[course_id]],course_data[course_id],course_data[title],"")</f>
        <v>Antibiotic Management CHECK THIS IS THE RIGHT ONE</v>
      </c>
      <c r="E1107" s="5" t="str">
        <f>_xlfn.XLOOKUP(role_course_map[[#This Row],[course_id]],course_data[course_id],course_data[topic],"")</f>
        <v>SAS : Infection Prevention and Control (IPC)</v>
      </c>
      <c r="F1107" s="5" t="str">
        <f>_xlfn.XLOOKUP(role_course_map[[#This Row],[course_id]],course_data[course_id],course_data[type],"")</f>
        <v>eLearning</v>
      </c>
      <c r="K1107" t="str">
        <f>role_course_map[[#This Row],[role_id]] &amp; "|" &amp; role_course_map[[#This Row],[course_id]]</f>
        <v>R0145|3256</v>
      </c>
      <c r="L1107" t="str">
        <f>IF(COUNTIF(role_course_map[mapping_key],role_course_map[[#This Row],[mapping_key]])&gt;1,"DUPLICATE","OK")</f>
        <v>OK</v>
      </c>
      <c r="M1107" t="str">
        <f>IF(COUNTIF(role_data[role_id],role_course_map[[#This Row],[role_id]])=0, "INVALID","VALID")</f>
        <v>VALID</v>
      </c>
      <c r="N1107" t="str">
        <f>IF(COUNTIF(course_data[course_id],role_course_map[[#This Row],[course_id]])=0, "INVALID","VALID")</f>
        <v>VALID</v>
      </c>
    </row>
    <row r="1108" spans="1:14" x14ac:dyDescent="0.35">
      <c r="A1108" t="s">
        <v>302</v>
      </c>
      <c r="B1108" s="5" t="str">
        <f>_xlfn.XLOOKUP(role_course_map[[#This Row],[role_id]], role_data[role_id], role_data[Role],"")</f>
        <v>Nurse Consultant</v>
      </c>
      <c r="C1108">
        <v>82383</v>
      </c>
      <c r="D1108" s="5" t="str">
        <f>_xlfn.XLOOKUP(role_course_map[[#This Row],[course_id]],course_data[course_id],course_data[title],"")</f>
        <v>Aseptic technique</v>
      </c>
      <c r="E1108" s="5" t="str">
        <f>_xlfn.XLOOKUP(role_course_map[[#This Row],[course_id]],course_data[course_id],course_data[topic],"")</f>
        <v>SAS : Infection Prevention and Control (IPC)</v>
      </c>
      <c r="F1108" s="5" t="str">
        <f>_xlfn.XLOOKUP(role_course_map[[#This Row],[course_id]],course_data[course_id],course_data[type],"")</f>
        <v>eLearning</v>
      </c>
      <c r="K1108" t="str">
        <f>role_course_map[[#This Row],[role_id]] &amp; "|" &amp; role_course_map[[#This Row],[course_id]]</f>
        <v>R0145|82383</v>
      </c>
      <c r="L1108" t="str">
        <f>IF(COUNTIF(role_course_map[mapping_key],role_course_map[[#This Row],[mapping_key]])&gt;1,"DUPLICATE","OK")</f>
        <v>OK</v>
      </c>
      <c r="M1108" t="str">
        <f>IF(COUNTIF(role_data[role_id],role_course_map[[#This Row],[role_id]])=0, "INVALID","VALID")</f>
        <v>VALID</v>
      </c>
      <c r="N1108" t="str">
        <f>IF(COUNTIF(course_data[course_id],role_course_map[[#This Row],[course_id]])=0, "INVALID","VALID")</f>
        <v>VALID</v>
      </c>
    </row>
    <row r="1109" spans="1:14" x14ac:dyDescent="0.35">
      <c r="A1109" t="s">
        <v>302</v>
      </c>
      <c r="B1109" s="5" t="str">
        <f>_xlfn.XLOOKUP(role_course_map[[#This Row],[role_id]], role_data[role_id], role_data[Role],"")</f>
        <v>Nurse Consultant</v>
      </c>
      <c r="C1109">
        <v>3886</v>
      </c>
      <c r="D1109" s="5" t="str">
        <f>_xlfn.XLOOKUP(role_course_map[[#This Row],[course_id]],course_data[course_id],course_data[title],"")</f>
        <v>Prevention and management of pressure ulcers</v>
      </c>
      <c r="E1109" s="5" t="str">
        <f>_xlfn.XLOOKUP(role_course_map[[#This Row],[course_id]],course_data[course_id],course_data[topic],"")</f>
        <v>SAS : Clinical Practice</v>
      </c>
      <c r="F1109" s="5" t="str">
        <f>_xlfn.XLOOKUP(role_course_map[[#This Row],[course_id]],course_data[course_id],course_data[type],"")</f>
        <v>Page</v>
      </c>
      <c r="K1109" t="str">
        <f>role_course_map[[#This Row],[role_id]] &amp; "|" &amp; role_course_map[[#This Row],[course_id]]</f>
        <v>R0145|3886</v>
      </c>
      <c r="L1109" t="str">
        <f>IF(COUNTIF(role_course_map[mapping_key],role_course_map[[#This Row],[mapping_key]])&gt;1,"DUPLICATE","OK")</f>
        <v>OK</v>
      </c>
      <c r="M1109" t="str">
        <f>IF(COUNTIF(role_data[role_id],role_course_map[[#This Row],[role_id]])=0, "INVALID","VALID")</f>
        <v>VALID</v>
      </c>
      <c r="N1109" t="str">
        <f>IF(COUNTIF(course_data[course_id],role_course_map[[#This Row],[course_id]])=0, "INVALID","VALID")</f>
        <v>VALID</v>
      </c>
    </row>
    <row r="1110" spans="1:14" x14ac:dyDescent="0.35">
      <c r="A1110" t="s">
        <v>302</v>
      </c>
      <c r="B1110" s="5" t="str">
        <f>_xlfn.XLOOKUP(role_course_map[[#This Row],[role_id]], role_data[role_id], role_data[Role],"")</f>
        <v>Nurse Consultant</v>
      </c>
      <c r="C1110">
        <v>999094</v>
      </c>
      <c r="D1110" s="5" t="str">
        <f>_xlfn.XLOOKUP(role_course_map[[#This Row],[course_id]],course_data[course_id],course_data[title],"")</f>
        <v>Being well, Mind, Body &amp; Workplace</v>
      </c>
      <c r="E1110" s="5" t="str">
        <f>_xlfn.XLOOKUP(role_course_map[[#This Row],[course_id]],course_data[course_id],course_data[topic],"")</f>
        <v>SAS: Staff development and experience</v>
      </c>
      <c r="F1110" s="5" t="str">
        <f>_xlfn.XLOOKUP(role_course_map[[#This Row],[course_id]],course_data[course_id],course_data[type],"")</f>
        <v>eLearning</v>
      </c>
      <c r="K1110" t="str">
        <f>role_course_map[[#This Row],[role_id]] &amp; "|" &amp; role_course_map[[#This Row],[course_id]]</f>
        <v>R0145|999094</v>
      </c>
      <c r="L1110" t="str">
        <f>IF(COUNTIF(role_course_map[mapping_key],role_course_map[[#This Row],[mapping_key]])&gt;1,"DUPLICATE","OK")</f>
        <v>OK</v>
      </c>
      <c r="M1110" t="str">
        <f>IF(COUNTIF(role_data[role_id],role_course_map[[#This Row],[role_id]])=0, "INVALID","VALID")</f>
        <v>VALID</v>
      </c>
      <c r="N1110" t="str">
        <f>IF(COUNTIF(course_data[course_id],role_course_map[[#This Row],[course_id]])=0, "INVALID","VALID")</f>
        <v>VALID</v>
      </c>
    </row>
    <row r="1111" spans="1:14" x14ac:dyDescent="0.35">
      <c r="A1111" t="s">
        <v>302</v>
      </c>
      <c r="B1111" s="5" t="str">
        <f>_xlfn.XLOOKUP(role_course_map[[#This Row],[role_id]], role_data[role_id], role_data[Role],"")</f>
        <v>Nurse Consultant</v>
      </c>
      <c r="C1111">
        <v>999092</v>
      </c>
      <c r="D1111" s="5" t="str">
        <f>_xlfn.XLOOKUP(role_course_map[[#This Row],[course_id]],course_data[course_id],course_data[title],"")</f>
        <v>Health &amp; Wellbeing Awareness for Managers</v>
      </c>
      <c r="E1111" s="5" t="str">
        <f>_xlfn.XLOOKUP(role_course_map[[#This Row],[course_id]],course_data[course_id],course_data[topic],"")</f>
        <v>SAS: Staff development and experience</v>
      </c>
      <c r="F1111" s="5" t="str">
        <f>_xlfn.XLOOKUP(role_course_map[[#This Row],[course_id]],course_data[course_id],course_data[type],"")</f>
        <v>eLearning</v>
      </c>
      <c r="K1111" t="str">
        <f>role_course_map[[#This Row],[role_id]] &amp; "|" &amp; role_course_map[[#This Row],[course_id]]</f>
        <v>R0145|999092</v>
      </c>
      <c r="L1111" t="str">
        <f>IF(COUNTIF(role_course_map[mapping_key],role_course_map[[#This Row],[mapping_key]])&gt;1,"DUPLICATE","OK")</f>
        <v>OK</v>
      </c>
      <c r="M1111" t="str">
        <f>IF(COUNTIF(role_data[role_id],role_course_map[[#This Row],[role_id]])=0, "INVALID","VALID")</f>
        <v>VALID</v>
      </c>
      <c r="N1111" t="str">
        <f>IF(COUNTIF(course_data[course_id],role_course_map[[#This Row],[course_id]])=0, "INVALID","VALID")</f>
        <v>VALID</v>
      </c>
    </row>
    <row r="1112" spans="1:14" x14ac:dyDescent="0.35">
      <c r="A1112" t="s">
        <v>302</v>
      </c>
      <c r="B1112" s="5" t="str">
        <f>_xlfn.XLOOKUP(role_course_map[[#This Row],[role_id]], role_data[role_id], role_data[Role],"")</f>
        <v>Nurse Consultant</v>
      </c>
      <c r="C1112">
        <v>999093</v>
      </c>
      <c r="D1112" s="5" t="str">
        <f>_xlfn.XLOOKUP(role_course_map[[#This Row],[course_id]],course_data[course_id],course_data[title],"")</f>
        <v>Managing Wellbeing Refresher for Managers</v>
      </c>
      <c r="E1112" s="5" t="str">
        <f>_xlfn.XLOOKUP(role_course_map[[#This Row],[course_id]],course_data[course_id],course_data[topic],"")</f>
        <v>SAS: Staff development and experience</v>
      </c>
      <c r="F1112" s="5" t="str">
        <f>_xlfn.XLOOKUP(role_course_map[[#This Row],[course_id]],course_data[course_id],course_data[type],"")</f>
        <v>eLearning</v>
      </c>
      <c r="K1112" t="str">
        <f>role_course_map[[#This Row],[role_id]] &amp; "|" &amp; role_course_map[[#This Row],[course_id]]</f>
        <v>R0145|999093</v>
      </c>
      <c r="L1112" t="str">
        <f>IF(COUNTIF(role_course_map[mapping_key],role_course_map[[#This Row],[mapping_key]])&gt;1,"DUPLICATE","OK")</f>
        <v>OK</v>
      </c>
      <c r="M1112" t="str">
        <f>IF(COUNTIF(role_data[role_id],role_course_map[[#This Row],[role_id]])=0, "INVALID","VALID")</f>
        <v>VALID</v>
      </c>
      <c r="N1112" t="str">
        <f>IF(COUNTIF(course_data[course_id],role_course_map[[#This Row],[course_id]])=0, "INVALID","VALID")</f>
        <v>VALID</v>
      </c>
    </row>
    <row r="1113" spans="1:14" x14ac:dyDescent="0.35">
      <c r="A1113" t="s">
        <v>302</v>
      </c>
      <c r="B1113" s="5" t="str">
        <f>_xlfn.XLOOKUP(role_course_map[[#This Row],[role_id]], role_data[role_id], role_data[Role],"")</f>
        <v>Nurse Consultant</v>
      </c>
      <c r="C1113">
        <v>999077</v>
      </c>
      <c r="D1113" s="5" t="str">
        <f>_xlfn.XLOOKUP(role_course_map[[#This Row],[course_id]],course_data[course_id],course_data[title],"")</f>
        <v>ScotSTAR: Role specific Orientation &amp; Induction</v>
      </c>
      <c r="E1113" s="5" t="str">
        <f>_xlfn.XLOOKUP(role_course_map[[#This Row],[course_id]],course_data[course_id],course_data[topic],"")</f>
        <v>SAS : ScotSTAR</v>
      </c>
      <c r="F1113" s="5" t="str">
        <f>_xlfn.XLOOKUP(role_course_map[[#This Row],[course_id]],course_data[course_id],course_data[type],"")</f>
        <v>Course</v>
      </c>
      <c r="K1113" t="str">
        <f>role_course_map[[#This Row],[role_id]] &amp; "|" &amp; role_course_map[[#This Row],[course_id]]</f>
        <v>R0145|999077</v>
      </c>
      <c r="L1113" t="str">
        <f>IF(COUNTIF(role_course_map[mapping_key],role_course_map[[#This Row],[mapping_key]])&gt;1,"DUPLICATE","OK")</f>
        <v>OK</v>
      </c>
      <c r="M1113" t="str">
        <f>IF(COUNTIF(role_data[role_id],role_course_map[[#This Row],[role_id]])=0, "INVALID","VALID")</f>
        <v>VALID</v>
      </c>
      <c r="N1113" t="str">
        <f>IF(COUNTIF(course_data[course_id],role_course_map[[#This Row],[course_id]])=0, "INVALID","VALID")</f>
        <v>VALID</v>
      </c>
    </row>
    <row r="1114" spans="1:14" x14ac:dyDescent="0.35">
      <c r="A1114" t="s">
        <v>302</v>
      </c>
      <c r="B1114" s="5" t="str">
        <f>_xlfn.XLOOKUP(role_course_map[[#This Row],[role_id]], role_data[role_id], role_data[Role],"")</f>
        <v>Nurse Consultant</v>
      </c>
      <c r="C1114">
        <v>999080</v>
      </c>
      <c r="D1114" s="5" t="str">
        <f>_xlfn.XLOOKUP(role_course_map[[#This Row],[course_id]],course_data[course_id],course_data[title],"")</f>
        <v>HUET (on line)</v>
      </c>
      <c r="E1114" s="5" t="str">
        <f>_xlfn.XLOOKUP(role_course_map[[#This Row],[course_id]],course_data[course_id],course_data[topic],"")</f>
        <v>SAS : ScotSTAR</v>
      </c>
      <c r="F1114" s="5" t="str">
        <f>_xlfn.XLOOKUP(role_course_map[[#This Row],[course_id]],course_data[course_id],course_data[type],"")</f>
        <v>eLearning</v>
      </c>
      <c r="K1114" t="str">
        <f>role_course_map[[#This Row],[role_id]] &amp; "|" &amp; role_course_map[[#This Row],[course_id]]</f>
        <v>R0145|999080</v>
      </c>
      <c r="L1114" t="str">
        <f>IF(COUNTIF(role_course_map[mapping_key],role_course_map[[#This Row],[mapping_key]])&gt;1,"DUPLICATE","OK")</f>
        <v>OK</v>
      </c>
      <c r="M1114" t="str">
        <f>IF(COUNTIF(role_data[role_id],role_course_map[[#This Row],[role_id]])=0, "INVALID","VALID")</f>
        <v>VALID</v>
      </c>
      <c r="N1114" t="str">
        <f>IF(COUNTIF(course_data[course_id],role_course_map[[#This Row],[course_id]])=0, "INVALID","VALID")</f>
        <v>VALID</v>
      </c>
    </row>
    <row r="1115" spans="1:14" x14ac:dyDescent="0.35">
      <c r="A1115" t="s">
        <v>302</v>
      </c>
      <c r="B1115" s="5" t="str">
        <f>_xlfn.XLOOKUP(role_course_map[[#This Row],[role_id]], role_data[role_id], role_data[Role],"")</f>
        <v>Nurse Consultant</v>
      </c>
      <c r="C1115">
        <v>999081</v>
      </c>
      <c r="D1115" s="5" t="str">
        <f>_xlfn.XLOOKUP(role_course_map[[#This Row],[course_id]],course_data[course_id],course_data[title],"")</f>
        <v>Major Incident Training- Operational Commander</v>
      </c>
      <c r="E1115" s="5" t="str">
        <f>_xlfn.XLOOKUP(role_course_map[[#This Row],[course_id]],course_data[course_id],course_data[topic],"")</f>
        <v>SAS : ScotSTAR</v>
      </c>
      <c r="F1115" s="5" t="str">
        <f>_xlfn.XLOOKUP(role_course_map[[#This Row],[course_id]],course_data[course_id],course_data[type],"")</f>
        <v>Course</v>
      </c>
      <c r="K1115" t="str">
        <f>role_course_map[[#This Row],[role_id]] &amp; "|" &amp; role_course_map[[#This Row],[course_id]]</f>
        <v>R0145|999081</v>
      </c>
      <c r="L1115" t="str">
        <f>IF(COUNTIF(role_course_map[mapping_key],role_course_map[[#This Row],[mapping_key]])&gt;1,"DUPLICATE","OK")</f>
        <v>OK</v>
      </c>
      <c r="M1115" t="str">
        <f>IF(COUNTIF(role_data[role_id],role_course_map[[#This Row],[role_id]])=0, "INVALID","VALID")</f>
        <v>VALID</v>
      </c>
      <c r="N1115" t="str">
        <f>IF(COUNTIF(course_data[course_id],role_course_map[[#This Row],[course_id]])=0, "INVALID","VALID")</f>
        <v>VALID</v>
      </c>
    </row>
    <row r="1116" spans="1:14" x14ac:dyDescent="0.35">
      <c r="A1116" t="s">
        <v>302</v>
      </c>
      <c r="B1116" s="5" t="str">
        <f>_xlfn.XLOOKUP(role_course_map[[#This Row],[role_id]], role_data[role_id], role_data[Role],"")</f>
        <v>Nurse Consultant</v>
      </c>
      <c r="C1116">
        <v>999082</v>
      </c>
      <c r="D1116" s="5" t="str">
        <f>_xlfn.XLOOKUP(role_course_map[[#This Row],[course_id]],course_data[course_id],course_data[title],"")</f>
        <v>Major Incident Training - MIO</v>
      </c>
      <c r="E1116" s="5" t="str">
        <f>_xlfn.XLOOKUP(role_course_map[[#This Row],[course_id]],course_data[course_id],course_data[topic],"")</f>
        <v>SAS : ScotSTAR</v>
      </c>
      <c r="F1116" s="5" t="str">
        <f>_xlfn.XLOOKUP(role_course_map[[#This Row],[course_id]],course_data[course_id],course_data[type],"")</f>
        <v>Course</v>
      </c>
      <c r="K1116" t="str">
        <f>role_course_map[[#This Row],[role_id]] &amp; "|" &amp; role_course_map[[#This Row],[course_id]]</f>
        <v>R0145|999082</v>
      </c>
      <c r="L1116" t="str">
        <f>IF(COUNTIF(role_course_map[mapping_key],role_course_map[[#This Row],[mapping_key]])&gt;1,"DUPLICATE","OK")</f>
        <v>OK</v>
      </c>
      <c r="M1116" t="str">
        <f>IF(COUNTIF(role_data[role_id],role_course_map[[#This Row],[role_id]])=0, "INVALID","VALID")</f>
        <v>VALID</v>
      </c>
      <c r="N1116" t="str">
        <f>IF(COUNTIF(course_data[course_id],role_course_map[[#This Row],[course_id]])=0, "INVALID","VALID")</f>
        <v>VALID</v>
      </c>
    </row>
    <row r="1117" spans="1:14" x14ac:dyDescent="0.35">
      <c r="A1117" t="s">
        <v>302</v>
      </c>
      <c r="B1117" s="5" t="str">
        <f>_xlfn.XLOOKUP(role_course_map[[#This Row],[role_id]], role_data[role_id], role_data[Role],"")</f>
        <v>Nurse Consultant</v>
      </c>
      <c r="C1117">
        <v>999084</v>
      </c>
      <c r="D1117" s="5" t="str">
        <f>_xlfn.XLOOKUP(role_course_map[[#This Row],[course_id]],course_data[course_id],course_data[title],"")</f>
        <v>Paediatric Life Support (PLS)</v>
      </c>
      <c r="E1117" s="5" t="str">
        <f>_xlfn.XLOOKUP(role_course_map[[#This Row],[course_id]],course_data[course_id],course_data[topic],"")</f>
        <v>SAS : ScotSTAR</v>
      </c>
      <c r="F1117" s="5" t="str">
        <f>_xlfn.XLOOKUP(role_course_map[[#This Row],[course_id]],course_data[course_id],course_data[type],"")</f>
        <v>Course</v>
      </c>
      <c r="K1117" t="str">
        <f>role_course_map[[#This Row],[role_id]] &amp; "|" &amp; role_course_map[[#This Row],[course_id]]</f>
        <v>R0145|999084</v>
      </c>
      <c r="L1117" t="str">
        <f>IF(COUNTIF(role_course_map[mapping_key],role_course_map[[#This Row],[mapping_key]])&gt;1,"DUPLICATE","OK")</f>
        <v>OK</v>
      </c>
      <c r="M1117" t="str">
        <f>IF(COUNTIF(role_data[role_id],role_course_map[[#This Row],[role_id]])=0, "INVALID","VALID")</f>
        <v>VALID</v>
      </c>
      <c r="N1117" t="str">
        <f>IF(COUNTIF(course_data[course_id],role_course_map[[#This Row],[course_id]])=0, "INVALID","VALID")</f>
        <v>VALID</v>
      </c>
    </row>
    <row r="1118" spans="1:14" x14ac:dyDescent="0.35">
      <c r="A1118" t="s">
        <v>304</v>
      </c>
      <c r="B1118" s="5" t="str">
        <f>_xlfn.XLOOKUP(role_course_map[[#This Row],[role_id]], role_data[role_id], role_data[Role],"")</f>
        <v>Paediatric Advanced Nurse Practitioner</v>
      </c>
      <c r="C1118">
        <v>999009</v>
      </c>
      <c r="D1118" s="5" t="str">
        <f>_xlfn.XLOOKUP(role_course_map[[#This Row],[course_id]],course_data[course_id],course_data[title],"")</f>
        <v>Life Support</v>
      </c>
      <c r="E1118" s="5" t="str">
        <f>_xlfn.XLOOKUP(role_course_map[[#This Row],[course_id]],course_data[course_id],course_data[topic],"")</f>
        <v>SAS : Clinical Practice</v>
      </c>
      <c r="F1118" s="5" t="str">
        <f>_xlfn.XLOOKUP(role_course_map[[#This Row],[course_id]],course_data[course_id],course_data[type],"")</f>
        <v>Course</v>
      </c>
      <c r="K1118" t="str">
        <f>role_course_map[[#This Row],[role_id]] &amp; "|" &amp; role_course_map[[#This Row],[course_id]]</f>
        <v>R0146|999009</v>
      </c>
      <c r="L1118" t="str">
        <f>IF(COUNTIF(role_course_map[mapping_key],role_course_map[[#This Row],[mapping_key]])&gt;1,"DUPLICATE","OK")</f>
        <v>OK</v>
      </c>
      <c r="M1118" t="str">
        <f>IF(COUNTIF(role_data[role_id],role_course_map[[#This Row],[role_id]])=0, "INVALID","VALID")</f>
        <v>VALID</v>
      </c>
      <c r="N1118" t="str">
        <f>IF(COUNTIF(course_data[course_id],role_course_map[[#This Row],[course_id]])=0, "INVALID","VALID")</f>
        <v>VALID</v>
      </c>
    </row>
    <row r="1119" spans="1:14" x14ac:dyDescent="0.35">
      <c r="A1119" t="s">
        <v>304</v>
      </c>
      <c r="B1119" s="5" t="str">
        <f>_xlfn.XLOOKUP(role_course_map[[#This Row],[role_id]], role_data[role_id], role_data[Role],"")</f>
        <v>Paediatric Advanced Nurse Practitioner</v>
      </c>
      <c r="C1119">
        <v>999007</v>
      </c>
      <c r="D1119" s="5" t="str">
        <f>_xlfn.XLOOKUP(role_course_map[[#This Row],[course_id]],course_data[course_id],course_data[title],"")</f>
        <v>Obstetrics</v>
      </c>
      <c r="E1119" s="5" t="str">
        <f>_xlfn.XLOOKUP(role_course_map[[#This Row],[course_id]],course_data[course_id],course_data[topic],"")</f>
        <v>SAS : Clinical Practice</v>
      </c>
      <c r="F1119" s="5" t="str">
        <f>_xlfn.XLOOKUP(role_course_map[[#This Row],[course_id]],course_data[course_id],course_data[type],"")</f>
        <v>Course</v>
      </c>
      <c r="K1119" t="str">
        <f>role_course_map[[#This Row],[role_id]] &amp; "|" &amp; role_course_map[[#This Row],[course_id]]</f>
        <v>R0146|999007</v>
      </c>
      <c r="L1119" t="str">
        <f>IF(COUNTIF(role_course_map[mapping_key],role_course_map[[#This Row],[mapping_key]])&gt;1,"DUPLICATE","OK")</f>
        <v>OK</v>
      </c>
      <c r="M1119" t="str">
        <f>IF(COUNTIF(role_data[role_id],role_course_map[[#This Row],[role_id]])=0, "INVALID","VALID")</f>
        <v>VALID</v>
      </c>
      <c r="N1119" t="str">
        <f>IF(COUNTIF(course_data[course_id],role_course_map[[#This Row],[course_id]])=0, "INVALID","VALID")</f>
        <v>VALID</v>
      </c>
    </row>
    <row r="1120" spans="1:14" x14ac:dyDescent="0.35">
      <c r="A1120" t="s">
        <v>304</v>
      </c>
      <c r="B1120" s="5" t="str">
        <f>_xlfn.XLOOKUP(role_course_map[[#This Row],[role_id]], role_data[role_id], role_data[Role],"")</f>
        <v>Paediatric Advanced Nurse Practitioner</v>
      </c>
      <c r="C1120">
        <v>999008</v>
      </c>
      <c r="D1120" s="5" t="str">
        <f>_xlfn.XLOOKUP(role_course_map[[#This Row],[course_id]],course_data[course_id],course_data[title],"")</f>
        <v>Obstetrics</v>
      </c>
      <c r="E1120" s="5" t="str">
        <f>_xlfn.XLOOKUP(role_course_map[[#This Row],[course_id]],course_data[course_id],course_data[topic],"")</f>
        <v>SAS : Clinical Practice</v>
      </c>
      <c r="F1120" s="5" t="str">
        <f>_xlfn.XLOOKUP(role_course_map[[#This Row],[course_id]],course_data[course_id],course_data[type],"")</f>
        <v>eLearning</v>
      </c>
      <c r="K1120" t="str">
        <f>role_course_map[[#This Row],[role_id]] &amp; "|" &amp; role_course_map[[#This Row],[course_id]]</f>
        <v>R0146|999008</v>
      </c>
      <c r="L1120" t="str">
        <f>IF(COUNTIF(role_course_map[mapping_key],role_course_map[[#This Row],[mapping_key]])&gt;1,"DUPLICATE","OK")</f>
        <v>OK</v>
      </c>
      <c r="M1120" t="str">
        <f>IF(COUNTIF(role_data[role_id],role_course_map[[#This Row],[role_id]])=0, "INVALID","VALID")</f>
        <v>VALID</v>
      </c>
      <c r="N1120" t="str">
        <f>IF(COUNTIF(course_data[course_id],role_course_map[[#This Row],[course_id]])=0, "INVALID","VALID")</f>
        <v>VALID</v>
      </c>
    </row>
    <row r="1121" spans="1:14" x14ac:dyDescent="0.35">
      <c r="A1121" t="s">
        <v>304</v>
      </c>
      <c r="B1121" s="5" t="str">
        <f>_xlfn.XLOOKUP(role_course_map[[#This Row],[role_id]], role_data[role_id], role_data[Role],"")</f>
        <v>Paediatric Advanced Nurse Practitioner</v>
      </c>
      <c r="C1121">
        <v>999010</v>
      </c>
      <c r="D1121" s="5" t="str">
        <f>_xlfn.XLOOKUP(role_course_map[[#This Row],[course_id]],course_data[course_id],course_data[title],"")</f>
        <v>Paediatrics</v>
      </c>
      <c r="E1121" s="5" t="str">
        <f>_xlfn.XLOOKUP(role_course_map[[#This Row],[course_id]],course_data[course_id],course_data[topic],"")</f>
        <v>SAS : Clinical Practice</v>
      </c>
      <c r="F1121" s="5" t="str">
        <f>_xlfn.XLOOKUP(role_course_map[[#This Row],[course_id]],course_data[course_id],course_data[type],"")</f>
        <v>Course</v>
      </c>
      <c r="K1121" t="str">
        <f>role_course_map[[#This Row],[role_id]] &amp; "|" &amp; role_course_map[[#This Row],[course_id]]</f>
        <v>R0146|999010</v>
      </c>
      <c r="L1121" t="str">
        <f>IF(COUNTIF(role_course_map[mapping_key],role_course_map[[#This Row],[mapping_key]])&gt;1,"DUPLICATE","OK")</f>
        <v>OK</v>
      </c>
      <c r="M1121" t="str">
        <f>IF(COUNTIF(role_data[role_id],role_course_map[[#This Row],[role_id]])=0, "INVALID","VALID")</f>
        <v>VALID</v>
      </c>
      <c r="N1121" t="str">
        <f>IF(COUNTIF(course_data[course_id],role_course_map[[#This Row],[course_id]])=0, "INVALID","VALID")</f>
        <v>VALID</v>
      </c>
    </row>
    <row r="1122" spans="1:14" x14ac:dyDescent="0.35">
      <c r="A1122" t="s">
        <v>304</v>
      </c>
      <c r="B1122" s="5" t="str">
        <f>_xlfn.XLOOKUP(role_course_map[[#This Row],[role_id]], role_data[role_id], role_data[Role],"")</f>
        <v>Paediatric Advanced Nurse Practitioner</v>
      </c>
      <c r="C1122">
        <v>999011</v>
      </c>
      <c r="D1122" s="5" t="str">
        <f>_xlfn.XLOOKUP(role_course_map[[#This Row],[course_id]],course_data[course_id],course_data[title],"")</f>
        <v>Paediatrics</v>
      </c>
      <c r="E1122" s="5" t="str">
        <f>_xlfn.XLOOKUP(role_course_map[[#This Row],[course_id]],course_data[course_id],course_data[topic],"")</f>
        <v>SAS : Clinical Practice</v>
      </c>
      <c r="F1122" s="5" t="str">
        <f>_xlfn.XLOOKUP(role_course_map[[#This Row],[course_id]],course_data[course_id],course_data[type],"")</f>
        <v>eLearning</v>
      </c>
      <c r="K1122" t="str">
        <f>role_course_map[[#This Row],[role_id]] &amp; "|" &amp; role_course_map[[#This Row],[course_id]]</f>
        <v>R0146|999011</v>
      </c>
      <c r="L1122" t="str">
        <f>IF(COUNTIF(role_course_map[mapping_key],role_course_map[[#This Row],[mapping_key]])&gt;1,"DUPLICATE","OK")</f>
        <v>OK</v>
      </c>
      <c r="M1122" t="str">
        <f>IF(COUNTIF(role_data[role_id],role_course_map[[#This Row],[role_id]])=0, "INVALID","VALID")</f>
        <v>VALID</v>
      </c>
      <c r="N1122" t="str">
        <f>IF(COUNTIF(course_data[course_id],role_course_map[[#This Row],[course_id]])=0, "INVALID","VALID")</f>
        <v>VALID</v>
      </c>
    </row>
    <row r="1123" spans="1:14" x14ac:dyDescent="0.35">
      <c r="A1123" t="s">
        <v>304</v>
      </c>
      <c r="B1123" s="5" t="str">
        <f>_xlfn.XLOOKUP(role_course_map[[#This Row],[role_id]], role_data[role_id], role_data[Role],"")</f>
        <v>Paediatric Advanced Nurse Practitioner</v>
      </c>
      <c r="C1123">
        <v>999012</v>
      </c>
      <c r="D1123" s="5" t="str">
        <f>_xlfn.XLOOKUP(role_course_map[[#This Row],[course_id]],course_data[course_id],course_data[title],"")</f>
        <v>Trauma</v>
      </c>
      <c r="E1123" s="5" t="str">
        <f>_xlfn.XLOOKUP(role_course_map[[#This Row],[course_id]],course_data[course_id],course_data[topic],"")</f>
        <v>SAS : Clinical Practice</v>
      </c>
      <c r="F1123" s="5" t="str">
        <f>_xlfn.XLOOKUP(role_course_map[[#This Row],[course_id]],course_data[course_id],course_data[type],"")</f>
        <v>Course</v>
      </c>
      <c r="K1123" t="str">
        <f>role_course_map[[#This Row],[role_id]] &amp; "|" &amp; role_course_map[[#This Row],[course_id]]</f>
        <v>R0146|999012</v>
      </c>
      <c r="L1123" t="str">
        <f>IF(COUNTIF(role_course_map[mapping_key],role_course_map[[#This Row],[mapping_key]])&gt;1,"DUPLICATE","OK")</f>
        <v>OK</v>
      </c>
      <c r="M1123" t="str">
        <f>IF(COUNTIF(role_data[role_id],role_course_map[[#This Row],[role_id]])=0, "INVALID","VALID")</f>
        <v>VALID</v>
      </c>
      <c r="N1123" t="str">
        <f>IF(COUNTIF(course_data[course_id],role_course_map[[#This Row],[course_id]])=0, "INVALID","VALID")</f>
        <v>VALID</v>
      </c>
    </row>
    <row r="1124" spans="1:14" x14ac:dyDescent="0.35">
      <c r="A1124" t="s">
        <v>304</v>
      </c>
      <c r="B1124" s="5" t="str">
        <f>_xlfn.XLOOKUP(role_course_map[[#This Row],[role_id]], role_data[role_id], role_data[Role],"")</f>
        <v>Paediatric Advanced Nurse Practitioner</v>
      </c>
      <c r="C1124">
        <v>999013</v>
      </c>
      <c r="D1124" s="5" t="str">
        <f>_xlfn.XLOOKUP(role_course_map[[#This Row],[course_id]],course_data[course_id],course_data[title],"")</f>
        <v>Trauma</v>
      </c>
      <c r="E1124" s="5" t="str">
        <f>_xlfn.XLOOKUP(role_course_map[[#This Row],[course_id]],course_data[course_id],course_data[topic],"")</f>
        <v>SAS : Clinical Practice</v>
      </c>
      <c r="F1124" s="5" t="str">
        <f>_xlfn.XLOOKUP(role_course_map[[#This Row],[course_id]],course_data[course_id],course_data[type],"")</f>
        <v>eLearning</v>
      </c>
      <c r="K1124" t="str">
        <f>role_course_map[[#This Row],[role_id]] &amp; "|" &amp; role_course_map[[#This Row],[course_id]]</f>
        <v>R0146|999013</v>
      </c>
      <c r="L1124" t="str">
        <f>IF(COUNTIF(role_course_map[mapping_key],role_course_map[[#This Row],[mapping_key]])&gt;1,"DUPLICATE","OK")</f>
        <v>OK</v>
      </c>
      <c r="M1124" t="str">
        <f>IF(COUNTIF(role_data[role_id],role_course_map[[#This Row],[role_id]])=0, "INVALID","VALID")</f>
        <v>VALID</v>
      </c>
      <c r="N1124" t="str">
        <f>IF(COUNTIF(course_data[course_id],role_course_map[[#This Row],[course_id]])=0, "INVALID","VALID")</f>
        <v>VALID</v>
      </c>
    </row>
    <row r="1125" spans="1:14" x14ac:dyDescent="0.35">
      <c r="A1125" t="s">
        <v>304</v>
      </c>
      <c r="B1125" s="5" t="str">
        <f>_xlfn.XLOOKUP(role_course_map[[#This Row],[role_id]], role_data[role_id], role_data[Role],"")</f>
        <v>Paediatric Advanced Nurse Practitioner</v>
      </c>
      <c r="C1125">
        <v>999014</v>
      </c>
      <c r="D1125" s="5" t="str">
        <f>_xlfn.XLOOKUP(role_course_map[[#This Row],[course_id]],course_data[course_id],course_data[title],"")</f>
        <v>Patient Assessment</v>
      </c>
      <c r="E1125" s="5" t="str">
        <f>_xlfn.XLOOKUP(role_course_map[[#This Row],[course_id]],course_data[course_id],course_data[topic],"")</f>
        <v>SAS : Clinical Practice</v>
      </c>
      <c r="F1125" s="5" t="str">
        <f>_xlfn.XLOOKUP(role_course_map[[#This Row],[course_id]],course_data[course_id],course_data[type],"")</f>
        <v>Course</v>
      </c>
      <c r="K1125" t="str">
        <f>role_course_map[[#This Row],[role_id]] &amp; "|" &amp; role_course_map[[#This Row],[course_id]]</f>
        <v>R0146|999014</v>
      </c>
      <c r="L1125" t="str">
        <f>IF(COUNTIF(role_course_map[mapping_key],role_course_map[[#This Row],[mapping_key]])&gt;1,"DUPLICATE","OK")</f>
        <v>OK</v>
      </c>
      <c r="M1125" t="str">
        <f>IF(COUNTIF(role_data[role_id],role_course_map[[#This Row],[role_id]])=0, "INVALID","VALID")</f>
        <v>VALID</v>
      </c>
      <c r="N1125" t="str">
        <f>IF(COUNTIF(course_data[course_id],role_course_map[[#This Row],[course_id]])=0, "INVALID","VALID")</f>
        <v>VALID</v>
      </c>
    </row>
    <row r="1126" spans="1:14" x14ac:dyDescent="0.35">
      <c r="A1126" t="s">
        <v>304</v>
      </c>
      <c r="B1126" s="5" t="str">
        <f>_xlfn.XLOOKUP(role_course_map[[#This Row],[role_id]], role_data[role_id], role_data[Role],"")</f>
        <v>Paediatric Advanced Nurse Practitioner</v>
      </c>
      <c r="C1126">
        <v>999015</v>
      </c>
      <c r="D1126" s="5" t="str">
        <f>_xlfn.XLOOKUP(role_course_map[[#This Row],[course_id]],course_data[course_id],course_data[title],"")</f>
        <v>Patient Assessment</v>
      </c>
      <c r="E1126" s="5" t="str">
        <f>_xlfn.XLOOKUP(role_course_map[[#This Row],[course_id]],course_data[course_id],course_data[topic],"")</f>
        <v>SAS : Clinical Practice</v>
      </c>
      <c r="F1126" s="5" t="str">
        <f>_xlfn.XLOOKUP(role_course_map[[#This Row],[course_id]],course_data[course_id],course_data[type],"")</f>
        <v>eLearning</v>
      </c>
      <c r="K1126" t="str">
        <f>role_course_map[[#This Row],[role_id]] &amp; "|" &amp; role_course_map[[#This Row],[course_id]]</f>
        <v>R0146|999015</v>
      </c>
      <c r="L1126" t="str">
        <f>IF(COUNTIF(role_course_map[mapping_key],role_course_map[[#This Row],[mapping_key]])&gt;1,"DUPLICATE","OK")</f>
        <v>OK</v>
      </c>
      <c r="M1126" t="str">
        <f>IF(COUNTIF(role_data[role_id],role_course_map[[#This Row],[role_id]])=0, "INVALID","VALID")</f>
        <v>VALID</v>
      </c>
      <c r="N1126" t="str">
        <f>IF(COUNTIF(course_data[course_id],role_course_map[[#This Row],[course_id]])=0, "INVALID","VALID")</f>
        <v>VALID</v>
      </c>
    </row>
    <row r="1127" spans="1:14" x14ac:dyDescent="0.35">
      <c r="A1127" t="s">
        <v>304</v>
      </c>
      <c r="B1127" s="5" t="str">
        <f>_xlfn.XLOOKUP(role_course_map[[#This Row],[role_id]], role_data[role_id], role_data[Role],"")</f>
        <v>Paediatric Advanced Nurse Practitioner</v>
      </c>
      <c r="C1127">
        <v>999018</v>
      </c>
      <c r="D1127" s="5" t="str">
        <f>_xlfn.XLOOKUP(role_course_map[[#This Row],[course_id]],course_data[course_id],course_data[title],"")</f>
        <v>Learning from Events</v>
      </c>
      <c r="E1127" s="5" t="str">
        <f>_xlfn.XLOOKUP(role_course_map[[#This Row],[course_id]],course_data[course_id],course_data[topic],"")</f>
        <v>SAS : Clinical Practice</v>
      </c>
      <c r="F1127" s="5" t="str">
        <f>_xlfn.XLOOKUP(role_course_map[[#This Row],[course_id]],course_data[course_id],course_data[type],"")</f>
        <v>eLearning</v>
      </c>
      <c r="K1127" t="str">
        <f>role_course_map[[#This Row],[role_id]] &amp; "|" &amp; role_course_map[[#This Row],[course_id]]</f>
        <v>R0146|999018</v>
      </c>
      <c r="L1127" t="str">
        <f>IF(COUNTIF(role_course_map[mapping_key],role_course_map[[#This Row],[mapping_key]])&gt;1,"DUPLICATE","OK")</f>
        <v>OK</v>
      </c>
      <c r="M1127" t="str">
        <f>IF(COUNTIF(role_data[role_id],role_course_map[[#This Row],[role_id]])=0, "INVALID","VALID")</f>
        <v>VALID</v>
      </c>
      <c r="N1127" t="str">
        <f>IF(COUNTIF(course_data[course_id],role_course_map[[#This Row],[course_id]])=0, "INVALID","VALID")</f>
        <v>VALID</v>
      </c>
    </row>
    <row r="1128" spans="1:14" x14ac:dyDescent="0.35">
      <c r="A1128" t="s">
        <v>304</v>
      </c>
      <c r="B1128" s="5" t="str">
        <f>_xlfn.XLOOKUP(role_course_map[[#This Row],[role_id]], role_data[role_id], role_data[Role],"")</f>
        <v>Paediatric Advanced Nurse Practitioner</v>
      </c>
      <c r="C1128">
        <v>999019</v>
      </c>
      <c r="D1128" s="5" t="str">
        <f>_xlfn.XLOOKUP(role_course_map[[#This Row],[course_id]],course_data[course_id],course_data[title],"")</f>
        <v>Medicines Management</v>
      </c>
      <c r="E1128" s="5" t="str">
        <f>_xlfn.XLOOKUP(role_course_map[[#This Row],[course_id]],course_data[course_id],course_data[topic],"")</f>
        <v>SAS : Clinical Practice</v>
      </c>
      <c r="F1128" s="5" t="str">
        <f>_xlfn.XLOOKUP(role_course_map[[#This Row],[course_id]],course_data[course_id],course_data[type],"")</f>
        <v>eLearning</v>
      </c>
      <c r="K1128" t="str">
        <f>role_course_map[[#This Row],[role_id]] &amp; "|" &amp; role_course_map[[#This Row],[course_id]]</f>
        <v>R0146|999019</v>
      </c>
      <c r="L1128" t="str">
        <f>IF(COUNTIF(role_course_map[mapping_key],role_course_map[[#This Row],[mapping_key]])&gt;1,"DUPLICATE","OK")</f>
        <v>OK</v>
      </c>
      <c r="M1128" t="str">
        <f>IF(COUNTIF(role_data[role_id],role_course_map[[#This Row],[role_id]])=0, "INVALID","VALID")</f>
        <v>VALID</v>
      </c>
      <c r="N1128" t="str">
        <f>IF(COUNTIF(course_data[course_id],role_course_map[[#This Row],[course_id]])=0, "INVALID","VALID")</f>
        <v>VALID</v>
      </c>
    </row>
    <row r="1129" spans="1:14" x14ac:dyDescent="0.35">
      <c r="A1129" t="s">
        <v>304</v>
      </c>
      <c r="B1129" s="5" t="str">
        <f>_xlfn.XLOOKUP(role_course_map[[#This Row],[role_id]], role_data[role_id], role_data[Role],"")</f>
        <v>Paediatric Advanced Nurse Practitioner</v>
      </c>
      <c r="C1129">
        <v>999020</v>
      </c>
      <c r="D1129" s="5" t="str">
        <f>_xlfn.XLOOKUP(role_course_map[[#This Row],[course_id]],course_data[course_id],course_data[title],"")</f>
        <v>JRCALC Update</v>
      </c>
      <c r="E1129" s="5" t="str">
        <f>_xlfn.XLOOKUP(role_course_map[[#This Row],[course_id]],course_data[course_id],course_data[topic],"")</f>
        <v>SAS : Clinical Practice</v>
      </c>
      <c r="F1129" s="5" t="str">
        <f>_xlfn.XLOOKUP(role_course_map[[#This Row],[course_id]],course_data[course_id],course_data[type],"")</f>
        <v>eLearning</v>
      </c>
      <c r="K1129" t="str">
        <f>role_course_map[[#This Row],[role_id]] &amp; "|" &amp; role_course_map[[#This Row],[course_id]]</f>
        <v>R0146|999020</v>
      </c>
      <c r="L1129" t="str">
        <f>IF(COUNTIF(role_course_map[mapping_key],role_course_map[[#This Row],[mapping_key]])&gt;1,"DUPLICATE","OK")</f>
        <v>OK</v>
      </c>
      <c r="M1129" t="str">
        <f>IF(COUNTIF(role_data[role_id],role_course_map[[#This Row],[role_id]])=0, "INVALID","VALID")</f>
        <v>VALID</v>
      </c>
      <c r="N1129" t="str">
        <f>IF(COUNTIF(course_data[course_id],role_course_map[[#This Row],[course_id]])=0, "INVALID","VALID")</f>
        <v>VALID</v>
      </c>
    </row>
    <row r="1130" spans="1:14" x14ac:dyDescent="0.35">
      <c r="A1130" t="s">
        <v>304</v>
      </c>
      <c r="B1130" s="5" t="str">
        <f>_xlfn.XLOOKUP(role_course_map[[#This Row],[role_id]], role_data[role_id], role_data[Role],"")</f>
        <v>Paediatric Advanced Nurse Practitioner</v>
      </c>
      <c r="C1130">
        <v>999021</v>
      </c>
      <c r="D1130" s="5" t="str">
        <f>_xlfn.XLOOKUP(role_course_map[[#This Row],[course_id]],course_data[course_id],course_data[title],"")</f>
        <v>Mental Health</v>
      </c>
      <c r="E1130" s="5" t="str">
        <f>_xlfn.XLOOKUP(role_course_map[[#This Row],[course_id]],course_data[course_id],course_data[topic],"")</f>
        <v>SAS : Clinical Practice</v>
      </c>
      <c r="F1130" s="5" t="str">
        <f>_xlfn.XLOOKUP(role_course_map[[#This Row],[course_id]],course_data[course_id],course_data[type],"")</f>
        <v>eLearning</v>
      </c>
      <c r="K1130" t="str">
        <f>role_course_map[[#This Row],[role_id]] &amp; "|" &amp; role_course_map[[#This Row],[course_id]]</f>
        <v>R0146|999021</v>
      </c>
      <c r="L1130" t="str">
        <f>IF(COUNTIF(role_course_map[mapping_key],role_course_map[[#This Row],[mapping_key]])&gt;1,"DUPLICATE","OK")</f>
        <v>OK</v>
      </c>
      <c r="M1130" t="str">
        <f>IF(COUNTIF(role_data[role_id],role_course_map[[#This Row],[role_id]])=0, "INVALID","VALID")</f>
        <v>VALID</v>
      </c>
      <c r="N1130" t="str">
        <f>IF(COUNTIF(course_data[course_id],role_course_map[[#This Row],[course_id]])=0, "INVALID","VALID")</f>
        <v>VALID</v>
      </c>
    </row>
    <row r="1131" spans="1:14" x14ac:dyDescent="0.35">
      <c r="A1131" t="s">
        <v>304</v>
      </c>
      <c r="B1131" s="5" t="str">
        <f>_xlfn.XLOOKUP(role_course_map[[#This Row],[role_id]], role_data[role_id], role_data[Role],"")</f>
        <v>Paediatric Advanced Nurse Practitioner</v>
      </c>
      <c r="C1131">
        <v>999022</v>
      </c>
      <c r="D1131" s="5" t="str">
        <f>_xlfn.XLOOKUP(role_course_map[[#This Row],[course_id]],course_data[course_id],course_data[title],"")</f>
        <v>Learning Disabilities</v>
      </c>
      <c r="E1131" s="5" t="str">
        <f>_xlfn.XLOOKUP(role_course_map[[#This Row],[course_id]],course_data[course_id],course_data[topic],"")</f>
        <v>SAS : Clinical Practice</v>
      </c>
      <c r="F1131" s="5" t="str">
        <f>_xlfn.XLOOKUP(role_course_map[[#This Row],[course_id]],course_data[course_id],course_data[type],"")</f>
        <v>eLearning</v>
      </c>
      <c r="K1131" t="str">
        <f>role_course_map[[#This Row],[role_id]] &amp; "|" &amp; role_course_map[[#This Row],[course_id]]</f>
        <v>R0146|999022</v>
      </c>
      <c r="L1131" t="str">
        <f>IF(COUNTIF(role_course_map[mapping_key],role_course_map[[#This Row],[mapping_key]])&gt;1,"DUPLICATE","OK")</f>
        <v>OK</v>
      </c>
      <c r="M1131" t="str">
        <f>IF(COUNTIF(role_data[role_id],role_course_map[[#This Row],[role_id]])=0, "INVALID","VALID")</f>
        <v>VALID</v>
      </c>
      <c r="N1131" t="str">
        <f>IF(COUNTIF(course_data[course_id],role_course_map[[#This Row],[course_id]])=0, "INVALID","VALID")</f>
        <v>VALID</v>
      </c>
    </row>
    <row r="1132" spans="1:14" x14ac:dyDescent="0.35">
      <c r="A1132" t="s">
        <v>304</v>
      </c>
      <c r="B1132" s="5" t="str">
        <f>_xlfn.XLOOKUP(role_course_map[[#This Row],[role_id]], role_data[role_id], role_data[Role],"")</f>
        <v>Paediatric Advanced Nurse Practitioner</v>
      </c>
      <c r="C1132">
        <v>75202</v>
      </c>
      <c r="D1132" s="5" t="str">
        <f>_xlfn.XLOOKUP(role_course_map[[#This Row],[course_id]],course_data[course_id],course_data[title],"")</f>
        <v>SAS : Clinical Practice</v>
      </c>
      <c r="E1132" s="5" t="str">
        <f>_xlfn.XLOOKUP(role_course_map[[#This Row],[course_id]],course_data[course_id],course_data[topic],"")</f>
        <v>SAS : Clinical Practice</v>
      </c>
      <c r="F1132" s="5" t="str">
        <f>_xlfn.XLOOKUP(role_course_map[[#This Row],[course_id]],course_data[course_id],course_data[type],"")</f>
        <v>Page</v>
      </c>
      <c r="K1132" t="str">
        <f>role_course_map[[#This Row],[role_id]] &amp; "|" &amp; role_course_map[[#This Row],[course_id]]</f>
        <v>R0146|75202</v>
      </c>
      <c r="L1132" t="str">
        <f>IF(COUNTIF(role_course_map[mapping_key],role_course_map[[#This Row],[mapping_key]])&gt;1,"DUPLICATE","OK")</f>
        <v>OK</v>
      </c>
      <c r="M1132" t="str">
        <f>IF(COUNTIF(role_data[role_id],role_course_map[[#This Row],[role_id]])=0, "INVALID","VALID")</f>
        <v>VALID</v>
      </c>
      <c r="N1132" t="str">
        <f>IF(COUNTIF(course_data[course_id],role_course_map[[#This Row],[course_id]])=0, "INVALID","VALID")</f>
        <v>VALID</v>
      </c>
    </row>
    <row r="1133" spans="1:14" x14ac:dyDescent="0.35">
      <c r="A1133" t="s">
        <v>304</v>
      </c>
      <c r="B1133" s="5" t="str">
        <f>_xlfn.XLOOKUP(role_course_map[[#This Row],[role_id]], role_data[role_id], role_data[Role],"")</f>
        <v>Paediatric Advanced Nurse Practitioner</v>
      </c>
      <c r="C1133">
        <v>999023</v>
      </c>
      <c r="D1133" s="5" t="str">
        <f>_xlfn.XLOOKUP(role_course_map[[#This Row],[course_id]],course_data[course_id],course_data[title],"")</f>
        <v>Dementia</v>
      </c>
      <c r="E1133" s="5" t="str">
        <f>_xlfn.XLOOKUP(role_course_map[[#This Row],[course_id]],course_data[course_id],course_data[topic],"")</f>
        <v>SAS : Clinical Practice</v>
      </c>
      <c r="F1133" s="5" t="str">
        <f>_xlfn.XLOOKUP(role_course_map[[#This Row],[course_id]],course_data[course_id],course_data[type],"")</f>
        <v>eLearning</v>
      </c>
      <c r="K1133" t="str">
        <f>role_course_map[[#This Row],[role_id]] &amp; "|" &amp; role_course_map[[#This Row],[course_id]]</f>
        <v>R0146|999023</v>
      </c>
      <c r="L1133" t="str">
        <f>IF(COUNTIF(role_course_map[mapping_key],role_course_map[[#This Row],[mapping_key]])&gt;1,"DUPLICATE","OK")</f>
        <v>OK</v>
      </c>
      <c r="M1133" t="str">
        <f>IF(COUNTIF(role_data[role_id],role_course_map[[#This Row],[role_id]])=0, "INVALID","VALID")</f>
        <v>VALID</v>
      </c>
      <c r="N1133" t="str">
        <f>IF(COUNTIF(course_data[course_id],role_course_map[[#This Row],[course_id]])=0, "INVALID","VALID")</f>
        <v>VALID</v>
      </c>
    </row>
    <row r="1134" spans="1:14" x14ac:dyDescent="0.35">
      <c r="A1134" t="s">
        <v>304</v>
      </c>
      <c r="B1134" s="5" t="str">
        <f>_xlfn.XLOOKUP(role_course_map[[#This Row],[role_id]], role_data[role_id], role_data[Role],"")</f>
        <v>Paediatric Advanced Nurse Practitioner</v>
      </c>
      <c r="C1134">
        <v>999095</v>
      </c>
      <c r="D1134" s="5" t="str">
        <f>_xlfn.XLOOKUP(role_course_map[[#This Row],[course_id]],course_data[course_id],course_data[title],"")</f>
        <v>Mentoring</v>
      </c>
      <c r="E1134" s="5" t="str">
        <f>_xlfn.XLOOKUP(role_course_map[[#This Row],[course_id]],course_data[course_id],course_data[topic],"")</f>
        <v>SAS: Staff development and experience</v>
      </c>
      <c r="F1134" s="5" t="str">
        <f>_xlfn.XLOOKUP(role_course_map[[#This Row],[course_id]],course_data[course_id],course_data[type],"")</f>
        <v>eLearning</v>
      </c>
      <c r="K1134" t="str">
        <f>role_course_map[[#This Row],[role_id]] &amp; "|" &amp; role_course_map[[#This Row],[course_id]]</f>
        <v>R0146|999095</v>
      </c>
      <c r="L1134" t="str">
        <f>IF(COUNTIF(role_course_map[mapping_key],role_course_map[[#This Row],[mapping_key]])&gt;1,"DUPLICATE","OK")</f>
        <v>OK</v>
      </c>
      <c r="M1134" t="str">
        <f>IF(COUNTIF(role_data[role_id],role_course_map[[#This Row],[role_id]])=0, "INVALID","VALID")</f>
        <v>VALID</v>
      </c>
      <c r="N1134" t="str">
        <f>IF(COUNTIF(course_data[course_id],role_course_map[[#This Row],[course_id]])=0, "INVALID","VALID")</f>
        <v>VALID</v>
      </c>
    </row>
    <row r="1135" spans="1:14" x14ac:dyDescent="0.35">
      <c r="A1135" t="s">
        <v>304</v>
      </c>
      <c r="B1135" s="5" t="str">
        <f>_xlfn.XLOOKUP(role_course_map[[#This Row],[role_id]], role_data[role_id], role_data[Role],"")</f>
        <v>Paediatric Advanced Nurse Practitioner</v>
      </c>
      <c r="C1135">
        <v>999096</v>
      </c>
      <c r="D1135" s="5" t="str">
        <f>_xlfn.XLOOKUP(role_course_map[[#This Row],[course_id]],course_data[course_id],course_data[title],"")</f>
        <v>Supporting others in practice (Supervision)</v>
      </c>
      <c r="E1135" s="5" t="str">
        <f>_xlfn.XLOOKUP(role_course_map[[#This Row],[course_id]],course_data[course_id],course_data[topic],"")</f>
        <v>SAS: Staff development and experience</v>
      </c>
      <c r="F1135" s="5" t="str">
        <f>_xlfn.XLOOKUP(role_course_map[[#This Row],[course_id]],course_data[course_id],course_data[type],"")</f>
        <v>Course</v>
      </c>
      <c r="K1135" t="str">
        <f>role_course_map[[#This Row],[role_id]] &amp; "|" &amp; role_course_map[[#This Row],[course_id]]</f>
        <v>R0146|999096</v>
      </c>
      <c r="L1135" t="str">
        <f>IF(COUNTIF(role_course_map[mapping_key],role_course_map[[#This Row],[mapping_key]])&gt;1,"DUPLICATE","OK")</f>
        <v>OK</v>
      </c>
      <c r="M1135" t="str">
        <f>IF(COUNTIF(role_data[role_id],role_course_map[[#This Row],[role_id]])=0, "INVALID","VALID")</f>
        <v>VALID</v>
      </c>
      <c r="N1135" t="str">
        <f>IF(COUNTIF(course_data[course_id],role_course_map[[#This Row],[course_id]])=0, "INVALID","VALID")</f>
        <v>VALID</v>
      </c>
    </row>
    <row r="1136" spans="1:14" x14ac:dyDescent="0.35">
      <c r="A1136" t="s">
        <v>304</v>
      </c>
      <c r="B1136" s="5" t="str">
        <f>_xlfn.XLOOKUP(role_course_map[[#This Row],[role_id]], role_data[role_id], role_data[Role],"")</f>
        <v>Paediatric Advanced Nurse Practitioner</v>
      </c>
      <c r="C1136">
        <v>999097</v>
      </c>
      <c r="D1136" s="5" t="str">
        <f>_xlfn.XLOOKUP(role_course_map[[#This Row],[course_id]],course_data[course_id],course_data[title],"")</f>
        <v>Personal Wellbeing</v>
      </c>
      <c r="E1136" s="5" t="str">
        <f>_xlfn.XLOOKUP(role_course_map[[#This Row],[course_id]],course_data[course_id],course_data[topic],"")</f>
        <v>SAS: Staff development and experience</v>
      </c>
      <c r="F1136" s="5" t="str">
        <f>_xlfn.XLOOKUP(role_course_map[[#This Row],[course_id]],course_data[course_id],course_data[type],"")</f>
        <v>eLearning</v>
      </c>
      <c r="K1136" t="str">
        <f>role_course_map[[#This Row],[role_id]] &amp; "|" &amp; role_course_map[[#This Row],[course_id]]</f>
        <v>R0146|999097</v>
      </c>
      <c r="L1136" t="str">
        <f>IF(COUNTIF(role_course_map[mapping_key],role_course_map[[#This Row],[mapping_key]])&gt;1,"DUPLICATE","OK")</f>
        <v>OK</v>
      </c>
      <c r="M1136" t="str">
        <f>IF(COUNTIF(role_data[role_id],role_course_map[[#This Row],[role_id]])=0, "INVALID","VALID")</f>
        <v>VALID</v>
      </c>
      <c r="N1136" t="str">
        <f>IF(COUNTIF(course_data[course_id],role_course_map[[#This Row],[course_id]])=0, "INVALID","VALID")</f>
        <v>VALID</v>
      </c>
    </row>
    <row r="1137" spans="1:14" x14ac:dyDescent="0.35">
      <c r="A1137" t="s">
        <v>304</v>
      </c>
      <c r="B1137" s="5" t="str">
        <f>_xlfn.XLOOKUP(role_course_map[[#This Row],[role_id]], role_data[role_id], role_data[Role],"")</f>
        <v>Paediatric Advanced Nurse Practitioner</v>
      </c>
      <c r="C1137">
        <v>79147</v>
      </c>
      <c r="D1137" s="5" t="str">
        <f>_xlfn.XLOOKUP(role_course_map[[#This Row],[course_id]],course_data[course_id],course_data[title],"")</f>
        <v>Driving risks at work</v>
      </c>
      <c r="E1137" s="5" t="str">
        <f>_xlfn.XLOOKUP(role_course_map[[#This Row],[course_id]],course_data[course_id],course_data[topic],"")</f>
        <v>SAS : Health and Safety</v>
      </c>
      <c r="F1137" s="5" t="str">
        <f>_xlfn.XLOOKUP(role_course_map[[#This Row],[course_id]],course_data[course_id],course_data[type],"")</f>
        <v>eLearning</v>
      </c>
      <c r="K1137" t="str">
        <f>role_course_map[[#This Row],[role_id]] &amp; "|" &amp; role_course_map[[#This Row],[course_id]]</f>
        <v>R0146|79147</v>
      </c>
      <c r="L1137" t="str">
        <f>IF(COUNTIF(role_course_map[mapping_key],role_course_map[[#This Row],[mapping_key]])&gt;1,"DUPLICATE","OK")</f>
        <v>OK</v>
      </c>
      <c r="M1137" t="str">
        <f>IF(COUNTIF(role_data[role_id],role_course_map[[#This Row],[role_id]])=0, "INVALID","VALID")</f>
        <v>VALID</v>
      </c>
      <c r="N1137" t="str">
        <f>IF(COUNTIF(course_data[course_id],role_course_map[[#This Row],[course_id]])=0, "INVALID","VALID")</f>
        <v>VALID</v>
      </c>
    </row>
    <row r="1138" spans="1:14" x14ac:dyDescent="0.35">
      <c r="A1138" t="s">
        <v>304</v>
      </c>
      <c r="B1138" s="5" t="str">
        <f>_xlfn.XLOOKUP(role_course_map[[#This Row],[role_id]], role_data[role_id], role_data[Role],"")</f>
        <v>Paediatric Advanced Nurse Practitioner</v>
      </c>
      <c r="C1138">
        <v>999066</v>
      </c>
      <c r="D1138" s="5" t="str">
        <f>_xlfn.XLOOKUP(role_course_map[[#This Row],[course_id]],course_data[course_id],course_data[title],"")</f>
        <v>NRRD Update i.e. Major Incidents/Methane/ Multiple Casualities</v>
      </c>
      <c r="E1138" s="5" t="str">
        <f>_xlfn.XLOOKUP(role_course_map[[#This Row],[course_id]],course_data[course_id],course_data[topic],"")</f>
        <v>SAS : National Risk and Resilience Department (NRRD)</v>
      </c>
      <c r="F1138" s="5" t="str">
        <f>_xlfn.XLOOKUP(role_course_map[[#This Row],[course_id]],course_data[course_id],course_data[type],"")</f>
        <v>eLearning</v>
      </c>
      <c r="K1138" t="str">
        <f>role_course_map[[#This Row],[role_id]] &amp; "|" &amp; role_course_map[[#This Row],[course_id]]</f>
        <v>R0146|999066</v>
      </c>
      <c r="L1138" t="str">
        <f>IF(COUNTIF(role_course_map[mapping_key],role_course_map[[#This Row],[mapping_key]])&gt;1,"DUPLICATE","OK")</f>
        <v>OK</v>
      </c>
      <c r="M1138" t="str">
        <f>IF(COUNTIF(role_data[role_id],role_course_map[[#This Row],[role_id]])=0, "INVALID","VALID")</f>
        <v>VALID</v>
      </c>
      <c r="N1138" t="str">
        <f>IF(COUNTIF(course_data[course_id],role_course_map[[#This Row],[course_id]])=0, "INVALID","VALID")</f>
        <v>VALID</v>
      </c>
    </row>
    <row r="1139" spans="1:14" x14ac:dyDescent="0.35">
      <c r="A1139" t="s">
        <v>304</v>
      </c>
      <c r="B1139" s="5" t="str">
        <f>_xlfn.XLOOKUP(role_course_map[[#This Row],[role_id]], role_data[role_id], role_data[Role],"")</f>
        <v>Paediatric Advanced Nurse Practitioner</v>
      </c>
      <c r="C1139">
        <v>999025</v>
      </c>
      <c r="D1139" s="5" t="str">
        <f>_xlfn.XLOOKUP(role_course_map[[#This Row],[course_id]],course_data[course_id],course_data[title],"")</f>
        <v>Professional Standards</v>
      </c>
      <c r="E1139" s="5" t="str">
        <f>_xlfn.XLOOKUP(role_course_map[[#This Row],[course_id]],course_data[course_id],course_data[topic],"")</f>
        <v>SAS : Clinical Practice</v>
      </c>
      <c r="F1139" s="5" t="str">
        <f>_xlfn.XLOOKUP(role_course_map[[#This Row],[course_id]],course_data[course_id],course_data[type],"")</f>
        <v>eLearning</v>
      </c>
      <c r="K1139" t="str">
        <f>role_course_map[[#This Row],[role_id]] &amp; "|" &amp; role_course_map[[#This Row],[course_id]]</f>
        <v>R0146|999025</v>
      </c>
      <c r="L1139" t="str">
        <f>IF(COUNTIF(role_course_map[mapping_key],role_course_map[[#This Row],[mapping_key]])&gt;1,"DUPLICATE","OK")</f>
        <v>OK</v>
      </c>
      <c r="M1139" t="str">
        <f>IF(COUNTIF(role_data[role_id],role_course_map[[#This Row],[role_id]])=0, "INVALID","VALID")</f>
        <v>VALID</v>
      </c>
      <c r="N1139" t="str">
        <f>IF(COUNTIF(course_data[course_id],role_course_map[[#This Row],[course_id]])=0, "INVALID","VALID")</f>
        <v>VALID</v>
      </c>
    </row>
    <row r="1140" spans="1:14" x14ac:dyDescent="0.35">
      <c r="A1140" t="s">
        <v>304</v>
      </c>
      <c r="B1140" s="5" t="str">
        <f>_xlfn.XLOOKUP(role_course_map[[#This Row],[role_id]], role_data[role_id], role_data[Role],"")</f>
        <v>Paediatric Advanced Nurse Practitioner</v>
      </c>
      <c r="C1140">
        <v>999058</v>
      </c>
      <c r="D1140" s="5" t="str">
        <f>_xlfn.XLOOKUP(role_course_map[[#This Row],[course_id]],course_data[course_id],course_data[title],"")</f>
        <v>Stress Identification &amp; Stress Management</v>
      </c>
      <c r="E1140" s="5" t="str">
        <f>_xlfn.XLOOKUP(role_course_map[[#This Row],[course_id]],course_data[course_id],course_data[topic],"")</f>
        <v>SAS : Health and Safety</v>
      </c>
      <c r="F1140" s="5" t="str">
        <f>_xlfn.XLOOKUP(role_course_map[[#This Row],[course_id]],course_data[course_id],course_data[type],"")</f>
        <v>eLearning</v>
      </c>
      <c r="K1140" t="str">
        <f>role_course_map[[#This Row],[role_id]] &amp; "|" &amp; role_course_map[[#This Row],[course_id]]</f>
        <v>R0146|999058</v>
      </c>
      <c r="L1140" t="str">
        <f>IF(COUNTIF(role_course_map[mapping_key],role_course_map[[#This Row],[mapping_key]])&gt;1,"DUPLICATE","OK")</f>
        <v>OK</v>
      </c>
      <c r="M1140" t="str">
        <f>IF(COUNTIF(role_data[role_id],role_course_map[[#This Row],[role_id]])=0, "INVALID","VALID")</f>
        <v>VALID</v>
      </c>
      <c r="N1140" t="str">
        <f>IF(COUNTIF(course_data[course_id],role_course_map[[#This Row],[course_id]])=0, "INVALID","VALID")</f>
        <v>VALID</v>
      </c>
    </row>
    <row r="1141" spans="1:14" x14ac:dyDescent="0.35">
      <c r="A1141" t="s">
        <v>304</v>
      </c>
      <c r="B1141" s="5" t="str">
        <f>_xlfn.XLOOKUP(role_course_map[[#This Row],[role_id]], role_data[role_id], role_data[Role],"")</f>
        <v>Paediatric Advanced Nurse Practitioner</v>
      </c>
      <c r="C1141">
        <v>999061</v>
      </c>
      <c r="D1141" s="5" t="str">
        <f>_xlfn.XLOOKUP(role_course_map[[#This Row],[course_id]],course_data[course_id],course_data[title],"")</f>
        <v>Skin Awareness</v>
      </c>
      <c r="E1141" s="5" t="str">
        <f>_xlfn.XLOOKUP(role_course_map[[#This Row],[course_id]],course_data[course_id],course_data[topic],"")</f>
        <v>SAS : Health and Safety</v>
      </c>
      <c r="F1141" s="5" t="str">
        <f>_xlfn.XLOOKUP(role_course_map[[#This Row],[course_id]],course_data[course_id],course_data[type],"")</f>
        <v>eLearning</v>
      </c>
      <c r="K1141" t="str">
        <f>role_course_map[[#This Row],[role_id]] &amp; "|" &amp; role_course_map[[#This Row],[course_id]]</f>
        <v>R0146|999061</v>
      </c>
      <c r="L1141" t="str">
        <f>IF(COUNTIF(role_course_map[mapping_key],role_course_map[[#This Row],[mapping_key]])&gt;1,"DUPLICATE","OK")</f>
        <v>DUPLICATE</v>
      </c>
      <c r="M1141" t="str">
        <f>IF(COUNTIF(role_data[role_id],role_course_map[[#This Row],[role_id]])=0, "INVALID","VALID")</f>
        <v>VALID</v>
      </c>
      <c r="N1141" t="str">
        <f>IF(COUNTIF(course_data[course_id],role_course_map[[#This Row],[course_id]])=0, "INVALID","VALID")</f>
        <v>VALID</v>
      </c>
    </row>
    <row r="1142" spans="1:14" x14ac:dyDescent="0.35">
      <c r="A1142" t="s">
        <v>304</v>
      </c>
      <c r="B1142" s="5" t="str">
        <f>_xlfn.XLOOKUP(role_course_map[[#This Row],[role_id]], role_data[role_id], role_data[Role],"")</f>
        <v>Paediatric Advanced Nurse Practitioner</v>
      </c>
      <c r="C1142">
        <v>999061</v>
      </c>
      <c r="D1142" s="5" t="str">
        <f>_xlfn.XLOOKUP(role_course_map[[#This Row],[course_id]],course_data[course_id],course_data[title],"")</f>
        <v>Skin Awareness</v>
      </c>
      <c r="E1142" s="5" t="str">
        <f>_xlfn.XLOOKUP(role_course_map[[#This Row],[course_id]],course_data[course_id],course_data[topic],"")</f>
        <v>SAS : Health and Safety</v>
      </c>
      <c r="F1142" s="5" t="str">
        <f>_xlfn.XLOOKUP(role_course_map[[#This Row],[course_id]],course_data[course_id],course_data[type],"")</f>
        <v>eLearning</v>
      </c>
      <c r="K1142" t="str">
        <f>role_course_map[[#This Row],[role_id]] &amp; "|" &amp; role_course_map[[#This Row],[course_id]]</f>
        <v>R0146|999061</v>
      </c>
      <c r="L1142" t="str">
        <f>IF(COUNTIF(role_course_map[mapping_key],role_course_map[[#This Row],[mapping_key]])&gt;1,"DUPLICATE","OK")</f>
        <v>DUPLICATE</v>
      </c>
      <c r="M1142" t="str">
        <f>IF(COUNTIF(role_data[role_id],role_course_map[[#This Row],[role_id]])=0, "INVALID","VALID")</f>
        <v>VALID</v>
      </c>
      <c r="N1142" t="str">
        <f>IF(COUNTIF(course_data[course_id],role_course_map[[#This Row],[course_id]])=0, "INVALID","VALID")</f>
        <v>VALID</v>
      </c>
    </row>
    <row r="1143" spans="1:14" x14ac:dyDescent="0.35">
      <c r="A1143" t="s">
        <v>304</v>
      </c>
      <c r="B1143" s="5" t="str">
        <f>_xlfn.XLOOKUP(role_course_map[[#This Row],[role_id]], role_data[role_id], role_data[Role],"")</f>
        <v>Paediatric Advanced Nurse Practitioner</v>
      </c>
      <c r="C1143">
        <v>999027</v>
      </c>
      <c r="D1143" s="5" t="str">
        <f>_xlfn.XLOOKUP(role_course_map[[#This Row],[course_id]],course_data[course_id],course_data[title],"")</f>
        <v>Manual and Patient Handling Foundation Training - Level 2</v>
      </c>
      <c r="E1143" s="5" t="str">
        <f>_xlfn.XLOOKUP(role_course_map[[#This Row],[course_id]],course_data[course_id],course_data[topic],"")</f>
        <v>SAS : Clinical Practice</v>
      </c>
      <c r="F1143" s="5" t="str">
        <f>_xlfn.XLOOKUP(role_course_map[[#This Row],[course_id]],course_data[course_id],course_data[type],"")</f>
        <v>Course</v>
      </c>
      <c r="K1143" t="str">
        <f>role_course_map[[#This Row],[role_id]] &amp; "|" &amp; role_course_map[[#This Row],[course_id]]</f>
        <v>R0146|999027</v>
      </c>
      <c r="L1143" t="str">
        <f>IF(COUNTIF(role_course_map[mapping_key],role_course_map[[#This Row],[mapping_key]])&gt;1,"DUPLICATE","OK")</f>
        <v>OK</v>
      </c>
      <c r="M1143" t="str">
        <f>IF(COUNTIF(role_data[role_id],role_course_map[[#This Row],[role_id]])=0, "INVALID","VALID")</f>
        <v>VALID</v>
      </c>
      <c r="N1143" t="str">
        <f>IF(COUNTIF(course_data[course_id],role_course_map[[#This Row],[course_id]])=0, "INVALID","VALID")</f>
        <v>VALID</v>
      </c>
    </row>
    <row r="1144" spans="1:14" x14ac:dyDescent="0.35">
      <c r="A1144" t="s">
        <v>304</v>
      </c>
      <c r="B1144" s="5" t="str">
        <f>_xlfn.XLOOKUP(role_course_map[[#This Row],[role_id]], role_data[role_id], role_data[Role],"")</f>
        <v>Paediatric Advanced Nurse Practitioner</v>
      </c>
      <c r="C1144">
        <v>999028</v>
      </c>
      <c r="D1144" s="5" t="str">
        <f>_xlfn.XLOOKUP(role_course_map[[#This Row],[course_id]],course_data[course_id],course_data[title],"")</f>
        <v>Manual and Patient Handling Competency Assessment - Level 3</v>
      </c>
      <c r="E1144" s="5" t="str">
        <f>_xlfn.XLOOKUP(role_course_map[[#This Row],[course_id]],course_data[course_id],course_data[topic],"")</f>
        <v>SAS : Clinical Practice</v>
      </c>
      <c r="F1144" s="5" t="str">
        <f>_xlfn.XLOOKUP(role_course_map[[#This Row],[course_id]],course_data[course_id],course_data[type],"")</f>
        <v>Course</v>
      </c>
      <c r="K1144" t="str">
        <f>role_course_map[[#This Row],[role_id]] &amp; "|" &amp; role_course_map[[#This Row],[course_id]]</f>
        <v>R0146|999028</v>
      </c>
      <c r="L1144" t="str">
        <f>IF(COUNTIF(role_course_map[mapping_key],role_course_map[[#This Row],[mapping_key]])&gt;1,"DUPLICATE","OK")</f>
        <v>OK</v>
      </c>
      <c r="M1144" t="str">
        <f>IF(COUNTIF(role_data[role_id],role_course_map[[#This Row],[role_id]])=0, "INVALID","VALID")</f>
        <v>VALID</v>
      </c>
      <c r="N1144" t="str">
        <f>IF(COUNTIF(course_data[course_id],role_course_map[[#This Row],[course_id]])=0, "INVALID","VALID")</f>
        <v>VALID</v>
      </c>
    </row>
    <row r="1145" spans="1:14" x14ac:dyDescent="0.35">
      <c r="A1145" t="s">
        <v>304</v>
      </c>
      <c r="B1145" s="5" t="str">
        <f>_xlfn.XLOOKUP(role_course_map[[#This Row],[role_id]], role_data[role_id], role_data[Role],"")</f>
        <v>Paediatric Advanced Nurse Practitioner</v>
      </c>
      <c r="C1145">
        <v>999029</v>
      </c>
      <c r="D1145" s="5" t="str">
        <f>_xlfn.XLOOKUP(role_course_map[[#This Row],[course_id]],course_data[course_id],course_data[title],"")</f>
        <v>Manual and Patient Handling Competency Assessment Theory - Level 3</v>
      </c>
      <c r="E1145" s="5" t="str">
        <f>_xlfn.XLOOKUP(role_course_map[[#This Row],[course_id]],course_data[course_id],course_data[topic],"")</f>
        <v>SAS : Clinical Practice</v>
      </c>
      <c r="F1145" s="5" t="str">
        <f>_xlfn.XLOOKUP(role_course_map[[#This Row],[course_id]],course_data[course_id],course_data[type],"")</f>
        <v>Course</v>
      </c>
      <c r="K1145" t="str">
        <f>role_course_map[[#This Row],[role_id]] &amp; "|" &amp; role_course_map[[#This Row],[course_id]]</f>
        <v>R0146|999029</v>
      </c>
      <c r="L1145" t="str">
        <f>IF(COUNTIF(role_course_map[mapping_key],role_course_map[[#This Row],[mapping_key]])&gt;1,"DUPLICATE","OK")</f>
        <v>OK</v>
      </c>
      <c r="M1145" t="str">
        <f>IF(COUNTIF(role_data[role_id],role_course_map[[#This Row],[role_id]])=0, "INVALID","VALID")</f>
        <v>VALID</v>
      </c>
      <c r="N1145" t="str">
        <f>IF(COUNTIF(course_data[course_id],role_course_map[[#This Row],[course_id]])=0, "INVALID","VALID")</f>
        <v>VALID</v>
      </c>
    </row>
    <row r="1146" spans="1:14" x14ac:dyDescent="0.35">
      <c r="A1146" t="s">
        <v>304</v>
      </c>
      <c r="B1146" s="5" t="str">
        <f>_xlfn.XLOOKUP(role_course_map[[#This Row],[role_id]], role_data[role_id], role_data[Role],"")</f>
        <v>Paediatric Advanced Nurse Practitioner</v>
      </c>
      <c r="C1146" t="s">
        <v>659</v>
      </c>
      <c r="D1146" s="5" t="str">
        <f>_xlfn.XLOOKUP(role_course_map[[#This Row],[course_id]],course_data[course_id],course_data[title],"")</f>
        <v>Prevention and Management of Violence and Aggression - Breakaway training Level 2 /Restrictive movement Level 3</v>
      </c>
      <c r="E1146" s="5" t="str">
        <f>_xlfn.XLOOKUP(role_course_map[[#This Row],[course_id]],course_data[course_id],course_data[topic],"")</f>
        <v>SAS : Health and Safety</v>
      </c>
      <c r="F1146" s="5" t="str">
        <f>_xlfn.XLOOKUP(role_course_map[[#This Row],[course_id]],course_data[course_id],course_data[type],"")</f>
        <v>Course</v>
      </c>
      <c r="K1146" t="str">
        <f>role_course_map[[#This Row],[role_id]] &amp; "|" &amp; role_course_map[[#This Row],[course_id]]</f>
        <v>R0146|2025-6 edition</v>
      </c>
      <c r="L1146" t="str">
        <f>IF(COUNTIF(role_course_map[mapping_key],role_course_map[[#This Row],[mapping_key]])&gt;1,"DUPLICATE","OK")</f>
        <v>OK</v>
      </c>
      <c r="M1146" t="str">
        <f>IF(COUNTIF(role_data[role_id],role_course_map[[#This Row],[role_id]])=0, "INVALID","VALID")</f>
        <v>VALID</v>
      </c>
      <c r="N1146" t="str">
        <f>IF(COUNTIF(course_data[course_id],role_course_map[[#This Row],[course_id]])=0, "INVALID","VALID")</f>
        <v>VALID</v>
      </c>
    </row>
    <row r="1147" spans="1:14" x14ac:dyDescent="0.35">
      <c r="A1147" t="s">
        <v>304</v>
      </c>
      <c r="B1147" s="5" t="str">
        <f>_xlfn.XLOOKUP(role_course_map[[#This Row],[role_id]], role_data[role_id], role_data[Role],"")</f>
        <v>Paediatric Advanced Nurse Practitioner</v>
      </c>
      <c r="C1147">
        <v>999055</v>
      </c>
      <c r="D1147" s="5" t="str">
        <f>_xlfn.XLOOKUP(role_course_map[[#This Row],[course_id]],course_data[course_id],course_data[title],"")</f>
        <v>Prevention and Management of Violence and Aggression - Refresher</v>
      </c>
      <c r="E1147" s="5" t="str">
        <f>_xlfn.XLOOKUP(role_course_map[[#This Row],[course_id]],course_data[course_id],course_data[topic],"")</f>
        <v>SAS : Health and Safety</v>
      </c>
      <c r="F1147" s="5" t="str">
        <f>_xlfn.XLOOKUP(role_course_map[[#This Row],[course_id]],course_data[course_id],course_data[type],"")</f>
        <v>Course</v>
      </c>
      <c r="K1147" t="str">
        <f>role_course_map[[#This Row],[role_id]] &amp; "|" &amp; role_course_map[[#This Row],[course_id]]</f>
        <v>R0146|999055</v>
      </c>
      <c r="L1147" t="str">
        <f>IF(COUNTIF(role_course_map[mapping_key],role_course_map[[#This Row],[mapping_key]])&gt;1,"DUPLICATE","OK")</f>
        <v>OK</v>
      </c>
      <c r="M1147" t="str">
        <f>IF(COUNTIF(role_data[role_id],role_course_map[[#This Row],[role_id]])=0, "INVALID","VALID")</f>
        <v>VALID</v>
      </c>
      <c r="N1147" t="str">
        <f>IF(COUNTIF(course_data[course_id],role_course_map[[#This Row],[course_id]])=0, "INVALID","VALID")</f>
        <v>VALID</v>
      </c>
    </row>
    <row r="1148" spans="1:14" x14ac:dyDescent="0.35">
      <c r="A1148" t="s">
        <v>304</v>
      </c>
      <c r="B1148" s="5" t="str">
        <f>_xlfn.XLOOKUP(role_course_map[[#This Row],[role_id]], role_data[role_id], role_data[Role],"")</f>
        <v>Paediatric Advanced Nurse Practitioner</v>
      </c>
      <c r="C1148">
        <v>64322</v>
      </c>
      <c r="D1148" s="5" t="str">
        <f>_xlfn.XLOOKUP(role_course_map[[#This Row],[course_id]],course_data[course_id],course_data[title],"")</f>
        <v>Adult support and protection: practice level 2 [skilled]</v>
      </c>
      <c r="E1148" s="5" t="str">
        <f>_xlfn.XLOOKUP(role_course_map[[#This Row],[course_id]],course_data[course_id],course_data[topic],"")</f>
        <v>SAS : Public Protection</v>
      </c>
      <c r="F1148" s="5" t="str">
        <f>_xlfn.XLOOKUP(role_course_map[[#This Row],[course_id]],course_data[course_id],course_data[type],"")</f>
        <v>eLearning</v>
      </c>
      <c r="K1148" t="str">
        <f>role_course_map[[#This Row],[role_id]] &amp; "|" &amp; role_course_map[[#This Row],[course_id]]</f>
        <v>R0146|64322</v>
      </c>
      <c r="L1148" t="str">
        <f>IF(COUNTIF(role_course_map[mapping_key],role_course_map[[#This Row],[mapping_key]])&gt;1,"DUPLICATE","OK")</f>
        <v>OK</v>
      </c>
      <c r="M1148" t="str">
        <f>IF(COUNTIF(role_data[role_id],role_course_map[[#This Row],[role_id]])=0, "INVALID","VALID")</f>
        <v>VALID</v>
      </c>
      <c r="N1148" t="str">
        <f>IF(COUNTIF(course_data[course_id],role_course_map[[#This Row],[course_id]])=0, "INVALID","VALID")</f>
        <v>VALID</v>
      </c>
    </row>
    <row r="1149" spans="1:14" x14ac:dyDescent="0.35">
      <c r="A1149" t="s">
        <v>304</v>
      </c>
      <c r="B1149" s="5" t="str">
        <f>_xlfn.XLOOKUP(role_course_map[[#This Row],[role_id]], role_data[role_id], role_data[Role],"")</f>
        <v>Paediatric Advanced Nurse Practitioner</v>
      </c>
      <c r="C1149">
        <v>64324</v>
      </c>
      <c r="D1149" s="5" t="str">
        <f>_xlfn.XLOOKUP(role_course_map[[#This Row],[course_id]],course_data[course_id],course_data[title],"")</f>
        <v>Child protection: practice level 2 [skilled]</v>
      </c>
      <c r="E1149" s="5" t="str">
        <f>_xlfn.XLOOKUP(role_course_map[[#This Row],[course_id]],course_data[course_id],course_data[topic],"")</f>
        <v>SAS : Public Protection</v>
      </c>
      <c r="F1149" s="5" t="str">
        <f>_xlfn.XLOOKUP(role_course_map[[#This Row],[course_id]],course_data[course_id],course_data[type],"")</f>
        <v>eLearning</v>
      </c>
      <c r="K1149" t="str">
        <f>role_course_map[[#This Row],[role_id]] &amp; "|" &amp; role_course_map[[#This Row],[course_id]]</f>
        <v>R0146|64324</v>
      </c>
      <c r="L1149" t="str">
        <f>IF(COUNTIF(role_course_map[mapping_key],role_course_map[[#This Row],[mapping_key]])&gt;1,"DUPLICATE","OK")</f>
        <v>OK</v>
      </c>
      <c r="M1149" t="str">
        <f>IF(COUNTIF(role_data[role_id],role_course_map[[#This Row],[role_id]])=0, "INVALID","VALID")</f>
        <v>VALID</v>
      </c>
      <c r="N1149" t="str">
        <f>IF(COUNTIF(course_data[course_id],role_course_map[[#This Row],[course_id]])=0, "INVALID","VALID")</f>
        <v>VALID</v>
      </c>
    </row>
    <row r="1150" spans="1:14" x14ac:dyDescent="0.35">
      <c r="A1150" t="s">
        <v>304</v>
      </c>
      <c r="B1150" s="5" t="str">
        <f>_xlfn.XLOOKUP(role_course_map[[#This Row],[role_id]], role_data[role_id], role_data[Role],"")</f>
        <v>Paediatric Advanced Nurse Practitioner</v>
      </c>
      <c r="C1150">
        <v>79666</v>
      </c>
      <c r="D1150" s="5" t="str">
        <f>_xlfn.XLOOKUP(role_course_map[[#This Row],[course_id]],course_data[course_id],course_data[title],"")</f>
        <v>Getting it right for every child (GIRFEC): informed level</v>
      </c>
      <c r="E1150" s="5" t="str">
        <f>_xlfn.XLOOKUP(role_course_map[[#This Row],[course_id]],course_data[course_id],course_data[topic],"")</f>
        <v>SAS : Public Protection</v>
      </c>
      <c r="F1150" s="5" t="str">
        <f>_xlfn.XLOOKUP(role_course_map[[#This Row],[course_id]],course_data[course_id],course_data[type],"")</f>
        <v>eLearning</v>
      </c>
      <c r="K1150" t="str">
        <f>role_course_map[[#This Row],[role_id]] &amp; "|" &amp; role_course_map[[#This Row],[course_id]]</f>
        <v>R0146|79666</v>
      </c>
      <c r="L1150" t="str">
        <f>IF(COUNTIF(role_course_map[mapping_key],role_course_map[[#This Row],[mapping_key]])&gt;1,"DUPLICATE","OK")</f>
        <v>OK</v>
      </c>
      <c r="M1150" t="str">
        <f>IF(COUNTIF(role_data[role_id],role_course_map[[#This Row],[role_id]])=0, "INVALID","VALID")</f>
        <v>VALID</v>
      </c>
      <c r="N1150" t="str">
        <f>IF(COUNTIF(course_data[course_id],role_course_map[[#This Row],[course_id]])=0, "INVALID","VALID")</f>
        <v>VALID</v>
      </c>
    </row>
    <row r="1151" spans="1:14" x14ac:dyDescent="0.35">
      <c r="A1151" t="s">
        <v>304</v>
      </c>
      <c r="B1151" s="5" t="str">
        <f>_xlfn.XLOOKUP(role_course_map[[#This Row],[role_id]], role_data[role_id], role_data[Role],"")</f>
        <v>Paediatric Advanced Nurse Practitioner</v>
      </c>
      <c r="C1151">
        <v>999074</v>
      </c>
      <c r="D1151" s="5" t="str">
        <f>_xlfn.XLOOKUP(role_course_map[[#This Row],[course_id]],course_data[course_id],course_data[title],"")</f>
        <v>SAS-specific Children’s rights</v>
      </c>
      <c r="E1151" s="5" t="str">
        <f>_xlfn.XLOOKUP(role_course_map[[#This Row],[course_id]],course_data[course_id],course_data[topic],"")</f>
        <v>SAS : Public Protection</v>
      </c>
      <c r="F1151" s="5" t="str">
        <f>_xlfn.XLOOKUP(role_course_map[[#This Row],[course_id]],course_data[course_id],course_data[type],"")</f>
        <v>eLearning</v>
      </c>
      <c r="K1151" t="str">
        <f>role_course_map[[#This Row],[role_id]] &amp; "|" &amp; role_course_map[[#This Row],[course_id]]</f>
        <v>R0146|999074</v>
      </c>
      <c r="L1151" t="str">
        <f>IF(COUNTIF(role_course_map[mapping_key],role_course_map[[#This Row],[mapping_key]])&gt;1,"DUPLICATE","OK")</f>
        <v>OK</v>
      </c>
      <c r="M1151" t="str">
        <f>IF(COUNTIF(role_data[role_id],role_course_map[[#This Row],[role_id]])=0, "INVALID","VALID")</f>
        <v>VALID</v>
      </c>
      <c r="N1151" t="str">
        <f>IF(COUNTIF(course_data[course_id],role_course_map[[#This Row],[course_id]])=0, "INVALID","VALID")</f>
        <v>VALID</v>
      </c>
    </row>
    <row r="1152" spans="1:14" x14ac:dyDescent="0.35">
      <c r="A1152" t="s">
        <v>304</v>
      </c>
      <c r="B1152" s="5" t="str">
        <f>_xlfn.XLOOKUP(role_course_map[[#This Row],[role_id]], role_data[role_id], role_data[Role],"")</f>
        <v>Paediatric Advanced Nurse Practitioner</v>
      </c>
      <c r="C1152">
        <v>999075</v>
      </c>
      <c r="D1152" s="5" t="str">
        <f>_xlfn.XLOOKUP(role_course_map[[#This Row],[course_id]],course_data[course_id],course_data[title],"")</f>
        <v>Multiagency local or bespoke Level 3 delivery training</v>
      </c>
      <c r="E1152" s="5" t="str">
        <f>_xlfn.XLOOKUP(role_course_map[[#This Row],[course_id]],course_data[course_id],course_data[topic],"")</f>
        <v>SAS : Public Protection</v>
      </c>
      <c r="F1152" s="5" t="str">
        <f>_xlfn.XLOOKUP(role_course_map[[#This Row],[course_id]],course_data[course_id],course_data[type],"")</f>
        <v>eLearning</v>
      </c>
      <c r="K1152" t="str">
        <f>role_course_map[[#This Row],[role_id]] &amp; "|" &amp; role_course_map[[#This Row],[course_id]]</f>
        <v>R0146|999075</v>
      </c>
      <c r="L1152" t="str">
        <f>IF(COUNTIF(role_course_map[mapping_key],role_course_map[[#This Row],[mapping_key]])&gt;1,"DUPLICATE","OK")</f>
        <v>OK</v>
      </c>
      <c r="M1152" t="str">
        <f>IF(COUNTIF(role_data[role_id],role_course_map[[#This Row],[role_id]])=0, "INVALID","VALID")</f>
        <v>VALID</v>
      </c>
      <c r="N1152" t="str">
        <f>IF(COUNTIF(course_data[course_id],role_course_map[[#This Row],[course_id]])=0, "INVALID","VALID")</f>
        <v>VALID</v>
      </c>
    </row>
    <row r="1153" spans="1:14" x14ac:dyDescent="0.35">
      <c r="A1153" t="s">
        <v>304</v>
      </c>
      <c r="B1153" s="5" t="str">
        <f>_xlfn.XLOOKUP(role_course_map[[#This Row],[role_id]], role_data[role_id], role_data[Role],"")</f>
        <v>Paediatric Advanced Nurse Practitioner</v>
      </c>
      <c r="C1153">
        <v>15249</v>
      </c>
      <c r="D1153" s="5" t="str">
        <f>_xlfn.XLOOKUP(role_course_map[[#This Row],[course_id]],course_data[course_id],course_data[title],"")</f>
        <v>Human trafficking</v>
      </c>
      <c r="E1153" s="5" t="str">
        <f>_xlfn.XLOOKUP(role_course_map[[#This Row],[course_id]],course_data[course_id],course_data[topic],"")</f>
        <v>SAS : Public Protection</v>
      </c>
      <c r="F1153" s="5" t="str">
        <f>_xlfn.XLOOKUP(role_course_map[[#This Row],[course_id]],course_data[course_id],course_data[type],"")</f>
        <v>eLearning</v>
      </c>
      <c r="K1153" t="str">
        <f>role_course_map[[#This Row],[role_id]] &amp; "|" &amp; role_course_map[[#This Row],[course_id]]</f>
        <v>R0146|15249</v>
      </c>
      <c r="L1153" t="str">
        <f>IF(COUNTIF(role_course_map[mapping_key],role_course_map[[#This Row],[mapping_key]])&gt;1,"DUPLICATE","OK")</f>
        <v>OK</v>
      </c>
      <c r="M1153" t="str">
        <f>IF(COUNTIF(role_data[role_id],role_course_map[[#This Row],[role_id]])=0, "INVALID","VALID")</f>
        <v>VALID</v>
      </c>
      <c r="N1153" t="str">
        <f>IF(COUNTIF(course_data[course_id],role_course_map[[#This Row],[course_id]])=0, "INVALID","VALID")</f>
        <v>VALID</v>
      </c>
    </row>
    <row r="1154" spans="1:14" x14ac:dyDescent="0.35">
      <c r="A1154" t="s">
        <v>304</v>
      </c>
      <c r="B1154" s="5" t="str">
        <f>_xlfn.XLOOKUP(role_course_map[[#This Row],[role_id]], role_data[role_id], role_data[Role],"")</f>
        <v>Paediatric Advanced Nurse Practitioner</v>
      </c>
      <c r="C1154">
        <v>89161</v>
      </c>
      <c r="D1154" s="5" t="str">
        <f>_xlfn.XLOOKUP(role_course_map[[#This Row],[course_id]],course_data[course_id],course_data[title],"")</f>
        <v>Personal Protective Equipment</v>
      </c>
      <c r="E1154" s="5" t="str">
        <f>_xlfn.XLOOKUP(role_course_map[[#This Row],[course_id]],course_data[course_id],course_data[topic],"")</f>
        <v>SAS : Infection Prevention and Control (IPC)</v>
      </c>
      <c r="F1154" s="5" t="str">
        <f>_xlfn.XLOOKUP(role_course_map[[#This Row],[course_id]],course_data[course_id],course_data[type],"")</f>
        <v>eLearning</v>
      </c>
      <c r="K1154" t="str">
        <f>role_course_map[[#This Row],[role_id]] &amp; "|" &amp; role_course_map[[#This Row],[course_id]]</f>
        <v>R0146|89161</v>
      </c>
      <c r="L1154" t="str">
        <f>IF(COUNTIF(role_course_map[mapping_key],role_course_map[[#This Row],[mapping_key]])&gt;1,"DUPLICATE","OK")</f>
        <v>OK</v>
      </c>
      <c r="M1154" t="str">
        <f>IF(COUNTIF(role_data[role_id],role_course_map[[#This Row],[role_id]])=0, "INVALID","VALID")</f>
        <v>VALID</v>
      </c>
      <c r="N1154" t="str">
        <f>IF(COUNTIF(course_data[course_id],role_course_map[[#This Row],[course_id]])=0, "INVALID","VALID")</f>
        <v>VALID</v>
      </c>
    </row>
    <row r="1155" spans="1:14" x14ac:dyDescent="0.35">
      <c r="A1155" t="s">
        <v>304</v>
      </c>
      <c r="B1155" s="5" t="str">
        <f>_xlfn.XLOOKUP(role_course_map[[#This Row],[role_id]], role_data[role_id], role_data[Role],"")</f>
        <v>Paediatric Advanced Nurse Practitioner</v>
      </c>
      <c r="C1155">
        <v>89157</v>
      </c>
      <c r="D1155" s="5" t="str">
        <f>_xlfn.XLOOKUP(role_course_map[[#This Row],[course_id]],course_data[course_id],course_data[title],"")</f>
        <v>Safe Management of Care Equipment</v>
      </c>
      <c r="E1155" s="5" t="str">
        <f>_xlfn.XLOOKUP(role_course_map[[#This Row],[course_id]],course_data[course_id],course_data[topic],"")</f>
        <v>SAS : Infection Prevention and Control (IPC)</v>
      </c>
      <c r="F1155" s="5" t="str">
        <f>_xlfn.XLOOKUP(role_course_map[[#This Row],[course_id]],course_data[course_id],course_data[type],"")</f>
        <v>eLearning</v>
      </c>
      <c r="K1155" t="str">
        <f>role_course_map[[#This Row],[role_id]] &amp; "|" &amp; role_course_map[[#This Row],[course_id]]</f>
        <v>R0146|89157</v>
      </c>
      <c r="L1155" t="str">
        <f>IF(COUNTIF(role_course_map[mapping_key],role_course_map[[#This Row],[mapping_key]])&gt;1,"DUPLICATE","OK")</f>
        <v>OK</v>
      </c>
      <c r="M1155" t="str">
        <f>IF(COUNTIF(role_data[role_id],role_course_map[[#This Row],[role_id]])=0, "INVALID","VALID")</f>
        <v>VALID</v>
      </c>
      <c r="N1155" t="str">
        <f>IF(COUNTIF(course_data[course_id],role_course_map[[#This Row],[course_id]])=0, "INVALID","VALID")</f>
        <v>VALID</v>
      </c>
    </row>
    <row r="1156" spans="1:14" x14ac:dyDescent="0.35">
      <c r="A1156" t="s">
        <v>304</v>
      </c>
      <c r="B1156" s="5" t="str">
        <f>_xlfn.XLOOKUP(role_course_map[[#This Row],[role_id]], role_data[role_id], role_data[Role],"")</f>
        <v>Paediatric Advanced Nurse Practitioner</v>
      </c>
      <c r="C1156">
        <v>89158</v>
      </c>
      <c r="D1156" s="5" t="str">
        <f>_xlfn.XLOOKUP(role_course_map[[#This Row],[course_id]],course_data[course_id],course_data[title],"")</f>
        <v>Safe Management of Care Environment</v>
      </c>
      <c r="E1156" s="5" t="str">
        <f>_xlfn.XLOOKUP(role_course_map[[#This Row],[course_id]],course_data[course_id],course_data[topic],"")</f>
        <v>SAS : Infection Prevention and Control (IPC)</v>
      </c>
      <c r="F1156" s="5" t="str">
        <f>_xlfn.XLOOKUP(role_course_map[[#This Row],[course_id]],course_data[course_id],course_data[type],"")</f>
        <v>eLearning</v>
      </c>
      <c r="K1156" t="str">
        <f>role_course_map[[#This Row],[role_id]] &amp; "|" &amp; role_course_map[[#This Row],[course_id]]</f>
        <v>R0146|89158</v>
      </c>
      <c r="L1156" t="str">
        <f>IF(COUNTIF(role_course_map[mapping_key],role_course_map[[#This Row],[mapping_key]])&gt;1,"DUPLICATE","OK")</f>
        <v>OK</v>
      </c>
      <c r="M1156" t="str">
        <f>IF(COUNTIF(role_data[role_id],role_course_map[[#This Row],[role_id]])=0, "INVALID","VALID")</f>
        <v>VALID</v>
      </c>
      <c r="N1156" t="str">
        <f>IF(COUNTIF(course_data[course_id],role_course_map[[#This Row],[course_id]])=0, "INVALID","VALID")</f>
        <v>VALID</v>
      </c>
    </row>
    <row r="1157" spans="1:14" x14ac:dyDescent="0.35">
      <c r="A1157" t="s">
        <v>304</v>
      </c>
      <c r="B1157" s="5" t="str">
        <f>_xlfn.XLOOKUP(role_course_map[[#This Row],[role_id]], role_data[role_id], role_data[Role],"")</f>
        <v>Paediatric Advanced Nurse Practitioner</v>
      </c>
      <c r="C1157">
        <v>89159</v>
      </c>
      <c r="D1157" s="5" t="str">
        <f>_xlfn.XLOOKUP(role_course_map[[#This Row],[course_id]],course_data[course_id],course_data[title],"")</f>
        <v>Safe Management of Linen</v>
      </c>
      <c r="E1157" s="5" t="str">
        <f>_xlfn.XLOOKUP(role_course_map[[#This Row],[course_id]],course_data[course_id],course_data[topic],"")</f>
        <v>SAS : Infection Prevention and Control (IPC)</v>
      </c>
      <c r="F1157" s="5" t="str">
        <f>_xlfn.XLOOKUP(role_course_map[[#This Row],[course_id]],course_data[course_id],course_data[type],"")</f>
        <v>eLearning</v>
      </c>
      <c r="K1157" t="str">
        <f>role_course_map[[#This Row],[role_id]] &amp; "|" &amp; role_course_map[[#This Row],[course_id]]</f>
        <v>R0146|89159</v>
      </c>
      <c r="L1157" t="str">
        <f>IF(COUNTIF(role_course_map[mapping_key],role_course_map[[#This Row],[mapping_key]])&gt;1,"DUPLICATE","OK")</f>
        <v>OK</v>
      </c>
      <c r="M1157" t="str">
        <f>IF(COUNTIF(role_data[role_id],role_course_map[[#This Row],[role_id]])=0, "INVALID","VALID")</f>
        <v>VALID</v>
      </c>
      <c r="N1157" t="str">
        <f>IF(COUNTIF(course_data[course_id],role_course_map[[#This Row],[course_id]])=0, "INVALID","VALID")</f>
        <v>VALID</v>
      </c>
    </row>
    <row r="1158" spans="1:14" x14ac:dyDescent="0.35">
      <c r="A1158" t="s">
        <v>304</v>
      </c>
      <c r="B1158" s="5" t="str">
        <f>_xlfn.XLOOKUP(role_course_map[[#This Row],[role_id]], role_data[role_id], role_data[Role],"")</f>
        <v>Paediatric Advanced Nurse Practitioner</v>
      </c>
      <c r="C1158">
        <v>89160</v>
      </c>
      <c r="D1158" s="5" t="str">
        <f>_xlfn.XLOOKUP(role_course_map[[#This Row],[course_id]],course_data[course_id],course_data[title],"")</f>
        <v>Safe Management of blood and body fluids</v>
      </c>
      <c r="E1158" s="5" t="str">
        <f>_xlfn.XLOOKUP(role_course_map[[#This Row],[course_id]],course_data[course_id],course_data[topic],"")</f>
        <v>SAS : Infection Prevention and Control (IPC)</v>
      </c>
      <c r="F1158" s="5" t="str">
        <f>_xlfn.XLOOKUP(role_course_map[[#This Row],[course_id]],course_data[course_id],course_data[type],"")</f>
        <v>eLearning</v>
      </c>
      <c r="K1158" t="str">
        <f>role_course_map[[#This Row],[role_id]] &amp; "|" &amp; role_course_map[[#This Row],[course_id]]</f>
        <v>R0146|89160</v>
      </c>
      <c r="L1158" t="str">
        <f>IF(COUNTIF(role_course_map[mapping_key],role_course_map[[#This Row],[mapping_key]])&gt;1,"DUPLICATE","OK")</f>
        <v>OK</v>
      </c>
      <c r="M1158" t="str">
        <f>IF(COUNTIF(role_data[role_id],role_course_map[[#This Row],[role_id]])=0, "INVALID","VALID")</f>
        <v>VALID</v>
      </c>
      <c r="N1158" t="str">
        <f>IF(COUNTIF(course_data[course_id],role_course_map[[#This Row],[course_id]])=0, "INVALID","VALID")</f>
        <v>VALID</v>
      </c>
    </row>
    <row r="1159" spans="1:14" x14ac:dyDescent="0.35">
      <c r="A1159" t="s">
        <v>304</v>
      </c>
      <c r="B1159" s="5" t="str">
        <f>_xlfn.XLOOKUP(role_course_map[[#This Row],[role_id]], role_data[role_id], role_data[Role],"")</f>
        <v>Paediatric Advanced Nurse Practitioner</v>
      </c>
      <c r="C1159">
        <v>89154</v>
      </c>
      <c r="D1159" s="5" t="str">
        <f>_xlfn.XLOOKUP(role_course_map[[#This Row],[course_id]],course_data[course_id],course_data[title],"")</f>
        <v>Safe disposal of waste</v>
      </c>
      <c r="E1159" s="5" t="str">
        <f>_xlfn.XLOOKUP(role_course_map[[#This Row],[course_id]],course_data[course_id],course_data[topic],"")</f>
        <v>SAS : Infection Prevention and Control (IPC)</v>
      </c>
      <c r="F1159" s="5" t="str">
        <f>_xlfn.XLOOKUP(role_course_map[[#This Row],[course_id]],course_data[course_id],course_data[type],"")</f>
        <v>eLearning</v>
      </c>
      <c r="K1159" t="str">
        <f>role_course_map[[#This Row],[role_id]] &amp; "|" &amp; role_course_map[[#This Row],[course_id]]</f>
        <v>R0146|89154</v>
      </c>
      <c r="L1159" t="str">
        <f>IF(COUNTIF(role_course_map[mapping_key],role_course_map[[#This Row],[mapping_key]])&gt;1,"DUPLICATE","OK")</f>
        <v>OK</v>
      </c>
      <c r="M1159" t="str">
        <f>IF(COUNTIF(role_data[role_id],role_course_map[[#This Row],[role_id]])=0, "INVALID","VALID")</f>
        <v>VALID</v>
      </c>
      <c r="N1159" t="str">
        <f>IF(COUNTIF(course_data[course_id],role_course_map[[#This Row],[course_id]])=0, "INVALID","VALID")</f>
        <v>VALID</v>
      </c>
    </row>
    <row r="1160" spans="1:14" x14ac:dyDescent="0.35">
      <c r="A1160" t="s">
        <v>304</v>
      </c>
      <c r="B1160" s="5" t="str">
        <f>_xlfn.XLOOKUP(role_course_map[[#This Row],[role_id]], role_data[role_id], role_data[Role],"")</f>
        <v>Paediatric Advanced Nurse Practitioner</v>
      </c>
      <c r="C1160">
        <v>89155</v>
      </c>
      <c r="D1160" s="5" t="str">
        <f>_xlfn.XLOOKUP(role_course_map[[#This Row],[course_id]],course_data[course_id],course_data[title],"")</f>
        <v>Prevention &amp; management of occupational exposure</v>
      </c>
      <c r="E1160" s="5" t="str">
        <f>_xlfn.XLOOKUP(role_course_map[[#This Row],[course_id]],course_data[course_id],course_data[topic],"")</f>
        <v>SAS : Infection Prevention and Control (IPC)</v>
      </c>
      <c r="F1160" s="5" t="str">
        <f>_xlfn.XLOOKUP(role_course_map[[#This Row],[course_id]],course_data[course_id],course_data[type],"")</f>
        <v>eLearning</v>
      </c>
      <c r="K1160" t="str">
        <f>role_course_map[[#This Row],[role_id]] &amp; "|" &amp; role_course_map[[#This Row],[course_id]]</f>
        <v>R0146|89155</v>
      </c>
      <c r="L1160" t="str">
        <f>IF(COUNTIF(role_course_map[mapping_key],role_course_map[[#This Row],[mapping_key]])&gt;1,"DUPLICATE","OK")</f>
        <v>OK</v>
      </c>
      <c r="M1160" t="str">
        <f>IF(COUNTIF(role_data[role_id],role_course_map[[#This Row],[role_id]])=0, "INVALID","VALID")</f>
        <v>VALID</v>
      </c>
      <c r="N1160" t="str">
        <f>IF(COUNTIF(course_data[course_id],role_course_map[[#This Row],[course_id]])=0, "INVALID","VALID")</f>
        <v>VALID</v>
      </c>
    </row>
    <row r="1161" spans="1:14" x14ac:dyDescent="0.35">
      <c r="A1161" t="s">
        <v>304</v>
      </c>
      <c r="B1161" s="5" t="str">
        <f>_xlfn.XLOOKUP(role_course_map[[#This Row],[role_id]], role_data[role_id], role_data[Role],"")</f>
        <v>Paediatric Advanced Nurse Practitioner</v>
      </c>
      <c r="C1161">
        <v>999064</v>
      </c>
      <c r="D1161" s="5" t="str">
        <f>_xlfn.XLOOKUP(role_course_map[[#This Row],[course_id]],course_data[course_id],course_data[title],"")</f>
        <v>Infection prevention and control: Clostridioides difficile infection</v>
      </c>
      <c r="E1161" s="5" t="str">
        <f>_xlfn.XLOOKUP(role_course_map[[#This Row],[course_id]],course_data[course_id],course_data[topic],"")</f>
        <v>SAS : Infection Prevention and Control (IPC)</v>
      </c>
      <c r="F1161" s="5" t="str">
        <f>_xlfn.XLOOKUP(role_course_map[[#This Row],[course_id]],course_data[course_id],course_data[type],"")</f>
        <v>eLearning</v>
      </c>
      <c r="K1161" t="str">
        <f>role_course_map[[#This Row],[role_id]] &amp; "|" &amp; role_course_map[[#This Row],[course_id]]</f>
        <v>R0146|999064</v>
      </c>
      <c r="L1161" t="str">
        <f>IF(COUNTIF(role_course_map[mapping_key],role_course_map[[#This Row],[mapping_key]])&gt;1,"DUPLICATE","OK")</f>
        <v>OK</v>
      </c>
      <c r="M1161" t="str">
        <f>IF(COUNTIF(role_data[role_id],role_course_map[[#This Row],[role_id]])=0, "INVALID","VALID")</f>
        <v>VALID</v>
      </c>
      <c r="N1161" t="str">
        <f>IF(COUNTIF(course_data[course_id],role_course_map[[#This Row],[course_id]])=0, "INVALID","VALID")</f>
        <v>VALID</v>
      </c>
    </row>
    <row r="1162" spans="1:14" x14ac:dyDescent="0.35">
      <c r="A1162" t="s">
        <v>304</v>
      </c>
      <c r="B1162" s="5" t="str">
        <f>_xlfn.XLOOKUP(role_course_map[[#This Row],[role_id]], role_data[role_id], role_data[Role],"")</f>
        <v>Paediatric Advanced Nurse Practitioner</v>
      </c>
      <c r="C1162">
        <v>3886</v>
      </c>
      <c r="D1162" s="5" t="str">
        <f>_xlfn.XLOOKUP(role_course_map[[#This Row],[course_id]],course_data[course_id],course_data[title],"")</f>
        <v>Prevention and management of pressure ulcers</v>
      </c>
      <c r="E1162" s="5" t="str">
        <f>_xlfn.XLOOKUP(role_course_map[[#This Row],[course_id]],course_data[course_id],course_data[topic],"")</f>
        <v>SAS : Clinical Practice</v>
      </c>
      <c r="F1162" s="5" t="str">
        <f>_xlfn.XLOOKUP(role_course_map[[#This Row],[course_id]],course_data[course_id],course_data[type],"")</f>
        <v>Page</v>
      </c>
      <c r="K1162" t="str">
        <f>role_course_map[[#This Row],[role_id]] &amp; "|" &amp; role_course_map[[#This Row],[course_id]]</f>
        <v>R0146|3886</v>
      </c>
      <c r="L1162" t="str">
        <f>IF(COUNTIF(role_course_map[mapping_key],role_course_map[[#This Row],[mapping_key]])&gt;1,"DUPLICATE","OK")</f>
        <v>OK</v>
      </c>
      <c r="M1162" t="str">
        <f>IF(COUNTIF(role_data[role_id],role_course_map[[#This Row],[role_id]])=0, "INVALID","VALID")</f>
        <v>VALID</v>
      </c>
      <c r="N1162" t="str">
        <f>IF(COUNTIF(course_data[course_id],role_course_map[[#This Row],[course_id]])=0, "INVALID","VALID")</f>
        <v>VALID</v>
      </c>
    </row>
    <row r="1163" spans="1:14" x14ac:dyDescent="0.35">
      <c r="A1163" t="s">
        <v>304</v>
      </c>
      <c r="B1163" s="5" t="str">
        <f>_xlfn.XLOOKUP(role_course_map[[#This Row],[role_id]], role_data[role_id], role_data[Role],"")</f>
        <v>Paediatric Advanced Nurse Practitioner</v>
      </c>
      <c r="C1163">
        <v>999077</v>
      </c>
      <c r="D1163" s="5" t="str">
        <f>_xlfn.XLOOKUP(role_course_map[[#This Row],[course_id]],course_data[course_id],course_data[title],"")</f>
        <v>ScotSTAR: Role specific Orientation &amp; Induction</v>
      </c>
      <c r="E1163" s="5" t="str">
        <f>_xlfn.XLOOKUP(role_course_map[[#This Row],[course_id]],course_data[course_id],course_data[topic],"")</f>
        <v>SAS : ScotSTAR</v>
      </c>
      <c r="F1163" s="5" t="str">
        <f>_xlfn.XLOOKUP(role_course_map[[#This Row],[course_id]],course_data[course_id],course_data[type],"")</f>
        <v>Course</v>
      </c>
      <c r="K1163" t="str">
        <f>role_course_map[[#This Row],[role_id]] &amp; "|" &amp; role_course_map[[#This Row],[course_id]]</f>
        <v>R0146|999077</v>
      </c>
      <c r="L1163" t="str">
        <f>IF(COUNTIF(role_course_map[mapping_key],role_course_map[[#This Row],[mapping_key]])&gt;1,"DUPLICATE","OK")</f>
        <v>OK</v>
      </c>
      <c r="M1163" t="str">
        <f>IF(COUNTIF(role_data[role_id],role_course_map[[#This Row],[role_id]])=0, "INVALID","VALID")</f>
        <v>VALID</v>
      </c>
      <c r="N1163" t="str">
        <f>IF(COUNTIF(course_data[course_id],role_course_map[[#This Row],[course_id]])=0, "INVALID","VALID")</f>
        <v>VALID</v>
      </c>
    </row>
    <row r="1164" spans="1:14" x14ac:dyDescent="0.35">
      <c r="A1164" t="s">
        <v>300</v>
      </c>
      <c r="B1164" s="5" t="str">
        <f>_xlfn.XLOOKUP(role_course_map[[#This Row],[role_id]], role_data[role_id], role_data[Role],"")</f>
        <v>Neonatal Transport Nurse</v>
      </c>
      <c r="C1164">
        <v>999080</v>
      </c>
      <c r="D1164" s="5" t="str">
        <f>_xlfn.XLOOKUP(role_course_map[[#This Row],[course_id]],course_data[course_id],course_data[title],"")</f>
        <v>HUET (on line)</v>
      </c>
      <c r="E1164" s="5" t="str">
        <f>_xlfn.XLOOKUP(role_course_map[[#This Row],[course_id]],course_data[course_id],course_data[topic],"")</f>
        <v>SAS : ScotSTAR</v>
      </c>
      <c r="F1164" s="5" t="str">
        <f>_xlfn.XLOOKUP(role_course_map[[#This Row],[course_id]],course_data[course_id],course_data[type],"")</f>
        <v>eLearning</v>
      </c>
      <c r="K1164" t="str">
        <f>role_course_map[[#This Row],[role_id]] &amp; "|" &amp; role_course_map[[#This Row],[course_id]]</f>
        <v>R0144|999080</v>
      </c>
      <c r="L1164" t="str">
        <f>IF(COUNTIF(role_course_map[mapping_key],role_course_map[[#This Row],[mapping_key]])&gt;1,"DUPLICATE","OK")</f>
        <v>OK</v>
      </c>
      <c r="M1164" t="str">
        <f>IF(COUNTIF(role_data[role_id],role_course_map[[#This Row],[role_id]])=0, "INVALID","VALID")</f>
        <v>VALID</v>
      </c>
      <c r="N1164" t="str">
        <f>IF(COUNTIF(course_data[course_id],role_course_map[[#This Row],[course_id]])=0, "INVALID","VALID")</f>
        <v>VALID</v>
      </c>
    </row>
    <row r="1165" spans="1:14" x14ac:dyDescent="0.35">
      <c r="A1165" t="s">
        <v>306</v>
      </c>
      <c r="B1165" s="5" t="str">
        <f>_xlfn.XLOOKUP(role_course_map[[#This Row],[role_id]], role_data[role_id], role_data[Role],"")</f>
        <v>Paediatric Consultant</v>
      </c>
      <c r="C1165">
        <v>999009</v>
      </c>
      <c r="D1165" s="5" t="str">
        <f>_xlfn.XLOOKUP(role_course_map[[#This Row],[course_id]],course_data[course_id],course_data[title],"")</f>
        <v>Life Support</v>
      </c>
      <c r="E1165" s="5" t="str">
        <f>_xlfn.XLOOKUP(role_course_map[[#This Row],[course_id]],course_data[course_id],course_data[topic],"")</f>
        <v>SAS : Clinical Practice</v>
      </c>
      <c r="F1165" s="5" t="str">
        <f>_xlfn.XLOOKUP(role_course_map[[#This Row],[course_id]],course_data[course_id],course_data[type],"")</f>
        <v>Course</v>
      </c>
      <c r="K1165" t="str">
        <f>role_course_map[[#This Row],[role_id]] &amp; "|" &amp; role_course_map[[#This Row],[course_id]]</f>
        <v>R0147|999009</v>
      </c>
      <c r="L1165" t="str">
        <f>IF(COUNTIF(role_course_map[mapping_key],role_course_map[[#This Row],[mapping_key]])&gt;1,"DUPLICATE","OK")</f>
        <v>OK</v>
      </c>
      <c r="M1165" t="str">
        <f>IF(COUNTIF(role_data[role_id],role_course_map[[#This Row],[role_id]])=0, "INVALID","VALID")</f>
        <v>VALID</v>
      </c>
      <c r="N1165" t="str">
        <f>IF(COUNTIF(course_data[course_id],role_course_map[[#This Row],[course_id]])=0, "INVALID","VALID")</f>
        <v>VALID</v>
      </c>
    </row>
    <row r="1166" spans="1:14" x14ac:dyDescent="0.35">
      <c r="A1166" t="s">
        <v>306</v>
      </c>
      <c r="B1166" s="5" t="str">
        <f>_xlfn.XLOOKUP(role_course_map[[#This Row],[role_id]], role_data[role_id], role_data[Role],"")</f>
        <v>Paediatric Consultant</v>
      </c>
      <c r="C1166">
        <v>999007</v>
      </c>
      <c r="D1166" s="5" t="str">
        <f>_xlfn.XLOOKUP(role_course_map[[#This Row],[course_id]],course_data[course_id],course_data[title],"")</f>
        <v>Obstetrics</v>
      </c>
      <c r="E1166" s="5" t="str">
        <f>_xlfn.XLOOKUP(role_course_map[[#This Row],[course_id]],course_data[course_id],course_data[topic],"")</f>
        <v>SAS : Clinical Practice</v>
      </c>
      <c r="F1166" s="5" t="str">
        <f>_xlfn.XLOOKUP(role_course_map[[#This Row],[course_id]],course_data[course_id],course_data[type],"")</f>
        <v>Course</v>
      </c>
      <c r="K1166" t="str">
        <f>role_course_map[[#This Row],[role_id]] &amp; "|" &amp; role_course_map[[#This Row],[course_id]]</f>
        <v>R0147|999007</v>
      </c>
      <c r="L1166" t="str">
        <f>IF(COUNTIF(role_course_map[mapping_key],role_course_map[[#This Row],[mapping_key]])&gt;1,"DUPLICATE","OK")</f>
        <v>OK</v>
      </c>
      <c r="M1166" t="str">
        <f>IF(COUNTIF(role_data[role_id],role_course_map[[#This Row],[role_id]])=0, "INVALID","VALID")</f>
        <v>VALID</v>
      </c>
      <c r="N1166" t="str">
        <f>IF(COUNTIF(course_data[course_id],role_course_map[[#This Row],[course_id]])=0, "INVALID","VALID")</f>
        <v>VALID</v>
      </c>
    </row>
    <row r="1167" spans="1:14" x14ac:dyDescent="0.35">
      <c r="A1167" t="s">
        <v>306</v>
      </c>
      <c r="B1167" s="5" t="str">
        <f>_xlfn.XLOOKUP(role_course_map[[#This Row],[role_id]], role_data[role_id], role_data[Role],"")</f>
        <v>Paediatric Consultant</v>
      </c>
      <c r="C1167">
        <v>999008</v>
      </c>
      <c r="D1167" s="5" t="str">
        <f>_xlfn.XLOOKUP(role_course_map[[#This Row],[course_id]],course_data[course_id],course_data[title],"")</f>
        <v>Obstetrics</v>
      </c>
      <c r="E1167" s="5" t="str">
        <f>_xlfn.XLOOKUP(role_course_map[[#This Row],[course_id]],course_data[course_id],course_data[topic],"")</f>
        <v>SAS : Clinical Practice</v>
      </c>
      <c r="F1167" s="5" t="str">
        <f>_xlfn.XLOOKUP(role_course_map[[#This Row],[course_id]],course_data[course_id],course_data[type],"")</f>
        <v>eLearning</v>
      </c>
      <c r="K1167" t="str">
        <f>role_course_map[[#This Row],[role_id]] &amp; "|" &amp; role_course_map[[#This Row],[course_id]]</f>
        <v>R0147|999008</v>
      </c>
      <c r="L1167" t="str">
        <f>IF(COUNTIF(role_course_map[mapping_key],role_course_map[[#This Row],[mapping_key]])&gt;1,"DUPLICATE","OK")</f>
        <v>OK</v>
      </c>
      <c r="M1167" t="str">
        <f>IF(COUNTIF(role_data[role_id],role_course_map[[#This Row],[role_id]])=0, "INVALID","VALID")</f>
        <v>VALID</v>
      </c>
      <c r="N1167" t="str">
        <f>IF(COUNTIF(course_data[course_id],role_course_map[[#This Row],[course_id]])=0, "INVALID","VALID")</f>
        <v>VALID</v>
      </c>
    </row>
    <row r="1168" spans="1:14" x14ac:dyDescent="0.35">
      <c r="A1168" t="s">
        <v>306</v>
      </c>
      <c r="B1168" s="5" t="str">
        <f>_xlfn.XLOOKUP(role_course_map[[#This Row],[role_id]], role_data[role_id], role_data[Role],"")</f>
        <v>Paediatric Consultant</v>
      </c>
      <c r="C1168">
        <v>999010</v>
      </c>
      <c r="D1168" s="5" t="str">
        <f>_xlfn.XLOOKUP(role_course_map[[#This Row],[course_id]],course_data[course_id],course_data[title],"")</f>
        <v>Paediatrics</v>
      </c>
      <c r="E1168" s="5" t="str">
        <f>_xlfn.XLOOKUP(role_course_map[[#This Row],[course_id]],course_data[course_id],course_data[topic],"")</f>
        <v>SAS : Clinical Practice</v>
      </c>
      <c r="F1168" s="5" t="str">
        <f>_xlfn.XLOOKUP(role_course_map[[#This Row],[course_id]],course_data[course_id],course_data[type],"")</f>
        <v>Course</v>
      </c>
      <c r="K1168" t="str">
        <f>role_course_map[[#This Row],[role_id]] &amp; "|" &amp; role_course_map[[#This Row],[course_id]]</f>
        <v>R0147|999010</v>
      </c>
      <c r="L1168" t="str">
        <f>IF(COUNTIF(role_course_map[mapping_key],role_course_map[[#This Row],[mapping_key]])&gt;1,"DUPLICATE","OK")</f>
        <v>OK</v>
      </c>
      <c r="M1168" t="str">
        <f>IF(COUNTIF(role_data[role_id],role_course_map[[#This Row],[role_id]])=0, "INVALID","VALID")</f>
        <v>VALID</v>
      </c>
      <c r="N1168" t="str">
        <f>IF(COUNTIF(course_data[course_id],role_course_map[[#This Row],[course_id]])=0, "INVALID","VALID")</f>
        <v>VALID</v>
      </c>
    </row>
    <row r="1169" spans="1:14" x14ac:dyDescent="0.35">
      <c r="A1169" t="s">
        <v>306</v>
      </c>
      <c r="B1169" s="5" t="str">
        <f>_xlfn.XLOOKUP(role_course_map[[#This Row],[role_id]], role_data[role_id], role_data[Role],"")</f>
        <v>Paediatric Consultant</v>
      </c>
      <c r="C1169">
        <v>999011</v>
      </c>
      <c r="D1169" s="5" t="str">
        <f>_xlfn.XLOOKUP(role_course_map[[#This Row],[course_id]],course_data[course_id],course_data[title],"")</f>
        <v>Paediatrics</v>
      </c>
      <c r="E1169" s="5" t="str">
        <f>_xlfn.XLOOKUP(role_course_map[[#This Row],[course_id]],course_data[course_id],course_data[topic],"")</f>
        <v>SAS : Clinical Practice</v>
      </c>
      <c r="F1169" s="5" t="str">
        <f>_xlfn.XLOOKUP(role_course_map[[#This Row],[course_id]],course_data[course_id],course_data[type],"")</f>
        <v>eLearning</v>
      </c>
      <c r="K1169" t="str">
        <f>role_course_map[[#This Row],[role_id]] &amp; "|" &amp; role_course_map[[#This Row],[course_id]]</f>
        <v>R0147|999011</v>
      </c>
      <c r="L1169" t="str">
        <f>IF(COUNTIF(role_course_map[mapping_key],role_course_map[[#This Row],[mapping_key]])&gt;1,"DUPLICATE","OK")</f>
        <v>OK</v>
      </c>
      <c r="M1169" t="str">
        <f>IF(COUNTIF(role_data[role_id],role_course_map[[#This Row],[role_id]])=0, "INVALID","VALID")</f>
        <v>VALID</v>
      </c>
      <c r="N1169" t="str">
        <f>IF(COUNTIF(course_data[course_id],role_course_map[[#This Row],[course_id]])=0, "INVALID","VALID")</f>
        <v>VALID</v>
      </c>
    </row>
    <row r="1170" spans="1:14" x14ac:dyDescent="0.35">
      <c r="A1170" t="s">
        <v>306</v>
      </c>
      <c r="B1170" s="5" t="str">
        <f>_xlfn.XLOOKUP(role_course_map[[#This Row],[role_id]], role_data[role_id], role_data[Role],"")</f>
        <v>Paediatric Consultant</v>
      </c>
      <c r="C1170">
        <v>999012</v>
      </c>
      <c r="D1170" s="5" t="str">
        <f>_xlfn.XLOOKUP(role_course_map[[#This Row],[course_id]],course_data[course_id],course_data[title],"")</f>
        <v>Trauma</v>
      </c>
      <c r="E1170" s="5" t="str">
        <f>_xlfn.XLOOKUP(role_course_map[[#This Row],[course_id]],course_data[course_id],course_data[topic],"")</f>
        <v>SAS : Clinical Practice</v>
      </c>
      <c r="F1170" s="5" t="str">
        <f>_xlfn.XLOOKUP(role_course_map[[#This Row],[course_id]],course_data[course_id],course_data[type],"")</f>
        <v>Course</v>
      </c>
      <c r="K1170" t="str">
        <f>role_course_map[[#This Row],[role_id]] &amp; "|" &amp; role_course_map[[#This Row],[course_id]]</f>
        <v>R0147|999012</v>
      </c>
      <c r="L1170" t="str">
        <f>IF(COUNTIF(role_course_map[mapping_key],role_course_map[[#This Row],[mapping_key]])&gt;1,"DUPLICATE","OK")</f>
        <v>OK</v>
      </c>
      <c r="M1170" t="str">
        <f>IF(COUNTIF(role_data[role_id],role_course_map[[#This Row],[role_id]])=0, "INVALID","VALID")</f>
        <v>VALID</v>
      </c>
      <c r="N1170" t="str">
        <f>IF(COUNTIF(course_data[course_id],role_course_map[[#This Row],[course_id]])=0, "INVALID","VALID")</f>
        <v>VALID</v>
      </c>
    </row>
    <row r="1171" spans="1:14" x14ac:dyDescent="0.35">
      <c r="A1171" t="s">
        <v>306</v>
      </c>
      <c r="B1171" s="5" t="str">
        <f>_xlfn.XLOOKUP(role_course_map[[#This Row],[role_id]], role_data[role_id], role_data[Role],"")</f>
        <v>Paediatric Consultant</v>
      </c>
      <c r="C1171">
        <v>999013</v>
      </c>
      <c r="D1171" s="5" t="str">
        <f>_xlfn.XLOOKUP(role_course_map[[#This Row],[course_id]],course_data[course_id],course_data[title],"")</f>
        <v>Trauma</v>
      </c>
      <c r="E1171" s="5" t="str">
        <f>_xlfn.XLOOKUP(role_course_map[[#This Row],[course_id]],course_data[course_id],course_data[topic],"")</f>
        <v>SAS : Clinical Practice</v>
      </c>
      <c r="F1171" s="5" t="str">
        <f>_xlfn.XLOOKUP(role_course_map[[#This Row],[course_id]],course_data[course_id],course_data[type],"")</f>
        <v>eLearning</v>
      </c>
      <c r="K1171" t="str">
        <f>role_course_map[[#This Row],[role_id]] &amp; "|" &amp; role_course_map[[#This Row],[course_id]]</f>
        <v>R0147|999013</v>
      </c>
      <c r="L1171" t="str">
        <f>IF(COUNTIF(role_course_map[mapping_key],role_course_map[[#This Row],[mapping_key]])&gt;1,"DUPLICATE","OK")</f>
        <v>OK</v>
      </c>
      <c r="M1171" t="str">
        <f>IF(COUNTIF(role_data[role_id],role_course_map[[#This Row],[role_id]])=0, "INVALID","VALID")</f>
        <v>VALID</v>
      </c>
      <c r="N1171" t="str">
        <f>IF(COUNTIF(course_data[course_id],role_course_map[[#This Row],[course_id]])=0, "INVALID","VALID")</f>
        <v>VALID</v>
      </c>
    </row>
    <row r="1172" spans="1:14" x14ac:dyDescent="0.35">
      <c r="A1172" t="s">
        <v>306</v>
      </c>
      <c r="B1172" s="5" t="str">
        <f>_xlfn.XLOOKUP(role_course_map[[#This Row],[role_id]], role_data[role_id], role_data[Role],"")</f>
        <v>Paediatric Consultant</v>
      </c>
      <c r="C1172">
        <v>999014</v>
      </c>
      <c r="D1172" s="5" t="str">
        <f>_xlfn.XLOOKUP(role_course_map[[#This Row],[course_id]],course_data[course_id],course_data[title],"")</f>
        <v>Patient Assessment</v>
      </c>
      <c r="E1172" s="5" t="str">
        <f>_xlfn.XLOOKUP(role_course_map[[#This Row],[course_id]],course_data[course_id],course_data[topic],"")</f>
        <v>SAS : Clinical Practice</v>
      </c>
      <c r="F1172" s="5" t="str">
        <f>_xlfn.XLOOKUP(role_course_map[[#This Row],[course_id]],course_data[course_id],course_data[type],"")</f>
        <v>Course</v>
      </c>
      <c r="K1172" t="str">
        <f>role_course_map[[#This Row],[role_id]] &amp; "|" &amp; role_course_map[[#This Row],[course_id]]</f>
        <v>R0147|999014</v>
      </c>
      <c r="L1172" t="str">
        <f>IF(COUNTIF(role_course_map[mapping_key],role_course_map[[#This Row],[mapping_key]])&gt;1,"DUPLICATE","OK")</f>
        <v>OK</v>
      </c>
      <c r="M1172" t="str">
        <f>IF(COUNTIF(role_data[role_id],role_course_map[[#This Row],[role_id]])=0, "INVALID","VALID")</f>
        <v>VALID</v>
      </c>
      <c r="N1172" t="str">
        <f>IF(COUNTIF(course_data[course_id],role_course_map[[#This Row],[course_id]])=0, "INVALID","VALID")</f>
        <v>VALID</v>
      </c>
    </row>
    <row r="1173" spans="1:14" x14ac:dyDescent="0.35">
      <c r="A1173" t="s">
        <v>306</v>
      </c>
      <c r="B1173" s="5" t="str">
        <f>_xlfn.XLOOKUP(role_course_map[[#This Row],[role_id]], role_data[role_id], role_data[Role],"")</f>
        <v>Paediatric Consultant</v>
      </c>
      <c r="C1173">
        <v>999015</v>
      </c>
      <c r="D1173" s="5" t="str">
        <f>_xlfn.XLOOKUP(role_course_map[[#This Row],[course_id]],course_data[course_id],course_data[title],"")</f>
        <v>Patient Assessment</v>
      </c>
      <c r="E1173" s="5" t="str">
        <f>_xlfn.XLOOKUP(role_course_map[[#This Row],[course_id]],course_data[course_id],course_data[topic],"")</f>
        <v>SAS : Clinical Practice</v>
      </c>
      <c r="F1173" s="5" t="str">
        <f>_xlfn.XLOOKUP(role_course_map[[#This Row],[course_id]],course_data[course_id],course_data[type],"")</f>
        <v>eLearning</v>
      </c>
      <c r="K1173" t="str">
        <f>role_course_map[[#This Row],[role_id]] &amp; "|" &amp; role_course_map[[#This Row],[course_id]]</f>
        <v>R0147|999015</v>
      </c>
      <c r="L1173" t="str">
        <f>IF(COUNTIF(role_course_map[mapping_key],role_course_map[[#This Row],[mapping_key]])&gt;1,"DUPLICATE","OK")</f>
        <v>OK</v>
      </c>
      <c r="M1173" t="str">
        <f>IF(COUNTIF(role_data[role_id],role_course_map[[#This Row],[role_id]])=0, "INVALID","VALID")</f>
        <v>VALID</v>
      </c>
      <c r="N1173" t="str">
        <f>IF(COUNTIF(course_data[course_id],role_course_map[[#This Row],[course_id]])=0, "INVALID","VALID")</f>
        <v>VALID</v>
      </c>
    </row>
    <row r="1174" spans="1:14" x14ac:dyDescent="0.35">
      <c r="A1174" t="s">
        <v>304</v>
      </c>
      <c r="B1174" s="5" t="str">
        <f>_xlfn.XLOOKUP(role_course_map[[#This Row],[role_id]], role_data[role_id], role_data[Role],"")</f>
        <v>Paediatric Advanced Nurse Practitioner</v>
      </c>
      <c r="C1174">
        <v>999016</v>
      </c>
      <c r="D1174" s="5" t="str">
        <f>_xlfn.XLOOKUP(role_course_map[[#This Row],[course_id]],course_data[course_id],course_data[title],"")</f>
        <v>Clinical Skills</v>
      </c>
      <c r="E1174" s="5" t="str">
        <f>_xlfn.XLOOKUP(role_course_map[[#This Row],[course_id]],course_data[course_id],course_data[topic],"")</f>
        <v>SAS : Clinical Practice</v>
      </c>
      <c r="F1174" s="5" t="str">
        <f>_xlfn.XLOOKUP(role_course_map[[#This Row],[course_id]],course_data[course_id],course_data[type],"")</f>
        <v>Course</v>
      </c>
      <c r="K1174" t="str">
        <f>role_course_map[[#This Row],[role_id]] &amp; "|" &amp; role_course_map[[#This Row],[course_id]]</f>
        <v>R0146|999016</v>
      </c>
      <c r="L1174" t="str">
        <f>IF(COUNTIF(role_course_map[mapping_key],role_course_map[[#This Row],[mapping_key]])&gt;1,"DUPLICATE","OK")</f>
        <v>OK</v>
      </c>
      <c r="M1174" t="str">
        <f>IF(COUNTIF(role_data[role_id],role_course_map[[#This Row],[role_id]])=0, "INVALID","VALID")</f>
        <v>VALID</v>
      </c>
      <c r="N1174" t="str">
        <f>IF(COUNTIF(course_data[course_id],role_course_map[[#This Row],[course_id]])=0, "INVALID","VALID")</f>
        <v>VALID</v>
      </c>
    </row>
    <row r="1175" spans="1:14" x14ac:dyDescent="0.35">
      <c r="A1175" t="s">
        <v>306</v>
      </c>
      <c r="B1175" s="5" t="str">
        <f>_xlfn.XLOOKUP(role_course_map[[#This Row],[role_id]], role_data[role_id], role_data[Role],"")</f>
        <v>Paediatric Consultant</v>
      </c>
      <c r="C1175">
        <v>999018</v>
      </c>
      <c r="D1175" s="5" t="str">
        <f>_xlfn.XLOOKUP(role_course_map[[#This Row],[course_id]],course_data[course_id],course_data[title],"")</f>
        <v>Learning from Events</v>
      </c>
      <c r="E1175" s="5" t="str">
        <f>_xlfn.XLOOKUP(role_course_map[[#This Row],[course_id]],course_data[course_id],course_data[topic],"")</f>
        <v>SAS : Clinical Practice</v>
      </c>
      <c r="F1175" s="5" t="str">
        <f>_xlfn.XLOOKUP(role_course_map[[#This Row],[course_id]],course_data[course_id],course_data[type],"")</f>
        <v>eLearning</v>
      </c>
      <c r="K1175" t="str">
        <f>role_course_map[[#This Row],[role_id]] &amp; "|" &amp; role_course_map[[#This Row],[course_id]]</f>
        <v>R0147|999018</v>
      </c>
      <c r="L1175" t="str">
        <f>IF(COUNTIF(role_course_map[mapping_key],role_course_map[[#This Row],[mapping_key]])&gt;1,"DUPLICATE","OK")</f>
        <v>OK</v>
      </c>
      <c r="M1175" t="str">
        <f>IF(COUNTIF(role_data[role_id],role_course_map[[#This Row],[role_id]])=0, "INVALID","VALID")</f>
        <v>VALID</v>
      </c>
      <c r="N1175" t="str">
        <f>IF(COUNTIF(course_data[course_id],role_course_map[[#This Row],[course_id]])=0, "INVALID","VALID")</f>
        <v>VALID</v>
      </c>
    </row>
    <row r="1176" spans="1:14" x14ac:dyDescent="0.35">
      <c r="A1176" t="s">
        <v>306</v>
      </c>
      <c r="B1176" s="5" t="str">
        <f>_xlfn.XLOOKUP(role_course_map[[#This Row],[role_id]], role_data[role_id], role_data[Role],"")</f>
        <v>Paediatric Consultant</v>
      </c>
      <c r="C1176">
        <v>999019</v>
      </c>
      <c r="D1176" s="5" t="str">
        <f>_xlfn.XLOOKUP(role_course_map[[#This Row],[course_id]],course_data[course_id],course_data[title],"")</f>
        <v>Medicines Management</v>
      </c>
      <c r="E1176" s="5" t="str">
        <f>_xlfn.XLOOKUP(role_course_map[[#This Row],[course_id]],course_data[course_id],course_data[topic],"")</f>
        <v>SAS : Clinical Practice</v>
      </c>
      <c r="F1176" s="5" t="str">
        <f>_xlfn.XLOOKUP(role_course_map[[#This Row],[course_id]],course_data[course_id],course_data[type],"")</f>
        <v>eLearning</v>
      </c>
      <c r="K1176" t="str">
        <f>role_course_map[[#This Row],[role_id]] &amp; "|" &amp; role_course_map[[#This Row],[course_id]]</f>
        <v>R0147|999019</v>
      </c>
      <c r="L1176" t="str">
        <f>IF(COUNTIF(role_course_map[mapping_key],role_course_map[[#This Row],[mapping_key]])&gt;1,"DUPLICATE","OK")</f>
        <v>OK</v>
      </c>
      <c r="M1176" t="str">
        <f>IF(COUNTIF(role_data[role_id],role_course_map[[#This Row],[role_id]])=0, "INVALID","VALID")</f>
        <v>VALID</v>
      </c>
      <c r="N1176" t="str">
        <f>IF(COUNTIF(course_data[course_id],role_course_map[[#This Row],[course_id]])=0, "INVALID","VALID")</f>
        <v>VALID</v>
      </c>
    </row>
    <row r="1177" spans="1:14" x14ac:dyDescent="0.35">
      <c r="A1177" t="s">
        <v>306</v>
      </c>
      <c r="B1177" s="5" t="str">
        <f>_xlfn.XLOOKUP(role_course_map[[#This Row],[role_id]], role_data[role_id], role_data[Role],"")</f>
        <v>Paediatric Consultant</v>
      </c>
      <c r="C1177">
        <v>999020</v>
      </c>
      <c r="D1177" s="5" t="str">
        <f>_xlfn.XLOOKUP(role_course_map[[#This Row],[course_id]],course_data[course_id],course_data[title],"")</f>
        <v>JRCALC Update</v>
      </c>
      <c r="E1177" s="5" t="str">
        <f>_xlfn.XLOOKUP(role_course_map[[#This Row],[course_id]],course_data[course_id],course_data[topic],"")</f>
        <v>SAS : Clinical Practice</v>
      </c>
      <c r="F1177" s="5" t="str">
        <f>_xlfn.XLOOKUP(role_course_map[[#This Row],[course_id]],course_data[course_id],course_data[type],"")</f>
        <v>eLearning</v>
      </c>
      <c r="K1177" t="str">
        <f>role_course_map[[#This Row],[role_id]] &amp; "|" &amp; role_course_map[[#This Row],[course_id]]</f>
        <v>R0147|999020</v>
      </c>
      <c r="L1177" t="str">
        <f>IF(COUNTIF(role_course_map[mapping_key],role_course_map[[#This Row],[mapping_key]])&gt;1,"DUPLICATE","OK")</f>
        <v>OK</v>
      </c>
      <c r="M1177" t="str">
        <f>IF(COUNTIF(role_data[role_id],role_course_map[[#This Row],[role_id]])=0, "INVALID","VALID")</f>
        <v>VALID</v>
      </c>
      <c r="N1177" t="str">
        <f>IF(COUNTIF(course_data[course_id],role_course_map[[#This Row],[course_id]])=0, "INVALID","VALID")</f>
        <v>VALID</v>
      </c>
    </row>
    <row r="1178" spans="1:14" x14ac:dyDescent="0.35">
      <c r="A1178" t="s">
        <v>306</v>
      </c>
      <c r="B1178" s="5" t="str">
        <f>_xlfn.XLOOKUP(role_course_map[[#This Row],[role_id]], role_data[role_id], role_data[Role],"")</f>
        <v>Paediatric Consultant</v>
      </c>
      <c r="C1178">
        <v>999021</v>
      </c>
      <c r="D1178" s="5" t="str">
        <f>_xlfn.XLOOKUP(role_course_map[[#This Row],[course_id]],course_data[course_id],course_data[title],"")</f>
        <v>Mental Health</v>
      </c>
      <c r="E1178" s="5" t="str">
        <f>_xlfn.XLOOKUP(role_course_map[[#This Row],[course_id]],course_data[course_id],course_data[topic],"")</f>
        <v>SAS : Clinical Practice</v>
      </c>
      <c r="F1178" s="5" t="str">
        <f>_xlfn.XLOOKUP(role_course_map[[#This Row],[course_id]],course_data[course_id],course_data[type],"")</f>
        <v>eLearning</v>
      </c>
      <c r="K1178" t="str">
        <f>role_course_map[[#This Row],[role_id]] &amp; "|" &amp; role_course_map[[#This Row],[course_id]]</f>
        <v>R0147|999021</v>
      </c>
      <c r="L1178" t="str">
        <f>IF(COUNTIF(role_course_map[mapping_key],role_course_map[[#This Row],[mapping_key]])&gt;1,"DUPLICATE","OK")</f>
        <v>OK</v>
      </c>
      <c r="M1178" t="str">
        <f>IF(COUNTIF(role_data[role_id],role_course_map[[#This Row],[role_id]])=0, "INVALID","VALID")</f>
        <v>VALID</v>
      </c>
      <c r="N1178" t="str">
        <f>IF(COUNTIF(course_data[course_id],role_course_map[[#This Row],[course_id]])=0, "INVALID","VALID")</f>
        <v>VALID</v>
      </c>
    </row>
    <row r="1179" spans="1:14" x14ac:dyDescent="0.35">
      <c r="A1179" t="s">
        <v>306</v>
      </c>
      <c r="B1179" s="5" t="str">
        <f>_xlfn.XLOOKUP(role_course_map[[#This Row],[role_id]], role_data[role_id], role_data[Role],"")</f>
        <v>Paediatric Consultant</v>
      </c>
      <c r="C1179">
        <v>999022</v>
      </c>
      <c r="D1179" s="5" t="str">
        <f>_xlfn.XLOOKUP(role_course_map[[#This Row],[course_id]],course_data[course_id],course_data[title],"")</f>
        <v>Learning Disabilities</v>
      </c>
      <c r="E1179" s="5" t="str">
        <f>_xlfn.XLOOKUP(role_course_map[[#This Row],[course_id]],course_data[course_id],course_data[topic],"")</f>
        <v>SAS : Clinical Practice</v>
      </c>
      <c r="F1179" s="5" t="str">
        <f>_xlfn.XLOOKUP(role_course_map[[#This Row],[course_id]],course_data[course_id],course_data[type],"")</f>
        <v>eLearning</v>
      </c>
      <c r="K1179" t="str">
        <f>role_course_map[[#This Row],[role_id]] &amp; "|" &amp; role_course_map[[#This Row],[course_id]]</f>
        <v>R0147|999022</v>
      </c>
      <c r="L1179" t="str">
        <f>IF(COUNTIF(role_course_map[mapping_key],role_course_map[[#This Row],[mapping_key]])&gt;1,"DUPLICATE","OK")</f>
        <v>OK</v>
      </c>
      <c r="M1179" t="str">
        <f>IF(COUNTIF(role_data[role_id],role_course_map[[#This Row],[role_id]])=0, "INVALID","VALID")</f>
        <v>VALID</v>
      </c>
      <c r="N1179" t="str">
        <f>IF(COUNTIF(course_data[course_id],role_course_map[[#This Row],[course_id]])=0, "INVALID","VALID")</f>
        <v>VALID</v>
      </c>
    </row>
    <row r="1180" spans="1:14" x14ac:dyDescent="0.35">
      <c r="A1180" t="s">
        <v>306</v>
      </c>
      <c r="B1180" s="5" t="str">
        <f>_xlfn.XLOOKUP(role_course_map[[#This Row],[role_id]], role_data[role_id], role_data[Role],"")</f>
        <v>Paediatric Consultant</v>
      </c>
      <c r="C1180">
        <v>75202</v>
      </c>
      <c r="D1180" s="5" t="str">
        <f>_xlfn.XLOOKUP(role_course_map[[#This Row],[course_id]],course_data[course_id],course_data[title],"")</f>
        <v>SAS : Clinical Practice</v>
      </c>
      <c r="E1180" s="5" t="str">
        <f>_xlfn.XLOOKUP(role_course_map[[#This Row],[course_id]],course_data[course_id],course_data[topic],"")</f>
        <v>SAS : Clinical Practice</v>
      </c>
      <c r="F1180" s="5" t="str">
        <f>_xlfn.XLOOKUP(role_course_map[[#This Row],[course_id]],course_data[course_id],course_data[type],"")</f>
        <v>Page</v>
      </c>
      <c r="K1180" t="str">
        <f>role_course_map[[#This Row],[role_id]] &amp; "|" &amp; role_course_map[[#This Row],[course_id]]</f>
        <v>R0147|75202</v>
      </c>
      <c r="L1180" t="str">
        <f>IF(COUNTIF(role_course_map[mapping_key],role_course_map[[#This Row],[mapping_key]])&gt;1,"DUPLICATE","OK")</f>
        <v>OK</v>
      </c>
      <c r="M1180" t="str">
        <f>IF(COUNTIF(role_data[role_id],role_course_map[[#This Row],[role_id]])=0, "INVALID","VALID")</f>
        <v>VALID</v>
      </c>
      <c r="N1180" t="str">
        <f>IF(COUNTIF(course_data[course_id],role_course_map[[#This Row],[course_id]])=0, "INVALID","VALID")</f>
        <v>VALID</v>
      </c>
    </row>
    <row r="1181" spans="1:14" x14ac:dyDescent="0.35">
      <c r="A1181" t="s">
        <v>306</v>
      </c>
      <c r="B1181" s="5" t="str">
        <f>_xlfn.XLOOKUP(role_course_map[[#This Row],[role_id]], role_data[role_id], role_data[Role],"")</f>
        <v>Paediatric Consultant</v>
      </c>
      <c r="C1181">
        <v>999023</v>
      </c>
      <c r="D1181" s="5" t="str">
        <f>_xlfn.XLOOKUP(role_course_map[[#This Row],[course_id]],course_data[course_id],course_data[title],"")</f>
        <v>Dementia</v>
      </c>
      <c r="E1181" s="5" t="str">
        <f>_xlfn.XLOOKUP(role_course_map[[#This Row],[course_id]],course_data[course_id],course_data[topic],"")</f>
        <v>SAS : Clinical Practice</v>
      </c>
      <c r="F1181" s="5" t="str">
        <f>_xlfn.XLOOKUP(role_course_map[[#This Row],[course_id]],course_data[course_id],course_data[type],"")</f>
        <v>eLearning</v>
      </c>
      <c r="K1181" t="str">
        <f>role_course_map[[#This Row],[role_id]] &amp; "|" &amp; role_course_map[[#This Row],[course_id]]</f>
        <v>R0147|999023</v>
      </c>
      <c r="L1181" t="str">
        <f>IF(COUNTIF(role_course_map[mapping_key],role_course_map[[#This Row],[mapping_key]])&gt;1,"DUPLICATE","OK")</f>
        <v>OK</v>
      </c>
      <c r="M1181" t="str">
        <f>IF(COUNTIF(role_data[role_id],role_course_map[[#This Row],[role_id]])=0, "INVALID","VALID")</f>
        <v>VALID</v>
      </c>
      <c r="N1181" t="str">
        <f>IF(COUNTIF(course_data[course_id],role_course_map[[#This Row],[course_id]])=0, "INVALID","VALID")</f>
        <v>VALID</v>
      </c>
    </row>
    <row r="1182" spans="1:14" x14ac:dyDescent="0.35">
      <c r="A1182" t="s">
        <v>304</v>
      </c>
      <c r="B1182" s="5" t="str">
        <f>_xlfn.XLOOKUP(role_course_map[[#This Row],[role_id]], role_data[role_id], role_data[Role],"")</f>
        <v>Paediatric Advanced Nurse Practitioner</v>
      </c>
      <c r="C1182">
        <v>999024</v>
      </c>
      <c r="D1182" s="5" t="str">
        <f>_xlfn.XLOOKUP(role_course_map[[#This Row],[course_id]],course_data[course_id],course_data[title],"")</f>
        <v>Conditions requiring specific hospital management. I.e. Parkinsons</v>
      </c>
      <c r="E1182" s="5" t="str">
        <f>_xlfn.XLOOKUP(role_course_map[[#This Row],[course_id]],course_data[course_id],course_data[topic],"")</f>
        <v>SAS : Clinical Practice</v>
      </c>
      <c r="F1182" s="5" t="str">
        <f>_xlfn.XLOOKUP(role_course_map[[#This Row],[course_id]],course_data[course_id],course_data[type],"")</f>
        <v>eLearning</v>
      </c>
      <c r="K1182" t="str">
        <f>role_course_map[[#This Row],[role_id]] &amp; "|" &amp; role_course_map[[#This Row],[course_id]]</f>
        <v>R0146|999024</v>
      </c>
      <c r="L1182" t="str">
        <f>IF(COUNTIF(role_course_map[mapping_key],role_course_map[[#This Row],[mapping_key]])&gt;1,"DUPLICATE","OK")</f>
        <v>OK</v>
      </c>
      <c r="M1182" t="str">
        <f>IF(COUNTIF(role_data[role_id],role_course_map[[#This Row],[role_id]])=0, "INVALID","VALID")</f>
        <v>VALID</v>
      </c>
      <c r="N1182" t="str">
        <f>IF(COUNTIF(course_data[course_id],role_course_map[[#This Row],[course_id]])=0, "INVALID","VALID")</f>
        <v>VALID</v>
      </c>
    </row>
    <row r="1183" spans="1:14" x14ac:dyDescent="0.35">
      <c r="A1183" t="s">
        <v>306</v>
      </c>
      <c r="B1183" s="5" t="str">
        <f>_xlfn.XLOOKUP(role_course_map[[#This Row],[role_id]], role_data[role_id], role_data[Role],"")</f>
        <v>Paediatric Consultant</v>
      </c>
      <c r="C1183">
        <v>999095</v>
      </c>
      <c r="D1183" s="5" t="str">
        <f>_xlfn.XLOOKUP(role_course_map[[#This Row],[course_id]],course_data[course_id],course_data[title],"")</f>
        <v>Mentoring</v>
      </c>
      <c r="E1183" s="5" t="str">
        <f>_xlfn.XLOOKUP(role_course_map[[#This Row],[course_id]],course_data[course_id],course_data[topic],"")</f>
        <v>SAS: Staff development and experience</v>
      </c>
      <c r="F1183" s="5" t="str">
        <f>_xlfn.XLOOKUP(role_course_map[[#This Row],[course_id]],course_data[course_id],course_data[type],"")</f>
        <v>eLearning</v>
      </c>
      <c r="K1183" t="str">
        <f>role_course_map[[#This Row],[role_id]] &amp; "|" &amp; role_course_map[[#This Row],[course_id]]</f>
        <v>R0147|999095</v>
      </c>
      <c r="L1183" t="str">
        <f>IF(COUNTIF(role_course_map[mapping_key],role_course_map[[#This Row],[mapping_key]])&gt;1,"DUPLICATE","OK")</f>
        <v>OK</v>
      </c>
      <c r="M1183" t="str">
        <f>IF(COUNTIF(role_data[role_id],role_course_map[[#This Row],[role_id]])=0, "INVALID","VALID")</f>
        <v>VALID</v>
      </c>
      <c r="N1183" t="str">
        <f>IF(COUNTIF(course_data[course_id],role_course_map[[#This Row],[course_id]])=0, "INVALID","VALID")</f>
        <v>VALID</v>
      </c>
    </row>
    <row r="1184" spans="1:14" x14ac:dyDescent="0.35">
      <c r="A1184" t="s">
        <v>306</v>
      </c>
      <c r="B1184" s="5" t="str">
        <f>_xlfn.XLOOKUP(role_course_map[[#This Row],[role_id]], role_data[role_id], role_data[Role],"")</f>
        <v>Paediatric Consultant</v>
      </c>
      <c r="C1184">
        <v>999096</v>
      </c>
      <c r="D1184" s="5" t="str">
        <f>_xlfn.XLOOKUP(role_course_map[[#This Row],[course_id]],course_data[course_id],course_data[title],"")</f>
        <v>Supporting others in practice (Supervision)</v>
      </c>
      <c r="E1184" s="5" t="str">
        <f>_xlfn.XLOOKUP(role_course_map[[#This Row],[course_id]],course_data[course_id],course_data[topic],"")</f>
        <v>SAS: Staff development and experience</v>
      </c>
      <c r="F1184" s="5" t="str">
        <f>_xlfn.XLOOKUP(role_course_map[[#This Row],[course_id]],course_data[course_id],course_data[type],"")</f>
        <v>Course</v>
      </c>
      <c r="K1184" t="str">
        <f>role_course_map[[#This Row],[role_id]] &amp; "|" &amp; role_course_map[[#This Row],[course_id]]</f>
        <v>R0147|999096</v>
      </c>
      <c r="L1184" t="str">
        <f>IF(COUNTIF(role_course_map[mapping_key],role_course_map[[#This Row],[mapping_key]])&gt;1,"DUPLICATE","OK")</f>
        <v>OK</v>
      </c>
      <c r="M1184" t="str">
        <f>IF(COUNTIF(role_data[role_id],role_course_map[[#This Row],[role_id]])=0, "INVALID","VALID")</f>
        <v>VALID</v>
      </c>
      <c r="N1184" t="str">
        <f>IF(COUNTIF(course_data[course_id],role_course_map[[#This Row],[course_id]])=0, "INVALID","VALID")</f>
        <v>VALID</v>
      </c>
    </row>
    <row r="1185" spans="1:14" x14ac:dyDescent="0.35">
      <c r="A1185" t="s">
        <v>306</v>
      </c>
      <c r="B1185" s="5" t="str">
        <f>_xlfn.XLOOKUP(role_course_map[[#This Row],[role_id]], role_data[role_id], role_data[Role],"")</f>
        <v>Paediatric Consultant</v>
      </c>
      <c r="C1185">
        <v>999097</v>
      </c>
      <c r="D1185" s="5" t="str">
        <f>_xlfn.XLOOKUP(role_course_map[[#This Row],[course_id]],course_data[course_id],course_data[title],"")</f>
        <v>Personal Wellbeing</v>
      </c>
      <c r="E1185" s="5" t="str">
        <f>_xlfn.XLOOKUP(role_course_map[[#This Row],[course_id]],course_data[course_id],course_data[topic],"")</f>
        <v>SAS: Staff development and experience</v>
      </c>
      <c r="F1185" s="5" t="str">
        <f>_xlfn.XLOOKUP(role_course_map[[#This Row],[course_id]],course_data[course_id],course_data[type],"")</f>
        <v>eLearning</v>
      </c>
      <c r="K1185" t="str">
        <f>role_course_map[[#This Row],[role_id]] &amp; "|" &amp; role_course_map[[#This Row],[course_id]]</f>
        <v>R0147|999097</v>
      </c>
      <c r="L1185" t="str">
        <f>IF(COUNTIF(role_course_map[mapping_key],role_course_map[[#This Row],[mapping_key]])&gt;1,"DUPLICATE","OK")</f>
        <v>OK</v>
      </c>
      <c r="M1185" t="str">
        <f>IF(COUNTIF(role_data[role_id],role_course_map[[#This Row],[role_id]])=0, "INVALID","VALID")</f>
        <v>VALID</v>
      </c>
      <c r="N1185" t="str">
        <f>IF(COUNTIF(course_data[course_id],role_course_map[[#This Row],[course_id]])=0, "INVALID","VALID")</f>
        <v>VALID</v>
      </c>
    </row>
    <row r="1186" spans="1:14" x14ac:dyDescent="0.35">
      <c r="A1186" t="s">
        <v>306</v>
      </c>
      <c r="B1186" s="5" t="str">
        <f>_xlfn.XLOOKUP(role_course_map[[#This Row],[role_id]], role_data[role_id], role_data[Role],"")</f>
        <v>Paediatric Consultant</v>
      </c>
      <c r="C1186">
        <v>79147</v>
      </c>
      <c r="D1186" s="5" t="str">
        <f>_xlfn.XLOOKUP(role_course_map[[#This Row],[course_id]],course_data[course_id],course_data[title],"")</f>
        <v>Driving risks at work</v>
      </c>
      <c r="E1186" s="5" t="str">
        <f>_xlfn.XLOOKUP(role_course_map[[#This Row],[course_id]],course_data[course_id],course_data[topic],"")</f>
        <v>SAS : Health and Safety</v>
      </c>
      <c r="F1186" s="5" t="str">
        <f>_xlfn.XLOOKUP(role_course_map[[#This Row],[course_id]],course_data[course_id],course_data[type],"")</f>
        <v>eLearning</v>
      </c>
      <c r="K1186" t="str">
        <f>role_course_map[[#This Row],[role_id]] &amp; "|" &amp; role_course_map[[#This Row],[course_id]]</f>
        <v>R0147|79147</v>
      </c>
      <c r="L1186" t="str">
        <f>IF(COUNTIF(role_course_map[mapping_key],role_course_map[[#This Row],[mapping_key]])&gt;1,"DUPLICATE","OK")</f>
        <v>OK</v>
      </c>
      <c r="M1186" t="str">
        <f>IF(COUNTIF(role_data[role_id],role_course_map[[#This Row],[role_id]])=0, "INVALID","VALID")</f>
        <v>VALID</v>
      </c>
      <c r="N1186" t="str">
        <f>IF(COUNTIF(course_data[course_id],role_course_map[[#This Row],[course_id]])=0, "INVALID","VALID")</f>
        <v>VALID</v>
      </c>
    </row>
    <row r="1187" spans="1:14" x14ac:dyDescent="0.35">
      <c r="A1187" t="s">
        <v>304</v>
      </c>
      <c r="B1187" s="5" t="str">
        <f>_xlfn.XLOOKUP(role_course_map[[#This Row],[role_id]], role_data[role_id], role_data[Role],"")</f>
        <v>Paediatric Advanced Nurse Practitioner</v>
      </c>
      <c r="C1187">
        <v>999060</v>
      </c>
      <c r="D1187" s="5" t="str">
        <f>_xlfn.XLOOKUP(role_course_map[[#This Row],[course_id]],course_data[course_id],course_data[title],"")</f>
        <v>COSHH</v>
      </c>
      <c r="E1187" s="5" t="str">
        <f>_xlfn.XLOOKUP(role_course_map[[#This Row],[course_id]],course_data[course_id],course_data[topic],"")</f>
        <v>SAS : Health and Safety</v>
      </c>
      <c r="F1187" s="5" t="str">
        <f>_xlfn.XLOOKUP(role_course_map[[#This Row],[course_id]],course_data[course_id],course_data[type],"")</f>
        <v>eLearning</v>
      </c>
      <c r="K1187" t="str">
        <f>role_course_map[[#This Row],[role_id]] &amp; "|" &amp; role_course_map[[#This Row],[course_id]]</f>
        <v>R0146|999060</v>
      </c>
      <c r="L1187" t="str">
        <f>IF(COUNTIF(role_course_map[mapping_key],role_course_map[[#This Row],[mapping_key]])&gt;1,"DUPLICATE","OK")</f>
        <v>OK</v>
      </c>
      <c r="M1187" t="str">
        <f>IF(COUNTIF(role_data[role_id],role_course_map[[#This Row],[role_id]])=0, "INVALID","VALID")</f>
        <v>VALID</v>
      </c>
      <c r="N1187" t="str">
        <f>IF(COUNTIF(course_data[course_id],role_course_map[[#This Row],[course_id]])=0, "INVALID","VALID")</f>
        <v>VALID</v>
      </c>
    </row>
    <row r="1188" spans="1:14" x14ac:dyDescent="0.35">
      <c r="A1188" t="s">
        <v>306</v>
      </c>
      <c r="B1188" s="5" t="str">
        <f>_xlfn.XLOOKUP(role_course_map[[#This Row],[role_id]], role_data[role_id], role_data[Role],"")</f>
        <v>Paediatric Consultant</v>
      </c>
      <c r="C1188">
        <v>999066</v>
      </c>
      <c r="D1188" s="5" t="str">
        <f>_xlfn.XLOOKUP(role_course_map[[#This Row],[course_id]],course_data[course_id],course_data[title],"")</f>
        <v>NRRD Update i.e. Major Incidents/Methane/ Multiple Casualities</v>
      </c>
      <c r="E1188" s="5" t="str">
        <f>_xlfn.XLOOKUP(role_course_map[[#This Row],[course_id]],course_data[course_id],course_data[topic],"")</f>
        <v>SAS : National Risk and Resilience Department (NRRD)</v>
      </c>
      <c r="F1188" s="5" t="str">
        <f>_xlfn.XLOOKUP(role_course_map[[#This Row],[course_id]],course_data[course_id],course_data[type],"")</f>
        <v>eLearning</v>
      </c>
      <c r="K1188" t="str">
        <f>role_course_map[[#This Row],[role_id]] &amp; "|" &amp; role_course_map[[#This Row],[course_id]]</f>
        <v>R0147|999066</v>
      </c>
      <c r="L1188" t="str">
        <f>IF(COUNTIF(role_course_map[mapping_key],role_course_map[[#This Row],[mapping_key]])&gt;1,"DUPLICATE","OK")</f>
        <v>OK</v>
      </c>
      <c r="M1188" t="str">
        <f>IF(COUNTIF(role_data[role_id],role_course_map[[#This Row],[role_id]])=0, "INVALID","VALID")</f>
        <v>VALID</v>
      </c>
      <c r="N1188" t="str">
        <f>IF(COUNTIF(course_data[course_id],role_course_map[[#This Row],[course_id]])=0, "INVALID","VALID")</f>
        <v>VALID</v>
      </c>
    </row>
    <row r="1189" spans="1:14" x14ac:dyDescent="0.35">
      <c r="A1189" t="s">
        <v>306</v>
      </c>
      <c r="B1189" s="5" t="str">
        <f>_xlfn.XLOOKUP(role_course_map[[#This Row],[role_id]], role_data[role_id], role_data[Role],"")</f>
        <v>Paediatric Consultant</v>
      </c>
      <c r="C1189">
        <v>999025</v>
      </c>
      <c r="D1189" s="5" t="str">
        <f>_xlfn.XLOOKUP(role_course_map[[#This Row],[course_id]],course_data[course_id],course_data[title],"")</f>
        <v>Professional Standards</v>
      </c>
      <c r="E1189" s="5" t="str">
        <f>_xlfn.XLOOKUP(role_course_map[[#This Row],[course_id]],course_data[course_id],course_data[topic],"")</f>
        <v>SAS : Clinical Practice</v>
      </c>
      <c r="F1189" s="5" t="str">
        <f>_xlfn.XLOOKUP(role_course_map[[#This Row],[course_id]],course_data[course_id],course_data[type],"")</f>
        <v>eLearning</v>
      </c>
      <c r="K1189" t="str">
        <f>role_course_map[[#This Row],[role_id]] &amp; "|" &amp; role_course_map[[#This Row],[course_id]]</f>
        <v>R0147|999025</v>
      </c>
      <c r="L1189" t="str">
        <f>IF(COUNTIF(role_course_map[mapping_key],role_course_map[[#This Row],[mapping_key]])&gt;1,"DUPLICATE","OK")</f>
        <v>OK</v>
      </c>
      <c r="M1189" t="str">
        <f>IF(COUNTIF(role_data[role_id],role_course_map[[#This Row],[role_id]])=0, "INVALID","VALID")</f>
        <v>VALID</v>
      </c>
      <c r="N1189" t="str">
        <f>IF(COUNTIF(course_data[course_id],role_course_map[[#This Row],[course_id]])=0, "INVALID","VALID")</f>
        <v>VALID</v>
      </c>
    </row>
    <row r="1190" spans="1:14" x14ac:dyDescent="0.35">
      <c r="A1190" t="s">
        <v>304</v>
      </c>
      <c r="B1190" s="5" t="str">
        <f>_xlfn.XLOOKUP(role_course_map[[#This Row],[role_id]], role_data[role_id], role_data[Role],"")</f>
        <v>Paediatric Advanced Nurse Practitioner</v>
      </c>
      <c r="C1190">
        <v>999026</v>
      </c>
      <c r="D1190" s="5" t="str">
        <f>_xlfn.XLOOKUP(role_course_map[[#This Row],[course_id]],course_data[course_id],course_data[title],"")</f>
        <v>Communication Standards</v>
      </c>
      <c r="E1190" s="5" t="str">
        <f>_xlfn.XLOOKUP(role_course_map[[#This Row],[course_id]],course_data[course_id],course_data[topic],"")</f>
        <v>SAS : Clinical Practice</v>
      </c>
      <c r="F1190" s="5" t="str">
        <f>_xlfn.XLOOKUP(role_course_map[[#This Row],[course_id]],course_data[course_id],course_data[type],"")</f>
        <v>eLearning</v>
      </c>
      <c r="K1190" t="str">
        <f>role_course_map[[#This Row],[role_id]] &amp; "|" &amp; role_course_map[[#This Row],[course_id]]</f>
        <v>R0146|999026</v>
      </c>
      <c r="L1190" t="str">
        <f>IF(COUNTIF(role_course_map[mapping_key],role_course_map[[#This Row],[mapping_key]])&gt;1,"DUPLICATE","OK")</f>
        <v>OK</v>
      </c>
      <c r="M1190" t="str">
        <f>IF(COUNTIF(role_data[role_id],role_course_map[[#This Row],[role_id]])=0, "INVALID","VALID")</f>
        <v>VALID</v>
      </c>
      <c r="N1190" t="str">
        <f>IF(COUNTIF(course_data[course_id],role_course_map[[#This Row],[course_id]])=0, "INVALID","VALID")</f>
        <v>VALID</v>
      </c>
    </row>
    <row r="1191" spans="1:14" x14ac:dyDescent="0.35">
      <c r="A1191" t="s">
        <v>306</v>
      </c>
      <c r="B1191" s="5" t="str">
        <f>_xlfn.XLOOKUP(role_course_map[[#This Row],[role_id]], role_data[role_id], role_data[Role],"")</f>
        <v>Paediatric Consultant</v>
      </c>
      <c r="C1191">
        <v>999058</v>
      </c>
      <c r="D1191" s="5" t="str">
        <f>_xlfn.XLOOKUP(role_course_map[[#This Row],[course_id]],course_data[course_id],course_data[title],"")</f>
        <v>Stress Identification &amp; Stress Management</v>
      </c>
      <c r="E1191" s="5" t="str">
        <f>_xlfn.XLOOKUP(role_course_map[[#This Row],[course_id]],course_data[course_id],course_data[topic],"")</f>
        <v>SAS : Health and Safety</v>
      </c>
      <c r="F1191" s="5" t="str">
        <f>_xlfn.XLOOKUP(role_course_map[[#This Row],[course_id]],course_data[course_id],course_data[type],"")</f>
        <v>eLearning</v>
      </c>
      <c r="K1191" t="str">
        <f>role_course_map[[#This Row],[role_id]] &amp; "|" &amp; role_course_map[[#This Row],[course_id]]</f>
        <v>R0147|999058</v>
      </c>
      <c r="L1191" t="str">
        <f>IF(COUNTIF(role_course_map[mapping_key],role_course_map[[#This Row],[mapping_key]])&gt;1,"DUPLICATE","OK")</f>
        <v>OK</v>
      </c>
      <c r="M1191" t="str">
        <f>IF(COUNTIF(role_data[role_id],role_course_map[[#This Row],[role_id]])=0, "INVALID","VALID")</f>
        <v>VALID</v>
      </c>
      <c r="N1191" t="str">
        <f>IF(COUNTIF(course_data[course_id],role_course_map[[#This Row],[course_id]])=0, "INVALID","VALID")</f>
        <v>VALID</v>
      </c>
    </row>
    <row r="1192" spans="1:14" x14ac:dyDescent="0.35">
      <c r="A1192" t="s">
        <v>304</v>
      </c>
      <c r="B1192" s="5" t="str">
        <f>_xlfn.XLOOKUP(role_course_map[[#This Row],[role_id]], role_data[role_id], role_data[Role],"")</f>
        <v>Paediatric Advanced Nurse Practitioner</v>
      </c>
      <c r="C1192">
        <v>999056</v>
      </c>
      <c r="D1192" s="5" t="str">
        <f>_xlfn.XLOOKUP(role_course_map[[#This Row],[course_id]],course_data[course_id],course_data[title],"")</f>
        <v>Driver Assessment &amp; Training</v>
      </c>
      <c r="E1192" s="5" t="str">
        <f>_xlfn.XLOOKUP(role_course_map[[#This Row],[course_id]],course_data[course_id],course_data[topic],"")</f>
        <v>SAS : Health and Safety</v>
      </c>
      <c r="F1192" s="5" t="str">
        <f>_xlfn.XLOOKUP(role_course_map[[#This Row],[course_id]],course_data[course_id],course_data[type],"")</f>
        <v>eLearning</v>
      </c>
      <c r="K1192" t="str">
        <f>role_course_map[[#This Row],[role_id]] &amp; "|" &amp; role_course_map[[#This Row],[course_id]]</f>
        <v>R0146|999056</v>
      </c>
      <c r="L1192" t="str">
        <f>IF(COUNTIF(role_course_map[mapping_key],role_course_map[[#This Row],[mapping_key]])&gt;1,"DUPLICATE","OK")</f>
        <v>OK</v>
      </c>
      <c r="M1192" t="str">
        <f>IF(COUNTIF(role_data[role_id],role_course_map[[#This Row],[role_id]])=0, "INVALID","VALID")</f>
        <v>VALID</v>
      </c>
      <c r="N1192" t="str">
        <f>IF(COUNTIF(course_data[course_id],role_course_map[[#This Row],[course_id]])=0, "INVALID","VALID")</f>
        <v>VALID</v>
      </c>
    </row>
    <row r="1193" spans="1:14" x14ac:dyDescent="0.35">
      <c r="A1193" t="s">
        <v>306</v>
      </c>
      <c r="B1193" s="5" t="str">
        <f>_xlfn.XLOOKUP(role_course_map[[#This Row],[role_id]], role_data[role_id], role_data[Role],"")</f>
        <v>Paediatric Consultant</v>
      </c>
      <c r="C1193">
        <v>999061</v>
      </c>
      <c r="D1193" s="5" t="str">
        <f>_xlfn.XLOOKUP(role_course_map[[#This Row],[course_id]],course_data[course_id],course_data[title],"")</f>
        <v>Skin Awareness</v>
      </c>
      <c r="E1193" s="5" t="str">
        <f>_xlfn.XLOOKUP(role_course_map[[#This Row],[course_id]],course_data[course_id],course_data[topic],"")</f>
        <v>SAS : Health and Safety</v>
      </c>
      <c r="F1193" s="5" t="str">
        <f>_xlfn.XLOOKUP(role_course_map[[#This Row],[course_id]],course_data[course_id],course_data[type],"")</f>
        <v>eLearning</v>
      </c>
      <c r="K1193" t="str">
        <f>role_course_map[[#This Row],[role_id]] &amp; "|" &amp; role_course_map[[#This Row],[course_id]]</f>
        <v>R0147|999061</v>
      </c>
      <c r="L1193" t="str">
        <f>IF(COUNTIF(role_course_map[mapping_key],role_course_map[[#This Row],[mapping_key]])&gt;1,"DUPLICATE","OK")</f>
        <v>OK</v>
      </c>
      <c r="M1193" t="str">
        <f>IF(COUNTIF(role_data[role_id],role_course_map[[#This Row],[role_id]])=0, "INVALID","VALID")</f>
        <v>VALID</v>
      </c>
      <c r="N1193" t="str">
        <f>IF(COUNTIF(course_data[course_id],role_course_map[[#This Row],[course_id]])=0, "INVALID","VALID")</f>
        <v>VALID</v>
      </c>
    </row>
    <row r="1194" spans="1:14" x14ac:dyDescent="0.35">
      <c r="A1194" t="s">
        <v>304</v>
      </c>
      <c r="B1194" s="5" t="str">
        <f>_xlfn.XLOOKUP(role_course_map[[#This Row],[role_id]], role_data[role_id], role_data[Role],"")</f>
        <v>Paediatric Advanced Nurse Practitioner</v>
      </c>
      <c r="C1194">
        <v>999057</v>
      </c>
      <c r="D1194" s="5" t="str">
        <f>_xlfn.XLOOKUP(role_course_map[[#This Row],[course_id]],course_data[course_id],course_data[title],"")</f>
        <v>Fatigue Awareness</v>
      </c>
      <c r="E1194" s="5" t="str">
        <f>_xlfn.XLOOKUP(role_course_map[[#This Row],[course_id]],course_data[course_id],course_data[topic],"")</f>
        <v>SAS : Health and Safety</v>
      </c>
      <c r="F1194" s="5" t="str">
        <f>_xlfn.XLOOKUP(role_course_map[[#This Row],[course_id]],course_data[course_id],course_data[type],"")</f>
        <v>eLearning</v>
      </c>
      <c r="K1194" t="str">
        <f>role_course_map[[#This Row],[role_id]] &amp; "|" &amp; role_course_map[[#This Row],[course_id]]</f>
        <v>R0146|999057</v>
      </c>
      <c r="L1194" t="str">
        <f>IF(COUNTIF(role_course_map[mapping_key],role_course_map[[#This Row],[mapping_key]])&gt;1,"DUPLICATE","OK")</f>
        <v>OK</v>
      </c>
      <c r="M1194" t="str">
        <f>IF(COUNTIF(role_data[role_id],role_course_map[[#This Row],[role_id]])=0, "INVALID","VALID")</f>
        <v>VALID</v>
      </c>
      <c r="N1194" t="str">
        <f>IF(COUNTIF(course_data[course_id],role_course_map[[#This Row],[course_id]])=0, "INVALID","VALID")</f>
        <v>VALID</v>
      </c>
    </row>
    <row r="1195" spans="1:14" x14ac:dyDescent="0.35">
      <c r="A1195" t="s">
        <v>306</v>
      </c>
      <c r="B1195" s="5" t="str">
        <f>_xlfn.XLOOKUP(role_course_map[[#This Row],[role_id]], role_data[role_id], role_data[Role],"")</f>
        <v>Paediatric Consultant</v>
      </c>
      <c r="C1195">
        <v>999027</v>
      </c>
      <c r="D1195" s="5" t="str">
        <f>_xlfn.XLOOKUP(role_course_map[[#This Row],[course_id]],course_data[course_id],course_data[title],"")</f>
        <v>Manual and Patient Handling Foundation Training - Level 2</v>
      </c>
      <c r="E1195" s="5" t="str">
        <f>_xlfn.XLOOKUP(role_course_map[[#This Row],[course_id]],course_data[course_id],course_data[topic],"")</f>
        <v>SAS : Clinical Practice</v>
      </c>
      <c r="F1195" s="5" t="str">
        <f>_xlfn.XLOOKUP(role_course_map[[#This Row],[course_id]],course_data[course_id],course_data[type],"")</f>
        <v>Course</v>
      </c>
      <c r="K1195" t="str">
        <f>role_course_map[[#This Row],[role_id]] &amp; "|" &amp; role_course_map[[#This Row],[course_id]]</f>
        <v>R0147|999027</v>
      </c>
      <c r="L1195" t="str">
        <f>IF(COUNTIF(role_course_map[mapping_key],role_course_map[[#This Row],[mapping_key]])&gt;1,"DUPLICATE","OK")</f>
        <v>OK</v>
      </c>
      <c r="M1195" t="str">
        <f>IF(COUNTIF(role_data[role_id],role_course_map[[#This Row],[role_id]])=0, "INVALID","VALID")</f>
        <v>VALID</v>
      </c>
      <c r="N1195" t="str">
        <f>IF(COUNTIF(course_data[course_id],role_course_map[[#This Row],[course_id]])=0, "INVALID","VALID")</f>
        <v>VALID</v>
      </c>
    </row>
    <row r="1196" spans="1:14" x14ac:dyDescent="0.35">
      <c r="A1196" t="s">
        <v>306</v>
      </c>
      <c r="B1196" s="5" t="str">
        <f>_xlfn.XLOOKUP(role_course_map[[#This Row],[role_id]], role_data[role_id], role_data[Role],"")</f>
        <v>Paediatric Consultant</v>
      </c>
      <c r="C1196">
        <v>999028</v>
      </c>
      <c r="D1196" s="5" t="str">
        <f>_xlfn.XLOOKUP(role_course_map[[#This Row],[course_id]],course_data[course_id],course_data[title],"")</f>
        <v>Manual and Patient Handling Competency Assessment - Level 3</v>
      </c>
      <c r="E1196" s="5" t="str">
        <f>_xlfn.XLOOKUP(role_course_map[[#This Row],[course_id]],course_data[course_id],course_data[topic],"")</f>
        <v>SAS : Clinical Practice</v>
      </c>
      <c r="F1196" s="5" t="str">
        <f>_xlfn.XLOOKUP(role_course_map[[#This Row],[course_id]],course_data[course_id],course_data[type],"")</f>
        <v>Course</v>
      </c>
      <c r="K1196" t="str">
        <f>role_course_map[[#This Row],[role_id]] &amp; "|" &amp; role_course_map[[#This Row],[course_id]]</f>
        <v>R0147|999028</v>
      </c>
      <c r="L1196" t="str">
        <f>IF(COUNTIF(role_course_map[mapping_key],role_course_map[[#This Row],[mapping_key]])&gt;1,"DUPLICATE","OK")</f>
        <v>OK</v>
      </c>
      <c r="M1196" t="str">
        <f>IF(COUNTIF(role_data[role_id],role_course_map[[#This Row],[role_id]])=0, "INVALID","VALID")</f>
        <v>VALID</v>
      </c>
      <c r="N1196" t="str">
        <f>IF(COUNTIF(course_data[course_id],role_course_map[[#This Row],[course_id]])=0, "INVALID","VALID")</f>
        <v>VALID</v>
      </c>
    </row>
    <row r="1197" spans="1:14" x14ac:dyDescent="0.35">
      <c r="A1197" t="s">
        <v>306</v>
      </c>
      <c r="B1197" s="5" t="str">
        <f>_xlfn.XLOOKUP(role_course_map[[#This Row],[role_id]], role_data[role_id], role_data[Role],"")</f>
        <v>Paediatric Consultant</v>
      </c>
      <c r="C1197">
        <v>999029</v>
      </c>
      <c r="D1197" s="5" t="str">
        <f>_xlfn.XLOOKUP(role_course_map[[#This Row],[course_id]],course_data[course_id],course_data[title],"")</f>
        <v>Manual and Patient Handling Competency Assessment Theory - Level 3</v>
      </c>
      <c r="E1197" s="5" t="str">
        <f>_xlfn.XLOOKUP(role_course_map[[#This Row],[course_id]],course_data[course_id],course_data[topic],"")</f>
        <v>SAS : Clinical Practice</v>
      </c>
      <c r="F1197" s="5" t="str">
        <f>_xlfn.XLOOKUP(role_course_map[[#This Row],[course_id]],course_data[course_id],course_data[type],"")</f>
        <v>Course</v>
      </c>
      <c r="K1197" t="str">
        <f>role_course_map[[#This Row],[role_id]] &amp; "|" &amp; role_course_map[[#This Row],[course_id]]</f>
        <v>R0147|999029</v>
      </c>
      <c r="L1197" t="str">
        <f>IF(COUNTIF(role_course_map[mapping_key],role_course_map[[#This Row],[mapping_key]])&gt;1,"DUPLICATE","OK")</f>
        <v>OK</v>
      </c>
      <c r="M1197" t="str">
        <f>IF(COUNTIF(role_data[role_id],role_course_map[[#This Row],[role_id]])=0, "INVALID","VALID")</f>
        <v>VALID</v>
      </c>
      <c r="N1197" t="str">
        <f>IF(COUNTIF(course_data[course_id],role_course_map[[#This Row],[course_id]])=0, "INVALID","VALID")</f>
        <v>VALID</v>
      </c>
    </row>
    <row r="1198" spans="1:14" x14ac:dyDescent="0.35">
      <c r="A1198" t="s">
        <v>306</v>
      </c>
      <c r="B1198" s="5" t="str">
        <f>_xlfn.XLOOKUP(role_course_map[[#This Row],[role_id]], role_data[role_id], role_data[Role],"")</f>
        <v>Paediatric Consultant</v>
      </c>
      <c r="C1198" t="s">
        <v>659</v>
      </c>
      <c r="D1198" s="5" t="str">
        <f>_xlfn.XLOOKUP(role_course_map[[#This Row],[course_id]],course_data[course_id],course_data[title],"")</f>
        <v>Prevention and Management of Violence and Aggression - Breakaway training Level 2 /Restrictive movement Level 3</v>
      </c>
      <c r="E1198" s="5" t="str">
        <f>_xlfn.XLOOKUP(role_course_map[[#This Row],[course_id]],course_data[course_id],course_data[topic],"")</f>
        <v>SAS : Health and Safety</v>
      </c>
      <c r="F1198" s="5" t="str">
        <f>_xlfn.XLOOKUP(role_course_map[[#This Row],[course_id]],course_data[course_id],course_data[type],"")</f>
        <v>Course</v>
      </c>
      <c r="K1198" t="str">
        <f>role_course_map[[#This Row],[role_id]] &amp; "|" &amp; role_course_map[[#This Row],[course_id]]</f>
        <v>R0147|2025-6 edition</v>
      </c>
      <c r="L1198" t="str">
        <f>IF(COUNTIF(role_course_map[mapping_key],role_course_map[[#This Row],[mapping_key]])&gt;1,"DUPLICATE","OK")</f>
        <v>OK</v>
      </c>
      <c r="M1198" t="str">
        <f>IF(COUNTIF(role_data[role_id],role_course_map[[#This Row],[role_id]])=0, "INVALID","VALID")</f>
        <v>VALID</v>
      </c>
      <c r="N1198" t="str">
        <f>IF(COUNTIF(course_data[course_id],role_course_map[[#This Row],[course_id]])=0, "INVALID","VALID")</f>
        <v>VALID</v>
      </c>
    </row>
    <row r="1199" spans="1:14" x14ac:dyDescent="0.35">
      <c r="A1199" t="s">
        <v>306</v>
      </c>
      <c r="B1199" s="5" t="str">
        <f>_xlfn.XLOOKUP(role_course_map[[#This Row],[role_id]], role_data[role_id], role_data[Role],"")</f>
        <v>Paediatric Consultant</v>
      </c>
      <c r="C1199">
        <v>999055</v>
      </c>
      <c r="D1199" s="5" t="str">
        <f>_xlfn.XLOOKUP(role_course_map[[#This Row],[course_id]],course_data[course_id],course_data[title],"")</f>
        <v>Prevention and Management of Violence and Aggression - Refresher</v>
      </c>
      <c r="E1199" s="5" t="str">
        <f>_xlfn.XLOOKUP(role_course_map[[#This Row],[course_id]],course_data[course_id],course_data[topic],"")</f>
        <v>SAS : Health and Safety</v>
      </c>
      <c r="F1199" s="5" t="str">
        <f>_xlfn.XLOOKUP(role_course_map[[#This Row],[course_id]],course_data[course_id],course_data[type],"")</f>
        <v>Course</v>
      </c>
      <c r="K1199" t="str">
        <f>role_course_map[[#This Row],[role_id]] &amp; "|" &amp; role_course_map[[#This Row],[course_id]]</f>
        <v>R0147|999055</v>
      </c>
      <c r="L1199" t="str">
        <f>IF(COUNTIF(role_course_map[mapping_key],role_course_map[[#This Row],[mapping_key]])&gt;1,"DUPLICATE","OK")</f>
        <v>OK</v>
      </c>
      <c r="M1199" t="str">
        <f>IF(COUNTIF(role_data[role_id],role_course_map[[#This Row],[role_id]])=0, "INVALID","VALID")</f>
        <v>VALID</v>
      </c>
      <c r="N1199" t="str">
        <f>IF(COUNTIF(course_data[course_id],role_course_map[[#This Row],[course_id]])=0, "INVALID","VALID")</f>
        <v>VALID</v>
      </c>
    </row>
    <row r="1200" spans="1:14" x14ac:dyDescent="0.35">
      <c r="A1200" t="s">
        <v>306</v>
      </c>
      <c r="B1200" s="5" t="str">
        <f>_xlfn.XLOOKUP(role_course_map[[#This Row],[role_id]], role_data[role_id], role_data[Role],"")</f>
        <v>Paediatric Consultant</v>
      </c>
      <c r="C1200">
        <v>64322</v>
      </c>
      <c r="D1200" s="5" t="str">
        <f>_xlfn.XLOOKUP(role_course_map[[#This Row],[course_id]],course_data[course_id],course_data[title],"")</f>
        <v>Adult support and protection: practice level 2 [skilled]</v>
      </c>
      <c r="E1200" s="5" t="str">
        <f>_xlfn.XLOOKUP(role_course_map[[#This Row],[course_id]],course_data[course_id],course_data[topic],"")</f>
        <v>SAS : Public Protection</v>
      </c>
      <c r="F1200" s="5" t="str">
        <f>_xlfn.XLOOKUP(role_course_map[[#This Row],[course_id]],course_data[course_id],course_data[type],"")</f>
        <v>eLearning</v>
      </c>
      <c r="K1200" t="str">
        <f>role_course_map[[#This Row],[role_id]] &amp; "|" &amp; role_course_map[[#This Row],[course_id]]</f>
        <v>R0147|64322</v>
      </c>
      <c r="L1200" t="str">
        <f>IF(COUNTIF(role_course_map[mapping_key],role_course_map[[#This Row],[mapping_key]])&gt;1,"DUPLICATE","OK")</f>
        <v>OK</v>
      </c>
      <c r="M1200" t="str">
        <f>IF(COUNTIF(role_data[role_id],role_course_map[[#This Row],[role_id]])=0, "INVALID","VALID")</f>
        <v>VALID</v>
      </c>
      <c r="N1200" t="str">
        <f>IF(COUNTIF(course_data[course_id],role_course_map[[#This Row],[course_id]])=0, "INVALID","VALID")</f>
        <v>VALID</v>
      </c>
    </row>
    <row r="1201" spans="1:14" x14ac:dyDescent="0.35">
      <c r="A1201" t="s">
        <v>306</v>
      </c>
      <c r="B1201" s="5" t="str">
        <f>_xlfn.XLOOKUP(role_course_map[[#This Row],[role_id]], role_data[role_id], role_data[Role],"")</f>
        <v>Paediatric Consultant</v>
      </c>
      <c r="C1201">
        <v>64324</v>
      </c>
      <c r="D1201" s="5" t="str">
        <f>_xlfn.XLOOKUP(role_course_map[[#This Row],[course_id]],course_data[course_id],course_data[title],"")</f>
        <v>Child protection: practice level 2 [skilled]</v>
      </c>
      <c r="E1201" s="5" t="str">
        <f>_xlfn.XLOOKUP(role_course_map[[#This Row],[course_id]],course_data[course_id],course_data[topic],"")</f>
        <v>SAS : Public Protection</v>
      </c>
      <c r="F1201" s="5" t="str">
        <f>_xlfn.XLOOKUP(role_course_map[[#This Row],[course_id]],course_data[course_id],course_data[type],"")</f>
        <v>eLearning</v>
      </c>
      <c r="K1201" t="str">
        <f>role_course_map[[#This Row],[role_id]] &amp; "|" &amp; role_course_map[[#This Row],[course_id]]</f>
        <v>R0147|64324</v>
      </c>
      <c r="L1201" t="str">
        <f>IF(COUNTIF(role_course_map[mapping_key],role_course_map[[#This Row],[mapping_key]])&gt;1,"DUPLICATE","OK")</f>
        <v>OK</v>
      </c>
      <c r="M1201" t="str">
        <f>IF(COUNTIF(role_data[role_id],role_course_map[[#This Row],[role_id]])=0, "INVALID","VALID")</f>
        <v>VALID</v>
      </c>
      <c r="N1201" t="str">
        <f>IF(COUNTIF(course_data[course_id],role_course_map[[#This Row],[course_id]])=0, "INVALID","VALID")</f>
        <v>VALID</v>
      </c>
    </row>
    <row r="1202" spans="1:14" x14ac:dyDescent="0.35">
      <c r="A1202" t="s">
        <v>304</v>
      </c>
      <c r="B1202" s="5" t="str">
        <f>_xlfn.XLOOKUP(role_course_map[[#This Row],[role_id]], role_data[role_id], role_data[Role],"")</f>
        <v>Paediatric Advanced Nurse Practitioner</v>
      </c>
      <c r="C1202">
        <v>76716</v>
      </c>
      <c r="D1202" s="5" t="str">
        <f>_xlfn.XLOOKUP(role_course_map[[#This Row],[course_id]],course_data[course_id],course_data[title],"")</f>
        <v>Domestic abuse awareness training tool (DAART)</v>
      </c>
      <c r="E1202" s="5" t="str">
        <f>_xlfn.XLOOKUP(role_course_map[[#This Row],[course_id]],course_data[course_id],course_data[topic],"")</f>
        <v>SAS : Public Protection</v>
      </c>
      <c r="F1202" s="5" t="str">
        <f>_xlfn.XLOOKUP(role_course_map[[#This Row],[course_id]],course_data[course_id],course_data[type],"")</f>
        <v>eLearning</v>
      </c>
      <c r="K1202" t="str">
        <f>role_course_map[[#This Row],[role_id]] &amp; "|" &amp; role_course_map[[#This Row],[course_id]]</f>
        <v>R0146|76716</v>
      </c>
      <c r="L1202" t="str">
        <f>IF(COUNTIF(role_course_map[mapping_key],role_course_map[[#This Row],[mapping_key]])&gt;1,"DUPLICATE","OK")</f>
        <v>OK</v>
      </c>
      <c r="M1202" t="str">
        <f>IF(COUNTIF(role_data[role_id],role_course_map[[#This Row],[role_id]])=0, "INVALID","VALID")</f>
        <v>VALID</v>
      </c>
      <c r="N1202" t="str">
        <f>IF(COUNTIF(course_data[course_id],role_course_map[[#This Row],[course_id]])=0, "INVALID","VALID")</f>
        <v>VALID</v>
      </c>
    </row>
    <row r="1203" spans="1:14" x14ac:dyDescent="0.35">
      <c r="A1203" t="s">
        <v>306</v>
      </c>
      <c r="B1203" s="5" t="str">
        <f>_xlfn.XLOOKUP(role_course_map[[#This Row],[role_id]], role_data[role_id], role_data[Role],"")</f>
        <v>Paediatric Consultant</v>
      </c>
      <c r="C1203">
        <v>79666</v>
      </c>
      <c r="D1203" s="5" t="str">
        <f>_xlfn.XLOOKUP(role_course_map[[#This Row],[course_id]],course_data[course_id],course_data[title],"")</f>
        <v>Getting it right for every child (GIRFEC): informed level</v>
      </c>
      <c r="E1203" s="5" t="str">
        <f>_xlfn.XLOOKUP(role_course_map[[#This Row],[course_id]],course_data[course_id],course_data[topic],"")</f>
        <v>SAS : Public Protection</v>
      </c>
      <c r="F1203" s="5" t="str">
        <f>_xlfn.XLOOKUP(role_course_map[[#This Row],[course_id]],course_data[course_id],course_data[type],"")</f>
        <v>eLearning</v>
      </c>
      <c r="K1203" t="str">
        <f>role_course_map[[#This Row],[role_id]] &amp; "|" &amp; role_course_map[[#This Row],[course_id]]</f>
        <v>R0147|79666</v>
      </c>
      <c r="L1203" t="str">
        <f>IF(COUNTIF(role_course_map[mapping_key],role_course_map[[#This Row],[mapping_key]])&gt;1,"DUPLICATE","OK")</f>
        <v>OK</v>
      </c>
      <c r="M1203" t="str">
        <f>IF(COUNTIF(role_data[role_id],role_course_map[[#This Row],[role_id]])=0, "INVALID","VALID")</f>
        <v>VALID</v>
      </c>
      <c r="N1203" t="str">
        <f>IF(COUNTIF(course_data[course_id],role_course_map[[#This Row],[course_id]])=0, "INVALID","VALID")</f>
        <v>VALID</v>
      </c>
    </row>
    <row r="1204" spans="1:14" x14ac:dyDescent="0.35">
      <c r="A1204" t="s">
        <v>306</v>
      </c>
      <c r="B1204" s="5" t="str">
        <f>_xlfn.XLOOKUP(role_course_map[[#This Row],[role_id]], role_data[role_id], role_data[Role],"")</f>
        <v>Paediatric Consultant</v>
      </c>
      <c r="C1204">
        <v>999074</v>
      </c>
      <c r="D1204" s="5" t="str">
        <f>_xlfn.XLOOKUP(role_course_map[[#This Row],[course_id]],course_data[course_id],course_data[title],"")</f>
        <v>SAS-specific Children’s rights</v>
      </c>
      <c r="E1204" s="5" t="str">
        <f>_xlfn.XLOOKUP(role_course_map[[#This Row],[course_id]],course_data[course_id],course_data[topic],"")</f>
        <v>SAS : Public Protection</v>
      </c>
      <c r="F1204" s="5" t="str">
        <f>_xlfn.XLOOKUP(role_course_map[[#This Row],[course_id]],course_data[course_id],course_data[type],"")</f>
        <v>eLearning</v>
      </c>
      <c r="K1204" t="str">
        <f>role_course_map[[#This Row],[role_id]] &amp; "|" &amp; role_course_map[[#This Row],[course_id]]</f>
        <v>R0147|999074</v>
      </c>
      <c r="L1204" t="str">
        <f>IF(COUNTIF(role_course_map[mapping_key],role_course_map[[#This Row],[mapping_key]])&gt;1,"DUPLICATE","OK")</f>
        <v>OK</v>
      </c>
      <c r="M1204" t="str">
        <f>IF(COUNTIF(role_data[role_id],role_course_map[[#This Row],[role_id]])=0, "INVALID","VALID")</f>
        <v>VALID</v>
      </c>
      <c r="N1204" t="str">
        <f>IF(COUNTIF(course_data[course_id],role_course_map[[#This Row],[course_id]])=0, "INVALID","VALID")</f>
        <v>VALID</v>
      </c>
    </row>
    <row r="1205" spans="1:14" x14ac:dyDescent="0.35">
      <c r="A1205" t="s">
        <v>306</v>
      </c>
      <c r="B1205" s="5" t="str">
        <f>_xlfn.XLOOKUP(role_course_map[[#This Row],[role_id]], role_data[role_id], role_data[Role],"")</f>
        <v>Paediatric Consultant</v>
      </c>
      <c r="C1205">
        <v>999075</v>
      </c>
      <c r="D1205" s="5" t="str">
        <f>_xlfn.XLOOKUP(role_course_map[[#This Row],[course_id]],course_data[course_id],course_data[title],"")</f>
        <v>Multiagency local or bespoke Level 3 delivery training</v>
      </c>
      <c r="E1205" s="5" t="str">
        <f>_xlfn.XLOOKUP(role_course_map[[#This Row],[course_id]],course_data[course_id],course_data[topic],"")</f>
        <v>SAS : Public Protection</v>
      </c>
      <c r="F1205" s="5" t="str">
        <f>_xlfn.XLOOKUP(role_course_map[[#This Row],[course_id]],course_data[course_id],course_data[type],"")</f>
        <v>eLearning</v>
      </c>
      <c r="K1205" t="str">
        <f>role_course_map[[#This Row],[role_id]] &amp; "|" &amp; role_course_map[[#This Row],[course_id]]</f>
        <v>R0147|999075</v>
      </c>
      <c r="L1205" t="str">
        <f>IF(COUNTIF(role_course_map[mapping_key],role_course_map[[#This Row],[mapping_key]])&gt;1,"DUPLICATE","OK")</f>
        <v>OK</v>
      </c>
      <c r="M1205" t="str">
        <f>IF(COUNTIF(role_data[role_id],role_course_map[[#This Row],[role_id]])=0, "INVALID","VALID")</f>
        <v>VALID</v>
      </c>
      <c r="N1205" t="str">
        <f>IF(COUNTIF(course_data[course_id],role_course_map[[#This Row],[course_id]])=0, "INVALID","VALID")</f>
        <v>VALID</v>
      </c>
    </row>
    <row r="1206" spans="1:14" x14ac:dyDescent="0.35">
      <c r="A1206" t="s">
        <v>306</v>
      </c>
      <c r="B1206" s="5" t="str">
        <f>_xlfn.XLOOKUP(role_course_map[[#This Row],[role_id]], role_data[role_id], role_data[Role],"")</f>
        <v>Paediatric Consultant</v>
      </c>
      <c r="C1206">
        <v>15249</v>
      </c>
      <c r="D1206" s="5" t="str">
        <f>_xlfn.XLOOKUP(role_course_map[[#This Row],[course_id]],course_data[course_id],course_data[title],"")</f>
        <v>Human trafficking</v>
      </c>
      <c r="E1206" s="5" t="str">
        <f>_xlfn.XLOOKUP(role_course_map[[#This Row],[course_id]],course_data[course_id],course_data[topic],"")</f>
        <v>SAS : Public Protection</v>
      </c>
      <c r="F1206" s="5" t="str">
        <f>_xlfn.XLOOKUP(role_course_map[[#This Row],[course_id]],course_data[course_id],course_data[type],"")</f>
        <v>eLearning</v>
      </c>
      <c r="K1206" t="str">
        <f>role_course_map[[#This Row],[role_id]] &amp; "|" &amp; role_course_map[[#This Row],[course_id]]</f>
        <v>R0147|15249</v>
      </c>
      <c r="L1206" t="str">
        <f>IF(COUNTIF(role_course_map[mapping_key],role_course_map[[#This Row],[mapping_key]])&gt;1,"DUPLICATE","OK")</f>
        <v>OK</v>
      </c>
      <c r="M1206" t="str">
        <f>IF(COUNTIF(role_data[role_id],role_course_map[[#This Row],[role_id]])=0, "INVALID","VALID")</f>
        <v>VALID</v>
      </c>
      <c r="N1206" t="str">
        <f>IF(COUNTIF(course_data[course_id],role_course_map[[#This Row],[course_id]])=0, "INVALID","VALID")</f>
        <v>VALID</v>
      </c>
    </row>
    <row r="1207" spans="1:14" x14ac:dyDescent="0.35">
      <c r="A1207" t="s">
        <v>306</v>
      </c>
      <c r="B1207" s="5" t="str">
        <f>_xlfn.XLOOKUP(role_course_map[[#This Row],[role_id]], role_data[role_id], role_data[Role],"")</f>
        <v>Paediatric Consultant</v>
      </c>
      <c r="C1207">
        <v>89161</v>
      </c>
      <c r="D1207" s="5" t="str">
        <f>_xlfn.XLOOKUP(role_course_map[[#This Row],[course_id]],course_data[course_id],course_data[title],"")</f>
        <v>Personal Protective Equipment</v>
      </c>
      <c r="E1207" s="5" t="str">
        <f>_xlfn.XLOOKUP(role_course_map[[#This Row],[course_id]],course_data[course_id],course_data[topic],"")</f>
        <v>SAS : Infection Prevention and Control (IPC)</v>
      </c>
      <c r="F1207" s="5" t="str">
        <f>_xlfn.XLOOKUP(role_course_map[[#This Row],[course_id]],course_data[course_id],course_data[type],"")</f>
        <v>eLearning</v>
      </c>
      <c r="K1207" t="str">
        <f>role_course_map[[#This Row],[role_id]] &amp; "|" &amp; role_course_map[[#This Row],[course_id]]</f>
        <v>R0147|89161</v>
      </c>
      <c r="L1207" t="str">
        <f>IF(COUNTIF(role_course_map[mapping_key],role_course_map[[#This Row],[mapping_key]])&gt;1,"DUPLICATE","OK")</f>
        <v>OK</v>
      </c>
      <c r="M1207" t="str">
        <f>IF(COUNTIF(role_data[role_id],role_course_map[[#This Row],[role_id]])=0, "INVALID","VALID")</f>
        <v>VALID</v>
      </c>
      <c r="N1207" t="str">
        <f>IF(COUNTIF(course_data[course_id],role_course_map[[#This Row],[course_id]])=0, "INVALID","VALID")</f>
        <v>VALID</v>
      </c>
    </row>
    <row r="1208" spans="1:14" x14ac:dyDescent="0.35">
      <c r="A1208" t="s">
        <v>306</v>
      </c>
      <c r="B1208" s="5" t="str">
        <f>_xlfn.XLOOKUP(role_course_map[[#This Row],[role_id]], role_data[role_id], role_data[Role],"")</f>
        <v>Paediatric Consultant</v>
      </c>
      <c r="C1208">
        <v>89157</v>
      </c>
      <c r="D1208" s="5" t="str">
        <f>_xlfn.XLOOKUP(role_course_map[[#This Row],[course_id]],course_data[course_id],course_data[title],"")</f>
        <v>Safe Management of Care Equipment</v>
      </c>
      <c r="E1208" s="5" t="str">
        <f>_xlfn.XLOOKUP(role_course_map[[#This Row],[course_id]],course_data[course_id],course_data[topic],"")</f>
        <v>SAS : Infection Prevention and Control (IPC)</v>
      </c>
      <c r="F1208" s="5" t="str">
        <f>_xlfn.XLOOKUP(role_course_map[[#This Row],[course_id]],course_data[course_id],course_data[type],"")</f>
        <v>eLearning</v>
      </c>
      <c r="K1208" t="str">
        <f>role_course_map[[#This Row],[role_id]] &amp; "|" &amp; role_course_map[[#This Row],[course_id]]</f>
        <v>R0147|89157</v>
      </c>
      <c r="L1208" t="str">
        <f>IF(COUNTIF(role_course_map[mapping_key],role_course_map[[#This Row],[mapping_key]])&gt;1,"DUPLICATE","OK")</f>
        <v>OK</v>
      </c>
      <c r="M1208" t="str">
        <f>IF(COUNTIF(role_data[role_id],role_course_map[[#This Row],[role_id]])=0, "INVALID","VALID")</f>
        <v>VALID</v>
      </c>
      <c r="N1208" t="str">
        <f>IF(COUNTIF(course_data[course_id],role_course_map[[#This Row],[course_id]])=0, "INVALID","VALID")</f>
        <v>VALID</v>
      </c>
    </row>
    <row r="1209" spans="1:14" x14ac:dyDescent="0.35">
      <c r="A1209" t="s">
        <v>306</v>
      </c>
      <c r="B1209" s="5" t="str">
        <f>_xlfn.XLOOKUP(role_course_map[[#This Row],[role_id]], role_data[role_id], role_data[Role],"")</f>
        <v>Paediatric Consultant</v>
      </c>
      <c r="C1209">
        <v>89158</v>
      </c>
      <c r="D1209" s="5" t="str">
        <f>_xlfn.XLOOKUP(role_course_map[[#This Row],[course_id]],course_data[course_id],course_data[title],"")</f>
        <v>Safe Management of Care Environment</v>
      </c>
      <c r="E1209" s="5" t="str">
        <f>_xlfn.XLOOKUP(role_course_map[[#This Row],[course_id]],course_data[course_id],course_data[topic],"")</f>
        <v>SAS : Infection Prevention and Control (IPC)</v>
      </c>
      <c r="F1209" s="5" t="str">
        <f>_xlfn.XLOOKUP(role_course_map[[#This Row],[course_id]],course_data[course_id],course_data[type],"")</f>
        <v>eLearning</v>
      </c>
      <c r="K1209" t="str">
        <f>role_course_map[[#This Row],[role_id]] &amp; "|" &amp; role_course_map[[#This Row],[course_id]]</f>
        <v>R0147|89158</v>
      </c>
      <c r="L1209" t="str">
        <f>IF(COUNTIF(role_course_map[mapping_key],role_course_map[[#This Row],[mapping_key]])&gt;1,"DUPLICATE","OK")</f>
        <v>OK</v>
      </c>
      <c r="M1209" t="str">
        <f>IF(COUNTIF(role_data[role_id],role_course_map[[#This Row],[role_id]])=0, "INVALID","VALID")</f>
        <v>VALID</v>
      </c>
      <c r="N1209" t="str">
        <f>IF(COUNTIF(course_data[course_id],role_course_map[[#This Row],[course_id]])=0, "INVALID","VALID")</f>
        <v>VALID</v>
      </c>
    </row>
    <row r="1210" spans="1:14" x14ac:dyDescent="0.35">
      <c r="A1210" t="s">
        <v>306</v>
      </c>
      <c r="B1210" s="5" t="str">
        <f>_xlfn.XLOOKUP(role_course_map[[#This Row],[role_id]], role_data[role_id], role_data[Role],"")</f>
        <v>Paediatric Consultant</v>
      </c>
      <c r="C1210">
        <v>89159</v>
      </c>
      <c r="D1210" s="5" t="str">
        <f>_xlfn.XLOOKUP(role_course_map[[#This Row],[course_id]],course_data[course_id],course_data[title],"")</f>
        <v>Safe Management of Linen</v>
      </c>
      <c r="E1210" s="5" t="str">
        <f>_xlfn.XLOOKUP(role_course_map[[#This Row],[course_id]],course_data[course_id],course_data[topic],"")</f>
        <v>SAS : Infection Prevention and Control (IPC)</v>
      </c>
      <c r="F1210" s="5" t="str">
        <f>_xlfn.XLOOKUP(role_course_map[[#This Row],[course_id]],course_data[course_id],course_data[type],"")</f>
        <v>eLearning</v>
      </c>
      <c r="K1210" t="str">
        <f>role_course_map[[#This Row],[role_id]] &amp; "|" &amp; role_course_map[[#This Row],[course_id]]</f>
        <v>R0147|89159</v>
      </c>
      <c r="L1210" t="str">
        <f>IF(COUNTIF(role_course_map[mapping_key],role_course_map[[#This Row],[mapping_key]])&gt;1,"DUPLICATE","OK")</f>
        <v>OK</v>
      </c>
      <c r="M1210" t="str">
        <f>IF(COUNTIF(role_data[role_id],role_course_map[[#This Row],[role_id]])=0, "INVALID","VALID")</f>
        <v>VALID</v>
      </c>
      <c r="N1210" t="str">
        <f>IF(COUNTIF(course_data[course_id],role_course_map[[#This Row],[course_id]])=0, "INVALID","VALID")</f>
        <v>VALID</v>
      </c>
    </row>
    <row r="1211" spans="1:14" x14ac:dyDescent="0.35">
      <c r="A1211" t="s">
        <v>306</v>
      </c>
      <c r="B1211" s="5" t="str">
        <f>_xlfn.XLOOKUP(role_course_map[[#This Row],[role_id]], role_data[role_id], role_data[Role],"")</f>
        <v>Paediatric Consultant</v>
      </c>
      <c r="C1211">
        <v>89160</v>
      </c>
      <c r="D1211" s="5" t="str">
        <f>_xlfn.XLOOKUP(role_course_map[[#This Row],[course_id]],course_data[course_id],course_data[title],"")</f>
        <v>Safe Management of blood and body fluids</v>
      </c>
      <c r="E1211" s="5" t="str">
        <f>_xlfn.XLOOKUP(role_course_map[[#This Row],[course_id]],course_data[course_id],course_data[topic],"")</f>
        <v>SAS : Infection Prevention and Control (IPC)</v>
      </c>
      <c r="F1211" s="5" t="str">
        <f>_xlfn.XLOOKUP(role_course_map[[#This Row],[course_id]],course_data[course_id],course_data[type],"")</f>
        <v>eLearning</v>
      </c>
      <c r="K1211" t="str">
        <f>role_course_map[[#This Row],[role_id]] &amp; "|" &amp; role_course_map[[#This Row],[course_id]]</f>
        <v>R0147|89160</v>
      </c>
      <c r="L1211" t="str">
        <f>IF(COUNTIF(role_course_map[mapping_key],role_course_map[[#This Row],[mapping_key]])&gt;1,"DUPLICATE","OK")</f>
        <v>OK</v>
      </c>
      <c r="M1211" t="str">
        <f>IF(COUNTIF(role_data[role_id],role_course_map[[#This Row],[role_id]])=0, "INVALID","VALID")</f>
        <v>VALID</v>
      </c>
      <c r="N1211" t="str">
        <f>IF(COUNTIF(course_data[course_id],role_course_map[[#This Row],[course_id]])=0, "INVALID","VALID")</f>
        <v>VALID</v>
      </c>
    </row>
    <row r="1212" spans="1:14" x14ac:dyDescent="0.35">
      <c r="A1212" t="s">
        <v>306</v>
      </c>
      <c r="B1212" s="5" t="str">
        <f>_xlfn.XLOOKUP(role_course_map[[#This Row],[role_id]], role_data[role_id], role_data[Role],"")</f>
        <v>Paediatric Consultant</v>
      </c>
      <c r="C1212">
        <v>89154</v>
      </c>
      <c r="D1212" s="5" t="str">
        <f>_xlfn.XLOOKUP(role_course_map[[#This Row],[course_id]],course_data[course_id],course_data[title],"")</f>
        <v>Safe disposal of waste</v>
      </c>
      <c r="E1212" s="5" t="str">
        <f>_xlfn.XLOOKUP(role_course_map[[#This Row],[course_id]],course_data[course_id],course_data[topic],"")</f>
        <v>SAS : Infection Prevention and Control (IPC)</v>
      </c>
      <c r="F1212" s="5" t="str">
        <f>_xlfn.XLOOKUP(role_course_map[[#This Row],[course_id]],course_data[course_id],course_data[type],"")</f>
        <v>eLearning</v>
      </c>
      <c r="K1212" t="str">
        <f>role_course_map[[#This Row],[role_id]] &amp; "|" &amp; role_course_map[[#This Row],[course_id]]</f>
        <v>R0147|89154</v>
      </c>
      <c r="L1212" t="str">
        <f>IF(COUNTIF(role_course_map[mapping_key],role_course_map[[#This Row],[mapping_key]])&gt;1,"DUPLICATE","OK")</f>
        <v>OK</v>
      </c>
      <c r="M1212" t="str">
        <f>IF(COUNTIF(role_data[role_id],role_course_map[[#This Row],[role_id]])=0, "INVALID","VALID")</f>
        <v>VALID</v>
      </c>
      <c r="N1212" t="str">
        <f>IF(COUNTIF(course_data[course_id],role_course_map[[#This Row],[course_id]])=0, "INVALID","VALID")</f>
        <v>VALID</v>
      </c>
    </row>
    <row r="1213" spans="1:14" x14ac:dyDescent="0.35">
      <c r="A1213" t="s">
        <v>306</v>
      </c>
      <c r="B1213" s="5" t="str">
        <f>_xlfn.XLOOKUP(role_course_map[[#This Row],[role_id]], role_data[role_id], role_data[Role],"")</f>
        <v>Paediatric Consultant</v>
      </c>
      <c r="C1213">
        <v>89155</v>
      </c>
      <c r="D1213" s="5" t="str">
        <f>_xlfn.XLOOKUP(role_course_map[[#This Row],[course_id]],course_data[course_id],course_data[title],"")</f>
        <v>Prevention &amp; management of occupational exposure</v>
      </c>
      <c r="E1213" s="5" t="str">
        <f>_xlfn.XLOOKUP(role_course_map[[#This Row],[course_id]],course_data[course_id],course_data[topic],"")</f>
        <v>SAS : Infection Prevention and Control (IPC)</v>
      </c>
      <c r="F1213" s="5" t="str">
        <f>_xlfn.XLOOKUP(role_course_map[[#This Row],[course_id]],course_data[course_id],course_data[type],"")</f>
        <v>eLearning</v>
      </c>
      <c r="K1213" t="str">
        <f>role_course_map[[#This Row],[role_id]] &amp; "|" &amp; role_course_map[[#This Row],[course_id]]</f>
        <v>R0147|89155</v>
      </c>
      <c r="L1213" t="str">
        <f>IF(COUNTIF(role_course_map[mapping_key],role_course_map[[#This Row],[mapping_key]])&gt;1,"DUPLICATE","OK")</f>
        <v>OK</v>
      </c>
      <c r="M1213" t="str">
        <f>IF(COUNTIF(role_data[role_id],role_course_map[[#This Row],[role_id]])=0, "INVALID","VALID")</f>
        <v>VALID</v>
      </c>
      <c r="N1213" t="str">
        <f>IF(COUNTIF(course_data[course_id],role_course_map[[#This Row],[course_id]])=0, "INVALID","VALID")</f>
        <v>VALID</v>
      </c>
    </row>
    <row r="1214" spans="1:14" x14ac:dyDescent="0.35">
      <c r="A1214" t="s">
        <v>306</v>
      </c>
      <c r="B1214" s="5" t="str">
        <f>_xlfn.XLOOKUP(role_course_map[[#This Row],[role_id]], role_data[role_id], role_data[Role],"")</f>
        <v>Paediatric Consultant</v>
      </c>
      <c r="C1214">
        <v>999064</v>
      </c>
      <c r="D1214" s="5" t="str">
        <f>_xlfn.XLOOKUP(role_course_map[[#This Row],[course_id]],course_data[course_id],course_data[title],"")</f>
        <v>Infection prevention and control: Clostridioides difficile infection</v>
      </c>
      <c r="E1214" s="5" t="str">
        <f>_xlfn.XLOOKUP(role_course_map[[#This Row],[course_id]],course_data[course_id],course_data[topic],"")</f>
        <v>SAS : Infection Prevention and Control (IPC)</v>
      </c>
      <c r="F1214" s="5" t="str">
        <f>_xlfn.XLOOKUP(role_course_map[[#This Row],[course_id]],course_data[course_id],course_data[type],"")</f>
        <v>eLearning</v>
      </c>
      <c r="K1214" t="str">
        <f>role_course_map[[#This Row],[role_id]] &amp; "|" &amp; role_course_map[[#This Row],[course_id]]</f>
        <v>R0147|999064</v>
      </c>
      <c r="L1214" t="str">
        <f>IF(COUNTIF(role_course_map[mapping_key],role_course_map[[#This Row],[mapping_key]])&gt;1,"DUPLICATE","OK")</f>
        <v>OK</v>
      </c>
      <c r="M1214" t="str">
        <f>IF(COUNTIF(role_data[role_id],role_course_map[[#This Row],[role_id]])=0, "INVALID","VALID")</f>
        <v>VALID</v>
      </c>
      <c r="N1214" t="str">
        <f>IF(COUNTIF(course_data[course_id],role_course_map[[#This Row],[course_id]])=0, "INVALID","VALID")</f>
        <v>VALID</v>
      </c>
    </row>
    <row r="1215" spans="1:14" x14ac:dyDescent="0.35">
      <c r="A1215" t="s">
        <v>306</v>
      </c>
      <c r="B1215" s="5" t="str">
        <f>_xlfn.XLOOKUP(role_course_map[[#This Row],[role_id]], role_data[role_id], role_data[Role],"")</f>
        <v>Paediatric Consultant</v>
      </c>
      <c r="C1215">
        <v>3886</v>
      </c>
      <c r="D1215" s="5" t="str">
        <f>_xlfn.XLOOKUP(role_course_map[[#This Row],[course_id]],course_data[course_id],course_data[title],"")</f>
        <v>Prevention and management of pressure ulcers</v>
      </c>
      <c r="E1215" s="5" t="str">
        <f>_xlfn.XLOOKUP(role_course_map[[#This Row],[course_id]],course_data[course_id],course_data[topic],"")</f>
        <v>SAS : Clinical Practice</v>
      </c>
      <c r="F1215" s="5" t="str">
        <f>_xlfn.XLOOKUP(role_course_map[[#This Row],[course_id]],course_data[course_id],course_data[type],"")</f>
        <v>Page</v>
      </c>
      <c r="K1215" t="str">
        <f>role_course_map[[#This Row],[role_id]] &amp; "|" &amp; role_course_map[[#This Row],[course_id]]</f>
        <v>R0147|3886</v>
      </c>
      <c r="L1215" t="str">
        <f>IF(COUNTIF(role_course_map[mapping_key],role_course_map[[#This Row],[mapping_key]])&gt;1,"DUPLICATE","OK")</f>
        <v>OK</v>
      </c>
      <c r="M1215" t="str">
        <f>IF(COUNTIF(role_data[role_id],role_course_map[[#This Row],[role_id]])=0, "INVALID","VALID")</f>
        <v>VALID</v>
      </c>
      <c r="N1215" t="str">
        <f>IF(COUNTIF(course_data[course_id],role_course_map[[#This Row],[course_id]])=0, "INVALID","VALID")</f>
        <v>VALID</v>
      </c>
    </row>
    <row r="1216" spans="1:14" x14ac:dyDescent="0.35">
      <c r="A1216" t="s">
        <v>306</v>
      </c>
      <c r="B1216" s="5" t="str">
        <f>_xlfn.XLOOKUP(role_course_map[[#This Row],[role_id]], role_data[role_id], role_data[Role],"")</f>
        <v>Paediatric Consultant</v>
      </c>
      <c r="C1216">
        <v>999093</v>
      </c>
      <c r="D1216" s="5" t="str">
        <f>_xlfn.XLOOKUP(role_course_map[[#This Row],[course_id]],course_data[course_id],course_data[title],"")</f>
        <v>Managing Wellbeing Refresher for Managers</v>
      </c>
      <c r="E1216" s="5" t="str">
        <f>_xlfn.XLOOKUP(role_course_map[[#This Row],[course_id]],course_data[course_id],course_data[topic],"")</f>
        <v>SAS: Staff development and experience</v>
      </c>
      <c r="F1216" s="5" t="str">
        <f>_xlfn.XLOOKUP(role_course_map[[#This Row],[course_id]],course_data[course_id],course_data[type],"")</f>
        <v>eLearning</v>
      </c>
      <c r="K1216" t="str">
        <f>role_course_map[[#This Row],[role_id]] &amp; "|" &amp; role_course_map[[#This Row],[course_id]]</f>
        <v>R0147|999093</v>
      </c>
      <c r="L1216" t="str">
        <f>IF(COUNTIF(role_course_map[mapping_key],role_course_map[[#This Row],[mapping_key]])&gt;1,"DUPLICATE","OK")</f>
        <v>OK</v>
      </c>
      <c r="M1216" t="str">
        <f>IF(COUNTIF(role_data[role_id],role_course_map[[#This Row],[role_id]])=0, "INVALID","VALID")</f>
        <v>VALID</v>
      </c>
      <c r="N1216" t="str">
        <f>IF(COUNTIF(course_data[course_id],role_course_map[[#This Row],[course_id]])=0, "INVALID","VALID")</f>
        <v>VALID</v>
      </c>
    </row>
    <row r="1217" spans="1:14" x14ac:dyDescent="0.35">
      <c r="A1217" t="s">
        <v>304</v>
      </c>
      <c r="B1217" s="5" t="str">
        <f>_xlfn.XLOOKUP(role_course_map[[#This Row],[role_id]], role_data[role_id], role_data[Role],"")</f>
        <v>Paediatric Advanced Nurse Practitioner</v>
      </c>
      <c r="C1217">
        <v>999094</v>
      </c>
      <c r="D1217" s="5" t="str">
        <f>_xlfn.XLOOKUP(role_course_map[[#This Row],[course_id]],course_data[course_id],course_data[title],"")</f>
        <v>Being well, Mind, Body &amp; Workplace</v>
      </c>
      <c r="E1217" s="5" t="str">
        <f>_xlfn.XLOOKUP(role_course_map[[#This Row],[course_id]],course_data[course_id],course_data[topic],"")</f>
        <v>SAS: Staff development and experience</v>
      </c>
      <c r="F1217" s="5" t="str">
        <f>_xlfn.XLOOKUP(role_course_map[[#This Row],[course_id]],course_data[course_id],course_data[type],"")</f>
        <v>eLearning</v>
      </c>
      <c r="K1217" t="str">
        <f>role_course_map[[#This Row],[role_id]] &amp; "|" &amp; role_course_map[[#This Row],[course_id]]</f>
        <v>R0146|999094</v>
      </c>
      <c r="L1217" t="str">
        <f>IF(COUNTIF(role_course_map[mapping_key],role_course_map[[#This Row],[mapping_key]])&gt;1,"DUPLICATE","OK")</f>
        <v>OK</v>
      </c>
      <c r="M1217" t="str">
        <f>IF(COUNTIF(role_data[role_id],role_course_map[[#This Row],[role_id]])=0, "INVALID","VALID")</f>
        <v>VALID</v>
      </c>
      <c r="N1217" t="str">
        <f>IF(COUNTIF(course_data[course_id],role_course_map[[#This Row],[course_id]])=0, "INVALID","VALID")</f>
        <v>VALID</v>
      </c>
    </row>
    <row r="1218" spans="1:14" x14ac:dyDescent="0.35">
      <c r="A1218" t="s">
        <v>306</v>
      </c>
      <c r="B1218" s="5" t="str">
        <f>_xlfn.XLOOKUP(role_course_map[[#This Row],[role_id]], role_data[role_id], role_data[Role],"")</f>
        <v>Paediatric Consultant</v>
      </c>
      <c r="C1218">
        <v>999077</v>
      </c>
      <c r="D1218" s="5" t="str">
        <f>_xlfn.XLOOKUP(role_course_map[[#This Row],[course_id]],course_data[course_id],course_data[title],"")</f>
        <v>ScotSTAR: Role specific Orientation &amp; Induction</v>
      </c>
      <c r="E1218" s="5" t="str">
        <f>_xlfn.XLOOKUP(role_course_map[[#This Row],[course_id]],course_data[course_id],course_data[topic],"")</f>
        <v>SAS : ScotSTAR</v>
      </c>
      <c r="F1218" s="5" t="str">
        <f>_xlfn.XLOOKUP(role_course_map[[#This Row],[course_id]],course_data[course_id],course_data[type],"")</f>
        <v>Course</v>
      </c>
      <c r="K1218" t="str">
        <f>role_course_map[[#This Row],[role_id]] &amp; "|" &amp; role_course_map[[#This Row],[course_id]]</f>
        <v>R0147|999077</v>
      </c>
      <c r="L1218" t="str">
        <f>IF(COUNTIF(role_course_map[mapping_key],role_course_map[[#This Row],[mapping_key]])&gt;1,"DUPLICATE","OK")</f>
        <v>OK</v>
      </c>
      <c r="M1218" t="str">
        <f>IF(COUNTIF(role_data[role_id],role_course_map[[#This Row],[role_id]])=0, "INVALID","VALID")</f>
        <v>VALID</v>
      </c>
      <c r="N1218" t="str">
        <f>IF(COUNTIF(course_data[course_id],role_course_map[[#This Row],[course_id]])=0, "INVALID","VALID")</f>
        <v>VALID</v>
      </c>
    </row>
    <row r="1219" spans="1:14" x14ac:dyDescent="0.35">
      <c r="A1219" t="s">
        <v>304</v>
      </c>
      <c r="B1219" s="5" t="str">
        <f>_xlfn.XLOOKUP(role_course_map[[#This Row],[role_id]], role_data[role_id], role_data[Role],"")</f>
        <v>Paediatric Advanced Nurse Practitioner</v>
      </c>
      <c r="C1219">
        <v>999080</v>
      </c>
      <c r="D1219" s="5" t="str">
        <f>_xlfn.XLOOKUP(role_course_map[[#This Row],[course_id]],course_data[course_id],course_data[title],"")</f>
        <v>HUET (on line)</v>
      </c>
      <c r="E1219" s="5" t="str">
        <f>_xlfn.XLOOKUP(role_course_map[[#This Row],[course_id]],course_data[course_id],course_data[topic],"")</f>
        <v>SAS : ScotSTAR</v>
      </c>
      <c r="F1219" s="5" t="str">
        <f>_xlfn.XLOOKUP(role_course_map[[#This Row],[course_id]],course_data[course_id],course_data[type],"")</f>
        <v>eLearning</v>
      </c>
      <c r="K1219" t="str">
        <f>role_course_map[[#This Row],[role_id]] &amp; "|" &amp; role_course_map[[#This Row],[course_id]]</f>
        <v>R0146|999080</v>
      </c>
      <c r="L1219" t="str">
        <f>IF(COUNTIF(role_course_map[mapping_key],role_course_map[[#This Row],[mapping_key]])&gt;1,"DUPLICATE","OK")</f>
        <v>OK</v>
      </c>
      <c r="M1219" t="str">
        <f>IF(COUNTIF(role_data[role_id],role_course_map[[#This Row],[role_id]])=0, "INVALID","VALID")</f>
        <v>VALID</v>
      </c>
      <c r="N1219" t="str">
        <f>IF(COUNTIF(course_data[course_id],role_course_map[[#This Row],[course_id]])=0, "INVALID","VALID")</f>
        <v>VALID</v>
      </c>
    </row>
    <row r="1220" spans="1:14" x14ac:dyDescent="0.35">
      <c r="A1220" t="s">
        <v>306</v>
      </c>
      <c r="B1220" s="5" t="str">
        <f>_xlfn.XLOOKUP(role_course_map[[#This Row],[role_id]], role_data[role_id], role_data[Role],"")</f>
        <v>Paediatric Consultant</v>
      </c>
      <c r="C1220">
        <v>999081</v>
      </c>
      <c r="D1220" s="5" t="str">
        <f>_xlfn.XLOOKUP(role_course_map[[#This Row],[course_id]],course_data[course_id],course_data[title],"")</f>
        <v>Major Incident Training- Operational Commander</v>
      </c>
      <c r="E1220" s="5" t="str">
        <f>_xlfn.XLOOKUP(role_course_map[[#This Row],[course_id]],course_data[course_id],course_data[topic],"")</f>
        <v>SAS : ScotSTAR</v>
      </c>
      <c r="F1220" s="5" t="str">
        <f>_xlfn.XLOOKUP(role_course_map[[#This Row],[course_id]],course_data[course_id],course_data[type],"")</f>
        <v>Course</v>
      </c>
      <c r="K1220" t="str">
        <f>role_course_map[[#This Row],[role_id]] &amp; "|" &amp; role_course_map[[#This Row],[course_id]]</f>
        <v>R0147|999081</v>
      </c>
      <c r="L1220" t="str">
        <f>IF(COUNTIF(role_course_map[mapping_key],role_course_map[[#This Row],[mapping_key]])&gt;1,"DUPLICATE","OK")</f>
        <v>OK</v>
      </c>
      <c r="M1220" t="str">
        <f>IF(COUNTIF(role_data[role_id],role_course_map[[#This Row],[role_id]])=0, "INVALID","VALID")</f>
        <v>VALID</v>
      </c>
      <c r="N1220" t="str">
        <f>IF(COUNTIF(course_data[course_id],role_course_map[[#This Row],[course_id]])=0, "INVALID","VALID")</f>
        <v>VALID</v>
      </c>
    </row>
    <row r="1221" spans="1:14" x14ac:dyDescent="0.35">
      <c r="A1221" t="s">
        <v>306</v>
      </c>
      <c r="B1221" s="5" t="str">
        <f>_xlfn.XLOOKUP(role_course_map[[#This Row],[role_id]], role_data[role_id], role_data[Role],"")</f>
        <v>Paediatric Consultant</v>
      </c>
      <c r="C1221">
        <v>999082</v>
      </c>
      <c r="D1221" s="5" t="str">
        <f>_xlfn.XLOOKUP(role_course_map[[#This Row],[course_id]],course_data[course_id],course_data[title],"")</f>
        <v>Major Incident Training - MIO</v>
      </c>
      <c r="E1221" s="5" t="str">
        <f>_xlfn.XLOOKUP(role_course_map[[#This Row],[course_id]],course_data[course_id],course_data[topic],"")</f>
        <v>SAS : ScotSTAR</v>
      </c>
      <c r="F1221" s="5" t="str">
        <f>_xlfn.XLOOKUP(role_course_map[[#This Row],[course_id]],course_data[course_id],course_data[type],"")</f>
        <v>Course</v>
      </c>
      <c r="K1221" t="str">
        <f>role_course_map[[#This Row],[role_id]] &amp; "|" &amp; role_course_map[[#This Row],[course_id]]</f>
        <v>R0147|999082</v>
      </c>
      <c r="L1221" t="str">
        <f>IF(COUNTIF(role_course_map[mapping_key],role_course_map[[#This Row],[mapping_key]])&gt;1,"DUPLICATE","OK")</f>
        <v>OK</v>
      </c>
      <c r="M1221" t="str">
        <f>IF(COUNTIF(role_data[role_id],role_course_map[[#This Row],[role_id]])=0, "INVALID","VALID")</f>
        <v>VALID</v>
      </c>
      <c r="N1221" t="str">
        <f>IF(COUNTIF(course_data[course_id],role_course_map[[#This Row],[course_id]])=0, "INVALID","VALID")</f>
        <v>VALID</v>
      </c>
    </row>
    <row r="1222" spans="1:14" x14ac:dyDescent="0.35">
      <c r="A1222" t="s">
        <v>306</v>
      </c>
      <c r="B1222" s="5" t="str">
        <f>_xlfn.XLOOKUP(role_course_map[[#This Row],[role_id]], role_data[role_id], role_data[Role],"")</f>
        <v>Paediatric Consultant</v>
      </c>
      <c r="C1222">
        <v>999084</v>
      </c>
      <c r="D1222" s="5" t="str">
        <f>_xlfn.XLOOKUP(role_course_map[[#This Row],[course_id]],course_data[course_id],course_data[title],"")</f>
        <v>Paediatric Life Support (PLS)</v>
      </c>
      <c r="E1222" s="5" t="str">
        <f>_xlfn.XLOOKUP(role_course_map[[#This Row],[course_id]],course_data[course_id],course_data[topic],"")</f>
        <v>SAS : ScotSTAR</v>
      </c>
      <c r="F1222" s="5" t="str">
        <f>_xlfn.XLOOKUP(role_course_map[[#This Row],[course_id]],course_data[course_id],course_data[type],"")</f>
        <v>Course</v>
      </c>
      <c r="K1222" t="str">
        <f>role_course_map[[#This Row],[role_id]] &amp; "|" &amp; role_course_map[[#This Row],[course_id]]</f>
        <v>R0147|999084</v>
      </c>
      <c r="L1222" t="str">
        <f>IF(COUNTIF(role_course_map[mapping_key],role_course_map[[#This Row],[mapping_key]])&gt;1,"DUPLICATE","OK")</f>
        <v>OK</v>
      </c>
      <c r="M1222" t="str">
        <f>IF(COUNTIF(role_data[role_id],role_course_map[[#This Row],[role_id]])=0, "INVALID","VALID")</f>
        <v>VALID</v>
      </c>
      <c r="N1222" t="str">
        <f>IF(COUNTIF(course_data[course_id],role_course_map[[#This Row],[course_id]])=0, "INVALID","VALID")</f>
        <v>VALID</v>
      </c>
    </row>
    <row r="1223" spans="1:14" x14ac:dyDescent="0.35">
      <c r="A1223" t="s">
        <v>308</v>
      </c>
      <c r="B1223" s="5" t="str">
        <f>_xlfn.XLOOKUP(role_course_map[[#This Row],[role_id]], role_data[role_id], role_data[Role],"")</f>
        <v>Paediatric Fellow</v>
      </c>
      <c r="C1223">
        <v>999009</v>
      </c>
      <c r="D1223" s="5" t="str">
        <f>_xlfn.XLOOKUP(role_course_map[[#This Row],[course_id]],course_data[course_id],course_data[title],"")</f>
        <v>Life Support</v>
      </c>
      <c r="E1223" s="5" t="str">
        <f>_xlfn.XLOOKUP(role_course_map[[#This Row],[course_id]],course_data[course_id],course_data[topic],"")</f>
        <v>SAS : Clinical Practice</v>
      </c>
      <c r="F1223" s="5" t="str">
        <f>_xlfn.XLOOKUP(role_course_map[[#This Row],[course_id]],course_data[course_id],course_data[type],"")</f>
        <v>Course</v>
      </c>
      <c r="K1223" t="str">
        <f>role_course_map[[#This Row],[role_id]] &amp; "|" &amp; role_course_map[[#This Row],[course_id]]</f>
        <v>R0148|999009</v>
      </c>
      <c r="L1223" t="str">
        <f>IF(COUNTIF(role_course_map[mapping_key],role_course_map[[#This Row],[mapping_key]])&gt;1,"DUPLICATE","OK")</f>
        <v>OK</v>
      </c>
      <c r="M1223" t="str">
        <f>IF(COUNTIF(role_data[role_id],role_course_map[[#This Row],[role_id]])=0, "INVALID","VALID")</f>
        <v>VALID</v>
      </c>
      <c r="N1223" t="str">
        <f>IF(COUNTIF(course_data[course_id],role_course_map[[#This Row],[course_id]])=0, "INVALID","VALID")</f>
        <v>VALID</v>
      </c>
    </row>
    <row r="1224" spans="1:14" x14ac:dyDescent="0.35">
      <c r="A1224" t="s">
        <v>308</v>
      </c>
      <c r="B1224" s="5" t="str">
        <f>_xlfn.XLOOKUP(role_course_map[[#This Row],[role_id]], role_data[role_id], role_data[Role],"")</f>
        <v>Paediatric Fellow</v>
      </c>
      <c r="C1224">
        <v>999007</v>
      </c>
      <c r="D1224" s="5" t="str">
        <f>_xlfn.XLOOKUP(role_course_map[[#This Row],[course_id]],course_data[course_id],course_data[title],"")</f>
        <v>Obstetrics</v>
      </c>
      <c r="E1224" s="5" t="str">
        <f>_xlfn.XLOOKUP(role_course_map[[#This Row],[course_id]],course_data[course_id],course_data[topic],"")</f>
        <v>SAS : Clinical Practice</v>
      </c>
      <c r="F1224" s="5" t="str">
        <f>_xlfn.XLOOKUP(role_course_map[[#This Row],[course_id]],course_data[course_id],course_data[type],"")</f>
        <v>Course</v>
      </c>
      <c r="K1224" t="str">
        <f>role_course_map[[#This Row],[role_id]] &amp; "|" &amp; role_course_map[[#This Row],[course_id]]</f>
        <v>R0148|999007</v>
      </c>
      <c r="L1224" t="str">
        <f>IF(COUNTIF(role_course_map[mapping_key],role_course_map[[#This Row],[mapping_key]])&gt;1,"DUPLICATE","OK")</f>
        <v>OK</v>
      </c>
      <c r="M1224" t="str">
        <f>IF(COUNTIF(role_data[role_id],role_course_map[[#This Row],[role_id]])=0, "INVALID","VALID")</f>
        <v>VALID</v>
      </c>
      <c r="N1224" t="str">
        <f>IF(COUNTIF(course_data[course_id],role_course_map[[#This Row],[course_id]])=0, "INVALID","VALID")</f>
        <v>VALID</v>
      </c>
    </row>
    <row r="1225" spans="1:14" x14ac:dyDescent="0.35">
      <c r="A1225" t="s">
        <v>308</v>
      </c>
      <c r="B1225" s="5" t="str">
        <f>_xlfn.XLOOKUP(role_course_map[[#This Row],[role_id]], role_data[role_id], role_data[Role],"")</f>
        <v>Paediatric Fellow</v>
      </c>
      <c r="C1225">
        <v>999008</v>
      </c>
      <c r="D1225" s="5" t="str">
        <f>_xlfn.XLOOKUP(role_course_map[[#This Row],[course_id]],course_data[course_id],course_data[title],"")</f>
        <v>Obstetrics</v>
      </c>
      <c r="E1225" s="5" t="str">
        <f>_xlfn.XLOOKUP(role_course_map[[#This Row],[course_id]],course_data[course_id],course_data[topic],"")</f>
        <v>SAS : Clinical Practice</v>
      </c>
      <c r="F1225" s="5" t="str">
        <f>_xlfn.XLOOKUP(role_course_map[[#This Row],[course_id]],course_data[course_id],course_data[type],"")</f>
        <v>eLearning</v>
      </c>
      <c r="K1225" t="str">
        <f>role_course_map[[#This Row],[role_id]] &amp; "|" &amp; role_course_map[[#This Row],[course_id]]</f>
        <v>R0148|999008</v>
      </c>
      <c r="L1225" t="str">
        <f>IF(COUNTIF(role_course_map[mapping_key],role_course_map[[#This Row],[mapping_key]])&gt;1,"DUPLICATE","OK")</f>
        <v>OK</v>
      </c>
      <c r="M1225" t="str">
        <f>IF(COUNTIF(role_data[role_id],role_course_map[[#This Row],[role_id]])=0, "INVALID","VALID")</f>
        <v>VALID</v>
      </c>
      <c r="N1225" t="str">
        <f>IF(COUNTIF(course_data[course_id],role_course_map[[#This Row],[course_id]])=0, "INVALID","VALID")</f>
        <v>VALID</v>
      </c>
    </row>
    <row r="1226" spans="1:14" x14ac:dyDescent="0.35">
      <c r="A1226" t="s">
        <v>308</v>
      </c>
      <c r="B1226" s="5" t="str">
        <f>_xlfn.XLOOKUP(role_course_map[[#This Row],[role_id]], role_data[role_id], role_data[Role],"")</f>
        <v>Paediatric Fellow</v>
      </c>
      <c r="C1226">
        <v>999010</v>
      </c>
      <c r="D1226" s="5" t="str">
        <f>_xlfn.XLOOKUP(role_course_map[[#This Row],[course_id]],course_data[course_id],course_data[title],"")</f>
        <v>Paediatrics</v>
      </c>
      <c r="E1226" s="5" t="str">
        <f>_xlfn.XLOOKUP(role_course_map[[#This Row],[course_id]],course_data[course_id],course_data[topic],"")</f>
        <v>SAS : Clinical Practice</v>
      </c>
      <c r="F1226" s="5" t="str">
        <f>_xlfn.XLOOKUP(role_course_map[[#This Row],[course_id]],course_data[course_id],course_data[type],"")</f>
        <v>Course</v>
      </c>
      <c r="K1226" t="str">
        <f>role_course_map[[#This Row],[role_id]] &amp; "|" &amp; role_course_map[[#This Row],[course_id]]</f>
        <v>R0148|999010</v>
      </c>
      <c r="L1226" t="str">
        <f>IF(COUNTIF(role_course_map[mapping_key],role_course_map[[#This Row],[mapping_key]])&gt;1,"DUPLICATE","OK")</f>
        <v>OK</v>
      </c>
      <c r="M1226" t="str">
        <f>IF(COUNTIF(role_data[role_id],role_course_map[[#This Row],[role_id]])=0, "INVALID","VALID")</f>
        <v>VALID</v>
      </c>
      <c r="N1226" t="str">
        <f>IF(COUNTIF(course_data[course_id],role_course_map[[#This Row],[course_id]])=0, "INVALID","VALID")</f>
        <v>VALID</v>
      </c>
    </row>
    <row r="1227" spans="1:14" x14ac:dyDescent="0.35">
      <c r="A1227" t="s">
        <v>308</v>
      </c>
      <c r="B1227" s="5" t="str">
        <f>_xlfn.XLOOKUP(role_course_map[[#This Row],[role_id]], role_data[role_id], role_data[Role],"")</f>
        <v>Paediatric Fellow</v>
      </c>
      <c r="C1227">
        <v>999011</v>
      </c>
      <c r="D1227" s="5" t="str">
        <f>_xlfn.XLOOKUP(role_course_map[[#This Row],[course_id]],course_data[course_id],course_data[title],"")</f>
        <v>Paediatrics</v>
      </c>
      <c r="E1227" s="5" t="str">
        <f>_xlfn.XLOOKUP(role_course_map[[#This Row],[course_id]],course_data[course_id],course_data[topic],"")</f>
        <v>SAS : Clinical Practice</v>
      </c>
      <c r="F1227" s="5" t="str">
        <f>_xlfn.XLOOKUP(role_course_map[[#This Row],[course_id]],course_data[course_id],course_data[type],"")</f>
        <v>eLearning</v>
      </c>
      <c r="K1227" t="str">
        <f>role_course_map[[#This Row],[role_id]] &amp; "|" &amp; role_course_map[[#This Row],[course_id]]</f>
        <v>R0148|999011</v>
      </c>
      <c r="L1227" t="str">
        <f>IF(COUNTIF(role_course_map[mapping_key],role_course_map[[#This Row],[mapping_key]])&gt;1,"DUPLICATE","OK")</f>
        <v>OK</v>
      </c>
      <c r="M1227" t="str">
        <f>IF(COUNTIF(role_data[role_id],role_course_map[[#This Row],[role_id]])=0, "INVALID","VALID")</f>
        <v>VALID</v>
      </c>
      <c r="N1227" t="str">
        <f>IF(COUNTIF(course_data[course_id],role_course_map[[#This Row],[course_id]])=0, "INVALID","VALID")</f>
        <v>VALID</v>
      </c>
    </row>
    <row r="1228" spans="1:14" x14ac:dyDescent="0.35">
      <c r="A1228" t="s">
        <v>308</v>
      </c>
      <c r="B1228" s="5" t="str">
        <f>_xlfn.XLOOKUP(role_course_map[[#This Row],[role_id]], role_data[role_id], role_data[Role],"")</f>
        <v>Paediatric Fellow</v>
      </c>
      <c r="C1228">
        <v>999012</v>
      </c>
      <c r="D1228" s="5" t="str">
        <f>_xlfn.XLOOKUP(role_course_map[[#This Row],[course_id]],course_data[course_id],course_data[title],"")</f>
        <v>Trauma</v>
      </c>
      <c r="E1228" s="5" t="str">
        <f>_xlfn.XLOOKUP(role_course_map[[#This Row],[course_id]],course_data[course_id],course_data[topic],"")</f>
        <v>SAS : Clinical Practice</v>
      </c>
      <c r="F1228" s="5" t="str">
        <f>_xlfn.XLOOKUP(role_course_map[[#This Row],[course_id]],course_data[course_id],course_data[type],"")</f>
        <v>Course</v>
      </c>
      <c r="K1228" t="str">
        <f>role_course_map[[#This Row],[role_id]] &amp; "|" &amp; role_course_map[[#This Row],[course_id]]</f>
        <v>R0148|999012</v>
      </c>
      <c r="L1228" t="str">
        <f>IF(COUNTIF(role_course_map[mapping_key],role_course_map[[#This Row],[mapping_key]])&gt;1,"DUPLICATE","OK")</f>
        <v>OK</v>
      </c>
      <c r="M1228" t="str">
        <f>IF(COUNTIF(role_data[role_id],role_course_map[[#This Row],[role_id]])=0, "INVALID","VALID")</f>
        <v>VALID</v>
      </c>
      <c r="N1228" t="str">
        <f>IF(COUNTIF(course_data[course_id],role_course_map[[#This Row],[course_id]])=0, "INVALID","VALID")</f>
        <v>VALID</v>
      </c>
    </row>
    <row r="1229" spans="1:14" x14ac:dyDescent="0.35">
      <c r="A1229" t="s">
        <v>308</v>
      </c>
      <c r="B1229" s="5" t="str">
        <f>_xlfn.XLOOKUP(role_course_map[[#This Row],[role_id]], role_data[role_id], role_data[Role],"")</f>
        <v>Paediatric Fellow</v>
      </c>
      <c r="C1229">
        <v>999013</v>
      </c>
      <c r="D1229" s="5" t="str">
        <f>_xlfn.XLOOKUP(role_course_map[[#This Row],[course_id]],course_data[course_id],course_data[title],"")</f>
        <v>Trauma</v>
      </c>
      <c r="E1229" s="5" t="str">
        <f>_xlfn.XLOOKUP(role_course_map[[#This Row],[course_id]],course_data[course_id],course_data[topic],"")</f>
        <v>SAS : Clinical Practice</v>
      </c>
      <c r="F1229" s="5" t="str">
        <f>_xlfn.XLOOKUP(role_course_map[[#This Row],[course_id]],course_data[course_id],course_data[type],"")</f>
        <v>eLearning</v>
      </c>
      <c r="K1229" t="str">
        <f>role_course_map[[#This Row],[role_id]] &amp; "|" &amp; role_course_map[[#This Row],[course_id]]</f>
        <v>R0148|999013</v>
      </c>
      <c r="L1229" t="str">
        <f>IF(COUNTIF(role_course_map[mapping_key],role_course_map[[#This Row],[mapping_key]])&gt;1,"DUPLICATE","OK")</f>
        <v>OK</v>
      </c>
      <c r="M1229" t="str">
        <f>IF(COUNTIF(role_data[role_id],role_course_map[[#This Row],[role_id]])=0, "INVALID","VALID")</f>
        <v>VALID</v>
      </c>
      <c r="N1229" t="str">
        <f>IF(COUNTIF(course_data[course_id],role_course_map[[#This Row],[course_id]])=0, "INVALID","VALID")</f>
        <v>VALID</v>
      </c>
    </row>
    <row r="1230" spans="1:14" x14ac:dyDescent="0.35">
      <c r="A1230" t="s">
        <v>308</v>
      </c>
      <c r="B1230" s="5" t="str">
        <f>_xlfn.XLOOKUP(role_course_map[[#This Row],[role_id]], role_data[role_id], role_data[Role],"")</f>
        <v>Paediatric Fellow</v>
      </c>
      <c r="C1230">
        <v>999014</v>
      </c>
      <c r="D1230" s="5" t="str">
        <f>_xlfn.XLOOKUP(role_course_map[[#This Row],[course_id]],course_data[course_id],course_data[title],"")</f>
        <v>Patient Assessment</v>
      </c>
      <c r="E1230" s="5" t="str">
        <f>_xlfn.XLOOKUP(role_course_map[[#This Row],[course_id]],course_data[course_id],course_data[topic],"")</f>
        <v>SAS : Clinical Practice</v>
      </c>
      <c r="F1230" s="5" t="str">
        <f>_xlfn.XLOOKUP(role_course_map[[#This Row],[course_id]],course_data[course_id],course_data[type],"")</f>
        <v>Course</v>
      </c>
      <c r="K1230" t="str">
        <f>role_course_map[[#This Row],[role_id]] &amp; "|" &amp; role_course_map[[#This Row],[course_id]]</f>
        <v>R0148|999014</v>
      </c>
      <c r="L1230" t="str">
        <f>IF(COUNTIF(role_course_map[mapping_key],role_course_map[[#This Row],[mapping_key]])&gt;1,"DUPLICATE","OK")</f>
        <v>OK</v>
      </c>
      <c r="M1230" t="str">
        <f>IF(COUNTIF(role_data[role_id],role_course_map[[#This Row],[role_id]])=0, "INVALID","VALID")</f>
        <v>VALID</v>
      </c>
      <c r="N1230" t="str">
        <f>IF(COUNTIF(course_data[course_id],role_course_map[[#This Row],[course_id]])=0, "INVALID","VALID")</f>
        <v>VALID</v>
      </c>
    </row>
    <row r="1231" spans="1:14" x14ac:dyDescent="0.35">
      <c r="A1231" t="s">
        <v>308</v>
      </c>
      <c r="B1231" s="5" t="str">
        <f>_xlfn.XLOOKUP(role_course_map[[#This Row],[role_id]], role_data[role_id], role_data[Role],"")</f>
        <v>Paediatric Fellow</v>
      </c>
      <c r="C1231">
        <v>999015</v>
      </c>
      <c r="D1231" s="5" t="str">
        <f>_xlfn.XLOOKUP(role_course_map[[#This Row],[course_id]],course_data[course_id],course_data[title],"")</f>
        <v>Patient Assessment</v>
      </c>
      <c r="E1231" s="5" t="str">
        <f>_xlfn.XLOOKUP(role_course_map[[#This Row],[course_id]],course_data[course_id],course_data[topic],"")</f>
        <v>SAS : Clinical Practice</v>
      </c>
      <c r="F1231" s="5" t="str">
        <f>_xlfn.XLOOKUP(role_course_map[[#This Row],[course_id]],course_data[course_id],course_data[type],"")</f>
        <v>eLearning</v>
      </c>
      <c r="K1231" t="str">
        <f>role_course_map[[#This Row],[role_id]] &amp; "|" &amp; role_course_map[[#This Row],[course_id]]</f>
        <v>R0148|999015</v>
      </c>
      <c r="L1231" t="str">
        <f>IF(COUNTIF(role_course_map[mapping_key],role_course_map[[#This Row],[mapping_key]])&gt;1,"DUPLICATE","OK")</f>
        <v>OK</v>
      </c>
      <c r="M1231" t="str">
        <f>IF(COUNTIF(role_data[role_id],role_course_map[[#This Row],[role_id]])=0, "INVALID","VALID")</f>
        <v>VALID</v>
      </c>
      <c r="N1231" t="str">
        <f>IF(COUNTIF(course_data[course_id],role_course_map[[#This Row],[course_id]])=0, "INVALID","VALID")</f>
        <v>VALID</v>
      </c>
    </row>
    <row r="1232" spans="1:14" x14ac:dyDescent="0.35">
      <c r="A1232" t="s">
        <v>306</v>
      </c>
      <c r="B1232" s="5" t="str">
        <f>_xlfn.XLOOKUP(role_course_map[[#This Row],[role_id]], role_data[role_id], role_data[Role],"")</f>
        <v>Paediatric Consultant</v>
      </c>
      <c r="C1232">
        <v>999016</v>
      </c>
      <c r="D1232" s="5" t="str">
        <f>_xlfn.XLOOKUP(role_course_map[[#This Row],[course_id]],course_data[course_id],course_data[title],"")</f>
        <v>Clinical Skills</v>
      </c>
      <c r="E1232" s="5" t="str">
        <f>_xlfn.XLOOKUP(role_course_map[[#This Row],[course_id]],course_data[course_id],course_data[topic],"")</f>
        <v>SAS : Clinical Practice</v>
      </c>
      <c r="F1232" s="5" t="str">
        <f>_xlfn.XLOOKUP(role_course_map[[#This Row],[course_id]],course_data[course_id],course_data[type],"")</f>
        <v>Course</v>
      </c>
      <c r="K1232" t="str">
        <f>role_course_map[[#This Row],[role_id]] &amp; "|" &amp; role_course_map[[#This Row],[course_id]]</f>
        <v>R0147|999016</v>
      </c>
      <c r="L1232" t="str">
        <f>IF(COUNTIF(role_course_map[mapping_key],role_course_map[[#This Row],[mapping_key]])&gt;1,"DUPLICATE","OK")</f>
        <v>OK</v>
      </c>
      <c r="M1232" t="str">
        <f>IF(COUNTIF(role_data[role_id],role_course_map[[#This Row],[role_id]])=0, "INVALID","VALID")</f>
        <v>VALID</v>
      </c>
      <c r="N1232" t="str">
        <f>IF(COUNTIF(course_data[course_id],role_course_map[[#This Row],[course_id]])=0, "INVALID","VALID")</f>
        <v>VALID</v>
      </c>
    </row>
    <row r="1233" spans="1:14" x14ac:dyDescent="0.35">
      <c r="A1233" t="s">
        <v>308</v>
      </c>
      <c r="B1233" s="5" t="str">
        <f>_xlfn.XLOOKUP(role_course_map[[#This Row],[role_id]], role_data[role_id], role_data[Role],"")</f>
        <v>Paediatric Fellow</v>
      </c>
      <c r="C1233">
        <v>999018</v>
      </c>
      <c r="D1233" s="5" t="str">
        <f>_xlfn.XLOOKUP(role_course_map[[#This Row],[course_id]],course_data[course_id],course_data[title],"")</f>
        <v>Learning from Events</v>
      </c>
      <c r="E1233" s="5" t="str">
        <f>_xlfn.XLOOKUP(role_course_map[[#This Row],[course_id]],course_data[course_id],course_data[topic],"")</f>
        <v>SAS : Clinical Practice</v>
      </c>
      <c r="F1233" s="5" t="str">
        <f>_xlfn.XLOOKUP(role_course_map[[#This Row],[course_id]],course_data[course_id],course_data[type],"")</f>
        <v>eLearning</v>
      </c>
      <c r="K1233" t="str">
        <f>role_course_map[[#This Row],[role_id]] &amp; "|" &amp; role_course_map[[#This Row],[course_id]]</f>
        <v>R0148|999018</v>
      </c>
      <c r="L1233" t="str">
        <f>IF(COUNTIF(role_course_map[mapping_key],role_course_map[[#This Row],[mapping_key]])&gt;1,"DUPLICATE","OK")</f>
        <v>OK</v>
      </c>
      <c r="M1233" t="str">
        <f>IF(COUNTIF(role_data[role_id],role_course_map[[#This Row],[role_id]])=0, "INVALID","VALID")</f>
        <v>VALID</v>
      </c>
      <c r="N1233" t="str">
        <f>IF(COUNTIF(course_data[course_id],role_course_map[[#This Row],[course_id]])=0, "INVALID","VALID")</f>
        <v>VALID</v>
      </c>
    </row>
    <row r="1234" spans="1:14" x14ac:dyDescent="0.35">
      <c r="A1234" t="s">
        <v>308</v>
      </c>
      <c r="B1234" s="5" t="str">
        <f>_xlfn.XLOOKUP(role_course_map[[#This Row],[role_id]], role_data[role_id], role_data[Role],"")</f>
        <v>Paediatric Fellow</v>
      </c>
      <c r="C1234">
        <v>999019</v>
      </c>
      <c r="D1234" s="5" t="str">
        <f>_xlfn.XLOOKUP(role_course_map[[#This Row],[course_id]],course_data[course_id],course_data[title],"")</f>
        <v>Medicines Management</v>
      </c>
      <c r="E1234" s="5" t="str">
        <f>_xlfn.XLOOKUP(role_course_map[[#This Row],[course_id]],course_data[course_id],course_data[topic],"")</f>
        <v>SAS : Clinical Practice</v>
      </c>
      <c r="F1234" s="5" t="str">
        <f>_xlfn.XLOOKUP(role_course_map[[#This Row],[course_id]],course_data[course_id],course_data[type],"")</f>
        <v>eLearning</v>
      </c>
      <c r="K1234" t="str">
        <f>role_course_map[[#This Row],[role_id]] &amp; "|" &amp; role_course_map[[#This Row],[course_id]]</f>
        <v>R0148|999019</v>
      </c>
      <c r="L1234" t="str">
        <f>IF(COUNTIF(role_course_map[mapping_key],role_course_map[[#This Row],[mapping_key]])&gt;1,"DUPLICATE","OK")</f>
        <v>OK</v>
      </c>
      <c r="M1234" t="str">
        <f>IF(COUNTIF(role_data[role_id],role_course_map[[#This Row],[role_id]])=0, "INVALID","VALID")</f>
        <v>VALID</v>
      </c>
      <c r="N1234" t="str">
        <f>IF(COUNTIF(course_data[course_id],role_course_map[[#This Row],[course_id]])=0, "INVALID","VALID")</f>
        <v>VALID</v>
      </c>
    </row>
    <row r="1235" spans="1:14" x14ac:dyDescent="0.35">
      <c r="A1235" t="s">
        <v>308</v>
      </c>
      <c r="B1235" s="5" t="str">
        <f>_xlfn.XLOOKUP(role_course_map[[#This Row],[role_id]], role_data[role_id], role_data[Role],"")</f>
        <v>Paediatric Fellow</v>
      </c>
      <c r="C1235">
        <v>999020</v>
      </c>
      <c r="D1235" s="5" t="str">
        <f>_xlfn.XLOOKUP(role_course_map[[#This Row],[course_id]],course_data[course_id],course_data[title],"")</f>
        <v>JRCALC Update</v>
      </c>
      <c r="E1235" s="5" t="str">
        <f>_xlfn.XLOOKUP(role_course_map[[#This Row],[course_id]],course_data[course_id],course_data[topic],"")</f>
        <v>SAS : Clinical Practice</v>
      </c>
      <c r="F1235" s="5" t="str">
        <f>_xlfn.XLOOKUP(role_course_map[[#This Row],[course_id]],course_data[course_id],course_data[type],"")</f>
        <v>eLearning</v>
      </c>
      <c r="K1235" t="str">
        <f>role_course_map[[#This Row],[role_id]] &amp; "|" &amp; role_course_map[[#This Row],[course_id]]</f>
        <v>R0148|999020</v>
      </c>
      <c r="L1235" t="str">
        <f>IF(COUNTIF(role_course_map[mapping_key],role_course_map[[#This Row],[mapping_key]])&gt;1,"DUPLICATE","OK")</f>
        <v>OK</v>
      </c>
      <c r="M1235" t="str">
        <f>IF(COUNTIF(role_data[role_id],role_course_map[[#This Row],[role_id]])=0, "INVALID","VALID")</f>
        <v>VALID</v>
      </c>
      <c r="N1235" t="str">
        <f>IF(COUNTIF(course_data[course_id],role_course_map[[#This Row],[course_id]])=0, "INVALID","VALID")</f>
        <v>VALID</v>
      </c>
    </row>
    <row r="1236" spans="1:14" x14ac:dyDescent="0.35">
      <c r="A1236" t="s">
        <v>308</v>
      </c>
      <c r="B1236" s="5" t="str">
        <f>_xlfn.XLOOKUP(role_course_map[[#This Row],[role_id]], role_data[role_id], role_data[Role],"")</f>
        <v>Paediatric Fellow</v>
      </c>
      <c r="C1236">
        <v>999021</v>
      </c>
      <c r="D1236" s="5" t="str">
        <f>_xlfn.XLOOKUP(role_course_map[[#This Row],[course_id]],course_data[course_id],course_data[title],"")</f>
        <v>Mental Health</v>
      </c>
      <c r="E1236" s="5" t="str">
        <f>_xlfn.XLOOKUP(role_course_map[[#This Row],[course_id]],course_data[course_id],course_data[topic],"")</f>
        <v>SAS : Clinical Practice</v>
      </c>
      <c r="F1236" s="5" t="str">
        <f>_xlfn.XLOOKUP(role_course_map[[#This Row],[course_id]],course_data[course_id],course_data[type],"")</f>
        <v>eLearning</v>
      </c>
      <c r="K1236" t="str">
        <f>role_course_map[[#This Row],[role_id]] &amp; "|" &amp; role_course_map[[#This Row],[course_id]]</f>
        <v>R0148|999021</v>
      </c>
      <c r="L1236" t="str">
        <f>IF(COUNTIF(role_course_map[mapping_key],role_course_map[[#This Row],[mapping_key]])&gt;1,"DUPLICATE","OK")</f>
        <v>OK</v>
      </c>
      <c r="M1236" t="str">
        <f>IF(COUNTIF(role_data[role_id],role_course_map[[#This Row],[role_id]])=0, "INVALID","VALID")</f>
        <v>VALID</v>
      </c>
      <c r="N1236" t="str">
        <f>IF(COUNTIF(course_data[course_id],role_course_map[[#This Row],[course_id]])=0, "INVALID","VALID")</f>
        <v>VALID</v>
      </c>
    </row>
    <row r="1237" spans="1:14" x14ac:dyDescent="0.35">
      <c r="A1237" t="s">
        <v>308</v>
      </c>
      <c r="B1237" s="5" t="str">
        <f>_xlfn.XLOOKUP(role_course_map[[#This Row],[role_id]], role_data[role_id], role_data[Role],"")</f>
        <v>Paediatric Fellow</v>
      </c>
      <c r="C1237">
        <v>999022</v>
      </c>
      <c r="D1237" s="5" t="str">
        <f>_xlfn.XLOOKUP(role_course_map[[#This Row],[course_id]],course_data[course_id],course_data[title],"")</f>
        <v>Learning Disabilities</v>
      </c>
      <c r="E1237" s="5" t="str">
        <f>_xlfn.XLOOKUP(role_course_map[[#This Row],[course_id]],course_data[course_id],course_data[topic],"")</f>
        <v>SAS : Clinical Practice</v>
      </c>
      <c r="F1237" s="5" t="str">
        <f>_xlfn.XLOOKUP(role_course_map[[#This Row],[course_id]],course_data[course_id],course_data[type],"")</f>
        <v>eLearning</v>
      </c>
      <c r="K1237" t="str">
        <f>role_course_map[[#This Row],[role_id]] &amp; "|" &amp; role_course_map[[#This Row],[course_id]]</f>
        <v>R0148|999022</v>
      </c>
      <c r="L1237" t="str">
        <f>IF(COUNTIF(role_course_map[mapping_key],role_course_map[[#This Row],[mapping_key]])&gt;1,"DUPLICATE","OK")</f>
        <v>OK</v>
      </c>
      <c r="M1237" t="str">
        <f>IF(COUNTIF(role_data[role_id],role_course_map[[#This Row],[role_id]])=0, "INVALID","VALID")</f>
        <v>VALID</v>
      </c>
      <c r="N1237" t="str">
        <f>IF(COUNTIF(course_data[course_id],role_course_map[[#This Row],[course_id]])=0, "INVALID","VALID")</f>
        <v>VALID</v>
      </c>
    </row>
    <row r="1238" spans="1:14" x14ac:dyDescent="0.35">
      <c r="A1238" t="s">
        <v>308</v>
      </c>
      <c r="B1238" s="5" t="str">
        <f>_xlfn.XLOOKUP(role_course_map[[#This Row],[role_id]], role_data[role_id], role_data[Role],"")</f>
        <v>Paediatric Fellow</v>
      </c>
      <c r="C1238">
        <v>75202</v>
      </c>
      <c r="D1238" s="5" t="str">
        <f>_xlfn.XLOOKUP(role_course_map[[#This Row],[course_id]],course_data[course_id],course_data[title],"")</f>
        <v>SAS : Clinical Practice</v>
      </c>
      <c r="E1238" s="5" t="str">
        <f>_xlfn.XLOOKUP(role_course_map[[#This Row],[course_id]],course_data[course_id],course_data[topic],"")</f>
        <v>SAS : Clinical Practice</v>
      </c>
      <c r="F1238" s="5" t="str">
        <f>_xlfn.XLOOKUP(role_course_map[[#This Row],[course_id]],course_data[course_id],course_data[type],"")</f>
        <v>Page</v>
      </c>
      <c r="K1238" t="str">
        <f>role_course_map[[#This Row],[role_id]] &amp; "|" &amp; role_course_map[[#This Row],[course_id]]</f>
        <v>R0148|75202</v>
      </c>
      <c r="L1238" t="str">
        <f>IF(COUNTIF(role_course_map[mapping_key],role_course_map[[#This Row],[mapping_key]])&gt;1,"DUPLICATE","OK")</f>
        <v>OK</v>
      </c>
      <c r="M1238" t="str">
        <f>IF(COUNTIF(role_data[role_id],role_course_map[[#This Row],[role_id]])=0, "INVALID","VALID")</f>
        <v>VALID</v>
      </c>
      <c r="N1238" t="str">
        <f>IF(COUNTIF(course_data[course_id],role_course_map[[#This Row],[course_id]])=0, "INVALID","VALID")</f>
        <v>VALID</v>
      </c>
    </row>
    <row r="1239" spans="1:14" x14ac:dyDescent="0.35">
      <c r="A1239" t="s">
        <v>308</v>
      </c>
      <c r="B1239" s="5" t="str">
        <f>_xlfn.XLOOKUP(role_course_map[[#This Row],[role_id]], role_data[role_id], role_data[Role],"")</f>
        <v>Paediatric Fellow</v>
      </c>
      <c r="C1239">
        <v>999023</v>
      </c>
      <c r="D1239" s="5" t="str">
        <f>_xlfn.XLOOKUP(role_course_map[[#This Row],[course_id]],course_data[course_id],course_data[title],"")</f>
        <v>Dementia</v>
      </c>
      <c r="E1239" s="5" t="str">
        <f>_xlfn.XLOOKUP(role_course_map[[#This Row],[course_id]],course_data[course_id],course_data[topic],"")</f>
        <v>SAS : Clinical Practice</v>
      </c>
      <c r="F1239" s="5" t="str">
        <f>_xlfn.XLOOKUP(role_course_map[[#This Row],[course_id]],course_data[course_id],course_data[type],"")</f>
        <v>eLearning</v>
      </c>
      <c r="K1239" t="str">
        <f>role_course_map[[#This Row],[role_id]] &amp; "|" &amp; role_course_map[[#This Row],[course_id]]</f>
        <v>R0148|999023</v>
      </c>
      <c r="L1239" t="str">
        <f>IF(COUNTIF(role_course_map[mapping_key],role_course_map[[#This Row],[mapping_key]])&gt;1,"DUPLICATE","OK")</f>
        <v>OK</v>
      </c>
      <c r="M1239" t="str">
        <f>IF(COUNTIF(role_data[role_id],role_course_map[[#This Row],[role_id]])=0, "INVALID","VALID")</f>
        <v>VALID</v>
      </c>
      <c r="N1239" t="str">
        <f>IF(COUNTIF(course_data[course_id],role_course_map[[#This Row],[course_id]])=0, "INVALID","VALID")</f>
        <v>VALID</v>
      </c>
    </row>
    <row r="1240" spans="1:14" x14ac:dyDescent="0.35">
      <c r="A1240" t="s">
        <v>306</v>
      </c>
      <c r="B1240" s="5" t="str">
        <f>_xlfn.XLOOKUP(role_course_map[[#This Row],[role_id]], role_data[role_id], role_data[Role],"")</f>
        <v>Paediatric Consultant</v>
      </c>
      <c r="C1240">
        <v>999024</v>
      </c>
      <c r="D1240" s="5" t="str">
        <f>_xlfn.XLOOKUP(role_course_map[[#This Row],[course_id]],course_data[course_id],course_data[title],"")</f>
        <v>Conditions requiring specific hospital management. I.e. Parkinsons</v>
      </c>
      <c r="E1240" s="5" t="str">
        <f>_xlfn.XLOOKUP(role_course_map[[#This Row],[course_id]],course_data[course_id],course_data[topic],"")</f>
        <v>SAS : Clinical Practice</v>
      </c>
      <c r="F1240" s="5" t="str">
        <f>_xlfn.XLOOKUP(role_course_map[[#This Row],[course_id]],course_data[course_id],course_data[type],"")</f>
        <v>eLearning</v>
      </c>
      <c r="K1240" t="str">
        <f>role_course_map[[#This Row],[role_id]] &amp; "|" &amp; role_course_map[[#This Row],[course_id]]</f>
        <v>R0147|999024</v>
      </c>
      <c r="L1240" t="str">
        <f>IF(COUNTIF(role_course_map[mapping_key],role_course_map[[#This Row],[mapping_key]])&gt;1,"DUPLICATE","OK")</f>
        <v>OK</v>
      </c>
      <c r="M1240" t="str">
        <f>IF(COUNTIF(role_data[role_id],role_course_map[[#This Row],[role_id]])=0, "INVALID","VALID")</f>
        <v>VALID</v>
      </c>
      <c r="N1240" t="str">
        <f>IF(COUNTIF(course_data[course_id],role_course_map[[#This Row],[course_id]])=0, "INVALID","VALID")</f>
        <v>VALID</v>
      </c>
    </row>
    <row r="1241" spans="1:14" x14ac:dyDescent="0.35">
      <c r="A1241" t="s">
        <v>308</v>
      </c>
      <c r="B1241" s="5" t="str">
        <f>_xlfn.XLOOKUP(role_course_map[[#This Row],[role_id]], role_data[role_id], role_data[Role],"")</f>
        <v>Paediatric Fellow</v>
      </c>
      <c r="C1241">
        <v>999095</v>
      </c>
      <c r="D1241" s="5" t="str">
        <f>_xlfn.XLOOKUP(role_course_map[[#This Row],[course_id]],course_data[course_id],course_data[title],"")</f>
        <v>Mentoring</v>
      </c>
      <c r="E1241" s="5" t="str">
        <f>_xlfn.XLOOKUP(role_course_map[[#This Row],[course_id]],course_data[course_id],course_data[topic],"")</f>
        <v>SAS: Staff development and experience</v>
      </c>
      <c r="F1241" s="5" t="str">
        <f>_xlfn.XLOOKUP(role_course_map[[#This Row],[course_id]],course_data[course_id],course_data[type],"")</f>
        <v>eLearning</v>
      </c>
      <c r="K1241" t="str">
        <f>role_course_map[[#This Row],[role_id]] &amp; "|" &amp; role_course_map[[#This Row],[course_id]]</f>
        <v>R0148|999095</v>
      </c>
      <c r="L1241" t="str">
        <f>IF(COUNTIF(role_course_map[mapping_key],role_course_map[[#This Row],[mapping_key]])&gt;1,"DUPLICATE","OK")</f>
        <v>OK</v>
      </c>
      <c r="M1241" t="str">
        <f>IF(COUNTIF(role_data[role_id],role_course_map[[#This Row],[role_id]])=0, "INVALID","VALID")</f>
        <v>VALID</v>
      </c>
      <c r="N1241" t="str">
        <f>IF(COUNTIF(course_data[course_id],role_course_map[[#This Row],[course_id]])=0, "INVALID","VALID")</f>
        <v>VALID</v>
      </c>
    </row>
    <row r="1242" spans="1:14" x14ac:dyDescent="0.35">
      <c r="A1242" t="s">
        <v>308</v>
      </c>
      <c r="B1242" s="5" t="str">
        <f>_xlfn.XLOOKUP(role_course_map[[#This Row],[role_id]], role_data[role_id], role_data[Role],"")</f>
        <v>Paediatric Fellow</v>
      </c>
      <c r="C1242">
        <v>999096</v>
      </c>
      <c r="D1242" s="5" t="str">
        <f>_xlfn.XLOOKUP(role_course_map[[#This Row],[course_id]],course_data[course_id],course_data[title],"")</f>
        <v>Supporting others in practice (Supervision)</v>
      </c>
      <c r="E1242" s="5" t="str">
        <f>_xlfn.XLOOKUP(role_course_map[[#This Row],[course_id]],course_data[course_id],course_data[topic],"")</f>
        <v>SAS: Staff development and experience</v>
      </c>
      <c r="F1242" s="5" t="str">
        <f>_xlfn.XLOOKUP(role_course_map[[#This Row],[course_id]],course_data[course_id],course_data[type],"")</f>
        <v>Course</v>
      </c>
      <c r="K1242" t="str">
        <f>role_course_map[[#This Row],[role_id]] &amp; "|" &amp; role_course_map[[#This Row],[course_id]]</f>
        <v>R0148|999096</v>
      </c>
      <c r="L1242" t="str">
        <f>IF(COUNTIF(role_course_map[mapping_key],role_course_map[[#This Row],[mapping_key]])&gt;1,"DUPLICATE","OK")</f>
        <v>OK</v>
      </c>
      <c r="M1242" t="str">
        <f>IF(COUNTIF(role_data[role_id],role_course_map[[#This Row],[role_id]])=0, "INVALID","VALID")</f>
        <v>VALID</v>
      </c>
      <c r="N1242" t="str">
        <f>IF(COUNTIF(course_data[course_id],role_course_map[[#This Row],[course_id]])=0, "INVALID","VALID")</f>
        <v>VALID</v>
      </c>
    </row>
    <row r="1243" spans="1:14" x14ac:dyDescent="0.35">
      <c r="A1243" t="s">
        <v>308</v>
      </c>
      <c r="B1243" s="5" t="str">
        <f>_xlfn.XLOOKUP(role_course_map[[#This Row],[role_id]], role_data[role_id], role_data[Role],"")</f>
        <v>Paediatric Fellow</v>
      </c>
      <c r="C1243">
        <v>999097</v>
      </c>
      <c r="D1243" s="5" t="str">
        <f>_xlfn.XLOOKUP(role_course_map[[#This Row],[course_id]],course_data[course_id],course_data[title],"")</f>
        <v>Personal Wellbeing</v>
      </c>
      <c r="E1243" s="5" t="str">
        <f>_xlfn.XLOOKUP(role_course_map[[#This Row],[course_id]],course_data[course_id],course_data[topic],"")</f>
        <v>SAS: Staff development and experience</v>
      </c>
      <c r="F1243" s="5" t="str">
        <f>_xlfn.XLOOKUP(role_course_map[[#This Row],[course_id]],course_data[course_id],course_data[type],"")</f>
        <v>eLearning</v>
      </c>
      <c r="K1243" t="str">
        <f>role_course_map[[#This Row],[role_id]] &amp; "|" &amp; role_course_map[[#This Row],[course_id]]</f>
        <v>R0148|999097</v>
      </c>
      <c r="L1243" t="str">
        <f>IF(COUNTIF(role_course_map[mapping_key],role_course_map[[#This Row],[mapping_key]])&gt;1,"DUPLICATE","OK")</f>
        <v>OK</v>
      </c>
      <c r="M1243" t="str">
        <f>IF(COUNTIF(role_data[role_id],role_course_map[[#This Row],[role_id]])=0, "INVALID","VALID")</f>
        <v>VALID</v>
      </c>
      <c r="N1243" t="str">
        <f>IF(COUNTIF(course_data[course_id],role_course_map[[#This Row],[course_id]])=0, "INVALID","VALID")</f>
        <v>VALID</v>
      </c>
    </row>
    <row r="1244" spans="1:14" x14ac:dyDescent="0.35">
      <c r="A1244" t="s">
        <v>308</v>
      </c>
      <c r="B1244" s="5" t="str">
        <f>_xlfn.XLOOKUP(role_course_map[[#This Row],[role_id]], role_data[role_id], role_data[Role],"")</f>
        <v>Paediatric Fellow</v>
      </c>
      <c r="C1244">
        <v>79147</v>
      </c>
      <c r="D1244" s="5" t="str">
        <f>_xlfn.XLOOKUP(role_course_map[[#This Row],[course_id]],course_data[course_id],course_data[title],"")</f>
        <v>Driving risks at work</v>
      </c>
      <c r="E1244" s="5" t="str">
        <f>_xlfn.XLOOKUP(role_course_map[[#This Row],[course_id]],course_data[course_id],course_data[topic],"")</f>
        <v>SAS : Health and Safety</v>
      </c>
      <c r="F1244" s="5" t="str">
        <f>_xlfn.XLOOKUP(role_course_map[[#This Row],[course_id]],course_data[course_id],course_data[type],"")</f>
        <v>eLearning</v>
      </c>
      <c r="K1244" t="str">
        <f>role_course_map[[#This Row],[role_id]] &amp; "|" &amp; role_course_map[[#This Row],[course_id]]</f>
        <v>R0148|79147</v>
      </c>
      <c r="L1244" t="str">
        <f>IF(COUNTIF(role_course_map[mapping_key],role_course_map[[#This Row],[mapping_key]])&gt;1,"DUPLICATE","OK")</f>
        <v>OK</v>
      </c>
      <c r="M1244" t="str">
        <f>IF(COUNTIF(role_data[role_id],role_course_map[[#This Row],[role_id]])=0, "INVALID","VALID")</f>
        <v>VALID</v>
      </c>
      <c r="N1244" t="str">
        <f>IF(COUNTIF(course_data[course_id],role_course_map[[#This Row],[course_id]])=0, "INVALID","VALID")</f>
        <v>VALID</v>
      </c>
    </row>
    <row r="1245" spans="1:14" x14ac:dyDescent="0.35">
      <c r="A1245" t="s">
        <v>306</v>
      </c>
      <c r="B1245" s="5" t="str">
        <f>_xlfn.XLOOKUP(role_course_map[[#This Row],[role_id]], role_data[role_id], role_data[Role],"")</f>
        <v>Paediatric Consultant</v>
      </c>
      <c r="C1245">
        <v>999060</v>
      </c>
      <c r="D1245" s="5" t="str">
        <f>_xlfn.XLOOKUP(role_course_map[[#This Row],[course_id]],course_data[course_id],course_data[title],"")</f>
        <v>COSHH</v>
      </c>
      <c r="E1245" s="5" t="str">
        <f>_xlfn.XLOOKUP(role_course_map[[#This Row],[course_id]],course_data[course_id],course_data[topic],"")</f>
        <v>SAS : Health and Safety</v>
      </c>
      <c r="F1245" s="5" t="str">
        <f>_xlfn.XLOOKUP(role_course_map[[#This Row],[course_id]],course_data[course_id],course_data[type],"")</f>
        <v>eLearning</v>
      </c>
      <c r="K1245" t="str">
        <f>role_course_map[[#This Row],[role_id]] &amp; "|" &amp; role_course_map[[#This Row],[course_id]]</f>
        <v>R0147|999060</v>
      </c>
      <c r="L1245" t="str">
        <f>IF(COUNTIF(role_course_map[mapping_key],role_course_map[[#This Row],[mapping_key]])&gt;1,"DUPLICATE","OK")</f>
        <v>OK</v>
      </c>
      <c r="M1245" t="str">
        <f>IF(COUNTIF(role_data[role_id],role_course_map[[#This Row],[role_id]])=0, "INVALID","VALID")</f>
        <v>VALID</v>
      </c>
      <c r="N1245" t="str">
        <f>IF(COUNTIF(course_data[course_id],role_course_map[[#This Row],[course_id]])=0, "INVALID","VALID")</f>
        <v>VALID</v>
      </c>
    </row>
    <row r="1246" spans="1:14" x14ac:dyDescent="0.35">
      <c r="A1246" t="s">
        <v>308</v>
      </c>
      <c r="B1246" s="5" t="str">
        <f>_xlfn.XLOOKUP(role_course_map[[#This Row],[role_id]], role_data[role_id], role_data[Role],"")</f>
        <v>Paediatric Fellow</v>
      </c>
      <c r="C1246">
        <v>999066</v>
      </c>
      <c r="D1246" s="5" t="str">
        <f>_xlfn.XLOOKUP(role_course_map[[#This Row],[course_id]],course_data[course_id],course_data[title],"")</f>
        <v>NRRD Update i.e. Major Incidents/Methane/ Multiple Casualities</v>
      </c>
      <c r="E1246" s="5" t="str">
        <f>_xlfn.XLOOKUP(role_course_map[[#This Row],[course_id]],course_data[course_id],course_data[topic],"")</f>
        <v>SAS : National Risk and Resilience Department (NRRD)</v>
      </c>
      <c r="F1246" s="5" t="str">
        <f>_xlfn.XLOOKUP(role_course_map[[#This Row],[course_id]],course_data[course_id],course_data[type],"")</f>
        <v>eLearning</v>
      </c>
      <c r="K1246" t="str">
        <f>role_course_map[[#This Row],[role_id]] &amp; "|" &amp; role_course_map[[#This Row],[course_id]]</f>
        <v>R0148|999066</v>
      </c>
      <c r="L1246" t="str">
        <f>IF(COUNTIF(role_course_map[mapping_key],role_course_map[[#This Row],[mapping_key]])&gt;1,"DUPLICATE","OK")</f>
        <v>OK</v>
      </c>
      <c r="M1246" t="str">
        <f>IF(COUNTIF(role_data[role_id],role_course_map[[#This Row],[role_id]])=0, "INVALID","VALID")</f>
        <v>VALID</v>
      </c>
      <c r="N1246" t="str">
        <f>IF(COUNTIF(course_data[course_id],role_course_map[[#This Row],[course_id]])=0, "INVALID","VALID")</f>
        <v>VALID</v>
      </c>
    </row>
    <row r="1247" spans="1:14" x14ac:dyDescent="0.35">
      <c r="A1247" t="s">
        <v>308</v>
      </c>
      <c r="B1247" s="5" t="str">
        <f>_xlfn.XLOOKUP(role_course_map[[#This Row],[role_id]], role_data[role_id], role_data[Role],"")</f>
        <v>Paediatric Fellow</v>
      </c>
      <c r="C1247">
        <v>999025</v>
      </c>
      <c r="D1247" s="5" t="str">
        <f>_xlfn.XLOOKUP(role_course_map[[#This Row],[course_id]],course_data[course_id],course_data[title],"")</f>
        <v>Professional Standards</v>
      </c>
      <c r="E1247" s="5" t="str">
        <f>_xlfn.XLOOKUP(role_course_map[[#This Row],[course_id]],course_data[course_id],course_data[topic],"")</f>
        <v>SAS : Clinical Practice</v>
      </c>
      <c r="F1247" s="5" t="str">
        <f>_xlfn.XLOOKUP(role_course_map[[#This Row],[course_id]],course_data[course_id],course_data[type],"")</f>
        <v>eLearning</v>
      </c>
      <c r="K1247" t="str">
        <f>role_course_map[[#This Row],[role_id]] &amp; "|" &amp; role_course_map[[#This Row],[course_id]]</f>
        <v>R0148|999025</v>
      </c>
      <c r="L1247" t="str">
        <f>IF(COUNTIF(role_course_map[mapping_key],role_course_map[[#This Row],[mapping_key]])&gt;1,"DUPLICATE","OK")</f>
        <v>OK</v>
      </c>
      <c r="M1247" t="str">
        <f>IF(COUNTIF(role_data[role_id],role_course_map[[#This Row],[role_id]])=0, "INVALID","VALID")</f>
        <v>VALID</v>
      </c>
      <c r="N1247" t="str">
        <f>IF(COUNTIF(course_data[course_id],role_course_map[[#This Row],[course_id]])=0, "INVALID","VALID")</f>
        <v>VALID</v>
      </c>
    </row>
    <row r="1248" spans="1:14" x14ac:dyDescent="0.35">
      <c r="A1248" t="s">
        <v>306</v>
      </c>
      <c r="B1248" s="5" t="str">
        <f>_xlfn.XLOOKUP(role_course_map[[#This Row],[role_id]], role_data[role_id], role_data[Role],"")</f>
        <v>Paediatric Consultant</v>
      </c>
      <c r="C1248">
        <v>999026</v>
      </c>
      <c r="D1248" s="5" t="str">
        <f>_xlfn.XLOOKUP(role_course_map[[#This Row],[course_id]],course_data[course_id],course_data[title],"")</f>
        <v>Communication Standards</v>
      </c>
      <c r="E1248" s="5" t="str">
        <f>_xlfn.XLOOKUP(role_course_map[[#This Row],[course_id]],course_data[course_id],course_data[topic],"")</f>
        <v>SAS : Clinical Practice</v>
      </c>
      <c r="F1248" s="5" t="str">
        <f>_xlfn.XLOOKUP(role_course_map[[#This Row],[course_id]],course_data[course_id],course_data[type],"")</f>
        <v>eLearning</v>
      </c>
      <c r="K1248" t="str">
        <f>role_course_map[[#This Row],[role_id]] &amp; "|" &amp; role_course_map[[#This Row],[course_id]]</f>
        <v>R0147|999026</v>
      </c>
      <c r="L1248" t="str">
        <f>IF(COUNTIF(role_course_map[mapping_key],role_course_map[[#This Row],[mapping_key]])&gt;1,"DUPLICATE","OK")</f>
        <v>OK</v>
      </c>
      <c r="M1248" t="str">
        <f>IF(COUNTIF(role_data[role_id],role_course_map[[#This Row],[role_id]])=0, "INVALID","VALID")</f>
        <v>VALID</v>
      </c>
      <c r="N1248" t="str">
        <f>IF(COUNTIF(course_data[course_id],role_course_map[[#This Row],[course_id]])=0, "INVALID","VALID")</f>
        <v>VALID</v>
      </c>
    </row>
    <row r="1249" spans="1:14" x14ac:dyDescent="0.35">
      <c r="A1249" t="s">
        <v>308</v>
      </c>
      <c r="B1249" s="5" t="str">
        <f>_xlfn.XLOOKUP(role_course_map[[#This Row],[role_id]], role_data[role_id], role_data[Role],"")</f>
        <v>Paediatric Fellow</v>
      </c>
      <c r="C1249">
        <v>999058</v>
      </c>
      <c r="D1249" s="5" t="str">
        <f>_xlfn.XLOOKUP(role_course_map[[#This Row],[course_id]],course_data[course_id],course_data[title],"")</f>
        <v>Stress Identification &amp; Stress Management</v>
      </c>
      <c r="E1249" s="5" t="str">
        <f>_xlfn.XLOOKUP(role_course_map[[#This Row],[course_id]],course_data[course_id],course_data[topic],"")</f>
        <v>SAS : Health and Safety</v>
      </c>
      <c r="F1249" s="5" t="str">
        <f>_xlfn.XLOOKUP(role_course_map[[#This Row],[course_id]],course_data[course_id],course_data[type],"")</f>
        <v>eLearning</v>
      </c>
      <c r="K1249" t="str">
        <f>role_course_map[[#This Row],[role_id]] &amp; "|" &amp; role_course_map[[#This Row],[course_id]]</f>
        <v>R0148|999058</v>
      </c>
      <c r="L1249" t="str">
        <f>IF(COUNTIF(role_course_map[mapping_key],role_course_map[[#This Row],[mapping_key]])&gt;1,"DUPLICATE","OK")</f>
        <v>OK</v>
      </c>
      <c r="M1249" t="str">
        <f>IF(COUNTIF(role_data[role_id],role_course_map[[#This Row],[role_id]])=0, "INVALID","VALID")</f>
        <v>VALID</v>
      </c>
      <c r="N1249" t="str">
        <f>IF(COUNTIF(course_data[course_id],role_course_map[[#This Row],[course_id]])=0, "INVALID","VALID")</f>
        <v>VALID</v>
      </c>
    </row>
    <row r="1250" spans="1:14" x14ac:dyDescent="0.35">
      <c r="A1250" t="s">
        <v>306</v>
      </c>
      <c r="B1250" s="5" t="str">
        <f>_xlfn.XLOOKUP(role_course_map[[#This Row],[role_id]], role_data[role_id], role_data[Role],"")</f>
        <v>Paediatric Consultant</v>
      </c>
      <c r="C1250">
        <v>999056</v>
      </c>
      <c r="D1250" s="5" t="str">
        <f>_xlfn.XLOOKUP(role_course_map[[#This Row],[course_id]],course_data[course_id],course_data[title],"")</f>
        <v>Driver Assessment &amp; Training</v>
      </c>
      <c r="E1250" s="5" t="str">
        <f>_xlfn.XLOOKUP(role_course_map[[#This Row],[course_id]],course_data[course_id],course_data[topic],"")</f>
        <v>SAS : Health and Safety</v>
      </c>
      <c r="F1250" s="5" t="str">
        <f>_xlfn.XLOOKUP(role_course_map[[#This Row],[course_id]],course_data[course_id],course_data[type],"")</f>
        <v>eLearning</v>
      </c>
      <c r="K1250" t="str">
        <f>role_course_map[[#This Row],[role_id]] &amp; "|" &amp; role_course_map[[#This Row],[course_id]]</f>
        <v>R0147|999056</v>
      </c>
      <c r="L1250" t="str">
        <f>IF(COUNTIF(role_course_map[mapping_key],role_course_map[[#This Row],[mapping_key]])&gt;1,"DUPLICATE","OK")</f>
        <v>OK</v>
      </c>
      <c r="M1250" t="str">
        <f>IF(COUNTIF(role_data[role_id],role_course_map[[#This Row],[role_id]])=0, "INVALID","VALID")</f>
        <v>VALID</v>
      </c>
      <c r="N1250" t="str">
        <f>IF(COUNTIF(course_data[course_id],role_course_map[[#This Row],[course_id]])=0, "INVALID","VALID")</f>
        <v>VALID</v>
      </c>
    </row>
    <row r="1251" spans="1:14" x14ac:dyDescent="0.35">
      <c r="A1251" t="s">
        <v>308</v>
      </c>
      <c r="B1251" s="5" t="str">
        <f>_xlfn.XLOOKUP(role_course_map[[#This Row],[role_id]], role_data[role_id], role_data[Role],"")</f>
        <v>Paediatric Fellow</v>
      </c>
      <c r="C1251">
        <v>999061</v>
      </c>
      <c r="D1251" s="5" t="str">
        <f>_xlfn.XLOOKUP(role_course_map[[#This Row],[course_id]],course_data[course_id],course_data[title],"")</f>
        <v>Skin Awareness</v>
      </c>
      <c r="E1251" s="5" t="str">
        <f>_xlfn.XLOOKUP(role_course_map[[#This Row],[course_id]],course_data[course_id],course_data[topic],"")</f>
        <v>SAS : Health and Safety</v>
      </c>
      <c r="F1251" s="5" t="str">
        <f>_xlfn.XLOOKUP(role_course_map[[#This Row],[course_id]],course_data[course_id],course_data[type],"")</f>
        <v>eLearning</v>
      </c>
      <c r="K1251" t="str">
        <f>role_course_map[[#This Row],[role_id]] &amp; "|" &amp; role_course_map[[#This Row],[course_id]]</f>
        <v>R0148|999061</v>
      </c>
      <c r="L1251" t="str">
        <f>IF(COUNTIF(role_course_map[mapping_key],role_course_map[[#This Row],[mapping_key]])&gt;1,"DUPLICATE","OK")</f>
        <v>OK</v>
      </c>
      <c r="M1251" t="str">
        <f>IF(COUNTIF(role_data[role_id],role_course_map[[#This Row],[role_id]])=0, "INVALID","VALID")</f>
        <v>VALID</v>
      </c>
      <c r="N1251" t="str">
        <f>IF(COUNTIF(course_data[course_id],role_course_map[[#This Row],[course_id]])=0, "INVALID","VALID")</f>
        <v>VALID</v>
      </c>
    </row>
    <row r="1252" spans="1:14" x14ac:dyDescent="0.35">
      <c r="A1252" t="s">
        <v>306</v>
      </c>
      <c r="B1252" s="5" t="str">
        <f>_xlfn.XLOOKUP(role_course_map[[#This Row],[role_id]], role_data[role_id], role_data[Role],"")</f>
        <v>Paediatric Consultant</v>
      </c>
      <c r="C1252">
        <v>999057</v>
      </c>
      <c r="D1252" s="5" t="str">
        <f>_xlfn.XLOOKUP(role_course_map[[#This Row],[course_id]],course_data[course_id],course_data[title],"")</f>
        <v>Fatigue Awareness</v>
      </c>
      <c r="E1252" s="5" t="str">
        <f>_xlfn.XLOOKUP(role_course_map[[#This Row],[course_id]],course_data[course_id],course_data[topic],"")</f>
        <v>SAS : Health and Safety</v>
      </c>
      <c r="F1252" s="5" t="str">
        <f>_xlfn.XLOOKUP(role_course_map[[#This Row],[course_id]],course_data[course_id],course_data[type],"")</f>
        <v>eLearning</v>
      </c>
      <c r="K1252" t="str">
        <f>role_course_map[[#This Row],[role_id]] &amp; "|" &amp; role_course_map[[#This Row],[course_id]]</f>
        <v>R0147|999057</v>
      </c>
      <c r="L1252" t="str">
        <f>IF(COUNTIF(role_course_map[mapping_key],role_course_map[[#This Row],[mapping_key]])&gt;1,"DUPLICATE","OK")</f>
        <v>OK</v>
      </c>
      <c r="M1252" t="str">
        <f>IF(COUNTIF(role_data[role_id],role_course_map[[#This Row],[role_id]])=0, "INVALID","VALID")</f>
        <v>VALID</v>
      </c>
      <c r="N1252" t="str">
        <f>IF(COUNTIF(course_data[course_id],role_course_map[[#This Row],[course_id]])=0, "INVALID","VALID")</f>
        <v>VALID</v>
      </c>
    </row>
    <row r="1253" spans="1:14" x14ac:dyDescent="0.35">
      <c r="A1253" t="s">
        <v>308</v>
      </c>
      <c r="B1253" s="5" t="str">
        <f>_xlfn.XLOOKUP(role_course_map[[#This Row],[role_id]], role_data[role_id], role_data[Role],"")</f>
        <v>Paediatric Fellow</v>
      </c>
      <c r="C1253">
        <v>999027</v>
      </c>
      <c r="D1253" s="5" t="str">
        <f>_xlfn.XLOOKUP(role_course_map[[#This Row],[course_id]],course_data[course_id],course_data[title],"")</f>
        <v>Manual and Patient Handling Foundation Training - Level 2</v>
      </c>
      <c r="E1253" s="5" t="str">
        <f>_xlfn.XLOOKUP(role_course_map[[#This Row],[course_id]],course_data[course_id],course_data[topic],"")</f>
        <v>SAS : Clinical Practice</v>
      </c>
      <c r="F1253" s="5" t="str">
        <f>_xlfn.XLOOKUP(role_course_map[[#This Row],[course_id]],course_data[course_id],course_data[type],"")</f>
        <v>Course</v>
      </c>
      <c r="K1253" t="str">
        <f>role_course_map[[#This Row],[role_id]] &amp; "|" &amp; role_course_map[[#This Row],[course_id]]</f>
        <v>R0148|999027</v>
      </c>
      <c r="L1253" t="str">
        <f>IF(COUNTIF(role_course_map[mapping_key],role_course_map[[#This Row],[mapping_key]])&gt;1,"DUPLICATE","OK")</f>
        <v>OK</v>
      </c>
      <c r="M1253" t="str">
        <f>IF(COUNTIF(role_data[role_id],role_course_map[[#This Row],[role_id]])=0, "INVALID","VALID")</f>
        <v>VALID</v>
      </c>
      <c r="N1253" t="str">
        <f>IF(COUNTIF(course_data[course_id],role_course_map[[#This Row],[course_id]])=0, "INVALID","VALID")</f>
        <v>VALID</v>
      </c>
    </row>
    <row r="1254" spans="1:14" x14ac:dyDescent="0.35">
      <c r="A1254" t="s">
        <v>308</v>
      </c>
      <c r="B1254" s="5" t="str">
        <f>_xlfn.XLOOKUP(role_course_map[[#This Row],[role_id]], role_data[role_id], role_data[Role],"")</f>
        <v>Paediatric Fellow</v>
      </c>
      <c r="C1254">
        <v>999028</v>
      </c>
      <c r="D1254" s="5" t="str">
        <f>_xlfn.XLOOKUP(role_course_map[[#This Row],[course_id]],course_data[course_id],course_data[title],"")</f>
        <v>Manual and Patient Handling Competency Assessment - Level 3</v>
      </c>
      <c r="E1254" s="5" t="str">
        <f>_xlfn.XLOOKUP(role_course_map[[#This Row],[course_id]],course_data[course_id],course_data[topic],"")</f>
        <v>SAS : Clinical Practice</v>
      </c>
      <c r="F1254" s="5" t="str">
        <f>_xlfn.XLOOKUP(role_course_map[[#This Row],[course_id]],course_data[course_id],course_data[type],"")</f>
        <v>Course</v>
      </c>
      <c r="K1254" t="str">
        <f>role_course_map[[#This Row],[role_id]] &amp; "|" &amp; role_course_map[[#This Row],[course_id]]</f>
        <v>R0148|999028</v>
      </c>
      <c r="L1254" t="str">
        <f>IF(COUNTIF(role_course_map[mapping_key],role_course_map[[#This Row],[mapping_key]])&gt;1,"DUPLICATE","OK")</f>
        <v>OK</v>
      </c>
      <c r="M1254" t="str">
        <f>IF(COUNTIF(role_data[role_id],role_course_map[[#This Row],[role_id]])=0, "INVALID","VALID")</f>
        <v>VALID</v>
      </c>
      <c r="N1254" t="str">
        <f>IF(COUNTIF(course_data[course_id],role_course_map[[#This Row],[course_id]])=0, "INVALID","VALID")</f>
        <v>VALID</v>
      </c>
    </row>
    <row r="1255" spans="1:14" x14ac:dyDescent="0.35">
      <c r="A1255" t="s">
        <v>308</v>
      </c>
      <c r="B1255" s="5" t="str">
        <f>_xlfn.XLOOKUP(role_course_map[[#This Row],[role_id]], role_data[role_id], role_data[Role],"")</f>
        <v>Paediatric Fellow</v>
      </c>
      <c r="C1255">
        <v>999029</v>
      </c>
      <c r="D1255" s="5" t="str">
        <f>_xlfn.XLOOKUP(role_course_map[[#This Row],[course_id]],course_data[course_id],course_data[title],"")</f>
        <v>Manual and Patient Handling Competency Assessment Theory - Level 3</v>
      </c>
      <c r="E1255" s="5" t="str">
        <f>_xlfn.XLOOKUP(role_course_map[[#This Row],[course_id]],course_data[course_id],course_data[topic],"")</f>
        <v>SAS : Clinical Practice</v>
      </c>
      <c r="F1255" s="5" t="str">
        <f>_xlfn.XLOOKUP(role_course_map[[#This Row],[course_id]],course_data[course_id],course_data[type],"")</f>
        <v>Course</v>
      </c>
      <c r="K1255" t="str">
        <f>role_course_map[[#This Row],[role_id]] &amp; "|" &amp; role_course_map[[#This Row],[course_id]]</f>
        <v>R0148|999029</v>
      </c>
      <c r="L1255" t="str">
        <f>IF(COUNTIF(role_course_map[mapping_key],role_course_map[[#This Row],[mapping_key]])&gt;1,"DUPLICATE","OK")</f>
        <v>OK</v>
      </c>
      <c r="M1255" t="str">
        <f>IF(COUNTIF(role_data[role_id],role_course_map[[#This Row],[role_id]])=0, "INVALID","VALID")</f>
        <v>VALID</v>
      </c>
      <c r="N1255" t="str">
        <f>IF(COUNTIF(course_data[course_id],role_course_map[[#This Row],[course_id]])=0, "INVALID","VALID")</f>
        <v>VALID</v>
      </c>
    </row>
    <row r="1256" spans="1:14" x14ac:dyDescent="0.35">
      <c r="A1256" t="s">
        <v>308</v>
      </c>
      <c r="B1256" s="5" t="str">
        <f>_xlfn.XLOOKUP(role_course_map[[#This Row],[role_id]], role_data[role_id], role_data[Role],"")</f>
        <v>Paediatric Fellow</v>
      </c>
      <c r="C1256" t="s">
        <v>659</v>
      </c>
      <c r="D1256" s="5" t="str">
        <f>_xlfn.XLOOKUP(role_course_map[[#This Row],[course_id]],course_data[course_id],course_data[title],"")</f>
        <v>Prevention and Management of Violence and Aggression - Breakaway training Level 2 /Restrictive movement Level 3</v>
      </c>
      <c r="E1256" s="5" t="str">
        <f>_xlfn.XLOOKUP(role_course_map[[#This Row],[course_id]],course_data[course_id],course_data[topic],"")</f>
        <v>SAS : Health and Safety</v>
      </c>
      <c r="F1256" s="5" t="str">
        <f>_xlfn.XLOOKUP(role_course_map[[#This Row],[course_id]],course_data[course_id],course_data[type],"")</f>
        <v>Course</v>
      </c>
      <c r="K1256" t="str">
        <f>role_course_map[[#This Row],[role_id]] &amp; "|" &amp; role_course_map[[#This Row],[course_id]]</f>
        <v>R0148|2025-6 edition</v>
      </c>
      <c r="L1256" t="str">
        <f>IF(COUNTIF(role_course_map[mapping_key],role_course_map[[#This Row],[mapping_key]])&gt;1,"DUPLICATE","OK")</f>
        <v>OK</v>
      </c>
      <c r="M1256" t="str">
        <f>IF(COUNTIF(role_data[role_id],role_course_map[[#This Row],[role_id]])=0, "INVALID","VALID")</f>
        <v>VALID</v>
      </c>
      <c r="N1256" t="str">
        <f>IF(COUNTIF(course_data[course_id],role_course_map[[#This Row],[course_id]])=0, "INVALID","VALID")</f>
        <v>VALID</v>
      </c>
    </row>
    <row r="1257" spans="1:14" x14ac:dyDescent="0.35">
      <c r="A1257" t="s">
        <v>308</v>
      </c>
      <c r="B1257" s="5" t="str">
        <f>_xlfn.XLOOKUP(role_course_map[[#This Row],[role_id]], role_data[role_id], role_data[Role],"")</f>
        <v>Paediatric Fellow</v>
      </c>
      <c r="C1257">
        <v>999055</v>
      </c>
      <c r="D1257" s="5" t="str">
        <f>_xlfn.XLOOKUP(role_course_map[[#This Row],[course_id]],course_data[course_id],course_data[title],"")</f>
        <v>Prevention and Management of Violence and Aggression - Refresher</v>
      </c>
      <c r="E1257" s="5" t="str">
        <f>_xlfn.XLOOKUP(role_course_map[[#This Row],[course_id]],course_data[course_id],course_data[topic],"")</f>
        <v>SAS : Health and Safety</v>
      </c>
      <c r="F1257" s="5" t="str">
        <f>_xlfn.XLOOKUP(role_course_map[[#This Row],[course_id]],course_data[course_id],course_data[type],"")</f>
        <v>Course</v>
      </c>
      <c r="K1257" t="str">
        <f>role_course_map[[#This Row],[role_id]] &amp; "|" &amp; role_course_map[[#This Row],[course_id]]</f>
        <v>R0148|999055</v>
      </c>
      <c r="L1257" t="str">
        <f>IF(COUNTIF(role_course_map[mapping_key],role_course_map[[#This Row],[mapping_key]])&gt;1,"DUPLICATE","OK")</f>
        <v>OK</v>
      </c>
      <c r="M1257" t="str">
        <f>IF(COUNTIF(role_data[role_id],role_course_map[[#This Row],[role_id]])=0, "INVALID","VALID")</f>
        <v>VALID</v>
      </c>
      <c r="N1257" t="str">
        <f>IF(COUNTIF(course_data[course_id],role_course_map[[#This Row],[course_id]])=0, "INVALID","VALID")</f>
        <v>VALID</v>
      </c>
    </row>
    <row r="1258" spans="1:14" x14ac:dyDescent="0.35">
      <c r="A1258" t="s">
        <v>308</v>
      </c>
      <c r="B1258" s="5" t="str">
        <f>_xlfn.XLOOKUP(role_course_map[[#This Row],[role_id]], role_data[role_id], role_data[Role],"")</f>
        <v>Paediatric Fellow</v>
      </c>
      <c r="C1258">
        <v>64322</v>
      </c>
      <c r="D1258" s="5" t="str">
        <f>_xlfn.XLOOKUP(role_course_map[[#This Row],[course_id]],course_data[course_id],course_data[title],"")</f>
        <v>Adult support and protection: practice level 2 [skilled]</v>
      </c>
      <c r="E1258" s="5" t="str">
        <f>_xlfn.XLOOKUP(role_course_map[[#This Row],[course_id]],course_data[course_id],course_data[topic],"")</f>
        <v>SAS : Public Protection</v>
      </c>
      <c r="F1258" s="5" t="str">
        <f>_xlfn.XLOOKUP(role_course_map[[#This Row],[course_id]],course_data[course_id],course_data[type],"")</f>
        <v>eLearning</v>
      </c>
      <c r="K1258" t="str">
        <f>role_course_map[[#This Row],[role_id]] &amp; "|" &amp; role_course_map[[#This Row],[course_id]]</f>
        <v>R0148|64322</v>
      </c>
      <c r="L1258" t="str">
        <f>IF(COUNTIF(role_course_map[mapping_key],role_course_map[[#This Row],[mapping_key]])&gt;1,"DUPLICATE","OK")</f>
        <v>OK</v>
      </c>
      <c r="M1258" t="str">
        <f>IF(COUNTIF(role_data[role_id],role_course_map[[#This Row],[role_id]])=0, "INVALID","VALID")</f>
        <v>VALID</v>
      </c>
      <c r="N1258" t="str">
        <f>IF(COUNTIF(course_data[course_id],role_course_map[[#This Row],[course_id]])=0, "INVALID","VALID")</f>
        <v>VALID</v>
      </c>
    </row>
    <row r="1259" spans="1:14" x14ac:dyDescent="0.35">
      <c r="A1259" t="s">
        <v>308</v>
      </c>
      <c r="B1259" s="5" t="str">
        <f>_xlfn.XLOOKUP(role_course_map[[#This Row],[role_id]], role_data[role_id], role_data[Role],"")</f>
        <v>Paediatric Fellow</v>
      </c>
      <c r="C1259">
        <v>64324</v>
      </c>
      <c r="D1259" s="5" t="str">
        <f>_xlfn.XLOOKUP(role_course_map[[#This Row],[course_id]],course_data[course_id],course_data[title],"")</f>
        <v>Child protection: practice level 2 [skilled]</v>
      </c>
      <c r="E1259" s="5" t="str">
        <f>_xlfn.XLOOKUP(role_course_map[[#This Row],[course_id]],course_data[course_id],course_data[topic],"")</f>
        <v>SAS : Public Protection</v>
      </c>
      <c r="F1259" s="5" t="str">
        <f>_xlfn.XLOOKUP(role_course_map[[#This Row],[course_id]],course_data[course_id],course_data[type],"")</f>
        <v>eLearning</v>
      </c>
      <c r="K1259" t="str">
        <f>role_course_map[[#This Row],[role_id]] &amp; "|" &amp; role_course_map[[#This Row],[course_id]]</f>
        <v>R0148|64324</v>
      </c>
      <c r="L1259" t="str">
        <f>IF(COUNTIF(role_course_map[mapping_key],role_course_map[[#This Row],[mapping_key]])&gt;1,"DUPLICATE","OK")</f>
        <v>OK</v>
      </c>
      <c r="M1259" t="str">
        <f>IF(COUNTIF(role_data[role_id],role_course_map[[#This Row],[role_id]])=0, "INVALID","VALID")</f>
        <v>VALID</v>
      </c>
      <c r="N1259" t="str">
        <f>IF(COUNTIF(course_data[course_id],role_course_map[[#This Row],[course_id]])=0, "INVALID","VALID")</f>
        <v>VALID</v>
      </c>
    </row>
    <row r="1260" spans="1:14" x14ac:dyDescent="0.35">
      <c r="A1260" t="s">
        <v>306</v>
      </c>
      <c r="B1260" s="5" t="str">
        <f>_xlfn.XLOOKUP(role_course_map[[#This Row],[role_id]], role_data[role_id], role_data[Role],"")</f>
        <v>Paediatric Consultant</v>
      </c>
      <c r="C1260">
        <v>76716</v>
      </c>
      <c r="D1260" s="5" t="str">
        <f>_xlfn.XLOOKUP(role_course_map[[#This Row],[course_id]],course_data[course_id],course_data[title],"")</f>
        <v>Domestic abuse awareness training tool (DAART)</v>
      </c>
      <c r="E1260" s="5" t="str">
        <f>_xlfn.XLOOKUP(role_course_map[[#This Row],[course_id]],course_data[course_id],course_data[topic],"")</f>
        <v>SAS : Public Protection</v>
      </c>
      <c r="F1260" s="5" t="str">
        <f>_xlfn.XLOOKUP(role_course_map[[#This Row],[course_id]],course_data[course_id],course_data[type],"")</f>
        <v>eLearning</v>
      </c>
      <c r="K1260" t="str">
        <f>role_course_map[[#This Row],[role_id]] &amp; "|" &amp; role_course_map[[#This Row],[course_id]]</f>
        <v>R0147|76716</v>
      </c>
      <c r="L1260" t="str">
        <f>IF(COUNTIF(role_course_map[mapping_key],role_course_map[[#This Row],[mapping_key]])&gt;1,"DUPLICATE","OK")</f>
        <v>OK</v>
      </c>
      <c r="M1260" t="str">
        <f>IF(COUNTIF(role_data[role_id],role_course_map[[#This Row],[role_id]])=0, "INVALID","VALID")</f>
        <v>VALID</v>
      </c>
      <c r="N1260" t="str">
        <f>IF(COUNTIF(course_data[course_id],role_course_map[[#This Row],[course_id]])=0, "INVALID","VALID")</f>
        <v>VALID</v>
      </c>
    </row>
    <row r="1261" spans="1:14" x14ac:dyDescent="0.35">
      <c r="A1261" t="s">
        <v>308</v>
      </c>
      <c r="B1261" s="5" t="str">
        <f>_xlfn.XLOOKUP(role_course_map[[#This Row],[role_id]], role_data[role_id], role_data[Role],"")</f>
        <v>Paediatric Fellow</v>
      </c>
      <c r="C1261">
        <v>79666</v>
      </c>
      <c r="D1261" s="5" t="str">
        <f>_xlfn.XLOOKUP(role_course_map[[#This Row],[course_id]],course_data[course_id],course_data[title],"")</f>
        <v>Getting it right for every child (GIRFEC): informed level</v>
      </c>
      <c r="E1261" s="5" t="str">
        <f>_xlfn.XLOOKUP(role_course_map[[#This Row],[course_id]],course_data[course_id],course_data[topic],"")</f>
        <v>SAS : Public Protection</v>
      </c>
      <c r="F1261" s="5" t="str">
        <f>_xlfn.XLOOKUP(role_course_map[[#This Row],[course_id]],course_data[course_id],course_data[type],"")</f>
        <v>eLearning</v>
      </c>
      <c r="K1261" t="str">
        <f>role_course_map[[#This Row],[role_id]] &amp; "|" &amp; role_course_map[[#This Row],[course_id]]</f>
        <v>R0148|79666</v>
      </c>
      <c r="L1261" t="str">
        <f>IF(COUNTIF(role_course_map[mapping_key],role_course_map[[#This Row],[mapping_key]])&gt;1,"DUPLICATE","OK")</f>
        <v>OK</v>
      </c>
      <c r="M1261" t="str">
        <f>IF(COUNTIF(role_data[role_id],role_course_map[[#This Row],[role_id]])=0, "INVALID","VALID")</f>
        <v>VALID</v>
      </c>
      <c r="N1261" t="str">
        <f>IF(COUNTIF(course_data[course_id],role_course_map[[#This Row],[course_id]])=0, "INVALID","VALID")</f>
        <v>VALID</v>
      </c>
    </row>
    <row r="1262" spans="1:14" x14ac:dyDescent="0.35">
      <c r="A1262" t="s">
        <v>308</v>
      </c>
      <c r="B1262" s="5" t="str">
        <f>_xlfn.XLOOKUP(role_course_map[[#This Row],[role_id]], role_data[role_id], role_data[Role],"")</f>
        <v>Paediatric Fellow</v>
      </c>
      <c r="C1262">
        <v>999074</v>
      </c>
      <c r="D1262" s="5" t="str">
        <f>_xlfn.XLOOKUP(role_course_map[[#This Row],[course_id]],course_data[course_id],course_data[title],"")</f>
        <v>SAS-specific Children’s rights</v>
      </c>
      <c r="E1262" s="5" t="str">
        <f>_xlfn.XLOOKUP(role_course_map[[#This Row],[course_id]],course_data[course_id],course_data[topic],"")</f>
        <v>SAS : Public Protection</v>
      </c>
      <c r="F1262" s="5" t="str">
        <f>_xlfn.XLOOKUP(role_course_map[[#This Row],[course_id]],course_data[course_id],course_data[type],"")</f>
        <v>eLearning</v>
      </c>
      <c r="K1262" t="str">
        <f>role_course_map[[#This Row],[role_id]] &amp; "|" &amp; role_course_map[[#This Row],[course_id]]</f>
        <v>R0148|999074</v>
      </c>
      <c r="L1262" t="str">
        <f>IF(COUNTIF(role_course_map[mapping_key],role_course_map[[#This Row],[mapping_key]])&gt;1,"DUPLICATE","OK")</f>
        <v>OK</v>
      </c>
      <c r="M1262" t="str">
        <f>IF(COUNTIF(role_data[role_id],role_course_map[[#This Row],[role_id]])=0, "INVALID","VALID")</f>
        <v>VALID</v>
      </c>
      <c r="N1262" t="str">
        <f>IF(COUNTIF(course_data[course_id],role_course_map[[#This Row],[course_id]])=0, "INVALID","VALID")</f>
        <v>VALID</v>
      </c>
    </row>
    <row r="1263" spans="1:14" x14ac:dyDescent="0.35">
      <c r="A1263" t="s">
        <v>308</v>
      </c>
      <c r="B1263" s="5" t="str">
        <f>_xlfn.XLOOKUP(role_course_map[[#This Row],[role_id]], role_data[role_id], role_data[Role],"")</f>
        <v>Paediatric Fellow</v>
      </c>
      <c r="C1263">
        <v>999075</v>
      </c>
      <c r="D1263" s="5" t="str">
        <f>_xlfn.XLOOKUP(role_course_map[[#This Row],[course_id]],course_data[course_id],course_data[title],"")</f>
        <v>Multiagency local or bespoke Level 3 delivery training</v>
      </c>
      <c r="E1263" s="5" t="str">
        <f>_xlfn.XLOOKUP(role_course_map[[#This Row],[course_id]],course_data[course_id],course_data[topic],"")</f>
        <v>SAS : Public Protection</v>
      </c>
      <c r="F1263" s="5" t="str">
        <f>_xlfn.XLOOKUP(role_course_map[[#This Row],[course_id]],course_data[course_id],course_data[type],"")</f>
        <v>eLearning</v>
      </c>
      <c r="K1263" t="str">
        <f>role_course_map[[#This Row],[role_id]] &amp; "|" &amp; role_course_map[[#This Row],[course_id]]</f>
        <v>R0148|999075</v>
      </c>
      <c r="L1263" t="str">
        <f>IF(COUNTIF(role_course_map[mapping_key],role_course_map[[#This Row],[mapping_key]])&gt;1,"DUPLICATE","OK")</f>
        <v>OK</v>
      </c>
      <c r="M1263" t="str">
        <f>IF(COUNTIF(role_data[role_id],role_course_map[[#This Row],[role_id]])=0, "INVALID","VALID")</f>
        <v>VALID</v>
      </c>
      <c r="N1263" t="str">
        <f>IF(COUNTIF(course_data[course_id],role_course_map[[#This Row],[course_id]])=0, "INVALID","VALID")</f>
        <v>VALID</v>
      </c>
    </row>
    <row r="1264" spans="1:14" x14ac:dyDescent="0.35">
      <c r="A1264" t="s">
        <v>308</v>
      </c>
      <c r="B1264" s="5" t="str">
        <f>_xlfn.XLOOKUP(role_course_map[[#This Row],[role_id]], role_data[role_id], role_data[Role],"")</f>
        <v>Paediatric Fellow</v>
      </c>
      <c r="C1264">
        <v>15249</v>
      </c>
      <c r="D1264" s="5" t="str">
        <f>_xlfn.XLOOKUP(role_course_map[[#This Row],[course_id]],course_data[course_id],course_data[title],"")</f>
        <v>Human trafficking</v>
      </c>
      <c r="E1264" s="5" t="str">
        <f>_xlfn.XLOOKUP(role_course_map[[#This Row],[course_id]],course_data[course_id],course_data[topic],"")</f>
        <v>SAS : Public Protection</v>
      </c>
      <c r="F1264" s="5" t="str">
        <f>_xlfn.XLOOKUP(role_course_map[[#This Row],[course_id]],course_data[course_id],course_data[type],"")</f>
        <v>eLearning</v>
      </c>
      <c r="K1264" t="str">
        <f>role_course_map[[#This Row],[role_id]] &amp; "|" &amp; role_course_map[[#This Row],[course_id]]</f>
        <v>R0148|15249</v>
      </c>
      <c r="L1264" t="str">
        <f>IF(COUNTIF(role_course_map[mapping_key],role_course_map[[#This Row],[mapping_key]])&gt;1,"DUPLICATE","OK")</f>
        <v>OK</v>
      </c>
      <c r="M1264" t="str">
        <f>IF(COUNTIF(role_data[role_id],role_course_map[[#This Row],[role_id]])=0, "INVALID","VALID")</f>
        <v>VALID</v>
      </c>
      <c r="N1264" t="str">
        <f>IF(COUNTIF(course_data[course_id],role_course_map[[#This Row],[course_id]])=0, "INVALID","VALID")</f>
        <v>VALID</v>
      </c>
    </row>
    <row r="1265" spans="1:14" x14ac:dyDescent="0.35">
      <c r="A1265" t="s">
        <v>308</v>
      </c>
      <c r="B1265" s="5" t="str">
        <f>_xlfn.XLOOKUP(role_course_map[[#This Row],[role_id]], role_data[role_id], role_data[Role],"")</f>
        <v>Paediatric Fellow</v>
      </c>
      <c r="C1265">
        <v>89161</v>
      </c>
      <c r="D1265" s="5" t="str">
        <f>_xlfn.XLOOKUP(role_course_map[[#This Row],[course_id]],course_data[course_id],course_data[title],"")</f>
        <v>Personal Protective Equipment</v>
      </c>
      <c r="E1265" s="5" t="str">
        <f>_xlfn.XLOOKUP(role_course_map[[#This Row],[course_id]],course_data[course_id],course_data[topic],"")</f>
        <v>SAS : Infection Prevention and Control (IPC)</v>
      </c>
      <c r="F1265" s="5" t="str">
        <f>_xlfn.XLOOKUP(role_course_map[[#This Row],[course_id]],course_data[course_id],course_data[type],"")</f>
        <v>eLearning</v>
      </c>
      <c r="K1265" t="str">
        <f>role_course_map[[#This Row],[role_id]] &amp; "|" &amp; role_course_map[[#This Row],[course_id]]</f>
        <v>R0148|89161</v>
      </c>
      <c r="L1265" t="str">
        <f>IF(COUNTIF(role_course_map[mapping_key],role_course_map[[#This Row],[mapping_key]])&gt;1,"DUPLICATE","OK")</f>
        <v>OK</v>
      </c>
      <c r="M1265" t="str">
        <f>IF(COUNTIF(role_data[role_id],role_course_map[[#This Row],[role_id]])=0, "INVALID","VALID")</f>
        <v>VALID</v>
      </c>
      <c r="N1265" t="str">
        <f>IF(COUNTIF(course_data[course_id],role_course_map[[#This Row],[course_id]])=0, "INVALID","VALID")</f>
        <v>VALID</v>
      </c>
    </row>
    <row r="1266" spans="1:14" x14ac:dyDescent="0.35">
      <c r="A1266" t="s">
        <v>308</v>
      </c>
      <c r="B1266" s="5" t="str">
        <f>_xlfn.XLOOKUP(role_course_map[[#This Row],[role_id]], role_data[role_id], role_data[Role],"")</f>
        <v>Paediatric Fellow</v>
      </c>
      <c r="C1266">
        <v>89157</v>
      </c>
      <c r="D1266" s="5" t="str">
        <f>_xlfn.XLOOKUP(role_course_map[[#This Row],[course_id]],course_data[course_id],course_data[title],"")</f>
        <v>Safe Management of Care Equipment</v>
      </c>
      <c r="E1266" s="5" t="str">
        <f>_xlfn.XLOOKUP(role_course_map[[#This Row],[course_id]],course_data[course_id],course_data[topic],"")</f>
        <v>SAS : Infection Prevention and Control (IPC)</v>
      </c>
      <c r="F1266" s="5" t="str">
        <f>_xlfn.XLOOKUP(role_course_map[[#This Row],[course_id]],course_data[course_id],course_data[type],"")</f>
        <v>eLearning</v>
      </c>
      <c r="K1266" t="str">
        <f>role_course_map[[#This Row],[role_id]] &amp; "|" &amp; role_course_map[[#This Row],[course_id]]</f>
        <v>R0148|89157</v>
      </c>
      <c r="L1266" t="str">
        <f>IF(COUNTIF(role_course_map[mapping_key],role_course_map[[#This Row],[mapping_key]])&gt;1,"DUPLICATE","OK")</f>
        <v>OK</v>
      </c>
      <c r="M1266" t="str">
        <f>IF(COUNTIF(role_data[role_id],role_course_map[[#This Row],[role_id]])=0, "INVALID","VALID")</f>
        <v>VALID</v>
      </c>
      <c r="N1266" t="str">
        <f>IF(COUNTIF(course_data[course_id],role_course_map[[#This Row],[course_id]])=0, "INVALID","VALID")</f>
        <v>VALID</v>
      </c>
    </row>
    <row r="1267" spans="1:14" x14ac:dyDescent="0.35">
      <c r="A1267" t="s">
        <v>308</v>
      </c>
      <c r="B1267" s="5" t="str">
        <f>_xlfn.XLOOKUP(role_course_map[[#This Row],[role_id]], role_data[role_id], role_data[Role],"")</f>
        <v>Paediatric Fellow</v>
      </c>
      <c r="C1267">
        <v>89158</v>
      </c>
      <c r="D1267" s="5" t="str">
        <f>_xlfn.XLOOKUP(role_course_map[[#This Row],[course_id]],course_data[course_id],course_data[title],"")</f>
        <v>Safe Management of Care Environment</v>
      </c>
      <c r="E1267" s="5" t="str">
        <f>_xlfn.XLOOKUP(role_course_map[[#This Row],[course_id]],course_data[course_id],course_data[topic],"")</f>
        <v>SAS : Infection Prevention and Control (IPC)</v>
      </c>
      <c r="F1267" s="5" t="str">
        <f>_xlfn.XLOOKUP(role_course_map[[#This Row],[course_id]],course_data[course_id],course_data[type],"")</f>
        <v>eLearning</v>
      </c>
      <c r="K1267" t="str">
        <f>role_course_map[[#This Row],[role_id]] &amp; "|" &amp; role_course_map[[#This Row],[course_id]]</f>
        <v>R0148|89158</v>
      </c>
      <c r="L1267" t="str">
        <f>IF(COUNTIF(role_course_map[mapping_key],role_course_map[[#This Row],[mapping_key]])&gt;1,"DUPLICATE","OK")</f>
        <v>OK</v>
      </c>
      <c r="M1267" t="str">
        <f>IF(COUNTIF(role_data[role_id],role_course_map[[#This Row],[role_id]])=0, "INVALID","VALID")</f>
        <v>VALID</v>
      </c>
      <c r="N1267" t="str">
        <f>IF(COUNTIF(course_data[course_id],role_course_map[[#This Row],[course_id]])=0, "INVALID","VALID")</f>
        <v>VALID</v>
      </c>
    </row>
    <row r="1268" spans="1:14" x14ac:dyDescent="0.35">
      <c r="A1268" t="s">
        <v>308</v>
      </c>
      <c r="B1268" s="5" t="str">
        <f>_xlfn.XLOOKUP(role_course_map[[#This Row],[role_id]], role_data[role_id], role_data[Role],"")</f>
        <v>Paediatric Fellow</v>
      </c>
      <c r="C1268">
        <v>89159</v>
      </c>
      <c r="D1268" s="5" t="str">
        <f>_xlfn.XLOOKUP(role_course_map[[#This Row],[course_id]],course_data[course_id],course_data[title],"")</f>
        <v>Safe Management of Linen</v>
      </c>
      <c r="E1268" s="5" t="str">
        <f>_xlfn.XLOOKUP(role_course_map[[#This Row],[course_id]],course_data[course_id],course_data[topic],"")</f>
        <v>SAS : Infection Prevention and Control (IPC)</v>
      </c>
      <c r="F1268" s="5" t="str">
        <f>_xlfn.XLOOKUP(role_course_map[[#This Row],[course_id]],course_data[course_id],course_data[type],"")</f>
        <v>eLearning</v>
      </c>
      <c r="K1268" t="str">
        <f>role_course_map[[#This Row],[role_id]] &amp; "|" &amp; role_course_map[[#This Row],[course_id]]</f>
        <v>R0148|89159</v>
      </c>
      <c r="L1268" t="str">
        <f>IF(COUNTIF(role_course_map[mapping_key],role_course_map[[#This Row],[mapping_key]])&gt;1,"DUPLICATE","OK")</f>
        <v>OK</v>
      </c>
      <c r="M1268" t="str">
        <f>IF(COUNTIF(role_data[role_id],role_course_map[[#This Row],[role_id]])=0, "INVALID","VALID")</f>
        <v>VALID</v>
      </c>
      <c r="N1268" t="str">
        <f>IF(COUNTIF(course_data[course_id],role_course_map[[#This Row],[course_id]])=0, "INVALID","VALID")</f>
        <v>VALID</v>
      </c>
    </row>
    <row r="1269" spans="1:14" x14ac:dyDescent="0.35">
      <c r="A1269" t="s">
        <v>308</v>
      </c>
      <c r="B1269" s="5" t="str">
        <f>_xlfn.XLOOKUP(role_course_map[[#This Row],[role_id]], role_data[role_id], role_data[Role],"")</f>
        <v>Paediatric Fellow</v>
      </c>
      <c r="C1269">
        <v>89160</v>
      </c>
      <c r="D1269" s="5" t="str">
        <f>_xlfn.XLOOKUP(role_course_map[[#This Row],[course_id]],course_data[course_id],course_data[title],"")</f>
        <v>Safe Management of blood and body fluids</v>
      </c>
      <c r="E1269" s="5" t="str">
        <f>_xlfn.XLOOKUP(role_course_map[[#This Row],[course_id]],course_data[course_id],course_data[topic],"")</f>
        <v>SAS : Infection Prevention and Control (IPC)</v>
      </c>
      <c r="F1269" s="5" t="str">
        <f>_xlfn.XLOOKUP(role_course_map[[#This Row],[course_id]],course_data[course_id],course_data[type],"")</f>
        <v>eLearning</v>
      </c>
      <c r="K1269" t="str">
        <f>role_course_map[[#This Row],[role_id]] &amp; "|" &amp; role_course_map[[#This Row],[course_id]]</f>
        <v>R0148|89160</v>
      </c>
      <c r="L1269" t="str">
        <f>IF(COUNTIF(role_course_map[mapping_key],role_course_map[[#This Row],[mapping_key]])&gt;1,"DUPLICATE","OK")</f>
        <v>OK</v>
      </c>
      <c r="M1269" t="str">
        <f>IF(COUNTIF(role_data[role_id],role_course_map[[#This Row],[role_id]])=0, "INVALID","VALID")</f>
        <v>VALID</v>
      </c>
      <c r="N1269" t="str">
        <f>IF(COUNTIF(course_data[course_id],role_course_map[[#This Row],[course_id]])=0, "INVALID","VALID")</f>
        <v>VALID</v>
      </c>
    </row>
    <row r="1270" spans="1:14" x14ac:dyDescent="0.35">
      <c r="A1270" t="s">
        <v>308</v>
      </c>
      <c r="B1270" s="5" t="str">
        <f>_xlfn.XLOOKUP(role_course_map[[#This Row],[role_id]], role_data[role_id], role_data[Role],"")</f>
        <v>Paediatric Fellow</v>
      </c>
      <c r="C1270">
        <v>89154</v>
      </c>
      <c r="D1270" s="5" t="str">
        <f>_xlfn.XLOOKUP(role_course_map[[#This Row],[course_id]],course_data[course_id],course_data[title],"")</f>
        <v>Safe disposal of waste</v>
      </c>
      <c r="E1270" s="5" t="str">
        <f>_xlfn.XLOOKUP(role_course_map[[#This Row],[course_id]],course_data[course_id],course_data[topic],"")</f>
        <v>SAS : Infection Prevention and Control (IPC)</v>
      </c>
      <c r="F1270" s="5" t="str">
        <f>_xlfn.XLOOKUP(role_course_map[[#This Row],[course_id]],course_data[course_id],course_data[type],"")</f>
        <v>eLearning</v>
      </c>
      <c r="K1270" t="str">
        <f>role_course_map[[#This Row],[role_id]] &amp; "|" &amp; role_course_map[[#This Row],[course_id]]</f>
        <v>R0148|89154</v>
      </c>
      <c r="L1270" t="str">
        <f>IF(COUNTIF(role_course_map[mapping_key],role_course_map[[#This Row],[mapping_key]])&gt;1,"DUPLICATE","OK")</f>
        <v>OK</v>
      </c>
      <c r="M1270" t="str">
        <f>IF(COUNTIF(role_data[role_id],role_course_map[[#This Row],[role_id]])=0, "INVALID","VALID")</f>
        <v>VALID</v>
      </c>
      <c r="N1270" t="str">
        <f>IF(COUNTIF(course_data[course_id],role_course_map[[#This Row],[course_id]])=0, "INVALID","VALID")</f>
        <v>VALID</v>
      </c>
    </row>
    <row r="1271" spans="1:14" x14ac:dyDescent="0.35">
      <c r="A1271" t="s">
        <v>308</v>
      </c>
      <c r="B1271" s="5" t="str">
        <f>_xlfn.XLOOKUP(role_course_map[[#This Row],[role_id]], role_data[role_id], role_data[Role],"")</f>
        <v>Paediatric Fellow</v>
      </c>
      <c r="C1271">
        <v>89155</v>
      </c>
      <c r="D1271" s="5" t="str">
        <f>_xlfn.XLOOKUP(role_course_map[[#This Row],[course_id]],course_data[course_id],course_data[title],"")</f>
        <v>Prevention &amp; management of occupational exposure</v>
      </c>
      <c r="E1271" s="5" t="str">
        <f>_xlfn.XLOOKUP(role_course_map[[#This Row],[course_id]],course_data[course_id],course_data[topic],"")</f>
        <v>SAS : Infection Prevention and Control (IPC)</v>
      </c>
      <c r="F1271" s="5" t="str">
        <f>_xlfn.XLOOKUP(role_course_map[[#This Row],[course_id]],course_data[course_id],course_data[type],"")</f>
        <v>eLearning</v>
      </c>
      <c r="K1271" t="str">
        <f>role_course_map[[#This Row],[role_id]] &amp; "|" &amp; role_course_map[[#This Row],[course_id]]</f>
        <v>R0148|89155</v>
      </c>
      <c r="L1271" t="str">
        <f>IF(COUNTIF(role_course_map[mapping_key],role_course_map[[#This Row],[mapping_key]])&gt;1,"DUPLICATE","OK")</f>
        <v>OK</v>
      </c>
      <c r="M1271" t="str">
        <f>IF(COUNTIF(role_data[role_id],role_course_map[[#This Row],[role_id]])=0, "INVALID","VALID")</f>
        <v>VALID</v>
      </c>
      <c r="N1271" t="str">
        <f>IF(COUNTIF(course_data[course_id],role_course_map[[#This Row],[course_id]])=0, "INVALID","VALID")</f>
        <v>VALID</v>
      </c>
    </row>
    <row r="1272" spans="1:14" x14ac:dyDescent="0.35">
      <c r="A1272" t="s">
        <v>308</v>
      </c>
      <c r="B1272" s="5" t="str">
        <f>_xlfn.XLOOKUP(role_course_map[[#This Row],[role_id]], role_data[role_id], role_data[Role],"")</f>
        <v>Paediatric Fellow</v>
      </c>
      <c r="C1272">
        <v>999064</v>
      </c>
      <c r="D1272" s="5" t="str">
        <f>_xlfn.XLOOKUP(role_course_map[[#This Row],[course_id]],course_data[course_id],course_data[title],"")</f>
        <v>Infection prevention and control: Clostridioides difficile infection</v>
      </c>
      <c r="E1272" s="5" t="str">
        <f>_xlfn.XLOOKUP(role_course_map[[#This Row],[course_id]],course_data[course_id],course_data[topic],"")</f>
        <v>SAS : Infection Prevention and Control (IPC)</v>
      </c>
      <c r="F1272" s="5" t="str">
        <f>_xlfn.XLOOKUP(role_course_map[[#This Row],[course_id]],course_data[course_id],course_data[type],"")</f>
        <v>eLearning</v>
      </c>
      <c r="K1272" t="str">
        <f>role_course_map[[#This Row],[role_id]] &amp; "|" &amp; role_course_map[[#This Row],[course_id]]</f>
        <v>R0148|999064</v>
      </c>
      <c r="L1272" t="str">
        <f>IF(COUNTIF(role_course_map[mapping_key],role_course_map[[#This Row],[mapping_key]])&gt;1,"DUPLICATE","OK")</f>
        <v>OK</v>
      </c>
      <c r="M1272" t="str">
        <f>IF(COUNTIF(role_data[role_id],role_course_map[[#This Row],[role_id]])=0, "INVALID","VALID")</f>
        <v>VALID</v>
      </c>
      <c r="N1272" t="str">
        <f>IF(COUNTIF(course_data[course_id],role_course_map[[#This Row],[course_id]])=0, "INVALID","VALID")</f>
        <v>VALID</v>
      </c>
    </row>
    <row r="1273" spans="1:14" x14ac:dyDescent="0.35">
      <c r="A1273" t="s">
        <v>306</v>
      </c>
      <c r="B1273" s="5" t="str">
        <f>_xlfn.XLOOKUP(role_course_map[[#This Row],[role_id]], role_data[role_id], role_data[Role],"")</f>
        <v>Paediatric Consultant</v>
      </c>
      <c r="C1273">
        <v>999092</v>
      </c>
      <c r="D1273" s="5" t="str">
        <f>_xlfn.XLOOKUP(role_course_map[[#This Row],[course_id]],course_data[course_id],course_data[title],"")</f>
        <v>Health &amp; Wellbeing Awareness for Managers</v>
      </c>
      <c r="E1273" s="5" t="str">
        <f>_xlfn.XLOOKUP(role_course_map[[#This Row],[course_id]],course_data[course_id],course_data[topic],"")</f>
        <v>SAS: Staff development and experience</v>
      </c>
      <c r="F1273" s="5" t="str">
        <f>_xlfn.XLOOKUP(role_course_map[[#This Row],[course_id]],course_data[course_id],course_data[type],"")</f>
        <v>eLearning</v>
      </c>
      <c r="K1273" t="str">
        <f>role_course_map[[#This Row],[role_id]] &amp; "|" &amp; role_course_map[[#This Row],[course_id]]</f>
        <v>R0147|999092</v>
      </c>
      <c r="L1273" t="str">
        <f>IF(COUNTIF(role_course_map[mapping_key],role_course_map[[#This Row],[mapping_key]])&gt;1,"DUPLICATE","OK")</f>
        <v>OK</v>
      </c>
      <c r="M1273" t="str">
        <f>IF(COUNTIF(role_data[role_id],role_course_map[[#This Row],[role_id]])=0, "INVALID","VALID")</f>
        <v>VALID</v>
      </c>
      <c r="N1273" t="str">
        <f>IF(COUNTIF(course_data[course_id],role_course_map[[#This Row],[course_id]])=0, "INVALID","VALID")</f>
        <v>VALID</v>
      </c>
    </row>
    <row r="1274" spans="1:14" x14ac:dyDescent="0.35">
      <c r="A1274" t="s">
        <v>308</v>
      </c>
      <c r="B1274" s="5" t="str">
        <f>_xlfn.XLOOKUP(role_course_map[[#This Row],[role_id]], role_data[role_id], role_data[Role],"")</f>
        <v>Paediatric Fellow</v>
      </c>
      <c r="C1274">
        <v>999093</v>
      </c>
      <c r="D1274" s="5" t="str">
        <f>_xlfn.XLOOKUP(role_course_map[[#This Row],[course_id]],course_data[course_id],course_data[title],"")</f>
        <v>Managing Wellbeing Refresher for Managers</v>
      </c>
      <c r="E1274" s="5" t="str">
        <f>_xlfn.XLOOKUP(role_course_map[[#This Row],[course_id]],course_data[course_id],course_data[topic],"")</f>
        <v>SAS: Staff development and experience</v>
      </c>
      <c r="F1274" s="5" t="str">
        <f>_xlfn.XLOOKUP(role_course_map[[#This Row],[course_id]],course_data[course_id],course_data[type],"")</f>
        <v>eLearning</v>
      </c>
      <c r="K1274" t="str">
        <f>role_course_map[[#This Row],[role_id]] &amp; "|" &amp; role_course_map[[#This Row],[course_id]]</f>
        <v>R0148|999093</v>
      </c>
      <c r="L1274" t="str">
        <f>IF(COUNTIF(role_course_map[mapping_key],role_course_map[[#This Row],[mapping_key]])&gt;1,"DUPLICATE","OK")</f>
        <v>OK</v>
      </c>
      <c r="M1274" t="str">
        <f>IF(COUNTIF(role_data[role_id],role_course_map[[#This Row],[role_id]])=0, "INVALID","VALID")</f>
        <v>VALID</v>
      </c>
      <c r="N1274" t="str">
        <f>IF(COUNTIF(course_data[course_id],role_course_map[[#This Row],[course_id]])=0, "INVALID","VALID")</f>
        <v>VALID</v>
      </c>
    </row>
    <row r="1275" spans="1:14" x14ac:dyDescent="0.35">
      <c r="A1275" t="s">
        <v>306</v>
      </c>
      <c r="B1275" s="5" t="str">
        <f>_xlfn.XLOOKUP(role_course_map[[#This Row],[role_id]], role_data[role_id], role_data[Role],"")</f>
        <v>Paediatric Consultant</v>
      </c>
      <c r="C1275">
        <v>999094</v>
      </c>
      <c r="D1275" s="5" t="str">
        <f>_xlfn.XLOOKUP(role_course_map[[#This Row],[course_id]],course_data[course_id],course_data[title],"")</f>
        <v>Being well, Mind, Body &amp; Workplace</v>
      </c>
      <c r="E1275" s="5" t="str">
        <f>_xlfn.XLOOKUP(role_course_map[[#This Row],[course_id]],course_data[course_id],course_data[topic],"")</f>
        <v>SAS: Staff development and experience</v>
      </c>
      <c r="F1275" s="5" t="str">
        <f>_xlfn.XLOOKUP(role_course_map[[#This Row],[course_id]],course_data[course_id],course_data[type],"")</f>
        <v>eLearning</v>
      </c>
      <c r="K1275" t="str">
        <f>role_course_map[[#This Row],[role_id]] &amp; "|" &amp; role_course_map[[#This Row],[course_id]]</f>
        <v>R0147|999094</v>
      </c>
      <c r="L1275" t="str">
        <f>IF(COUNTIF(role_course_map[mapping_key],role_course_map[[#This Row],[mapping_key]])&gt;1,"DUPLICATE","OK")</f>
        <v>OK</v>
      </c>
      <c r="M1275" t="str">
        <f>IF(COUNTIF(role_data[role_id],role_course_map[[#This Row],[role_id]])=0, "INVALID","VALID")</f>
        <v>VALID</v>
      </c>
      <c r="N1275" t="str">
        <f>IF(COUNTIF(course_data[course_id],role_course_map[[#This Row],[course_id]])=0, "INVALID","VALID")</f>
        <v>VALID</v>
      </c>
    </row>
    <row r="1276" spans="1:14" x14ac:dyDescent="0.35">
      <c r="A1276" t="s">
        <v>308</v>
      </c>
      <c r="B1276" s="5" t="str">
        <f>_xlfn.XLOOKUP(role_course_map[[#This Row],[role_id]], role_data[role_id], role_data[Role],"")</f>
        <v>Paediatric Fellow</v>
      </c>
      <c r="C1276">
        <v>999077</v>
      </c>
      <c r="D1276" s="5" t="str">
        <f>_xlfn.XLOOKUP(role_course_map[[#This Row],[course_id]],course_data[course_id],course_data[title],"")</f>
        <v>ScotSTAR: Role specific Orientation &amp; Induction</v>
      </c>
      <c r="E1276" s="5" t="str">
        <f>_xlfn.XLOOKUP(role_course_map[[#This Row],[course_id]],course_data[course_id],course_data[topic],"")</f>
        <v>SAS : ScotSTAR</v>
      </c>
      <c r="F1276" s="5" t="str">
        <f>_xlfn.XLOOKUP(role_course_map[[#This Row],[course_id]],course_data[course_id],course_data[type],"")</f>
        <v>Course</v>
      </c>
      <c r="K1276" t="str">
        <f>role_course_map[[#This Row],[role_id]] &amp; "|" &amp; role_course_map[[#This Row],[course_id]]</f>
        <v>R0148|999077</v>
      </c>
      <c r="L1276" t="str">
        <f>IF(COUNTIF(role_course_map[mapping_key],role_course_map[[#This Row],[mapping_key]])&gt;1,"DUPLICATE","OK")</f>
        <v>OK</v>
      </c>
      <c r="M1276" t="str">
        <f>IF(COUNTIF(role_data[role_id],role_course_map[[#This Row],[role_id]])=0, "INVALID","VALID")</f>
        <v>VALID</v>
      </c>
      <c r="N1276" t="str">
        <f>IF(COUNTIF(course_data[course_id],role_course_map[[#This Row],[course_id]])=0, "INVALID","VALID")</f>
        <v>VALID</v>
      </c>
    </row>
    <row r="1277" spans="1:14" x14ac:dyDescent="0.35">
      <c r="A1277" t="s">
        <v>306</v>
      </c>
      <c r="B1277" s="5" t="str">
        <f>_xlfn.XLOOKUP(role_course_map[[#This Row],[role_id]], role_data[role_id], role_data[Role],"")</f>
        <v>Paediatric Consultant</v>
      </c>
      <c r="C1277">
        <v>999080</v>
      </c>
      <c r="D1277" s="5" t="str">
        <f>_xlfn.XLOOKUP(role_course_map[[#This Row],[course_id]],course_data[course_id],course_data[title],"")</f>
        <v>HUET (on line)</v>
      </c>
      <c r="E1277" s="5" t="str">
        <f>_xlfn.XLOOKUP(role_course_map[[#This Row],[course_id]],course_data[course_id],course_data[topic],"")</f>
        <v>SAS : ScotSTAR</v>
      </c>
      <c r="F1277" s="5" t="str">
        <f>_xlfn.XLOOKUP(role_course_map[[#This Row],[course_id]],course_data[course_id],course_data[type],"")</f>
        <v>eLearning</v>
      </c>
      <c r="K1277" t="str">
        <f>role_course_map[[#This Row],[role_id]] &amp; "|" &amp; role_course_map[[#This Row],[course_id]]</f>
        <v>R0147|999080</v>
      </c>
      <c r="L1277" t="str">
        <f>IF(COUNTIF(role_course_map[mapping_key],role_course_map[[#This Row],[mapping_key]])&gt;1,"DUPLICATE","OK")</f>
        <v>OK</v>
      </c>
      <c r="M1277" t="str">
        <f>IF(COUNTIF(role_data[role_id],role_course_map[[#This Row],[role_id]])=0, "INVALID","VALID")</f>
        <v>VALID</v>
      </c>
      <c r="N1277" t="str">
        <f>IF(COUNTIF(course_data[course_id],role_course_map[[#This Row],[course_id]])=0, "INVALID","VALID")</f>
        <v>VALID</v>
      </c>
    </row>
    <row r="1278" spans="1:14" x14ac:dyDescent="0.35">
      <c r="A1278" t="s">
        <v>308</v>
      </c>
      <c r="B1278" s="5" t="str">
        <f>_xlfn.XLOOKUP(role_course_map[[#This Row],[role_id]], role_data[role_id], role_data[Role],"")</f>
        <v>Paediatric Fellow</v>
      </c>
      <c r="C1278">
        <v>999081</v>
      </c>
      <c r="D1278" s="5" t="str">
        <f>_xlfn.XLOOKUP(role_course_map[[#This Row],[course_id]],course_data[course_id],course_data[title],"")</f>
        <v>Major Incident Training- Operational Commander</v>
      </c>
      <c r="E1278" s="5" t="str">
        <f>_xlfn.XLOOKUP(role_course_map[[#This Row],[course_id]],course_data[course_id],course_data[topic],"")</f>
        <v>SAS : ScotSTAR</v>
      </c>
      <c r="F1278" s="5" t="str">
        <f>_xlfn.XLOOKUP(role_course_map[[#This Row],[course_id]],course_data[course_id],course_data[type],"")</f>
        <v>Course</v>
      </c>
      <c r="K1278" t="str">
        <f>role_course_map[[#This Row],[role_id]] &amp; "|" &amp; role_course_map[[#This Row],[course_id]]</f>
        <v>R0148|999081</v>
      </c>
      <c r="L1278" t="str">
        <f>IF(COUNTIF(role_course_map[mapping_key],role_course_map[[#This Row],[mapping_key]])&gt;1,"DUPLICATE","OK")</f>
        <v>OK</v>
      </c>
      <c r="M1278" t="str">
        <f>IF(COUNTIF(role_data[role_id],role_course_map[[#This Row],[role_id]])=0, "INVALID","VALID")</f>
        <v>VALID</v>
      </c>
      <c r="N1278" t="str">
        <f>IF(COUNTIF(course_data[course_id],role_course_map[[#This Row],[course_id]])=0, "INVALID","VALID")</f>
        <v>VALID</v>
      </c>
    </row>
    <row r="1279" spans="1:14" x14ac:dyDescent="0.35">
      <c r="A1279" t="s">
        <v>308</v>
      </c>
      <c r="B1279" s="5" t="str">
        <f>_xlfn.XLOOKUP(role_course_map[[#This Row],[role_id]], role_data[role_id], role_data[Role],"")</f>
        <v>Paediatric Fellow</v>
      </c>
      <c r="C1279">
        <v>999084</v>
      </c>
      <c r="D1279" s="5" t="str">
        <f>_xlfn.XLOOKUP(role_course_map[[#This Row],[course_id]],course_data[course_id],course_data[title],"")</f>
        <v>Paediatric Life Support (PLS)</v>
      </c>
      <c r="E1279" s="5" t="str">
        <f>_xlfn.XLOOKUP(role_course_map[[#This Row],[course_id]],course_data[course_id],course_data[topic],"")</f>
        <v>SAS : ScotSTAR</v>
      </c>
      <c r="F1279" s="5" t="str">
        <f>_xlfn.XLOOKUP(role_course_map[[#This Row],[course_id]],course_data[course_id],course_data[type],"")</f>
        <v>Course</v>
      </c>
      <c r="K1279" t="str">
        <f>role_course_map[[#This Row],[role_id]] &amp; "|" &amp; role_course_map[[#This Row],[course_id]]</f>
        <v>R0148|999084</v>
      </c>
      <c r="L1279" t="str">
        <f>IF(COUNTIF(role_course_map[mapping_key],role_course_map[[#This Row],[mapping_key]])&gt;1,"DUPLICATE","OK")</f>
        <v>OK</v>
      </c>
      <c r="M1279" t="str">
        <f>IF(COUNTIF(role_data[role_id],role_course_map[[#This Row],[role_id]])=0, "INVALID","VALID")</f>
        <v>VALID</v>
      </c>
      <c r="N1279" t="str">
        <f>IF(COUNTIF(course_data[course_id],role_course_map[[#This Row],[course_id]])=0, "INVALID","VALID")</f>
        <v>VALID</v>
      </c>
    </row>
    <row r="1280" spans="1:14" x14ac:dyDescent="0.35">
      <c r="A1280" t="s">
        <v>310</v>
      </c>
      <c r="B1280" s="5" t="str">
        <f>_xlfn.XLOOKUP(role_course_map[[#This Row],[role_id]], role_data[role_id], role_data[Role],"")</f>
        <v>Paediatric Nurse</v>
      </c>
      <c r="C1280">
        <v>999009</v>
      </c>
      <c r="D1280" s="5" t="str">
        <f>_xlfn.XLOOKUP(role_course_map[[#This Row],[course_id]],course_data[course_id],course_data[title],"")</f>
        <v>Life Support</v>
      </c>
      <c r="E1280" s="5" t="str">
        <f>_xlfn.XLOOKUP(role_course_map[[#This Row],[course_id]],course_data[course_id],course_data[topic],"")</f>
        <v>SAS : Clinical Practice</v>
      </c>
      <c r="F1280" s="5" t="str">
        <f>_xlfn.XLOOKUP(role_course_map[[#This Row],[course_id]],course_data[course_id],course_data[type],"")</f>
        <v>Course</v>
      </c>
      <c r="K1280" t="str">
        <f>role_course_map[[#This Row],[role_id]] &amp; "|" &amp; role_course_map[[#This Row],[course_id]]</f>
        <v>R0149|999009</v>
      </c>
      <c r="L1280" t="str">
        <f>IF(COUNTIF(role_course_map[mapping_key],role_course_map[[#This Row],[mapping_key]])&gt;1,"DUPLICATE","OK")</f>
        <v>OK</v>
      </c>
      <c r="M1280" t="str">
        <f>IF(COUNTIF(role_data[role_id],role_course_map[[#This Row],[role_id]])=0, "INVALID","VALID")</f>
        <v>VALID</v>
      </c>
      <c r="N1280" t="str">
        <f>IF(COUNTIF(course_data[course_id],role_course_map[[#This Row],[course_id]])=0, "INVALID","VALID")</f>
        <v>VALID</v>
      </c>
    </row>
    <row r="1281" spans="1:14" x14ac:dyDescent="0.35">
      <c r="A1281" t="s">
        <v>310</v>
      </c>
      <c r="B1281" s="5" t="str">
        <f>_xlfn.XLOOKUP(role_course_map[[#This Row],[role_id]], role_data[role_id], role_data[Role],"")</f>
        <v>Paediatric Nurse</v>
      </c>
      <c r="C1281">
        <v>999007</v>
      </c>
      <c r="D1281" s="5" t="str">
        <f>_xlfn.XLOOKUP(role_course_map[[#This Row],[course_id]],course_data[course_id],course_data[title],"")</f>
        <v>Obstetrics</v>
      </c>
      <c r="E1281" s="5" t="str">
        <f>_xlfn.XLOOKUP(role_course_map[[#This Row],[course_id]],course_data[course_id],course_data[topic],"")</f>
        <v>SAS : Clinical Practice</v>
      </c>
      <c r="F1281" s="5" t="str">
        <f>_xlfn.XLOOKUP(role_course_map[[#This Row],[course_id]],course_data[course_id],course_data[type],"")</f>
        <v>Course</v>
      </c>
      <c r="K1281" t="str">
        <f>role_course_map[[#This Row],[role_id]] &amp; "|" &amp; role_course_map[[#This Row],[course_id]]</f>
        <v>R0149|999007</v>
      </c>
      <c r="L1281" t="str">
        <f>IF(COUNTIF(role_course_map[mapping_key],role_course_map[[#This Row],[mapping_key]])&gt;1,"DUPLICATE","OK")</f>
        <v>OK</v>
      </c>
      <c r="M1281" t="str">
        <f>IF(COUNTIF(role_data[role_id],role_course_map[[#This Row],[role_id]])=0, "INVALID","VALID")</f>
        <v>VALID</v>
      </c>
      <c r="N1281" t="str">
        <f>IF(COUNTIF(course_data[course_id],role_course_map[[#This Row],[course_id]])=0, "INVALID","VALID")</f>
        <v>VALID</v>
      </c>
    </row>
    <row r="1282" spans="1:14" x14ac:dyDescent="0.35">
      <c r="A1282" t="s">
        <v>310</v>
      </c>
      <c r="B1282" s="5" t="str">
        <f>_xlfn.XLOOKUP(role_course_map[[#This Row],[role_id]], role_data[role_id], role_data[Role],"")</f>
        <v>Paediatric Nurse</v>
      </c>
      <c r="C1282">
        <v>999008</v>
      </c>
      <c r="D1282" s="5" t="str">
        <f>_xlfn.XLOOKUP(role_course_map[[#This Row],[course_id]],course_data[course_id],course_data[title],"")</f>
        <v>Obstetrics</v>
      </c>
      <c r="E1282" s="5" t="str">
        <f>_xlfn.XLOOKUP(role_course_map[[#This Row],[course_id]],course_data[course_id],course_data[topic],"")</f>
        <v>SAS : Clinical Practice</v>
      </c>
      <c r="F1282" s="5" t="str">
        <f>_xlfn.XLOOKUP(role_course_map[[#This Row],[course_id]],course_data[course_id],course_data[type],"")</f>
        <v>eLearning</v>
      </c>
      <c r="K1282" t="str">
        <f>role_course_map[[#This Row],[role_id]] &amp; "|" &amp; role_course_map[[#This Row],[course_id]]</f>
        <v>R0149|999008</v>
      </c>
      <c r="L1282" t="str">
        <f>IF(COUNTIF(role_course_map[mapping_key],role_course_map[[#This Row],[mapping_key]])&gt;1,"DUPLICATE","OK")</f>
        <v>OK</v>
      </c>
      <c r="M1282" t="str">
        <f>IF(COUNTIF(role_data[role_id],role_course_map[[#This Row],[role_id]])=0, "INVALID","VALID")</f>
        <v>VALID</v>
      </c>
      <c r="N1282" t="str">
        <f>IF(COUNTIF(course_data[course_id],role_course_map[[#This Row],[course_id]])=0, "INVALID","VALID")</f>
        <v>VALID</v>
      </c>
    </row>
    <row r="1283" spans="1:14" x14ac:dyDescent="0.35">
      <c r="A1283" t="s">
        <v>310</v>
      </c>
      <c r="B1283" s="5" t="str">
        <f>_xlfn.XLOOKUP(role_course_map[[#This Row],[role_id]], role_data[role_id], role_data[Role],"")</f>
        <v>Paediatric Nurse</v>
      </c>
      <c r="C1283">
        <v>999010</v>
      </c>
      <c r="D1283" s="5" t="str">
        <f>_xlfn.XLOOKUP(role_course_map[[#This Row],[course_id]],course_data[course_id],course_data[title],"")</f>
        <v>Paediatrics</v>
      </c>
      <c r="E1283" s="5" t="str">
        <f>_xlfn.XLOOKUP(role_course_map[[#This Row],[course_id]],course_data[course_id],course_data[topic],"")</f>
        <v>SAS : Clinical Practice</v>
      </c>
      <c r="F1283" s="5" t="str">
        <f>_xlfn.XLOOKUP(role_course_map[[#This Row],[course_id]],course_data[course_id],course_data[type],"")</f>
        <v>Course</v>
      </c>
      <c r="K1283" t="str">
        <f>role_course_map[[#This Row],[role_id]] &amp; "|" &amp; role_course_map[[#This Row],[course_id]]</f>
        <v>R0149|999010</v>
      </c>
      <c r="L1283" t="str">
        <f>IF(COUNTIF(role_course_map[mapping_key],role_course_map[[#This Row],[mapping_key]])&gt;1,"DUPLICATE","OK")</f>
        <v>OK</v>
      </c>
      <c r="M1283" t="str">
        <f>IF(COUNTIF(role_data[role_id],role_course_map[[#This Row],[role_id]])=0, "INVALID","VALID")</f>
        <v>VALID</v>
      </c>
      <c r="N1283" t="str">
        <f>IF(COUNTIF(course_data[course_id],role_course_map[[#This Row],[course_id]])=0, "INVALID","VALID")</f>
        <v>VALID</v>
      </c>
    </row>
    <row r="1284" spans="1:14" x14ac:dyDescent="0.35">
      <c r="A1284" t="s">
        <v>310</v>
      </c>
      <c r="B1284" s="5" t="str">
        <f>_xlfn.XLOOKUP(role_course_map[[#This Row],[role_id]], role_data[role_id], role_data[Role],"")</f>
        <v>Paediatric Nurse</v>
      </c>
      <c r="C1284">
        <v>999011</v>
      </c>
      <c r="D1284" s="5" t="str">
        <f>_xlfn.XLOOKUP(role_course_map[[#This Row],[course_id]],course_data[course_id],course_data[title],"")</f>
        <v>Paediatrics</v>
      </c>
      <c r="E1284" s="5" t="str">
        <f>_xlfn.XLOOKUP(role_course_map[[#This Row],[course_id]],course_data[course_id],course_data[topic],"")</f>
        <v>SAS : Clinical Practice</v>
      </c>
      <c r="F1284" s="5" t="str">
        <f>_xlfn.XLOOKUP(role_course_map[[#This Row],[course_id]],course_data[course_id],course_data[type],"")</f>
        <v>eLearning</v>
      </c>
      <c r="K1284" t="str">
        <f>role_course_map[[#This Row],[role_id]] &amp; "|" &amp; role_course_map[[#This Row],[course_id]]</f>
        <v>R0149|999011</v>
      </c>
      <c r="L1284" t="str">
        <f>IF(COUNTIF(role_course_map[mapping_key],role_course_map[[#This Row],[mapping_key]])&gt;1,"DUPLICATE","OK")</f>
        <v>OK</v>
      </c>
      <c r="M1284" t="str">
        <f>IF(COUNTIF(role_data[role_id],role_course_map[[#This Row],[role_id]])=0, "INVALID","VALID")</f>
        <v>VALID</v>
      </c>
      <c r="N1284" t="str">
        <f>IF(COUNTIF(course_data[course_id],role_course_map[[#This Row],[course_id]])=0, "INVALID","VALID")</f>
        <v>VALID</v>
      </c>
    </row>
    <row r="1285" spans="1:14" x14ac:dyDescent="0.35">
      <c r="A1285" t="s">
        <v>310</v>
      </c>
      <c r="B1285" s="5" t="str">
        <f>_xlfn.XLOOKUP(role_course_map[[#This Row],[role_id]], role_data[role_id], role_data[Role],"")</f>
        <v>Paediatric Nurse</v>
      </c>
      <c r="C1285">
        <v>999012</v>
      </c>
      <c r="D1285" s="5" t="str">
        <f>_xlfn.XLOOKUP(role_course_map[[#This Row],[course_id]],course_data[course_id],course_data[title],"")</f>
        <v>Trauma</v>
      </c>
      <c r="E1285" s="5" t="str">
        <f>_xlfn.XLOOKUP(role_course_map[[#This Row],[course_id]],course_data[course_id],course_data[topic],"")</f>
        <v>SAS : Clinical Practice</v>
      </c>
      <c r="F1285" s="5" t="str">
        <f>_xlfn.XLOOKUP(role_course_map[[#This Row],[course_id]],course_data[course_id],course_data[type],"")</f>
        <v>Course</v>
      </c>
      <c r="K1285" t="str">
        <f>role_course_map[[#This Row],[role_id]] &amp; "|" &amp; role_course_map[[#This Row],[course_id]]</f>
        <v>R0149|999012</v>
      </c>
      <c r="L1285" t="str">
        <f>IF(COUNTIF(role_course_map[mapping_key],role_course_map[[#This Row],[mapping_key]])&gt;1,"DUPLICATE","OK")</f>
        <v>OK</v>
      </c>
      <c r="M1285" t="str">
        <f>IF(COUNTIF(role_data[role_id],role_course_map[[#This Row],[role_id]])=0, "INVALID","VALID")</f>
        <v>VALID</v>
      </c>
      <c r="N1285" t="str">
        <f>IF(COUNTIF(course_data[course_id],role_course_map[[#This Row],[course_id]])=0, "INVALID","VALID")</f>
        <v>VALID</v>
      </c>
    </row>
    <row r="1286" spans="1:14" x14ac:dyDescent="0.35">
      <c r="A1286" t="s">
        <v>310</v>
      </c>
      <c r="B1286" s="5" t="str">
        <f>_xlfn.XLOOKUP(role_course_map[[#This Row],[role_id]], role_data[role_id], role_data[Role],"")</f>
        <v>Paediatric Nurse</v>
      </c>
      <c r="C1286">
        <v>999013</v>
      </c>
      <c r="D1286" s="5" t="str">
        <f>_xlfn.XLOOKUP(role_course_map[[#This Row],[course_id]],course_data[course_id],course_data[title],"")</f>
        <v>Trauma</v>
      </c>
      <c r="E1286" s="5" t="str">
        <f>_xlfn.XLOOKUP(role_course_map[[#This Row],[course_id]],course_data[course_id],course_data[topic],"")</f>
        <v>SAS : Clinical Practice</v>
      </c>
      <c r="F1286" s="5" t="str">
        <f>_xlfn.XLOOKUP(role_course_map[[#This Row],[course_id]],course_data[course_id],course_data[type],"")</f>
        <v>eLearning</v>
      </c>
      <c r="K1286" t="str">
        <f>role_course_map[[#This Row],[role_id]] &amp; "|" &amp; role_course_map[[#This Row],[course_id]]</f>
        <v>R0149|999013</v>
      </c>
      <c r="L1286" t="str">
        <f>IF(COUNTIF(role_course_map[mapping_key],role_course_map[[#This Row],[mapping_key]])&gt;1,"DUPLICATE","OK")</f>
        <v>OK</v>
      </c>
      <c r="M1286" t="str">
        <f>IF(COUNTIF(role_data[role_id],role_course_map[[#This Row],[role_id]])=0, "INVALID","VALID")</f>
        <v>VALID</v>
      </c>
      <c r="N1286" t="str">
        <f>IF(COUNTIF(course_data[course_id],role_course_map[[#This Row],[course_id]])=0, "INVALID","VALID")</f>
        <v>VALID</v>
      </c>
    </row>
    <row r="1287" spans="1:14" x14ac:dyDescent="0.35">
      <c r="A1287" t="s">
        <v>310</v>
      </c>
      <c r="B1287" s="5" t="str">
        <f>_xlfn.XLOOKUP(role_course_map[[#This Row],[role_id]], role_data[role_id], role_data[Role],"")</f>
        <v>Paediatric Nurse</v>
      </c>
      <c r="C1287">
        <v>999014</v>
      </c>
      <c r="D1287" s="5" t="str">
        <f>_xlfn.XLOOKUP(role_course_map[[#This Row],[course_id]],course_data[course_id],course_data[title],"")</f>
        <v>Patient Assessment</v>
      </c>
      <c r="E1287" s="5" t="str">
        <f>_xlfn.XLOOKUP(role_course_map[[#This Row],[course_id]],course_data[course_id],course_data[topic],"")</f>
        <v>SAS : Clinical Practice</v>
      </c>
      <c r="F1287" s="5" t="str">
        <f>_xlfn.XLOOKUP(role_course_map[[#This Row],[course_id]],course_data[course_id],course_data[type],"")</f>
        <v>Course</v>
      </c>
      <c r="K1287" t="str">
        <f>role_course_map[[#This Row],[role_id]] &amp; "|" &amp; role_course_map[[#This Row],[course_id]]</f>
        <v>R0149|999014</v>
      </c>
      <c r="L1287" t="str">
        <f>IF(COUNTIF(role_course_map[mapping_key],role_course_map[[#This Row],[mapping_key]])&gt;1,"DUPLICATE","OK")</f>
        <v>OK</v>
      </c>
      <c r="M1287" t="str">
        <f>IF(COUNTIF(role_data[role_id],role_course_map[[#This Row],[role_id]])=0, "INVALID","VALID")</f>
        <v>VALID</v>
      </c>
      <c r="N1287" t="str">
        <f>IF(COUNTIF(course_data[course_id],role_course_map[[#This Row],[course_id]])=0, "INVALID","VALID")</f>
        <v>VALID</v>
      </c>
    </row>
    <row r="1288" spans="1:14" x14ac:dyDescent="0.35">
      <c r="A1288" t="s">
        <v>310</v>
      </c>
      <c r="B1288" s="5" t="str">
        <f>_xlfn.XLOOKUP(role_course_map[[#This Row],[role_id]], role_data[role_id], role_data[Role],"")</f>
        <v>Paediatric Nurse</v>
      </c>
      <c r="C1288">
        <v>999015</v>
      </c>
      <c r="D1288" s="5" t="str">
        <f>_xlfn.XLOOKUP(role_course_map[[#This Row],[course_id]],course_data[course_id],course_data[title],"")</f>
        <v>Patient Assessment</v>
      </c>
      <c r="E1288" s="5" t="str">
        <f>_xlfn.XLOOKUP(role_course_map[[#This Row],[course_id]],course_data[course_id],course_data[topic],"")</f>
        <v>SAS : Clinical Practice</v>
      </c>
      <c r="F1288" s="5" t="str">
        <f>_xlfn.XLOOKUP(role_course_map[[#This Row],[course_id]],course_data[course_id],course_data[type],"")</f>
        <v>eLearning</v>
      </c>
      <c r="K1288" t="str">
        <f>role_course_map[[#This Row],[role_id]] &amp; "|" &amp; role_course_map[[#This Row],[course_id]]</f>
        <v>R0149|999015</v>
      </c>
      <c r="L1288" t="str">
        <f>IF(COUNTIF(role_course_map[mapping_key],role_course_map[[#This Row],[mapping_key]])&gt;1,"DUPLICATE","OK")</f>
        <v>OK</v>
      </c>
      <c r="M1288" t="str">
        <f>IF(COUNTIF(role_data[role_id],role_course_map[[#This Row],[role_id]])=0, "INVALID","VALID")</f>
        <v>VALID</v>
      </c>
      <c r="N1288" t="str">
        <f>IF(COUNTIF(course_data[course_id],role_course_map[[#This Row],[course_id]])=0, "INVALID","VALID")</f>
        <v>VALID</v>
      </c>
    </row>
    <row r="1289" spans="1:14" x14ac:dyDescent="0.35">
      <c r="A1289" t="s">
        <v>308</v>
      </c>
      <c r="B1289" s="5" t="str">
        <f>_xlfn.XLOOKUP(role_course_map[[#This Row],[role_id]], role_data[role_id], role_data[Role],"")</f>
        <v>Paediatric Fellow</v>
      </c>
      <c r="C1289">
        <v>999016</v>
      </c>
      <c r="D1289" s="5" t="str">
        <f>_xlfn.XLOOKUP(role_course_map[[#This Row],[course_id]],course_data[course_id],course_data[title],"")</f>
        <v>Clinical Skills</v>
      </c>
      <c r="E1289" s="5" t="str">
        <f>_xlfn.XLOOKUP(role_course_map[[#This Row],[course_id]],course_data[course_id],course_data[topic],"")</f>
        <v>SAS : Clinical Practice</v>
      </c>
      <c r="F1289" s="5" t="str">
        <f>_xlfn.XLOOKUP(role_course_map[[#This Row],[course_id]],course_data[course_id],course_data[type],"")</f>
        <v>Course</v>
      </c>
      <c r="K1289" t="str">
        <f>role_course_map[[#This Row],[role_id]] &amp; "|" &amp; role_course_map[[#This Row],[course_id]]</f>
        <v>R0148|999016</v>
      </c>
      <c r="L1289" t="str">
        <f>IF(COUNTIF(role_course_map[mapping_key],role_course_map[[#This Row],[mapping_key]])&gt;1,"DUPLICATE","OK")</f>
        <v>OK</v>
      </c>
      <c r="M1289" t="str">
        <f>IF(COUNTIF(role_data[role_id],role_course_map[[#This Row],[role_id]])=0, "INVALID","VALID")</f>
        <v>VALID</v>
      </c>
      <c r="N1289" t="str">
        <f>IF(COUNTIF(course_data[course_id],role_course_map[[#This Row],[course_id]])=0, "INVALID","VALID")</f>
        <v>VALID</v>
      </c>
    </row>
    <row r="1290" spans="1:14" x14ac:dyDescent="0.35">
      <c r="A1290" t="s">
        <v>310</v>
      </c>
      <c r="B1290" s="5" t="str">
        <f>_xlfn.XLOOKUP(role_course_map[[#This Row],[role_id]], role_data[role_id], role_data[Role],"")</f>
        <v>Paediatric Nurse</v>
      </c>
      <c r="C1290">
        <v>999018</v>
      </c>
      <c r="D1290" s="5" t="str">
        <f>_xlfn.XLOOKUP(role_course_map[[#This Row],[course_id]],course_data[course_id],course_data[title],"")</f>
        <v>Learning from Events</v>
      </c>
      <c r="E1290" s="5" t="str">
        <f>_xlfn.XLOOKUP(role_course_map[[#This Row],[course_id]],course_data[course_id],course_data[topic],"")</f>
        <v>SAS : Clinical Practice</v>
      </c>
      <c r="F1290" s="5" t="str">
        <f>_xlfn.XLOOKUP(role_course_map[[#This Row],[course_id]],course_data[course_id],course_data[type],"")</f>
        <v>eLearning</v>
      </c>
      <c r="K1290" t="str">
        <f>role_course_map[[#This Row],[role_id]] &amp; "|" &amp; role_course_map[[#This Row],[course_id]]</f>
        <v>R0149|999018</v>
      </c>
      <c r="L1290" t="str">
        <f>IF(COUNTIF(role_course_map[mapping_key],role_course_map[[#This Row],[mapping_key]])&gt;1,"DUPLICATE","OK")</f>
        <v>OK</v>
      </c>
      <c r="M1290" t="str">
        <f>IF(COUNTIF(role_data[role_id],role_course_map[[#This Row],[role_id]])=0, "INVALID","VALID")</f>
        <v>VALID</v>
      </c>
      <c r="N1290" t="str">
        <f>IF(COUNTIF(course_data[course_id],role_course_map[[#This Row],[course_id]])=0, "INVALID","VALID")</f>
        <v>VALID</v>
      </c>
    </row>
    <row r="1291" spans="1:14" x14ac:dyDescent="0.35">
      <c r="A1291" t="s">
        <v>310</v>
      </c>
      <c r="B1291" s="5" t="str">
        <f>_xlfn.XLOOKUP(role_course_map[[#This Row],[role_id]], role_data[role_id], role_data[Role],"")</f>
        <v>Paediatric Nurse</v>
      </c>
      <c r="C1291">
        <v>999019</v>
      </c>
      <c r="D1291" s="5" t="str">
        <f>_xlfn.XLOOKUP(role_course_map[[#This Row],[course_id]],course_data[course_id],course_data[title],"")</f>
        <v>Medicines Management</v>
      </c>
      <c r="E1291" s="5" t="str">
        <f>_xlfn.XLOOKUP(role_course_map[[#This Row],[course_id]],course_data[course_id],course_data[topic],"")</f>
        <v>SAS : Clinical Practice</v>
      </c>
      <c r="F1291" s="5" t="str">
        <f>_xlfn.XLOOKUP(role_course_map[[#This Row],[course_id]],course_data[course_id],course_data[type],"")</f>
        <v>eLearning</v>
      </c>
      <c r="K1291" t="str">
        <f>role_course_map[[#This Row],[role_id]] &amp; "|" &amp; role_course_map[[#This Row],[course_id]]</f>
        <v>R0149|999019</v>
      </c>
      <c r="L1291" t="str">
        <f>IF(COUNTIF(role_course_map[mapping_key],role_course_map[[#This Row],[mapping_key]])&gt;1,"DUPLICATE","OK")</f>
        <v>OK</v>
      </c>
      <c r="M1291" t="str">
        <f>IF(COUNTIF(role_data[role_id],role_course_map[[#This Row],[role_id]])=0, "INVALID","VALID")</f>
        <v>VALID</v>
      </c>
      <c r="N1291" t="str">
        <f>IF(COUNTIF(course_data[course_id],role_course_map[[#This Row],[course_id]])=0, "INVALID","VALID")</f>
        <v>VALID</v>
      </c>
    </row>
    <row r="1292" spans="1:14" x14ac:dyDescent="0.35">
      <c r="A1292" t="s">
        <v>310</v>
      </c>
      <c r="B1292" s="5" t="str">
        <f>_xlfn.XLOOKUP(role_course_map[[#This Row],[role_id]], role_data[role_id], role_data[Role],"")</f>
        <v>Paediatric Nurse</v>
      </c>
      <c r="C1292">
        <v>999021</v>
      </c>
      <c r="D1292" s="5" t="str">
        <f>_xlfn.XLOOKUP(role_course_map[[#This Row],[course_id]],course_data[course_id],course_data[title],"")</f>
        <v>Mental Health</v>
      </c>
      <c r="E1292" s="5" t="str">
        <f>_xlfn.XLOOKUP(role_course_map[[#This Row],[course_id]],course_data[course_id],course_data[topic],"")</f>
        <v>SAS : Clinical Practice</v>
      </c>
      <c r="F1292" s="5" t="str">
        <f>_xlfn.XLOOKUP(role_course_map[[#This Row],[course_id]],course_data[course_id],course_data[type],"")</f>
        <v>eLearning</v>
      </c>
      <c r="K1292" t="str">
        <f>role_course_map[[#This Row],[role_id]] &amp; "|" &amp; role_course_map[[#This Row],[course_id]]</f>
        <v>R0149|999021</v>
      </c>
      <c r="L1292" t="str">
        <f>IF(COUNTIF(role_course_map[mapping_key],role_course_map[[#This Row],[mapping_key]])&gt;1,"DUPLICATE","OK")</f>
        <v>OK</v>
      </c>
      <c r="M1292" t="str">
        <f>IF(COUNTIF(role_data[role_id],role_course_map[[#This Row],[role_id]])=0, "INVALID","VALID")</f>
        <v>VALID</v>
      </c>
      <c r="N1292" t="str">
        <f>IF(COUNTIF(course_data[course_id],role_course_map[[#This Row],[course_id]])=0, "INVALID","VALID")</f>
        <v>VALID</v>
      </c>
    </row>
    <row r="1293" spans="1:14" x14ac:dyDescent="0.35">
      <c r="A1293" t="s">
        <v>310</v>
      </c>
      <c r="B1293" s="5" t="str">
        <f>_xlfn.XLOOKUP(role_course_map[[#This Row],[role_id]], role_data[role_id], role_data[Role],"")</f>
        <v>Paediatric Nurse</v>
      </c>
      <c r="C1293">
        <v>999020</v>
      </c>
      <c r="D1293" s="5" t="str">
        <f>_xlfn.XLOOKUP(role_course_map[[#This Row],[course_id]],course_data[course_id],course_data[title],"")</f>
        <v>JRCALC Update</v>
      </c>
      <c r="E1293" s="5" t="str">
        <f>_xlfn.XLOOKUP(role_course_map[[#This Row],[course_id]],course_data[course_id],course_data[topic],"")</f>
        <v>SAS : Clinical Practice</v>
      </c>
      <c r="F1293" s="5" t="str">
        <f>_xlfn.XLOOKUP(role_course_map[[#This Row],[course_id]],course_data[course_id],course_data[type],"")</f>
        <v>eLearning</v>
      </c>
      <c r="K1293" t="str">
        <f>role_course_map[[#This Row],[role_id]] &amp; "|" &amp; role_course_map[[#This Row],[course_id]]</f>
        <v>R0149|999020</v>
      </c>
      <c r="L1293" t="str">
        <f>IF(COUNTIF(role_course_map[mapping_key],role_course_map[[#This Row],[mapping_key]])&gt;1,"DUPLICATE","OK")</f>
        <v>OK</v>
      </c>
      <c r="M1293" t="str">
        <f>IF(COUNTIF(role_data[role_id],role_course_map[[#This Row],[role_id]])=0, "INVALID","VALID")</f>
        <v>VALID</v>
      </c>
      <c r="N1293" t="str">
        <f>IF(COUNTIF(course_data[course_id],role_course_map[[#This Row],[course_id]])=0, "INVALID","VALID")</f>
        <v>VALID</v>
      </c>
    </row>
    <row r="1294" spans="1:14" x14ac:dyDescent="0.35">
      <c r="A1294" t="s">
        <v>310</v>
      </c>
      <c r="B1294" s="5" t="str">
        <f>_xlfn.XLOOKUP(role_course_map[[#This Row],[role_id]], role_data[role_id], role_data[Role],"")</f>
        <v>Paediatric Nurse</v>
      </c>
      <c r="C1294">
        <v>999022</v>
      </c>
      <c r="D1294" s="5" t="str">
        <f>_xlfn.XLOOKUP(role_course_map[[#This Row],[course_id]],course_data[course_id],course_data[title],"")</f>
        <v>Learning Disabilities</v>
      </c>
      <c r="E1294" s="5" t="str">
        <f>_xlfn.XLOOKUP(role_course_map[[#This Row],[course_id]],course_data[course_id],course_data[topic],"")</f>
        <v>SAS : Clinical Practice</v>
      </c>
      <c r="F1294" s="5" t="str">
        <f>_xlfn.XLOOKUP(role_course_map[[#This Row],[course_id]],course_data[course_id],course_data[type],"")</f>
        <v>eLearning</v>
      </c>
      <c r="K1294" t="str">
        <f>role_course_map[[#This Row],[role_id]] &amp; "|" &amp; role_course_map[[#This Row],[course_id]]</f>
        <v>R0149|999022</v>
      </c>
      <c r="L1294" t="str">
        <f>IF(COUNTIF(role_course_map[mapping_key],role_course_map[[#This Row],[mapping_key]])&gt;1,"DUPLICATE","OK")</f>
        <v>OK</v>
      </c>
      <c r="M1294" t="str">
        <f>IF(COUNTIF(role_data[role_id],role_course_map[[#This Row],[role_id]])=0, "INVALID","VALID")</f>
        <v>VALID</v>
      </c>
      <c r="N1294" t="str">
        <f>IF(COUNTIF(course_data[course_id],role_course_map[[#This Row],[course_id]])=0, "INVALID","VALID")</f>
        <v>VALID</v>
      </c>
    </row>
    <row r="1295" spans="1:14" x14ac:dyDescent="0.35">
      <c r="A1295" t="s">
        <v>310</v>
      </c>
      <c r="B1295" s="5" t="str">
        <f>_xlfn.XLOOKUP(role_course_map[[#This Row],[role_id]], role_data[role_id], role_data[Role],"")</f>
        <v>Paediatric Nurse</v>
      </c>
      <c r="C1295">
        <v>75202</v>
      </c>
      <c r="D1295" s="5" t="str">
        <f>_xlfn.XLOOKUP(role_course_map[[#This Row],[course_id]],course_data[course_id],course_data[title],"")</f>
        <v>SAS : Clinical Practice</v>
      </c>
      <c r="E1295" s="5" t="str">
        <f>_xlfn.XLOOKUP(role_course_map[[#This Row],[course_id]],course_data[course_id],course_data[topic],"")</f>
        <v>SAS : Clinical Practice</v>
      </c>
      <c r="F1295" s="5" t="str">
        <f>_xlfn.XLOOKUP(role_course_map[[#This Row],[course_id]],course_data[course_id],course_data[type],"")</f>
        <v>Page</v>
      </c>
      <c r="K1295" t="str">
        <f>role_course_map[[#This Row],[role_id]] &amp; "|" &amp; role_course_map[[#This Row],[course_id]]</f>
        <v>R0149|75202</v>
      </c>
      <c r="L1295" t="str">
        <f>IF(COUNTIF(role_course_map[mapping_key],role_course_map[[#This Row],[mapping_key]])&gt;1,"DUPLICATE","OK")</f>
        <v>OK</v>
      </c>
      <c r="M1295" t="str">
        <f>IF(COUNTIF(role_data[role_id],role_course_map[[#This Row],[role_id]])=0, "INVALID","VALID")</f>
        <v>VALID</v>
      </c>
      <c r="N1295" t="str">
        <f>IF(COUNTIF(course_data[course_id],role_course_map[[#This Row],[course_id]])=0, "INVALID","VALID")</f>
        <v>VALID</v>
      </c>
    </row>
    <row r="1296" spans="1:14" x14ac:dyDescent="0.35">
      <c r="A1296" t="s">
        <v>310</v>
      </c>
      <c r="B1296" s="5" t="str">
        <f>_xlfn.XLOOKUP(role_course_map[[#This Row],[role_id]], role_data[role_id], role_data[Role],"")</f>
        <v>Paediatric Nurse</v>
      </c>
      <c r="C1296">
        <v>999023</v>
      </c>
      <c r="D1296" s="5" t="str">
        <f>_xlfn.XLOOKUP(role_course_map[[#This Row],[course_id]],course_data[course_id],course_data[title],"")</f>
        <v>Dementia</v>
      </c>
      <c r="E1296" s="5" t="str">
        <f>_xlfn.XLOOKUP(role_course_map[[#This Row],[course_id]],course_data[course_id],course_data[topic],"")</f>
        <v>SAS : Clinical Practice</v>
      </c>
      <c r="F1296" s="5" t="str">
        <f>_xlfn.XLOOKUP(role_course_map[[#This Row],[course_id]],course_data[course_id],course_data[type],"")</f>
        <v>eLearning</v>
      </c>
      <c r="K1296" t="str">
        <f>role_course_map[[#This Row],[role_id]] &amp; "|" &amp; role_course_map[[#This Row],[course_id]]</f>
        <v>R0149|999023</v>
      </c>
      <c r="L1296" t="str">
        <f>IF(COUNTIF(role_course_map[mapping_key],role_course_map[[#This Row],[mapping_key]])&gt;1,"DUPLICATE","OK")</f>
        <v>OK</v>
      </c>
      <c r="M1296" t="str">
        <f>IF(COUNTIF(role_data[role_id],role_course_map[[#This Row],[role_id]])=0, "INVALID","VALID")</f>
        <v>VALID</v>
      </c>
      <c r="N1296" t="str">
        <f>IF(COUNTIF(course_data[course_id],role_course_map[[#This Row],[course_id]])=0, "INVALID","VALID")</f>
        <v>VALID</v>
      </c>
    </row>
    <row r="1297" spans="1:14" x14ac:dyDescent="0.35">
      <c r="A1297" t="s">
        <v>308</v>
      </c>
      <c r="B1297" s="5" t="str">
        <f>_xlfn.XLOOKUP(role_course_map[[#This Row],[role_id]], role_data[role_id], role_data[Role],"")</f>
        <v>Paediatric Fellow</v>
      </c>
      <c r="C1297">
        <v>999024</v>
      </c>
      <c r="D1297" s="5" t="str">
        <f>_xlfn.XLOOKUP(role_course_map[[#This Row],[course_id]],course_data[course_id],course_data[title],"")</f>
        <v>Conditions requiring specific hospital management. I.e. Parkinsons</v>
      </c>
      <c r="E1297" s="5" t="str">
        <f>_xlfn.XLOOKUP(role_course_map[[#This Row],[course_id]],course_data[course_id],course_data[topic],"")</f>
        <v>SAS : Clinical Practice</v>
      </c>
      <c r="F1297" s="5" t="str">
        <f>_xlfn.XLOOKUP(role_course_map[[#This Row],[course_id]],course_data[course_id],course_data[type],"")</f>
        <v>eLearning</v>
      </c>
      <c r="K1297" t="str">
        <f>role_course_map[[#This Row],[role_id]] &amp; "|" &amp; role_course_map[[#This Row],[course_id]]</f>
        <v>R0148|999024</v>
      </c>
      <c r="L1297" t="str">
        <f>IF(COUNTIF(role_course_map[mapping_key],role_course_map[[#This Row],[mapping_key]])&gt;1,"DUPLICATE","OK")</f>
        <v>OK</v>
      </c>
      <c r="M1297" t="str">
        <f>IF(COUNTIF(role_data[role_id],role_course_map[[#This Row],[role_id]])=0, "INVALID","VALID")</f>
        <v>VALID</v>
      </c>
      <c r="N1297" t="str">
        <f>IF(COUNTIF(course_data[course_id],role_course_map[[#This Row],[course_id]])=0, "INVALID","VALID")</f>
        <v>VALID</v>
      </c>
    </row>
    <row r="1298" spans="1:14" x14ac:dyDescent="0.35">
      <c r="A1298" t="s">
        <v>310</v>
      </c>
      <c r="B1298" s="5" t="str">
        <f>_xlfn.XLOOKUP(role_course_map[[#This Row],[role_id]], role_data[role_id], role_data[Role],"")</f>
        <v>Paediatric Nurse</v>
      </c>
      <c r="C1298">
        <v>999095</v>
      </c>
      <c r="D1298" s="5" t="str">
        <f>_xlfn.XLOOKUP(role_course_map[[#This Row],[course_id]],course_data[course_id],course_data[title],"")</f>
        <v>Mentoring</v>
      </c>
      <c r="E1298" s="5" t="str">
        <f>_xlfn.XLOOKUP(role_course_map[[#This Row],[course_id]],course_data[course_id],course_data[topic],"")</f>
        <v>SAS: Staff development and experience</v>
      </c>
      <c r="F1298" s="5" t="str">
        <f>_xlfn.XLOOKUP(role_course_map[[#This Row],[course_id]],course_data[course_id],course_data[type],"")</f>
        <v>eLearning</v>
      </c>
      <c r="K1298" t="str">
        <f>role_course_map[[#This Row],[role_id]] &amp; "|" &amp; role_course_map[[#This Row],[course_id]]</f>
        <v>R0149|999095</v>
      </c>
      <c r="L1298" t="str">
        <f>IF(COUNTIF(role_course_map[mapping_key],role_course_map[[#This Row],[mapping_key]])&gt;1,"DUPLICATE","OK")</f>
        <v>OK</v>
      </c>
      <c r="M1298" t="str">
        <f>IF(COUNTIF(role_data[role_id],role_course_map[[#This Row],[role_id]])=0, "INVALID","VALID")</f>
        <v>VALID</v>
      </c>
      <c r="N1298" t="str">
        <f>IF(COUNTIF(course_data[course_id],role_course_map[[#This Row],[course_id]])=0, "INVALID","VALID")</f>
        <v>VALID</v>
      </c>
    </row>
    <row r="1299" spans="1:14" x14ac:dyDescent="0.35">
      <c r="A1299" t="s">
        <v>310</v>
      </c>
      <c r="B1299" s="5" t="str">
        <f>_xlfn.XLOOKUP(role_course_map[[#This Row],[role_id]], role_data[role_id], role_data[Role],"")</f>
        <v>Paediatric Nurse</v>
      </c>
      <c r="C1299">
        <v>999096</v>
      </c>
      <c r="D1299" s="5" t="str">
        <f>_xlfn.XLOOKUP(role_course_map[[#This Row],[course_id]],course_data[course_id],course_data[title],"")</f>
        <v>Supporting others in practice (Supervision)</v>
      </c>
      <c r="E1299" s="5" t="str">
        <f>_xlfn.XLOOKUP(role_course_map[[#This Row],[course_id]],course_data[course_id],course_data[topic],"")</f>
        <v>SAS: Staff development and experience</v>
      </c>
      <c r="F1299" s="5" t="str">
        <f>_xlfn.XLOOKUP(role_course_map[[#This Row],[course_id]],course_data[course_id],course_data[type],"")</f>
        <v>Course</v>
      </c>
      <c r="K1299" t="str">
        <f>role_course_map[[#This Row],[role_id]] &amp; "|" &amp; role_course_map[[#This Row],[course_id]]</f>
        <v>R0149|999096</v>
      </c>
      <c r="L1299" t="str">
        <f>IF(COUNTIF(role_course_map[mapping_key],role_course_map[[#This Row],[mapping_key]])&gt;1,"DUPLICATE","OK")</f>
        <v>OK</v>
      </c>
      <c r="M1299" t="str">
        <f>IF(COUNTIF(role_data[role_id],role_course_map[[#This Row],[role_id]])=0, "INVALID","VALID")</f>
        <v>VALID</v>
      </c>
      <c r="N1299" t="str">
        <f>IF(COUNTIF(course_data[course_id],role_course_map[[#This Row],[course_id]])=0, "INVALID","VALID")</f>
        <v>VALID</v>
      </c>
    </row>
    <row r="1300" spans="1:14" x14ac:dyDescent="0.35">
      <c r="A1300" t="s">
        <v>310</v>
      </c>
      <c r="B1300" s="5" t="str">
        <f>_xlfn.XLOOKUP(role_course_map[[#This Row],[role_id]], role_data[role_id], role_data[Role],"")</f>
        <v>Paediatric Nurse</v>
      </c>
      <c r="C1300">
        <v>999097</v>
      </c>
      <c r="D1300" s="5" t="str">
        <f>_xlfn.XLOOKUP(role_course_map[[#This Row],[course_id]],course_data[course_id],course_data[title],"")</f>
        <v>Personal Wellbeing</v>
      </c>
      <c r="E1300" s="5" t="str">
        <f>_xlfn.XLOOKUP(role_course_map[[#This Row],[course_id]],course_data[course_id],course_data[topic],"")</f>
        <v>SAS: Staff development and experience</v>
      </c>
      <c r="F1300" s="5" t="str">
        <f>_xlfn.XLOOKUP(role_course_map[[#This Row],[course_id]],course_data[course_id],course_data[type],"")</f>
        <v>eLearning</v>
      </c>
      <c r="K1300" t="str">
        <f>role_course_map[[#This Row],[role_id]] &amp; "|" &amp; role_course_map[[#This Row],[course_id]]</f>
        <v>R0149|999097</v>
      </c>
      <c r="L1300" t="str">
        <f>IF(COUNTIF(role_course_map[mapping_key],role_course_map[[#This Row],[mapping_key]])&gt;1,"DUPLICATE","OK")</f>
        <v>OK</v>
      </c>
      <c r="M1300" t="str">
        <f>IF(COUNTIF(role_data[role_id],role_course_map[[#This Row],[role_id]])=0, "INVALID","VALID")</f>
        <v>VALID</v>
      </c>
      <c r="N1300" t="str">
        <f>IF(COUNTIF(course_data[course_id],role_course_map[[#This Row],[course_id]])=0, "INVALID","VALID")</f>
        <v>VALID</v>
      </c>
    </row>
    <row r="1301" spans="1:14" x14ac:dyDescent="0.35">
      <c r="A1301" t="s">
        <v>310</v>
      </c>
      <c r="B1301" s="5" t="str">
        <f>_xlfn.XLOOKUP(role_course_map[[#This Row],[role_id]], role_data[role_id], role_data[Role],"")</f>
        <v>Paediatric Nurse</v>
      </c>
      <c r="C1301">
        <v>79147</v>
      </c>
      <c r="D1301" s="5" t="str">
        <f>_xlfn.XLOOKUP(role_course_map[[#This Row],[course_id]],course_data[course_id],course_data[title],"")</f>
        <v>Driving risks at work</v>
      </c>
      <c r="E1301" s="5" t="str">
        <f>_xlfn.XLOOKUP(role_course_map[[#This Row],[course_id]],course_data[course_id],course_data[topic],"")</f>
        <v>SAS : Health and Safety</v>
      </c>
      <c r="F1301" s="5" t="str">
        <f>_xlfn.XLOOKUP(role_course_map[[#This Row],[course_id]],course_data[course_id],course_data[type],"")</f>
        <v>eLearning</v>
      </c>
      <c r="K1301" t="str">
        <f>role_course_map[[#This Row],[role_id]] &amp; "|" &amp; role_course_map[[#This Row],[course_id]]</f>
        <v>R0149|79147</v>
      </c>
      <c r="L1301" t="str">
        <f>IF(COUNTIF(role_course_map[mapping_key],role_course_map[[#This Row],[mapping_key]])&gt;1,"DUPLICATE","OK")</f>
        <v>OK</v>
      </c>
      <c r="M1301" t="str">
        <f>IF(COUNTIF(role_data[role_id],role_course_map[[#This Row],[role_id]])=0, "INVALID","VALID")</f>
        <v>VALID</v>
      </c>
      <c r="N1301" t="str">
        <f>IF(COUNTIF(course_data[course_id],role_course_map[[#This Row],[course_id]])=0, "INVALID","VALID")</f>
        <v>VALID</v>
      </c>
    </row>
    <row r="1302" spans="1:14" x14ac:dyDescent="0.35">
      <c r="A1302" t="s">
        <v>308</v>
      </c>
      <c r="B1302" s="5" t="str">
        <f>_xlfn.XLOOKUP(role_course_map[[#This Row],[role_id]], role_data[role_id], role_data[Role],"")</f>
        <v>Paediatric Fellow</v>
      </c>
      <c r="C1302">
        <v>999060</v>
      </c>
      <c r="D1302" s="5" t="str">
        <f>_xlfn.XLOOKUP(role_course_map[[#This Row],[course_id]],course_data[course_id],course_data[title],"")</f>
        <v>COSHH</v>
      </c>
      <c r="E1302" s="5" t="str">
        <f>_xlfn.XLOOKUP(role_course_map[[#This Row],[course_id]],course_data[course_id],course_data[topic],"")</f>
        <v>SAS : Health and Safety</v>
      </c>
      <c r="F1302" s="5" t="str">
        <f>_xlfn.XLOOKUP(role_course_map[[#This Row],[course_id]],course_data[course_id],course_data[type],"")</f>
        <v>eLearning</v>
      </c>
      <c r="K1302" t="str">
        <f>role_course_map[[#This Row],[role_id]] &amp; "|" &amp; role_course_map[[#This Row],[course_id]]</f>
        <v>R0148|999060</v>
      </c>
      <c r="L1302" t="str">
        <f>IF(COUNTIF(role_course_map[mapping_key],role_course_map[[#This Row],[mapping_key]])&gt;1,"DUPLICATE","OK")</f>
        <v>OK</v>
      </c>
      <c r="M1302" t="str">
        <f>IF(COUNTIF(role_data[role_id],role_course_map[[#This Row],[role_id]])=0, "INVALID","VALID")</f>
        <v>VALID</v>
      </c>
      <c r="N1302" t="str">
        <f>IF(COUNTIF(course_data[course_id],role_course_map[[#This Row],[course_id]])=0, "INVALID","VALID")</f>
        <v>VALID</v>
      </c>
    </row>
    <row r="1303" spans="1:14" x14ac:dyDescent="0.35">
      <c r="A1303" t="s">
        <v>310</v>
      </c>
      <c r="B1303" s="5" t="str">
        <f>_xlfn.XLOOKUP(role_course_map[[#This Row],[role_id]], role_data[role_id], role_data[Role],"")</f>
        <v>Paediatric Nurse</v>
      </c>
      <c r="C1303">
        <v>999066</v>
      </c>
      <c r="D1303" s="5" t="str">
        <f>_xlfn.XLOOKUP(role_course_map[[#This Row],[course_id]],course_data[course_id],course_data[title],"")</f>
        <v>NRRD Update i.e. Major Incidents/Methane/ Multiple Casualities</v>
      </c>
      <c r="E1303" s="5" t="str">
        <f>_xlfn.XLOOKUP(role_course_map[[#This Row],[course_id]],course_data[course_id],course_data[topic],"")</f>
        <v>SAS : National Risk and Resilience Department (NRRD)</v>
      </c>
      <c r="F1303" s="5" t="str">
        <f>_xlfn.XLOOKUP(role_course_map[[#This Row],[course_id]],course_data[course_id],course_data[type],"")</f>
        <v>eLearning</v>
      </c>
      <c r="K1303" t="str">
        <f>role_course_map[[#This Row],[role_id]] &amp; "|" &amp; role_course_map[[#This Row],[course_id]]</f>
        <v>R0149|999066</v>
      </c>
      <c r="L1303" t="str">
        <f>IF(COUNTIF(role_course_map[mapping_key],role_course_map[[#This Row],[mapping_key]])&gt;1,"DUPLICATE","OK")</f>
        <v>OK</v>
      </c>
      <c r="M1303" t="str">
        <f>IF(COUNTIF(role_data[role_id],role_course_map[[#This Row],[role_id]])=0, "INVALID","VALID")</f>
        <v>VALID</v>
      </c>
      <c r="N1303" t="str">
        <f>IF(COUNTIF(course_data[course_id],role_course_map[[#This Row],[course_id]])=0, "INVALID","VALID")</f>
        <v>VALID</v>
      </c>
    </row>
    <row r="1304" spans="1:14" x14ac:dyDescent="0.35">
      <c r="A1304" t="s">
        <v>310</v>
      </c>
      <c r="B1304" s="5" t="str">
        <f>_xlfn.XLOOKUP(role_course_map[[#This Row],[role_id]], role_data[role_id], role_data[Role],"")</f>
        <v>Paediatric Nurse</v>
      </c>
      <c r="C1304">
        <v>999025</v>
      </c>
      <c r="D1304" s="5" t="str">
        <f>_xlfn.XLOOKUP(role_course_map[[#This Row],[course_id]],course_data[course_id],course_data[title],"")</f>
        <v>Professional Standards</v>
      </c>
      <c r="E1304" s="5" t="str">
        <f>_xlfn.XLOOKUP(role_course_map[[#This Row],[course_id]],course_data[course_id],course_data[topic],"")</f>
        <v>SAS : Clinical Practice</v>
      </c>
      <c r="F1304" s="5" t="str">
        <f>_xlfn.XLOOKUP(role_course_map[[#This Row],[course_id]],course_data[course_id],course_data[type],"")</f>
        <v>eLearning</v>
      </c>
      <c r="K1304" t="str">
        <f>role_course_map[[#This Row],[role_id]] &amp; "|" &amp; role_course_map[[#This Row],[course_id]]</f>
        <v>R0149|999025</v>
      </c>
      <c r="L1304" t="str">
        <f>IF(COUNTIF(role_course_map[mapping_key],role_course_map[[#This Row],[mapping_key]])&gt;1,"DUPLICATE","OK")</f>
        <v>OK</v>
      </c>
      <c r="M1304" t="str">
        <f>IF(COUNTIF(role_data[role_id],role_course_map[[#This Row],[role_id]])=0, "INVALID","VALID")</f>
        <v>VALID</v>
      </c>
      <c r="N1304" t="str">
        <f>IF(COUNTIF(course_data[course_id],role_course_map[[#This Row],[course_id]])=0, "INVALID","VALID")</f>
        <v>VALID</v>
      </c>
    </row>
    <row r="1305" spans="1:14" x14ac:dyDescent="0.35">
      <c r="A1305" t="s">
        <v>308</v>
      </c>
      <c r="B1305" s="5" t="str">
        <f>_xlfn.XLOOKUP(role_course_map[[#This Row],[role_id]], role_data[role_id], role_data[Role],"")</f>
        <v>Paediatric Fellow</v>
      </c>
      <c r="C1305">
        <v>999026</v>
      </c>
      <c r="D1305" s="5" t="str">
        <f>_xlfn.XLOOKUP(role_course_map[[#This Row],[course_id]],course_data[course_id],course_data[title],"")</f>
        <v>Communication Standards</v>
      </c>
      <c r="E1305" s="5" t="str">
        <f>_xlfn.XLOOKUP(role_course_map[[#This Row],[course_id]],course_data[course_id],course_data[topic],"")</f>
        <v>SAS : Clinical Practice</v>
      </c>
      <c r="F1305" s="5" t="str">
        <f>_xlfn.XLOOKUP(role_course_map[[#This Row],[course_id]],course_data[course_id],course_data[type],"")</f>
        <v>eLearning</v>
      </c>
      <c r="K1305" t="str">
        <f>role_course_map[[#This Row],[role_id]] &amp; "|" &amp; role_course_map[[#This Row],[course_id]]</f>
        <v>R0148|999026</v>
      </c>
      <c r="L1305" t="str">
        <f>IF(COUNTIF(role_course_map[mapping_key],role_course_map[[#This Row],[mapping_key]])&gt;1,"DUPLICATE","OK")</f>
        <v>OK</v>
      </c>
      <c r="M1305" t="str">
        <f>IF(COUNTIF(role_data[role_id],role_course_map[[#This Row],[role_id]])=0, "INVALID","VALID")</f>
        <v>VALID</v>
      </c>
      <c r="N1305" t="str">
        <f>IF(COUNTIF(course_data[course_id],role_course_map[[#This Row],[course_id]])=0, "INVALID","VALID")</f>
        <v>VALID</v>
      </c>
    </row>
    <row r="1306" spans="1:14" x14ac:dyDescent="0.35">
      <c r="A1306" t="s">
        <v>310</v>
      </c>
      <c r="B1306" s="5" t="str">
        <f>_xlfn.XLOOKUP(role_course_map[[#This Row],[role_id]], role_data[role_id], role_data[Role],"")</f>
        <v>Paediatric Nurse</v>
      </c>
      <c r="C1306">
        <v>999058</v>
      </c>
      <c r="D1306" s="5" t="str">
        <f>_xlfn.XLOOKUP(role_course_map[[#This Row],[course_id]],course_data[course_id],course_data[title],"")</f>
        <v>Stress Identification &amp; Stress Management</v>
      </c>
      <c r="E1306" s="5" t="str">
        <f>_xlfn.XLOOKUP(role_course_map[[#This Row],[course_id]],course_data[course_id],course_data[topic],"")</f>
        <v>SAS : Health and Safety</v>
      </c>
      <c r="F1306" s="5" t="str">
        <f>_xlfn.XLOOKUP(role_course_map[[#This Row],[course_id]],course_data[course_id],course_data[type],"")</f>
        <v>eLearning</v>
      </c>
      <c r="K1306" t="str">
        <f>role_course_map[[#This Row],[role_id]] &amp; "|" &amp; role_course_map[[#This Row],[course_id]]</f>
        <v>R0149|999058</v>
      </c>
      <c r="L1306" t="str">
        <f>IF(COUNTIF(role_course_map[mapping_key],role_course_map[[#This Row],[mapping_key]])&gt;1,"DUPLICATE","OK")</f>
        <v>OK</v>
      </c>
      <c r="M1306" t="str">
        <f>IF(COUNTIF(role_data[role_id],role_course_map[[#This Row],[role_id]])=0, "INVALID","VALID")</f>
        <v>VALID</v>
      </c>
      <c r="N1306" t="str">
        <f>IF(COUNTIF(course_data[course_id],role_course_map[[#This Row],[course_id]])=0, "INVALID","VALID")</f>
        <v>VALID</v>
      </c>
    </row>
    <row r="1307" spans="1:14" x14ac:dyDescent="0.35">
      <c r="A1307" t="s">
        <v>308</v>
      </c>
      <c r="B1307" s="5" t="str">
        <f>_xlfn.XLOOKUP(role_course_map[[#This Row],[role_id]], role_data[role_id], role_data[Role],"")</f>
        <v>Paediatric Fellow</v>
      </c>
      <c r="C1307">
        <v>999056</v>
      </c>
      <c r="D1307" s="5" t="str">
        <f>_xlfn.XLOOKUP(role_course_map[[#This Row],[course_id]],course_data[course_id],course_data[title],"")</f>
        <v>Driver Assessment &amp; Training</v>
      </c>
      <c r="E1307" s="5" t="str">
        <f>_xlfn.XLOOKUP(role_course_map[[#This Row],[course_id]],course_data[course_id],course_data[topic],"")</f>
        <v>SAS : Health and Safety</v>
      </c>
      <c r="F1307" s="5" t="str">
        <f>_xlfn.XLOOKUP(role_course_map[[#This Row],[course_id]],course_data[course_id],course_data[type],"")</f>
        <v>eLearning</v>
      </c>
      <c r="K1307" t="str">
        <f>role_course_map[[#This Row],[role_id]] &amp; "|" &amp; role_course_map[[#This Row],[course_id]]</f>
        <v>R0148|999056</v>
      </c>
      <c r="L1307" t="str">
        <f>IF(COUNTIF(role_course_map[mapping_key],role_course_map[[#This Row],[mapping_key]])&gt;1,"DUPLICATE","OK")</f>
        <v>OK</v>
      </c>
      <c r="M1307" t="str">
        <f>IF(COUNTIF(role_data[role_id],role_course_map[[#This Row],[role_id]])=0, "INVALID","VALID")</f>
        <v>VALID</v>
      </c>
      <c r="N1307" t="str">
        <f>IF(COUNTIF(course_data[course_id],role_course_map[[#This Row],[course_id]])=0, "INVALID","VALID")</f>
        <v>VALID</v>
      </c>
    </row>
    <row r="1308" spans="1:14" x14ac:dyDescent="0.35">
      <c r="A1308" t="s">
        <v>310</v>
      </c>
      <c r="B1308" s="5" t="str">
        <f>_xlfn.XLOOKUP(role_course_map[[#This Row],[role_id]], role_data[role_id], role_data[Role],"")</f>
        <v>Paediatric Nurse</v>
      </c>
      <c r="C1308">
        <v>999061</v>
      </c>
      <c r="D1308" s="5" t="str">
        <f>_xlfn.XLOOKUP(role_course_map[[#This Row],[course_id]],course_data[course_id],course_data[title],"")</f>
        <v>Skin Awareness</v>
      </c>
      <c r="E1308" s="5" t="str">
        <f>_xlfn.XLOOKUP(role_course_map[[#This Row],[course_id]],course_data[course_id],course_data[topic],"")</f>
        <v>SAS : Health and Safety</v>
      </c>
      <c r="F1308" s="5" t="str">
        <f>_xlfn.XLOOKUP(role_course_map[[#This Row],[course_id]],course_data[course_id],course_data[type],"")</f>
        <v>eLearning</v>
      </c>
      <c r="K1308" t="str">
        <f>role_course_map[[#This Row],[role_id]] &amp; "|" &amp; role_course_map[[#This Row],[course_id]]</f>
        <v>R0149|999061</v>
      </c>
      <c r="L1308" t="str">
        <f>IF(COUNTIF(role_course_map[mapping_key],role_course_map[[#This Row],[mapping_key]])&gt;1,"DUPLICATE","OK")</f>
        <v>OK</v>
      </c>
      <c r="M1308" t="str">
        <f>IF(COUNTIF(role_data[role_id],role_course_map[[#This Row],[role_id]])=0, "INVALID","VALID")</f>
        <v>VALID</v>
      </c>
      <c r="N1308" t="str">
        <f>IF(COUNTIF(course_data[course_id],role_course_map[[#This Row],[course_id]])=0, "INVALID","VALID")</f>
        <v>VALID</v>
      </c>
    </row>
    <row r="1309" spans="1:14" x14ac:dyDescent="0.35">
      <c r="A1309" t="s">
        <v>308</v>
      </c>
      <c r="B1309" s="5" t="str">
        <f>_xlfn.XLOOKUP(role_course_map[[#This Row],[role_id]], role_data[role_id], role_data[Role],"")</f>
        <v>Paediatric Fellow</v>
      </c>
      <c r="C1309">
        <v>999057</v>
      </c>
      <c r="D1309" s="5" t="str">
        <f>_xlfn.XLOOKUP(role_course_map[[#This Row],[course_id]],course_data[course_id],course_data[title],"")</f>
        <v>Fatigue Awareness</v>
      </c>
      <c r="E1309" s="5" t="str">
        <f>_xlfn.XLOOKUP(role_course_map[[#This Row],[course_id]],course_data[course_id],course_data[topic],"")</f>
        <v>SAS : Health and Safety</v>
      </c>
      <c r="F1309" s="5" t="str">
        <f>_xlfn.XLOOKUP(role_course_map[[#This Row],[course_id]],course_data[course_id],course_data[type],"")</f>
        <v>eLearning</v>
      </c>
      <c r="K1309" t="str">
        <f>role_course_map[[#This Row],[role_id]] &amp; "|" &amp; role_course_map[[#This Row],[course_id]]</f>
        <v>R0148|999057</v>
      </c>
      <c r="L1309" t="str">
        <f>IF(COUNTIF(role_course_map[mapping_key],role_course_map[[#This Row],[mapping_key]])&gt;1,"DUPLICATE","OK")</f>
        <v>OK</v>
      </c>
      <c r="M1309" t="str">
        <f>IF(COUNTIF(role_data[role_id],role_course_map[[#This Row],[role_id]])=0, "INVALID","VALID")</f>
        <v>VALID</v>
      </c>
      <c r="N1309" t="str">
        <f>IF(COUNTIF(course_data[course_id],role_course_map[[#This Row],[course_id]])=0, "INVALID","VALID")</f>
        <v>VALID</v>
      </c>
    </row>
    <row r="1310" spans="1:14" x14ac:dyDescent="0.35">
      <c r="A1310" t="s">
        <v>310</v>
      </c>
      <c r="B1310" s="5" t="str">
        <f>_xlfn.XLOOKUP(role_course_map[[#This Row],[role_id]], role_data[role_id], role_data[Role],"")</f>
        <v>Paediatric Nurse</v>
      </c>
      <c r="C1310">
        <v>999027</v>
      </c>
      <c r="D1310" s="5" t="str">
        <f>_xlfn.XLOOKUP(role_course_map[[#This Row],[course_id]],course_data[course_id],course_data[title],"")</f>
        <v>Manual and Patient Handling Foundation Training - Level 2</v>
      </c>
      <c r="E1310" s="5" t="str">
        <f>_xlfn.XLOOKUP(role_course_map[[#This Row],[course_id]],course_data[course_id],course_data[topic],"")</f>
        <v>SAS : Clinical Practice</v>
      </c>
      <c r="F1310" s="5" t="str">
        <f>_xlfn.XLOOKUP(role_course_map[[#This Row],[course_id]],course_data[course_id],course_data[type],"")</f>
        <v>Course</v>
      </c>
      <c r="K1310" t="str">
        <f>role_course_map[[#This Row],[role_id]] &amp; "|" &amp; role_course_map[[#This Row],[course_id]]</f>
        <v>R0149|999027</v>
      </c>
      <c r="L1310" t="str">
        <f>IF(COUNTIF(role_course_map[mapping_key],role_course_map[[#This Row],[mapping_key]])&gt;1,"DUPLICATE","OK")</f>
        <v>OK</v>
      </c>
      <c r="M1310" t="str">
        <f>IF(COUNTIF(role_data[role_id],role_course_map[[#This Row],[role_id]])=0, "INVALID","VALID")</f>
        <v>VALID</v>
      </c>
      <c r="N1310" t="str">
        <f>IF(COUNTIF(course_data[course_id],role_course_map[[#This Row],[course_id]])=0, "INVALID","VALID")</f>
        <v>VALID</v>
      </c>
    </row>
    <row r="1311" spans="1:14" x14ac:dyDescent="0.35">
      <c r="A1311" t="s">
        <v>310</v>
      </c>
      <c r="B1311" s="5" t="str">
        <f>_xlfn.XLOOKUP(role_course_map[[#This Row],[role_id]], role_data[role_id], role_data[Role],"")</f>
        <v>Paediatric Nurse</v>
      </c>
      <c r="C1311">
        <v>999028</v>
      </c>
      <c r="D1311" s="5" t="str">
        <f>_xlfn.XLOOKUP(role_course_map[[#This Row],[course_id]],course_data[course_id],course_data[title],"")</f>
        <v>Manual and Patient Handling Competency Assessment - Level 3</v>
      </c>
      <c r="E1311" s="5" t="str">
        <f>_xlfn.XLOOKUP(role_course_map[[#This Row],[course_id]],course_data[course_id],course_data[topic],"")</f>
        <v>SAS : Clinical Practice</v>
      </c>
      <c r="F1311" s="5" t="str">
        <f>_xlfn.XLOOKUP(role_course_map[[#This Row],[course_id]],course_data[course_id],course_data[type],"")</f>
        <v>Course</v>
      </c>
      <c r="K1311" t="str">
        <f>role_course_map[[#This Row],[role_id]] &amp; "|" &amp; role_course_map[[#This Row],[course_id]]</f>
        <v>R0149|999028</v>
      </c>
      <c r="L1311" t="str">
        <f>IF(COUNTIF(role_course_map[mapping_key],role_course_map[[#This Row],[mapping_key]])&gt;1,"DUPLICATE","OK")</f>
        <v>OK</v>
      </c>
      <c r="M1311" t="str">
        <f>IF(COUNTIF(role_data[role_id],role_course_map[[#This Row],[role_id]])=0, "INVALID","VALID")</f>
        <v>VALID</v>
      </c>
      <c r="N1311" t="str">
        <f>IF(COUNTIF(course_data[course_id],role_course_map[[#This Row],[course_id]])=0, "INVALID","VALID")</f>
        <v>VALID</v>
      </c>
    </row>
    <row r="1312" spans="1:14" x14ac:dyDescent="0.35">
      <c r="A1312" t="s">
        <v>310</v>
      </c>
      <c r="B1312" s="5" t="str">
        <f>_xlfn.XLOOKUP(role_course_map[[#This Row],[role_id]], role_data[role_id], role_data[Role],"")</f>
        <v>Paediatric Nurse</v>
      </c>
      <c r="C1312">
        <v>999029</v>
      </c>
      <c r="D1312" s="5" t="str">
        <f>_xlfn.XLOOKUP(role_course_map[[#This Row],[course_id]],course_data[course_id],course_data[title],"")</f>
        <v>Manual and Patient Handling Competency Assessment Theory - Level 3</v>
      </c>
      <c r="E1312" s="5" t="str">
        <f>_xlfn.XLOOKUP(role_course_map[[#This Row],[course_id]],course_data[course_id],course_data[topic],"")</f>
        <v>SAS : Clinical Practice</v>
      </c>
      <c r="F1312" s="5" t="str">
        <f>_xlfn.XLOOKUP(role_course_map[[#This Row],[course_id]],course_data[course_id],course_data[type],"")</f>
        <v>Course</v>
      </c>
      <c r="K1312" t="str">
        <f>role_course_map[[#This Row],[role_id]] &amp; "|" &amp; role_course_map[[#This Row],[course_id]]</f>
        <v>R0149|999029</v>
      </c>
      <c r="L1312" t="str">
        <f>IF(COUNTIF(role_course_map[mapping_key],role_course_map[[#This Row],[mapping_key]])&gt;1,"DUPLICATE","OK")</f>
        <v>OK</v>
      </c>
      <c r="M1312" t="str">
        <f>IF(COUNTIF(role_data[role_id],role_course_map[[#This Row],[role_id]])=0, "INVALID","VALID")</f>
        <v>VALID</v>
      </c>
      <c r="N1312" t="str">
        <f>IF(COUNTIF(course_data[course_id],role_course_map[[#This Row],[course_id]])=0, "INVALID","VALID")</f>
        <v>VALID</v>
      </c>
    </row>
    <row r="1313" spans="1:14" x14ac:dyDescent="0.35">
      <c r="A1313" t="s">
        <v>310</v>
      </c>
      <c r="B1313" s="5" t="str">
        <f>_xlfn.XLOOKUP(role_course_map[[#This Row],[role_id]], role_data[role_id], role_data[Role],"")</f>
        <v>Paediatric Nurse</v>
      </c>
      <c r="C1313" t="s">
        <v>659</v>
      </c>
      <c r="D1313" s="5" t="str">
        <f>_xlfn.XLOOKUP(role_course_map[[#This Row],[course_id]],course_data[course_id],course_data[title],"")</f>
        <v>Prevention and Management of Violence and Aggression - Breakaway training Level 2 /Restrictive movement Level 3</v>
      </c>
      <c r="E1313" s="5" t="str">
        <f>_xlfn.XLOOKUP(role_course_map[[#This Row],[course_id]],course_data[course_id],course_data[topic],"")</f>
        <v>SAS : Health and Safety</v>
      </c>
      <c r="F1313" s="5" t="str">
        <f>_xlfn.XLOOKUP(role_course_map[[#This Row],[course_id]],course_data[course_id],course_data[type],"")</f>
        <v>Course</v>
      </c>
      <c r="K1313" t="str">
        <f>role_course_map[[#This Row],[role_id]] &amp; "|" &amp; role_course_map[[#This Row],[course_id]]</f>
        <v>R0149|2025-6 edition</v>
      </c>
      <c r="L1313" t="str">
        <f>IF(COUNTIF(role_course_map[mapping_key],role_course_map[[#This Row],[mapping_key]])&gt;1,"DUPLICATE","OK")</f>
        <v>OK</v>
      </c>
      <c r="M1313" t="str">
        <f>IF(COUNTIF(role_data[role_id],role_course_map[[#This Row],[role_id]])=0, "INVALID","VALID")</f>
        <v>VALID</v>
      </c>
      <c r="N1313" t="str">
        <f>IF(COUNTIF(course_data[course_id],role_course_map[[#This Row],[course_id]])=0, "INVALID","VALID")</f>
        <v>VALID</v>
      </c>
    </row>
    <row r="1314" spans="1:14" x14ac:dyDescent="0.35">
      <c r="A1314" t="s">
        <v>310</v>
      </c>
      <c r="B1314" s="5" t="str">
        <f>_xlfn.XLOOKUP(role_course_map[[#This Row],[role_id]], role_data[role_id], role_data[Role],"")</f>
        <v>Paediatric Nurse</v>
      </c>
      <c r="C1314">
        <v>999055</v>
      </c>
      <c r="D1314" s="5" t="str">
        <f>_xlfn.XLOOKUP(role_course_map[[#This Row],[course_id]],course_data[course_id],course_data[title],"")</f>
        <v>Prevention and Management of Violence and Aggression - Refresher</v>
      </c>
      <c r="E1314" s="5" t="str">
        <f>_xlfn.XLOOKUP(role_course_map[[#This Row],[course_id]],course_data[course_id],course_data[topic],"")</f>
        <v>SAS : Health and Safety</v>
      </c>
      <c r="F1314" s="5" t="str">
        <f>_xlfn.XLOOKUP(role_course_map[[#This Row],[course_id]],course_data[course_id],course_data[type],"")</f>
        <v>Course</v>
      </c>
      <c r="K1314" t="str">
        <f>role_course_map[[#This Row],[role_id]] &amp; "|" &amp; role_course_map[[#This Row],[course_id]]</f>
        <v>R0149|999055</v>
      </c>
      <c r="L1314" t="str">
        <f>IF(COUNTIF(role_course_map[mapping_key],role_course_map[[#This Row],[mapping_key]])&gt;1,"DUPLICATE","OK")</f>
        <v>OK</v>
      </c>
      <c r="M1314" t="str">
        <f>IF(COUNTIF(role_data[role_id],role_course_map[[#This Row],[role_id]])=0, "INVALID","VALID")</f>
        <v>VALID</v>
      </c>
      <c r="N1314" t="str">
        <f>IF(COUNTIF(course_data[course_id],role_course_map[[#This Row],[course_id]])=0, "INVALID","VALID")</f>
        <v>VALID</v>
      </c>
    </row>
    <row r="1315" spans="1:14" x14ac:dyDescent="0.35">
      <c r="A1315" t="s">
        <v>310</v>
      </c>
      <c r="B1315" s="5" t="str">
        <f>_xlfn.XLOOKUP(role_course_map[[#This Row],[role_id]], role_data[role_id], role_data[Role],"")</f>
        <v>Paediatric Nurse</v>
      </c>
      <c r="C1315">
        <v>64322</v>
      </c>
      <c r="D1315" s="5" t="str">
        <f>_xlfn.XLOOKUP(role_course_map[[#This Row],[course_id]],course_data[course_id],course_data[title],"")</f>
        <v>Adult support and protection: practice level 2 [skilled]</v>
      </c>
      <c r="E1315" s="5" t="str">
        <f>_xlfn.XLOOKUP(role_course_map[[#This Row],[course_id]],course_data[course_id],course_data[topic],"")</f>
        <v>SAS : Public Protection</v>
      </c>
      <c r="F1315" s="5" t="str">
        <f>_xlfn.XLOOKUP(role_course_map[[#This Row],[course_id]],course_data[course_id],course_data[type],"")</f>
        <v>eLearning</v>
      </c>
      <c r="K1315" t="str">
        <f>role_course_map[[#This Row],[role_id]] &amp; "|" &amp; role_course_map[[#This Row],[course_id]]</f>
        <v>R0149|64322</v>
      </c>
      <c r="L1315" t="str">
        <f>IF(COUNTIF(role_course_map[mapping_key],role_course_map[[#This Row],[mapping_key]])&gt;1,"DUPLICATE","OK")</f>
        <v>OK</v>
      </c>
      <c r="M1315" t="str">
        <f>IF(COUNTIF(role_data[role_id],role_course_map[[#This Row],[role_id]])=0, "INVALID","VALID")</f>
        <v>VALID</v>
      </c>
      <c r="N1315" t="str">
        <f>IF(COUNTIF(course_data[course_id],role_course_map[[#This Row],[course_id]])=0, "INVALID","VALID")</f>
        <v>VALID</v>
      </c>
    </row>
    <row r="1316" spans="1:14" x14ac:dyDescent="0.35">
      <c r="A1316" t="s">
        <v>310</v>
      </c>
      <c r="B1316" s="5" t="str">
        <f>_xlfn.XLOOKUP(role_course_map[[#This Row],[role_id]], role_data[role_id], role_data[Role],"")</f>
        <v>Paediatric Nurse</v>
      </c>
      <c r="C1316">
        <v>64324</v>
      </c>
      <c r="D1316" s="5" t="str">
        <f>_xlfn.XLOOKUP(role_course_map[[#This Row],[course_id]],course_data[course_id],course_data[title],"")</f>
        <v>Child protection: practice level 2 [skilled]</v>
      </c>
      <c r="E1316" s="5" t="str">
        <f>_xlfn.XLOOKUP(role_course_map[[#This Row],[course_id]],course_data[course_id],course_data[topic],"")</f>
        <v>SAS : Public Protection</v>
      </c>
      <c r="F1316" s="5" t="str">
        <f>_xlfn.XLOOKUP(role_course_map[[#This Row],[course_id]],course_data[course_id],course_data[type],"")</f>
        <v>eLearning</v>
      </c>
      <c r="K1316" t="str">
        <f>role_course_map[[#This Row],[role_id]] &amp; "|" &amp; role_course_map[[#This Row],[course_id]]</f>
        <v>R0149|64324</v>
      </c>
      <c r="L1316" t="str">
        <f>IF(COUNTIF(role_course_map[mapping_key],role_course_map[[#This Row],[mapping_key]])&gt;1,"DUPLICATE","OK")</f>
        <v>OK</v>
      </c>
      <c r="M1316" t="str">
        <f>IF(COUNTIF(role_data[role_id],role_course_map[[#This Row],[role_id]])=0, "INVALID","VALID")</f>
        <v>VALID</v>
      </c>
      <c r="N1316" t="str">
        <f>IF(COUNTIF(course_data[course_id],role_course_map[[#This Row],[course_id]])=0, "INVALID","VALID")</f>
        <v>VALID</v>
      </c>
    </row>
    <row r="1317" spans="1:14" x14ac:dyDescent="0.35">
      <c r="A1317" t="s">
        <v>308</v>
      </c>
      <c r="B1317" s="5" t="str">
        <f>_xlfn.XLOOKUP(role_course_map[[#This Row],[role_id]], role_data[role_id], role_data[Role],"")</f>
        <v>Paediatric Fellow</v>
      </c>
      <c r="C1317">
        <v>76716</v>
      </c>
      <c r="D1317" s="5" t="str">
        <f>_xlfn.XLOOKUP(role_course_map[[#This Row],[course_id]],course_data[course_id],course_data[title],"")</f>
        <v>Domestic abuse awareness training tool (DAART)</v>
      </c>
      <c r="E1317" s="5" t="str">
        <f>_xlfn.XLOOKUP(role_course_map[[#This Row],[course_id]],course_data[course_id],course_data[topic],"")</f>
        <v>SAS : Public Protection</v>
      </c>
      <c r="F1317" s="5" t="str">
        <f>_xlfn.XLOOKUP(role_course_map[[#This Row],[course_id]],course_data[course_id],course_data[type],"")</f>
        <v>eLearning</v>
      </c>
      <c r="K1317" t="str">
        <f>role_course_map[[#This Row],[role_id]] &amp; "|" &amp; role_course_map[[#This Row],[course_id]]</f>
        <v>R0148|76716</v>
      </c>
      <c r="L1317" t="str">
        <f>IF(COUNTIF(role_course_map[mapping_key],role_course_map[[#This Row],[mapping_key]])&gt;1,"DUPLICATE","OK")</f>
        <v>OK</v>
      </c>
      <c r="M1317" t="str">
        <f>IF(COUNTIF(role_data[role_id],role_course_map[[#This Row],[role_id]])=0, "INVALID","VALID")</f>
        <v>VALID</v>
      </c>
      <c r="N1317" t="str">
        <f>IF(COUNTIF(course_data[course_id],role_course_map[[#This Row],[course_id]])=0, "INVALID","VALID")</f>
        <v>VALID</v>
      </c>
    </row>
    <row r="1318" spans="1:14" x14ac:dyDescent="0.35">
      <c r="A1318" t="s">
        <v>310</v>
      </c>
      <c r="B1318" s="5" t="str">
        <f>_xlfn.XLOOKUP(role_course_map[[#This Row],[role_id]], role_data[role_id], role_data[Role],"")</f>
        <v>Paediatric Nurse</v>
      </c>
      <c r="C1318">
        <v>79666</v>
      </c>
      <c r="D1318" s="5" t="str">
        <f>_xlfn.XLOOKUP(role_course_map[[#This Row],[course_id]],course_data[course_id],course_data[title],"")</f>
        <v>Getting it right for every child (GIRFEC): informed level</v>
      </c>
      <c r="E1318" s="5" t="str">
        <f>_xlfn.XLOOKUP(role_course_map[[#This Row],[course_id]],course_data[course_id],course_data[topic],"")</f>
        <v>SAS : Public Protection</v>
      </c>
      <c r="F1318" s="5" t="str">
        <f>_xlfn.XLOOKUP(role_course_map[[#This Row],[course_id]],course_data[course_id],course_data[type],"")</f>
        <v>eLearning</v>
      </c>
      <c r="K1318" t="str">
        <f>role_course_map[[#This Row],[role_id]] &amp; "|" &amp; role_course_map[[#This Row],[course_id]]</f>
        <v>R0149|79666</v>
      </c>
      <c r="L1318" t="str">
        <f>IF(COUNTIF(role_course_map[mapping_key],role_course_map[[#This Row],[mapping_key]])&gt;1,"DUPLICATE","OK")</f>
        <v>OK</v>
      </c>
      <c r="M1318" t="str">
        <f>IF(COUNTIF(role_data[role_id],role_course_map[[#This Row],[role_id]])=0, "INVALID","VALID")</f>
        <v>VALID</v>
      </c>
      <c r="N1318" t="str">
        <f>IF(COUNTIF(course_data[course_id],role_course_map[[#This Row],[course_id]])=0, "INVALID","VALID")</f>
        <v>VALID</v>
      </c>
    </row>
    <row r="1319" spans="1:14" x14ac:dyDescent="0.35">
      <c r="A1319" t="s">
        <v>310</v>
      </c>
      <c r="B1319" s="5" t="str">
        <f>_xlfn.XLOOKUP(role_course_map[[#This Row],[role_id]], role_data[role_id], role_data[Role],"")</f>
        <v>Paediatric Nurse</v>
      </c>
      <c r="C1319">
        <v>999074</v>
      </c>
      <c r="D1319" s="5" t="str">
        <f>_xlfn.XLOOKUP(role_course_map[[#This Row],[course_id]],course_data[course_id],course_data[title],"")</f>
        <v>SAS-specific Children’s rights</v>
      </c>
      <c r="E1319" s="5" t="str">
        <f>_xlfn.XLOOKUP(role_course_map[[#This Row],[course_id]],course_data[course_id],course_data[topic],"")</f>
        <v>SAS : Public Protection</v>
      </c>
      <c r="F1319" s="5" t="str">
        <f>_xlfn.XLOOKUP(role_course_map[[#This Row],[course_id]],course_data[course_id],course_data[type],"")</f>
        <v>eLearning</v>
      </c>
      <c r="K1319" t="str">
        <f>role_course_map[[#This Row],[role_id]] &amp; "|" &amp; role_course_map[[#This Row],[course_id]]</f>
        <v>R0149|999074</v>
      </c>
      <c r="L1319" t="str">
        <f>IF(COUNTIF(role_course_map[mapping_key],role_course_map[[#This Row],[mapping_key]])&gt;1,"DUPLICATE","OK")</f>
        <v>OK</v>
      </c>
      <c r="M1319" t="str">
        <f>IF(COUNTIF(role_data[role_id],role_course_map[[#This Row],[role_id]])=0, "INVALID","VALID")</f>
        <v>VALID</v>
      </c>
      <c r="N1319" t="str">
        <f>IF(COUNTIF(course_data[course_id],role_course_map[[#This Row],[course_id]])=0, "INVALID","VALID")</f>
        <v>VALID</v>
      </c>
    </row>
    <row r="1320" spans="1:14" x14ac:dyDescent="0.35">
      <c r="A1320" t="s">
        <v>310</v>
      </c>
      <c r="B1320" s="5" t="str">
        <f>_xlfn.XLOOKUP(role_course_map[[#This Row],[role_id]], role_data[role_id], role_data[Role],"")</f>
        <v>Paediatric Nurse</v>
      </c>
      <c r="C1320">
        <v>999075</v>
      </c>
      <c r="D1320" s="5" t="str">
        <f>_xlfn.XLOOKUP(role_course_map[[#This Row],[course_id]],course_data[course_id],course_data[title],"")</f>
        <v>Multiagency local or bespoke Level 3 delivery training</v>
      </c>
      <c r="E1320" s="5" t="str">
        <f>_xlfn.XLOOKUP(role_course_map[[#This Row],[course_id]],course_data[course_id],course_data[topic],"")</f>
        <v>SAS : Public Protection</v>
      </c>
      <c r="F1320" s="5" t="str">
        <f>_xlfn.XLOOKUP(role_course_map[[#This Row],[course_id]],course_data[course_id],course_data[type],"")</f>
        <v>eLearning</v>
      </c>
      <c r="K1320" t="str">
        <f>role_course_map[[#This Row],[role_id]] &amp; "|" &amp; role_course_map[[#This Row],[course_id]]</f>
        <v>R0149|999075</v>
      </c>
      <c r="L1320" t="str">
        <f>IF(COUNTIF(role_course_map[mapping_key],role_course_map[[#This Row],[mapping_key]])&gt;1,"DUPLICATE","OK")</f>
        <v>OK</v>
      </c>
      <c r="M1320" t="str">
        <f>IF(COUNTIF(role_data[role_id],role_course_map[[#This Row],[role_id]])=0, "INVALID","VALID")</f>
        <v>VALID</v>
      </c>
      <c r="N1320" t="str">
        <f>IF(COUNTIF(course_data[course_id],role_course_map[[#This Row],[course_id]])=0, "INVALID","VALID")</f>
        <v>VALID</v>
      </c>
    </row>
    <row r="1321" spans="1:14" x14ac:dyDescent="0.35">
      <c r="A1321" t="s">
        <v>310</v>
      </c>
      <c r="B1321" s="5" t="str">
        <f>_xlfn.XLOOKUP(role_course_map[[#This Row],[role_id]], role_data[role_id], role_data[Role],"")</f>
        <v>Paediatric Nurse</v>
      </c>
      <c r="C1321">
        <v>15249</v>
      </c>
      <c r="D1321" s="5" t="str">
        <f>_xlfn.XLOOKUP(role_course_map[[#This Row],[course_id]],course_data[course_id],course_data[title],"")</f>
        <v>Human trafficking</v>
      </c>
      <c r="E1321" s="5" t="str">
        <f>_xlfn.XLOOKUP(role_course_map[[#This Row],[course_id]],course_data[course_id],course_data[topic],"")</f>
        <v>SAS : Public Protection</v>
      </c>
      <c r="F1321" s="5" t="str">
        <f>_xlfn.XLOOKUP(role_course_map[[#This Row],[course_id]],course_data[course_id],course_data[type],"")</f>
        <v>eLearning</v>
      </c>
      <c r="K1321" t="str">
        <f>role_course_map[[#This Row],[role_id]] &amp; "|" &amp; role_course_map[[#This Row],[course_id]]</f>
        <v>R0149|15249</v>
      </c>
      <c r="L1321" t="str">
        <f>IF(COUNTIF(role_course_map[mapping_key],role_course_map[[#This Row],[mapping_key]])&gt;1,"DUPLICATE","OK")</f>
        <v>OK</v>
      </c>
      <c r="M1321" t="str">
        <f>IF(COUNTIF(role_data[role_id],role_course_map[[#This Row],[role_id]])=0, "INVALID","VALID")</f>
        <v>VALID</v>
      </c>
      <c r="N1321" t="str">
        <f>IF(COUNTIF(course_data[course_id],role_course_map[[#This Row],[course_id]])=0, "INVALID","VALID")</f>
        <v>VALID</v>
      </c>
    </row>
    <row r="1322" spans="1:14" x14ac:dyDescent="0.35">
      <c r="A1322" t="s">
        <v>310</v>
      </c>
      <c r="B1322" s="5" t="str">
        <f>_xlfn.XLOOKUP(role_course_map[[#This Row],[role_id]], role_data[role_id], role_data[Role],"")</f>
        <v>Paediatric Nurse</v>
      </c>
      <c r="C1322">
        <v>89161</v>
      </c>
      <c r="D1322" s="5" t="str">
        <f>_xlfn.XLOOKUP(role_course_map[[#This Row],[course_id]],course_data[course_id],course_data[title],"")</f>
        <v>Personal Protective Equipment</v>
      </c>
      <c r="E1322" s="5" t="str">
        <f>_xlfn.XLOOKUP(role_course_map[[#This Row],[course_id]],course_data[course_id],course_data[topic],"")</f>
        <v>SAS : Infection Prevention and Control (IPC)</v>
      </c>
      <c r="F1322" s="5" t="str">
        <f>_xlfn.XLOOKUP(role_course_map[[#This Row],[course_id]],course_data[course_id],course_data[type],"")</f>
        <v>eLearning</v>
      </c>
      <c r="K1322" t="str">
        <f>role_course_map[[#This Row],[role_id]] &amp; "|" &amp; role_course_map[[#This Row],[course_id]]</f>
        <v>R0149|89161</v>
      </c>
      <c r="L1322" t="str">
        <f>IF(COUNTIF(role_course_map[mapping_key],role_course_map[[#This Row],[mapping_key]])&gt;1,"DUPLICATE","OK")</f>
        <v>OK</v>
      </c>
      <c r="M1322" t="str">
        <f>IF(COUNTIF(role_data[role_id],role_course_map[[#This Row],[role_id]])=0, "INVALID","VALID")</f>
        <v>VALID</v>
      </c>
      <c r="N1322" t="str">
        <f>IF(COUNTIF(course_data[course_id],role_course_map[[#This Row],[course_id]])=0, "INVALID","VALID")</f>
        <v>VALID</v>
      </c>
    </row>
    <row r="1323" spans="1:14" x14ac:dyDescent="0.35">
      <c r="A1323" t="s">
        <v>310</v>
      </c>
      <c r="B1323" s="5" t="str">
        <f>_xlfn.XLOOKUP(role_course_map[[#This Row],[role_id]], role_data[role_id], role_data[Role],"")</f>
        <v>Paediatric Nurse</v>
      </c>
      <c r="C1323">
        <v>89157</v>
      </c>
      <c r="D1323" s="5" t="str">
        <f>_xlfn.XLOOKUP(role_course_map[[#This Row],[course_id]],course_data[course_id],course_data[title],"")</f>
        <v>Safe Management of Care Equipment</v>
      </c>
      <c r="E1323" s="5" t="str">
        <f>_xlfn.XLOOKUP(role_course_map[[#This Row],[course_id]],course_data[course_id],course_data[topic],"")</f>
        <v>SAS : Infection Prevention and Control (IPC)</v>
      </c>
      <c r="F1323" s="5" t="str">
        <f>_xlfn.XLOOKUP(role_course_map[[#This Row],[course_id]],course_data[course_id],course_data[type],"")</f>
        <v>eLearning</v>
      </c>
      <c r="K1323" t="str">
        <f>role_course_map[[#This Row],[role_id]] &amp; "|" &amp; role_course_map[[#This Row],[course_id]]</f>
        <v>R0149|89157</v>
      </c>
      <c r="L1323" t="str">
        <f>IF(COUNTIF(role_course_map[mapping_key],role_course_map[[#This Row],[mapping_key]])&gt;1,"DUPLICATE","OK")</f>
        <v>OK</v>
      </c>
      <c r="M1323" t="str">
        <f>IF(COUNTIF(role_data[role_id],role_course_map[[#This Row],[role_id]])=0, "INVALID","VALID")</f>
        <v>VALID</v>
      </c>
      <c r="N1323" t="str">
        <f>IF(COUNTIF(course_data[course_id],role_course_map[[#This Row],[course_id]])=0, "INVALID","VALID")</f>
        <v>VALID</v>
      </c>
    </row>
    <row r="1324" spans="1:14" x14ac:dyDescent="0.35">
      <c r="A1324" t="s">
        <v>310</v>
      </c>
      <c r="B1324" s="5" t="str">
        <f>_xlfn.XLOOKUP(role_course_map[[#This Row],[role_id]], role_data[role_id], role_data[Role],"")</f>
        <v>Paediatric Nurse</v>
      </c>
      <c r="C1324">
        <v>89158</v>
      </c>
      <c r="D1324" s="5" t="str">
        <f>_xlfn.XLOOKUP(role_course_map[[#This Row],[course_id]],course_data[course_id],course_data[title],"")</f>
        <v>Safe Management of Care Environment</v>
      </c>
      <c r="E1324" s="5" t="str">
        <f>_xlfn.XLOOKUP(role_course_map[[#This Row],[course_id]],course_data[course_id],course_data[topic],"")</f>
        <v>SAS : Infection Prevention and Control (IPC)</v>
      </c>
      <c r="F1324" s="5" t="str">
        <f>_xlfn.XLOOKUP(role_course_map[[#This Row],[course_id]],course_data[course_id],course_data[type],"")</f>
        <v>eLearning</v>
      </c>
      <c r="K1324" t="str">
        <f>role_course_map[[#This Row],[role_id]] &amp; "|" &amp; role_course_map[[#This Row],[course_id]]</f>
        <v>R0149|89158</v>
      </c>
      <c r="L1324" t="str">
        <f>IF(COUNTIF(role_course_map[mapping_key],role_course_map[[#This Row],[mapping_key]])&gt;1,"DUPLICATE","OK")</f>
        <v>OK</v>
      </c>
      <c r="M1324" t="str">
        <f>IF(COUNTIF(role_data[role_id],role_course_map[[#This Row],[role_id]])=0, "INVALID","VALID")</f>
        <v>VALID</v>
      </c>
      <c r="N1324" t="str">
        <f>IF(COUNTIF(course_data[course_id],role_course_map[[#This Row],[course_id]])=0, "INVALID","VALID")</f>
        <v>VALID</v>
      </c>
    </row>
    <row r="1325" spans="1:14" x14ac:dyDescent="0.35">
      <c r="A1325" t="s">
        <v>310</v>
      </c>
      <c r="B1325" s="5" t="str">
        <f>_xlfn.XLOOKUP(role_course_map[[#This Row],[role_id]], role_data[role_id], role_data[Role],"")</f>
        <v>Paediatric Nurse</v>
      </c>
      <c r="C1325">
        <v>89159</v>
      </c>
      <c r="D1325" s="5" t="str">
        <f>_xlfn.XLOOKUP(role_course_map[[#This Row],[course_id]],course_data[course_id],course_data[title],"")</f>
        <v>Safe Management of Linen</v>
      </c>
      <c r="E1325" s="5" t="str">
        <f>_xlfn.XLOOKUP(role_course_map[[#This Row],[course_id]],course_data[course_id],course_data[topic],"")</f>
        <v>SAS : Infection Prevention and Control (IPC)</v>
      </c>
      <c r="F1325" s="5" t="str">
        <f>_xlfn.XLOOKUP(role_course_map[[#This Row],[course_id]],course_data[course_id],course_data[type],"")</f>
        <v>eLearning</v>
      </c>
      <c r="K1325" t="str">
        <f>role_course_map[[#This Row],[role_id]] &amp; "|" &amp; role_course_map[[#This Row],[course_id]]</f>
        <v>R0149|89159</v>
      </c>
      <c r="L1325" t="str">
        <f>IF(COUNTIF(role_course_map[mapping_key],role_course_map[[#This Row],[mapping_key]])&gt;1,"DUPLICATE","OK")</f>
        <v>OK</v>
      </c>
      <c r="M1325" t="str">
        <f>IF(COUNTIF(role_data[role_id],role_course_map[[#This Row],[role_id]])=0, "INVALID","VALID")</f>
        <v>VALID</v>
      </c>
      <c r="N1325" t="str">
        <f>IF(COUNTIF(course_data[course_id],role_course_map[[#This Row],[course_id]])=0, "INVALID","VALID")</f>
        <v>VALID</v>
      </c>
    </row>
    <row r="1326" spans="1:14" x14ac:dyDescent="0.35">
      <c r="A1326" t="s">
        <v>310</v>
      </c>
      <c r="B1326" s="5" t="str">
        <f>_xlfn.XLOOKUP(role_course_map[[#This Row],[role_id]], role_data[role_id], role_data[Role],"")</f>
        <v>Paediatric Nurse</v>
      </c>
      <c r="C1326">
        <v>89160</v>
      </c>
      <c r="D1326" s="5" t="str">
        <f>_xlfn.XLOOKUP(role_course_map[[#This Row],[course_id]],course_data[course_id],course_data[title],"")</f>
        <v>Safe Management of blood and body fluids</v>
      </c>
      <c r="E1326" s="5" t="str">
        <f>_xlfn.XLOOKUP(role_course_map[[#This Row],[course_id]],course_data[course_id],course_data[topic],"")</f>
        <v>SAS : Infection Prevention and Control (IPC)</v>
      </c>
      <c r="F1326" s="5" t="str">
        <f>_xlfn.XLOOKUP(role_course_map[[#This Row],[course_id]],course_data[course_id],course_data[type],"")</f>
        <v>eLearning</v>
      </c>
      <c r="K1326" t="str">
        <f>role_course_map[[#This Row],[role_id]] &amp; "|" &amp; role_course_map[[#This Row],[course_id]]</f>
        <v>R0149|89160</v>
      </c>
      <c r="L1326" t="str">
        <f>IF(COUNTIF(role_course_map[mapping_key],role_course_map[[#This Row],[mapping_key]])&gt;1,"DUPLICATE","OK")</f>
        <v>OK</v>
      </c>
      <c r="M1326" t="str">
        <f>IF(COUNTIF(role_data[role_id],role_course_map[[#This Row],[role_id]])=0, "INVALID","VALID")</f>
        <v>VALID</v>
      </c>
      <c r="N1326" t="str">
        <f>IF(COUNTIF(course_data[course_id],role_course_map[[#This Row],[course_id]])=0, "INVALID","VALID")</f>
        <v>VALID</v>
      </c>
    </row>
    <row r="1327" spans="1:14" x14ac:dyDescent="0.35">
      <c r="A1327" t="s">
        <v>310</v>
      </c>
      <c r="B1327" s="5" t="str">
        <f>_xlfn.XLOOKUP(role_course_map[[#This Row],[role_id]], role_data[role_id], role_data[Role],"")</f>
        <v>Paediatric Nurse</v>
      </c>
      <c r="C1327">
        <v>89154</v>
      </c>
      <c r="D1327" s="5" t="str">
        <f>_xlfn.XLOOKUP(role_course_map[[#This Row],[course_id]],course_data[course_id],course_data[title],"")</f>
        <v>Safe disposal of waste</v>
      </c>
      <c r="E1327" s="5" t="str">
        <f>_xlfn.XLOOKUP(role_course_map[[#This Row],[course_id]],course_data[course_id],course_data[topic],"")</f>
        <v>SAS : Infection Prevention and Control (IPC)</v>
      </c>
      <c r="F1327" s="5" t="str">
        <f>_xlfn.XLOOKUP(role_course_map[[#This Row],[course_id]],course_data[course_id],course_data[type],"")</f>
        <v>eLearning</v>
      </c>
      <c r="K1327" t="str">
        <f>role_course_map[[#This Row],[role_id]] &amp; "|" &amp; role_course_map[[#This Row],[course_id]]</f>
        <v>R0149|89154</v>
      </c>
      <c r="L1327" t="str">
        <f>IF(COUNTIF(role_course_map[mapping_key],role_course_map[[#This Row],[mapping_key]])&gt;1,"DUPLICATE","OK")</f>
        <v>OK</v>
      </c>
      <c r="M1327" t="str">
        <f>IF(COUNTIF(role_data[role_id],role_course_map[[#This Row],[role_id]])=0, "INVALID","VALID")</f>
        <v>VALID</v>
      </c>
      <c r="N1327" t="str">
        <f>IF(COUNTIF(course_data[course_id],role_course_map[[#This Row],[course_id]])=0, "INVALID","VALID")</f>
        <v>VALID</v>
      </c>
    </row>
    <row r="1328" spans="1:14" x14ac:dyDescent="0.35">
      <c r="A1328" t="s">
        <v>310</v>
      </c>
      <c r="B1328" s="5" t="str">
        <f>_xlfn.XLOOKUP(role_course_map[[#This Row],[role_id]], role_data[role_id], role_data[Role],"")</f>
        <v>Paediatric Nurse</v>
      </c>
      <c r="C1328">
        <v>89155</v>
      </c>
      <c r="D1328" s="5" t="str">
        <f>_xlfn.XLOOKUP(role_course_map[[#This Row],[course_id]],course_data[course_id],course_data[title],"")</f>
        <v>Prevention &amp; management of occupational exposure</v>
      </c>
      <c r="E1328" s="5" t="str">
        <f>_xlfn.XLOOKUP(role_course_map[[#This Row],[course_id]],course_data[course_id],course_data[topic],"")</f>
        <v>SAS : Infection Prevention and Control (IPC)</v>
      </c>
      <c r="F1328" s="5" t="str">
        <f>_xlfn.XLOOKUP(role_course_map[[#This Row],[course_id]],course_data[course_id],course_data[type],"")</f>
        <v>eLearning</v>
      </c>
      <c r="K1328" t="str">
        <f>role_course_map[[#This Row],[role_id]] &amp; "|" &amp; role_course_map[[#This Row],[course_id]]</f>
        <v>R0149|89155</v>
      </c>
      <c r="L1328" t="str">
        <f>IF(COUNTIF(role_course_map[mapping_key],role_course_map[[#This Row],[mapping_key]])&gt;1,"DUPLICATE","OK")</f>
        <v>OK</v>
      </c>
      <c r="M1328" t="str">
        <f>IF(COUNTIF(role_data[role_id],role_course_map[[#This Row],[role_id]])=0, "INVALID","VALID")</f>
        <v>VALID</v>
      </c>
      <c r="N1328" t="str">
        <f>IF(COUNTIF(course_data[course_id],role_course_map[[#This Row],[course_id]])=0, "INVALID","VALID")</f>
        <v>VALID</v>
      </c>
    </row>
    <row r="1329" spans="1:14" x14ac:dyDescent="0.35">
      <c r="A1329" t="s">
        <v>310</v>
      </c>
      <c r="B1329" s="5" t="str">
        <f>_xlfn.XLOOKUP(role_course_map[[#This Row],[role_id]], role_data[role_id], role_data[Role],"")</f>
        <v>Paediatric Nurse</v>
      </c>
      <c r="C1329">
        <v>999064</v>
      </c>
      <c r="D1329" s="5" t="str">
        <f>_xlfn.XLOOKUP(role_course_map[[#This Row],[course_id]],course_data[course_id],course_data[title],"")</f>
        <v>Infection prevention and control: Clostridioides difficile infection</v>
      </c>
      <c r="E1329" s="5" t="str">
        <f>_xlfn.XLOOKUP(role_course_map[[#This Row],[course_id]],course_data[course_id],course_data[topic],"")</f>
        <v>SAS : Infection Prevention and Control (IPC)</v>
      </c>
      <c r="F1329" s="5" t="str">
        <f>_xlfn.XLOOKUP(role_course_map[[#This Row],[course_id]],course_data[course_id],course_data[type],"")</f>
        <v>eLearning</v>
      </c>
      <c r="K1329" t="str">
        <f>role_course_map[[#This Row],[role_id]] &amp; "|" &amp; role_course_map[[#This Row],[course_id]]</f>
        <v>R0149|999064</v>
      </c>
      <c r="L1329" t="str">
        <f>IF(COUNTIF(role_course_map[mapping_key],role_course_map[[#This Row],[mapping_key]])&gt;1,"DUPLICATE","OK")</f>
        <v>OK</v>
      </c>
      <c r="M1329" t="str">
        <f>IF(COUNTIF(role_data[role_id],role_course_map[[#This Row],[role_id]])=0, "INVALID","VALID")</f>
        <v>VALID</v>
      </c>
      <c r="N1329" t="str">
        <f>IF(COUNTIF(course_data[course_id],role_course_map[[#This Row],[course_id]])=0, "INVALID","VALID")</f>
        <v>VALID</v>
      </c>
    </row>
    <row r="1330" spans="1:14" x14ac:dyDescent="0.35">
      <c r="A1330" t="s">
        <v>310</v>
      </c>
      <c r="B1330" s="5" t="str">
        <f>_xlfn.XLOOKUP(role_course_map[[#This Row],[role_id]], role_data[role_id], role_data[Role],"")</f>
        <v>Paediatric Nurse</v>
      </c>
      <c r="C1330">
        <v>3886</v>
      </c>
      <c r="D1330" s="5" t="str">
        <f>_xlfn.XLOOKUP(role_course_map[[#This Row],[course_id]],course_data[course_id],course_data[title],"")</f>
        <v>Prevention and management of pressure ulcers</v>
      </c>
      <c r="E1330" s="5" t="str">
        <f>_xlfn.XLOOKUP(role_course_map[[#This Row],[course_id]],course_data[course_id],course_data[topic],"")</f>
        <v>SAS : Clinical Practice</v>
      </c>
      <c r="F1330" s="5" t="str">
        <f>_xlfn.XLOOKUP(role_course_map[[#This Row],[course_id]],course_data[course_id],course_data[type],"")</f>
        <v>Page</v>
      </c>
      <c r="K1330" t="str">
        <f>role_course_map[[#This Row],[role_id]] &amp; "|" &amp; role_course_map[[#This Row],[course_id]]</f>
        <v>R0149|3886</v>
      </c>
      <c r="L1330" t="str">
        <f>IF(COUNTIF(role_course_map[mapping_key],role_course_map[[#This Row],[mapping_key]])&gt;1,"DUPLICATE","OK")</f>
        <v>OK</v>
      </c>
      <c r="M1330" t="str">
        <f>IF(COUNTIF(role_data[role_id],role_course_map[[#This Row],[role_id]])=0, "INVALID","VALID")</f>
        <v>VALID</v>
      </c>
      <c r="N1330" t="str">
        <f>IF(COUNTIF(course_data[course_id],role_course_map[[#This Row],[course_id]])=0, "INVALID","VALID")</f>
        <v>VALID</v>
      </c>
    </row>
    <row r="1331" spans="1:14" x14ac:dyDescent="0.35">
      <c r="A1331" t="s">
        <v>308</v>
      </c>
      <c r="B1331" s="5" t="str">
        <f>_xlfn.XLOOKUP(role_course_map[[#This Row],[role_id]], role_data[role_id], role_data[Role],"")</f>
        <v>Paediatric Fellow</v>
      </c>
      <c r="C1331">
        <v>999094</v>
      </c>
      <c r="D1331" s="5" t="str">
        <f>_xlfn.XLOOKUP(role_course_map[[#This Row],[course_id]],course_data[course_id],course_data[title],"")</f>
        <v>Being well, Mind, Body &amp; Workplace</v>
      </c>
      <c r="E1331" s="5" t="str">
        <f>_xlfn.XLOOKUP(role_course_map[[#This Row],[course_id]],course_data[course_id],course_data[topic],"")</f>
        <v>SAS: Staff development and experience</v>
      </c>
      <c r="F1331" s="5" t="str">
        <f>_xlfn.XLOOKUP(role_course_map[[#This Row],[course_id]],course_data[course_id],course_data[type],"")</f>
        <v>eLearning</v>
      </c>
      <c r="K1331" t="str">
        <f>role_course_map[[#This Row],[role_id]] &amp; "|" &amp; role_course_map[[#This Row],[course_id]]</f>
        <v>R0148|999094</v>
      </c>
      <c r="L1331" t="str">
        <f>IF(COUNTIF(role_course_map[mapping_key],role_course_map[[#This Row],[mapping_key]])&gt;1,"DUPLICATE","OK")</f>
        <v>OK</v>
      </c>
      <c r="M1331" t="str">
        <f>IF(COUNTIF(role_data[role_id],role_course_map[[#This Row],[role_id]])=0, "INVALID","VALID")</f>
        <v>VALID</v>
      </c>
      <c r="N1331" t="str">
        <f>IF(COUNTIF(course_data[course_id],role_course_map[[#This Row],[course_id]])=0, "INVALID","VALID")</f>
        <v>VALID</v>
      </c>
    </row>
    <row r="1332" spans="1:14" x14ac:dyDescent="0.35">
      <c r="A1332" t="s">
        <v>310</v>
      </c>
      <c r="B1332" s="5" t="str">
        <f>_xlfn.XLOOKUP(role_course_map[[#This Row],[role_id]], role_data[role_id], role_data[Role],"")</f>
        <v>Paediatric Nurse</v>
      </c>
      <c r="C1332">
        <v>999077</v>
      </c>
      <c r="D1332" s="5" t="str">
        <f>_xlfn.XLOOKUP(role_course_map[[#This Row],[course_id]],course_data[course_id],course_data[title],"")</f>
        <v>ScotSTAR: Role specific Orientation &amp; Induction</v>
      </c>
      <c r="E1332" s="5" t="str">
        <f>_xlfn.XLOOKUP(role_course_map[[#This Row],[course_id]],course_data[course_id],course_data[topic],"")</f>
        <v>SAS : ScotSTAR</v>
      </c>
      <c r="F1332" s="5" t="str">
        <f>_xlfn.XLOOKUP(role_course_map[[#This Row],[course_id]],course_data[course_id],course_data[type],"")</f>
        <v>Course</v>
      </c>
      <c r="K1332" t="str">
        <f>role_course_map[[#This Row],[role_id]] &amp; "|" &amp; role_course_map[[#This Row],[course_id]]</f>
        <v>R0149|999077</v>
      </c>
      <c r="L1332" t="str">
        <f>IF(COUNTIF(role_course_map[mapping_key],role_course_map[[#This Row],[mapping_key]])&gt;1,"DUPLICATE","OK")</f>
        <v>OK</v>
      </c>
      <c r="M1332" t="str">
        <f>IF(COUNTIF(role_data[role_id],role_course_map[[#This Row],[role_id]])=0, "INVALID","VALID")</f>
        <v>VALID</v>
      </c>
      <c r="N1332" t="str">
        <f>IF(COUNTIF(course_data[course_id],role_course_map[[#This Row],[course_id]])=0, "INVALID","VALID")</f>
        <v>VALID</v>
      </c>
    </row>
    <row r="1333" spans="1:14" x14ac:dyDescent="0.35">
      <c r="A1333" t="s">
        <v>308</v>
      </c>
      <c r="B1333" s="5" t="str">
        <f>_xlfn.XLOOKUP(role_course_map[[#This Row],[role_id]], role_data[role_id], role_data[Role],"")</f>
        <v>Paediatric Fellow</v>
      </c>
      <c r="C1333">
        <v>999080</v>
      </c>
      <c r="D1333" s="5" t="str">
        <f>_xlfn.XLOOKUP(role_course_map[[#This Row],[course_id]],course_data[course_id],course_data[title],"")</f>
        <v>HUET (on line)</v>
      </c>
      <c r="E1333" s="5" t="str">
        <f>_xlfn.XLOOKUP(role_course_map[[#This Row],[course_id]],course_data[course_id],course_data[topic],"")</f>
        <v>SAS : ScotSTAR</v>
      </c>
      <c r="F1333" s="5" t="str">
        <f>_xlfn.XLOOKUP(role_course_map[[#This Row],[course_id]],course_data[course_id],course_data[type],"")</f>
        <v>eLearning</v>
      </c>
      <c r="K1333" t="str">
        <f>role_course_map[[#This Row],[role_id]] &amp; "|" &amp; role_course_map[[#This Row],[course_id]]</f>
        <v>R0148|999080</v>
      </c>
      <c r="L1333" t="str">
        <f>IF(COUNTIF(role_course_map[mapping_key],role_course_map[[#This Row],[mapping_key]])&gt;1,"DUPLICATE","OK")</f>
        <v>OK</v>
      </c>
      <c r="M1333" t="str">
        <f>IF(COUNTIF(role_data[role_id],role_course_map[[#This Row],[role_id]])=0, "INVALID","VALID")</f>
        <v>VALID</v>
      </c>
      <c r="N1333" t="str">
        <f>IF(COUNTIF(course_data[course_id],role_course_map[[#This Row],[course_id]])=0, "INVALID","VALID")</f>
        <v>VALID</v>
      </c>
    </row>
    <row r="1334" spans="1:14" x14ac:dyDescent="0.35">
      <c r="A1334" t="s">
        <v>310</v>
      </c>
      <c r="B1334" s="5" t="str">
        <f>_xlfn.XLOOKUP(role_course_map[[#This Row],[role_id]], role_data[role_id], role_data[Role],"")</f>
        <v>Paediatric Nurse</v>
      </c>
      <c r="C1334">
        <v>999080</v>
      </c>
      <c r="D1334" s="5" t="str">
        <f>_xlfn.XLOOKUP(role_course_map[[#This Row],[course_id]],course_data[course_id],course_data[title],"")</f>
        <v>HUET (on line)</v>
      </c>
      <c r="E1334" s="5" t="str">
        <f>_xlfn.XLOOKUP(role_course_map[[#This Row],[course_id]],course_data[course_id],course_data[topic],"")</f>
        <v>SAS : ScotSTAR</v>
      </c>
      <c r="F1334" s="5" t="str">
        <f>_xlfn.XLOOKUP(role_course_map[[#This Row],[course_id]],course_data[course_id],course_data[type],"")</f>
        <v>eLearning</v>
      </c>
      <c r="K1334" t="str">
        <f>role_course_map[[#This Row],[role_id]] &amp; "|" &amp; role_course_map[[#This Row],[course_id]]</f>
        <v>R0149|999080</v>
      </c>
      <c r="L1334" t="str">
        <f>IF(COUNTIF(role_course_map[mapping_key],role_course_map[[#This Row],[mapping_key]])&gt;1,"DUPLICATE","OK")</f>
        <v>OK</v>
      </c>
      <c r="M1334" t="str">
        <f>IF(COUNTIF(role_data[role_id],role_course_map[[#This Row],[role_id]])=0, "INVALID","VALID")</f>
        <v>VALID</v>
      </c>
      <c r="N1334" t="str">
        <f>IF(COUNTIF(course_data[course_id],role_course_map[[#This Row],[course_id]])=0, "INVALID","VALID")</f>
        <v>VALID</v>
      </c>
    </row>
    <row r="1335" spans="1:14" x14ac:dyDescent="0.35">
      <c r="A1335" t="s">
        <v>312</v>
      </c>
      <c r="B1335" s="5" t="str">
        <f>_xlfn.XLOOKUP(role_course_map[[#This Row],[role_id]], role_data[role_id], role_data[Role],"")</f>
        <v>Paediatric Nurse Consultant</v>
      </c>
      <c r="C1335">
        <v>999009</v>
      </c>
      <c r="D1335" s="5" t="str">
        <f>_xlfn.XLOOKUP(role_course_map[[#This Row],[course_id]],course_data[course_id],course_data[title],"")</f>
        <v>Life Support</v>
      </c>
      <c r="E1335" s="5" t="str">
        <f>_xlfn.XLOOKUP(role_course_map[[#This Row],[course_id]],course_data[course_id],course_data[topic],"")</f>
        <v>SAS : Clinical Practice</v>
      </c>
      <c r="F1335" s="5" t="str">
        <f>_xlfn.XLOOKUP(role_course_map[[#This Row],[course_id]],course_data[course_id],course_data[type],"")</f>
        <v>Course</v>
      </c>
      <c r="K1335" t="str">
        <f>role_course_map[[#This Row],[role_id]] &amp; "|" &amp; role_course_map[[#This Row],[course_id]]</f>
        <v>R0150|999009</v>
      </c>
      <c r="L1335" t="str">
        <f>IF(COUNTIF(role_course_map[mapping_key],role_course_map[[#This Row],[mapping_key]])&gt;1,"DUPLICATE","OK")</f>
        <v>OK</v>
      </c>
      <c r="M1335" t="str">
        <f>IF(COUNTIF(role_data[role_id],role_course_map[[#This Row],[role_id]])=0, "INVALID","VALID")</f>
        <v>VALID</v>
      </c>
      <c r="N1335" t="str">
        <f>IF(COUNTIF(course_data[course_id],role_course_map[[#This Row],[course_id]])=0, "INVALID","VALID")</f>
        <v>VALID</v>
      </c>
    </row>
    <row r="1336" spans="1:14" x14ac:dyDescent="0.35">
      <c r="A1336" t="s">
        <v>312</v>
      </c>
      <c r="B1336" s="5" t="str">
        <f>_xlfn.XLOOKUP(role_course_map[[#This Row],[role_id]], role_data[role_id], role_data[Role],"")</f>
        <v>Paediatric Nurse Consultant</v>
      </c>
      <c r="C1336">
        <v>999007</v>
      </c>
      <c r="D1336" s="5" t="str">
        <f>_xlfn.XLOOKUP(role_course_map[[#This Row],[course_id]],course_data[course_id],course_data[title],"")</f>
        <v>Obstetrics</v>
      </c>
      <c r="E1336" s="5" t="str">
        <f>_xlfn.XLOOKUP(role_course_map[[#This Row],[course_id]],course_data[course_id],course_data[topic],"")</f>
        <v>SAS : Clinical Practice</v>
      </c>
      <c r="F1336" s="5" t="str">
        <f>_xlfn.XLOOKUP(role_course_map[[#This Row],[course_id]],course_data[course_id],course_data[type],"")</f>
        <v>Course</v>
      </c>
      <c r="K1336" t="str">
        <f>role_course_map[[#This Row],[role_id]] &amp; "|" &amp; role_course_map[[#This Row],[course_id]]</f>
        <v>R0150|999007</v>
      </c>
      <c r="L1336" t="str">
        <f>IF(COUNTIF(role_course_map[mapping_key],role_course_map[[#This Row],[mapping_key]])&gt;1,"DUPLICATE","OK")</f>
        <v>OK</v>
      </c>
      <c r="M1336" t="str">
        <f>IF(COUNTIF(role_data[role_id],role_course_map[[#This Row],[role_id]])=0, "INVALID","VALID")</f>
        <v>VALID</v>
      </c>
      <c r="N1336" t="str">
        <f>IF(COUNTIF(course_data[course_id],role_course_map[[#This Row],[course_id]])=0, "INVALID","VALID")</f>
        <v>VALID</v>
      </c>
    </row>
    <row r="1337" spans="1:14" x14ac:dyDescent="0.35">
      <c r="A1337" t="s">
        <v>312</v>
      </c>
      <c r="B1337" s="5" t="str">
        <f>_xlfn.XLOOKUP(role_course_map[[#This Row],[role_id]], role_data[role_id], role_data[Role],"")</f>
        <v>Paediatric Nurse Consultant</v>
      </c>
      <c r="C1337">
        <v>999008</v>
      </c>
      <c r="D1337" s="5" t="str">
        <f>_xlfn.XLOOKUP(role_course_map[[#This Row],[course_id]],course_data[course_id],course_data[title],"")</f>
        <v>Obstetrics</v>
      </c>
      <c r="E1337" s="5" t="str">
        <f>_xlfn.XLOOKUP(role_course_map[[#This Row],[course_id]],course_data[course_id],course_data[topic],"")</f>
        <v>SAS : Clinical Practice</v>
      </c>
      <c r="F1337" s="5" t="str">
        <f>_xlfn.XLOOKUP(role_course_map[[#This Row],[course_id]],course_data[course_id],course_data[type],"")</f>
        <v>eLearning</v>
      </c>
      <c r="K1337" t="str">
        <f>role_course_map[[#This Row],[role_id]] &amp; "|" &amp; role_course_map[[#This Row],[course_id]]</f>
        <v>R0150|999008</v>
      </c>
      <c r="L1337" t="str">
        <f>IF(COUNTIF(role_course_map[mapping_key],role_course_map[[#This Row],[mapping_key]])&gt;1,"DUPLICATE","OK")</f>
        <v>OK</v>
      </c>
      <c r="M1337" t="str">
        <f>IF(COUNTIF(role_data[role_id],role_course_map[[#This Row],[role_id]])=0, "INVALID","VALID")</f>
        <v>VALID</v>
      </c>
      <c r="N1337" t="str">
        <f>IF(COUNTIF(course_data[course_id],role_course_map[[#This Row],[course_id]])=0, "INVALID","VALID")</f>
        <v>VALID</v>
      </c>
    </row>
    <row r="1338" spans="1:14" x14ac:dyDescent="0.35">
      <c r="A1338" t="s">
        <v>312</v>
      </c>
      <c r="B1338" s="5" t="str">
        <f>_xlfn.XLOOKUP(role_course_map[[#This Row],[role_id]], role_data[role_id], role_data[Role],"")</f>
        <v>Paediatric Nurse Consultant</v>
      </c>
      <c r="C1338">
        <v>999010</v>
      </c>
      <c r="D1338" s="5" t="str">
        <f>_xlfn.XLOOKUP(role_course_map[[#This Row],[course_id]],course_data[course_id],course_data[title],"")</f>
        <v>Paediatrics</v>
      </c>
      <c r="E1338" s="5" t="str">
        <f>_xlfn.XLOOKUP(role_course_map[[#This Row],[course_id]],course_data[course_id],course_data[topic],"")</f>
        <v>SAS : Clinical Practice</v>
      </c>
      <c r="F1338" s="5" t="str">
        <f>_xlfn.XLOOKUP(role_course_map[[#This Row],[course_id]],course_data[course_id],course_data[type],"")</f>
        <v>Course</v>
      </c>
      <c r="K1338" t="str">
        <f>role_course_map[[#This Row],[role_id]] &amp; "|" &amp; role_course_map[[#This Row],[course_id]]</f>
        <v>R0150|999010</v>
      </c>
      <c r="L1338" t="str">
        <f>IF(COUNTIF(role_course_map[mapping_key],role_course_map[[#This Row],[mapping_key]])&gt;1,"DUPLICATE","OK")</f>
        <v>OK</v>
      </c>
      <c r="M1338" t="str">
        <f>IF(COUNTIF(role_data[role_id],role_course_map[[#This Row],[role_id]])=0, "INVALID","VALID")</f>
        <v>VALID</v>
      </c>
      <c r="N1338" t="str">
        <f>IF(COUNTIF(course_data[course_id],role_course_map[[#This Row],[course_id]])=0, "INVALID","VALID")</f>
        <v>VALID</v>
      </c>
    </row>
    <row r="1339" spans="1:14" x14ac:dyDescent="0.35">
      <c r="A1339" t="s">
        <v>312</v>
      </c>
      <c r="B1339" s="5" t="str">
        <f>_xlfn.XLOOKUP(role_course_map[[#This Row],[role_id]], role_data[role_id], role_data[Role],"")</f>
        <v>Paediatric Nurse Consultant</v>
      </c>
      <c r="C1339">
        <v>999011</v>
      </c>
      <c r="D1339" s="5" t="str">
        <f>_xlfn.XLOOKUP(role_course_map[[#This Row],[course_id]],course_data[course_id],course_data[title],"")</f>
        <v>Paediatrics</v>
      </c>
      <c r="E1339" s="5" t="str">
        <f>_xlfn.XLOOKUP(role_course_map[[#This Row],[course_id]],course_data[course_id],course_data[topic],"")</f>
        <v>SAS : Clinical Practice</v>
      </c>
      <c r="F1339" s="5" t="str">
        <f>_xlfn.XLOOKUP(role_course_map[[#This Row],[course_id]],course_data[course_id],course_data[type],"")</f>
        <v>eLearning</v>
      </c>
      <c r="K1339" t="str">
        <f>role_course_map[[#This Row],[role_id]] &amp; "|" &amp; role_course_map[[#This Row],[course_id]]</f>
        <v>R0150|999011</v>
      </c>
      <c r="L1339" t="str">
        <f>IF(COUNTIF(role_course_map[mapping_key],role_course_map[[#This Row],[mapping_key]])&gt;1,"DUPLICATE","OK")</f>
        <v>OK</v>
      </c>
      <c r="M1339" t="str">
        <f>IF(COUNTIF(role_data[role_id],role_course_map[[#This Row],[role_id]])=0, "INVALID","VALID")</f>
        <v>VALID</v>
      </c>
      <c r="N1339" t="str">
        <f>IF(COUNTIF(course_data[course_id],role_course_map[[#This Row],[course_id]])=0, "INVALID","VALID")</f>
        <v>VALID</v>
      </c>
    </row>
    <row r="1340" spans="1:14" x14ac:dyDescent="0.35">
      <c r="A1340" t="s">
        <v>312</v>
      </c>
      <c r="B1340" s="5" t="str">
        <f>_xlfn.XLOOKUP(role_course_map[[#This Row],[role_id]], role_data[role_id], role_data[Role],"")</f>
        <v>Paediatric Nurse Consultant</v>
      </c>
      <c r="C1340">
        <v>999012</v>
      </c>
      <c r="D1340" s="5" t="str">
        <f>_xlfn.XLOOKUP(role_course_map[[#This Row],[course_id]],course_data[course_id],course_data[title],"")</f>
        <v>Trauma</v>
      </c>
      <c r="E1340" s="5" t="str">
        <f>_xlfn.XLOOKUP(role_course_map[[#This Row],[course_id]],course_data[course_id],course_data[topic],"")</f>
        <v>SAS : Clinical Practice</v>
      </c>
      <c r="F1340" s="5" t="str">
        <f>_xlfn.XLOOKUP(role_course_map[[#This Row],[course_id]],course_data[course_id],course_data[type],"")</f>
        <v>Course</v>
      </c>
      <c r="K1340" t="str">
        <f>role_course_map[[#This Row],[role_id]] &amp; "|" &amp; role_course_map[[#This Row],[course_id]]</f>
        <v>R0150|999012</v>
      </c>
      <c r="L1340" t="str">
        <f>IF(COUNTIF(role_course_map[mapping_key],role_course_map[[#This Row],[mapping_key]])&gt;1,"DUPLICATE","OK")</f>
        <v>OK</v>
      </c>
      <c r="M1340" t="str">
        <f>IF(COUNTIF(role_data[role_id],role_course_map[[#This Row],[role_id]])=0, "INVALID","VALID")</f>
        <v>VALID</v>
      </c>
      <c r="N1340" t="str">
        <f>IF(COUNTIF(course_data[course_id],role_course_map[[#This Row],[course_id]])=0, "INVALID","VALID")</f>
        <v>VALID</v>
      </c>
    </row>
    <row r="1341" spans="1:14" x14ac:dyDescent="0.35">
      <c r="A1341" t="s">
        <v>312</v>
      </c>
      <c r="B1341" s="5" t="str">
        <f>_xlfn.XLOOKUP(role_course_map[[#This Row],[role_id]], role_data[role_id], role_data[Role],"")</f>
        <v>Paediatric Nurse Consultant</v>
      </c>
      <c r="C1341">
        <v>999013</v>
      </c>
      <c r="D1341" s="5" t="str">
        <f>_xlfn.XLOOKUP(role_course_map[[#This Row],[course_id]],course_data[course_id],course_data[title],"")</f>
        <v>Trauma</v>
      </c>
      <c r="E1341" s="5" t="str">
        <f>_xlfn.XLOOKUP(role_course_map[[#This Row],[course_id]],course_data[course_id],course_data[topic],"")</f>
        <v>SAS : Clinical Practice</v>
      </c>
      <c r="F1341" s="5" t="str">
        <f>_xlfn.XLOOKUP(role_course_map[[#This Row],[course_id]],course_data[course_id],course_data[type],"")</f>
        <v>eLearning</v>
      </c>
      <c r="K1341" t="str">
        <f>role_course_map[[#This Row],[role_id]] &amp; "|" &amp; role_course_map[[#This Row],[course_id]]</f>
        <v>R0150|999013</v>
      </c>
      <c r="L1341" t="str">
        <f>IF(COUNTIF(role_course_map[mapping_key],role_course_map[[#This Row],[mapping_key]])&gt;1,"DUPLICATE","OK")</f>
        <v>OK</v>
      </c>
      <c r="M1341" t="str">
        <f>IF(COUNTIF(role_data[role_id],role_course_map[[#This Row],[role_id]])=0, "INVALID","VALID")</f>
        <v>VALID</v>
      </c>
      <c r="N1341" t="str">
        <f>IF(COUNTIF(course_data[course_id],role_course_map[[#This Row],[course_id]])=0, "INVALID","VALID")</f>
        <v>VALID</v>
      </c>
    </row>
    <row r="1342" spans="1:14" x14ac:dyDescent="0.35">
      <c r="A1342" t="s">
        <v>312</v>
      </c>
      <c r="B1342" s="5" t="str">
        <f>_xlfn.XLOOKUP(role_course_map[[#This Row],[role_id]], role_data[role_id], role_data[Role],"")</f>
        <v>Paediatric Nurse Consultant</v>
      </c>
      <c r="C1342">
        <v>999014</v>
      </c>
      <c r="D1342" s="5" t="str">
        <f>_xlfn.XLOOKUP(role_course_map[[#This Row],[course_id]],course_data[course_id],course_data[title],"")</f>
        <v>Patient Assessment</v>
      </c>
      <c r="E1342" s="5" t="str">
        <f>_xlfn.XLOOKUP(role_course_map[[#This Row],[course_id]],course_data[course_id],course_data[topic],"")</f>
        <v>SAS : Clinical Practice</v>
      </c>
      <c r="F1342" s="5" t="str">
        <f>_xlfn.XLOOKUP(role_course_map[[#This Row],[course_id]],course_data[course_id],course_data[type],"")</f>
        <v>Course</v>
      </c>
      <c r="K1342" t="str">
        <f>role_course_map[[#This Row],[role_id]] &amp; "|" &amp; role_course_map[[#This Row],[course_id]]</f>
        <v>R0150|999014</v>
      </c>
      <c r="L1342" t="str">
        <f>IF(COUNTIF(role_course_map[mapping_key],role_course_map[[#This Row],[mapping_key]])&gt;1,"DUPLICATE","OK")</f>
        <v>OK</v>
      </c>
      <c r="M1342" t="str">
        <f>IF(COUNTIF(role_data[role_id],role_course_map[[#This Row],[role_id]])=0, "INVALID","VALID")</f>
        <v>VALID</v>
      </c>
      <c r="N1342" t="str">
        <f>IF(COUNTIF(course_data[course_id],role_course_map[[#This Row],[course_id]])=0, "INVALID","VALID")</f>
        <v>VALID</v>
      </c>
    </row>
    <row r="1343" spans="1:14" x14ac:dyDescent="0.35">
      <c r="A1343" t="s">
        <v>312</v>
      </c>
      <c r="B1343" s="5" t="str">
        <f>_xlfn.XLOOKUP(role_course_map[[#This Row],[role_id]], role_data[role_id], role_data[Role],"")</f>
        <v>Paediatric Nurse Consultant</v>
      </c>
      <c r="C1343">
        <v>999015</v>
      </c>
      <c r="D1343" s="5" t="str">
        <f>_xlfn.XLOOKUP(role_course_map[[#This Row],[course_id]],course_data[course_id],course_data[title],"")</f>
        <v>Patient Assessment</v>
      </c>
      <c r="E1343" s="5" t="str">
        <f>_xlfn.XLOOKUP(role_course_map[[#This Row],[course_id]],course_data[course_id],course_data[topic],"")</f>
        <v>SAS : Clinical Practice</v>
      </c>
      <c r="F1343" s="5" t="str">
        <f>_xlfn.XLOOKUP(role_course_map[[#This Row],[course_id]],course_data[course_id],course_data[type],"")</f>
        <v>eLearning</v>
      </c>
      <c r="K1343" t="str">
        <f>role_course_map[[#This Row],[role_id]] &amp; "|" &amp; role_course_map[[#This Row],[course_id]]</f>
        <v>R0150|999015</v>
      </c>
      <c r="L1343" t="str">
        <f>IF(COUNTIF(role_course_map[mapping_key],role_course_map[[#This Row],[mapping_key]])&gt;1,"DUPLICATE","OK")</f>
        <v>OK</v>
      </c>
      <c r="M1343" t="str">
        <f>IF(COUNTIF(role_data[role_id],role_course_map[[#This Row],[role_id]])=0, "INVALID","VALID")</f>
        <v>VALID</v>
      </c>
      <c r="N1343" t="str">
        <f>IF(COUNTIF(course_data[course_id],role_course_map[[#This Row],[course_id]])=0, "INVALID","VALID")</f>
        <v>VALID</v>
      </c>
    </row>
    <row r="1344" spans="1:14" x14ac:dyDescent="0.35">
      <c r="A1344" t="s">
        <v>310</v>
      </c>
      <c r="B1344" s="5" t="str">
        <f>_xlfn.XLOOKUP(role_course_map[[#This Row],[role_id]], role_data[role_id], role_data[Role],"")</f>
        <v>Paediatric Nurse</v>
      </c>
      <c r="C1344">
        <v>999016</v>
      </c>
      <c r="D1344" s="5" t="str">
        <f>_xlfn.XLOOKUP(role_course_map[[#This Row],[course_id]],course_data[course_id],course_data[title],"")</f>
        <v>Clinical Skills</v>
      </c>
      <c r="E1344" s="5" t="str">
        <f>_xlfn.XLOOKUP(role_course_map[[#This Row],[course_id]],course_data[course_id],course_data[topic],"")</f>
        <v>SAS : Clinical Practice</v>
      </c>
      <c r="F1344" s="5" t="str">
        <f>_xlfn.XLOOKUP(role_course_map[[#This Row],[course_id]],course_data[course_id],course_data[type],"")</f>
        <v>Course</v>
      </c>
      <c r="K1344" t="str">
        <f>role_course_map[[#This Row],[role_id]] &amp; "|" &amp; role_course_map[[#This Row],[course_id]]</f>
        <v>R0149|999016</v>
      </c>
      <c r="L1344" t="str">
        <f>IF(COUNTIF(role_course_map[mapping_key],role_course_map[[#This Row],[mapping_key]])&gt;1,"DUPLICATE","OK")</f>
        <v>OK</v>
      </c>
      <c r="M1344" t="str">
        <f>IF(COUNTIF(role_data[role_id],role_course_map[[#This Row],[role_id]])=0, "INVALID","VALID")</f>
        <v>VALID</v>
      </c>
      <c r="N1344" t="str">
        <f>IF(COUNTIF(course_data[course_id],role_course_map[[#This Row],[course_id]])=0, "INVALID","VALID")</f>
        <v>VALID</v>
      </c>
    </row>
    <row r="1345" spans="1:14" x14ac:dyDescent="0.35">
      <c r="A1345" t="s">
        <v>312</v>
      </c>
      <c r="B1345" s="5" t="str">
        <f>_xlfn.XLOOKUP(role_course_map[[#This Row],[role_id]], role_data[role_id], role_data[Role],"")</f>
        <v>Paediatric Nurse Consultant</v>
      </c>
      <c r="C1345">
        <v>999016</v>
      </c>
      <c r="D1345" s="5" t="str">
        <f>_xlfn.XLOOKUP(role_course_map[[#This Row],[course_id]],course_data[course_id],course_data[title],"")</f>
        <v>Clinical Skills</v>
      </c>
      <c r="E1345" s="5" t="str">
        <f>_xlfn.XLOOKUP(role_course_map[[#This Row],[course_id]],course_data[course_id],course_data[topic],"")</f>
        <v>SAS : Clinical Practice</v>
      </c>
      <c r="F1345" s="5" t="str">
        <f>_xlfn.XLOOKUP(role_course_map[[#This Row],[course_id]],course_data[course_id],course_data[type],"")</f>
        <v>Course</v>
      </c>
      <c r="K1345" t="str">
        <f>role_course_map[[#This Row],[role_id]] &amp; "|" &amp; role_course_map[[#This Row],[course_id]]</f>
        <v>R0150|999016</v>
      </c>
      <c r="L1345" t="str">
        <f>IF(COUNTIF(role_course_map[mapping_key],role_course_map[[#This Row],[mapping_key]])&gt;1,"DUPLICATE","OK")</f>
        <v>OK</v>
      </c>
      <c r="M1345" t="str">
        <f>IF(COUNTIF(role_data[role_id],role_course_map[[#This Row],[role_id]])=0, "INVALID","VALID")</f>
        <v>VALID</v>
      </c>
      <c r="N1345" t="str">
        <f>IF(COUNTIF(course_data[course_id],role_course_map[[#This Row],[course_id]])=0, "INVALID","VALID")</f>
        <v>VALID</v>
      </c>
    </row>
    <row r="1346" spans="1:14" x14ac:dyDescent="0.35">
      <c r="A1346" t="s">
        <v>312</v>
      </c>
      <c r="B1346" s="5" t="str">
        <f>_xlfn.XLOOKUP(role_course_map[[#This Row],[role_id]], role_data[role_id], role_data[Role],"")</f>
        <v>Paediatric Nurse Consultant</v>
      </c>
      <c r="C1346">
        <v>999017</v>
      </c>
      <c r="D1346" s="5" t="str">
        <f>_xlfn.XLOOKUP(role_course_map[[#This Row],[course_id]],course_data[course_id],course_data[title],"")</f>
        <v>Clinical Skills</v>
      </c>
      <c r="E1346" s="5" t="str">
        <f>_xlfn.XLOOKUP(role_course_map[[#This Row],[course_id]],course_data[course_id],course_data[topic],"")</f>
        <v>SAS : Clinical Practice</v>
      </c>
      <c r="F1346" s="5" t="str">
        <f>_xlfn.XLOOKUP(role_course_map[[#This Row],[course_id]],course_data[course_id],course_data[type],"")</f>
        <v>eLearning</v>
      </c>
      <c r="K1346" t="str">
        <f>role_course_map[[#This Row],[role_id]] &amp; "|" &amp; role_course_map[[#This Row],[course_id]]</f>
        <v>R0150|999017</v>
      </c>
      <c r="L1346" t="str">
        <f>IF(COUNTIF(role_course_map[mapping_key],role_course_map[[#This Row],[mapping_key]])&gt;1,"DUPLICATE","OK")</f>
        <v>OK</v>
      </c>
      <c r="M1346" t="str">
        <f>IF(COUNTIF(role_data[role_id],role_course_map[[#This Row],[role_id]])=0, "INVALID","VALID")</f>
        <v>VALID</v>
      </c>
      <c r="N1346" t="str">
        <f>IF(COUNTIF(course_data[course_id],role_course_map[[#This Row],[course_id]])=0, "INVALID","VALID")</f>
        <v>VALID</v>
      </c>
    </row>
    <row r="1347" spans="1:14" x14ac:dyDescent="0.35">
      <c r="A1347" t="s">
        <v>312</v>
      </c>
      <c r="B1347" s="5" t="str">
        <f>_xlfn.XLOOKUP(role_course_map[[#This Row],[role_id]], role_data[role_id], role_data[Role],"")</f>
        <v>Paediatric Nurse Consultant</v>
      </c>
      <c r="C1347">
        <v>999018</v>
      </c>
      <c r="D1347" s="5" t="str">
        <f>_xlfn.XLOOKUP(role_course_map[[#This Row],[course_id]],course_data[course_id],course_data[title],"")</f>
        <v>Learning from Events</v>
      </c>
      <c r="E1347" s="5" t="str">
        <f>_xlfn.XLOOKUP(role_course_map[[#This Row],[course_id]],course_data[course_id],course_data[topic],"")</f>
        <v>SAS : Clinical Practice</v>
      </c>
      <c r="F1347" s="5" t="str">
        <f>_xlfn.XLOOKUP(role_course_map[[#This Row],[course_id]],course_data[course_id],course_data[type],"")</f>
        <v>eLearning</v>
      </c>
      <c r="K1347" t="str">
        <f>role_course_map[[#This Row],[role_id]] &amp; "|" &amp; role_course_map[[#This Row],[course_id]]</f>
        <v>R0150|999018</v>
      </c>
      <c r="L1347" t="str">
        <f>IF(COUNTIF(role_course_map[mapping_key],role_course_map[[#This Row],[mapping_key]])&gt;1,"DUPLICATE","OK")</f>
        <v>OK</v>
      </c>
      <c r="M1347" t="str">
        <f>IF(COUNTIF(role_data[role_id],role_course_map[[#This Row],[role_id]])=0, "INVALID","VALID")</f>
        <v>VALID</v>
      </c>
      <c r="N1347" t="str">
        <f>IF(COUNTIF(course_data[course_id],role_course_map[[#This Row],[course_id]])=0, "INVALID","VALID")</f>
        <v>VALID</v>
      </c>
    </row>
    <row r="1348" spans="1:14" x14ac:dyDescent="0.35">
      <c r="A1348" t="s">
        <v>312</v>
      </c>
      <c r="B1348" s="5" t="str">
        <f>_xlfn.XLOOKUP(role_course_map[[#This Row],[role_id]], role_data[role_id], role_data[Role],"")</f>
        <v>Paediatric Nurse Consultant</v>
      </c>
      <c r="C1348">
        <v>999019</v>
      </c>
      <c r="D1348" s="5" t="str">
        <f>_xlfn.XLOOKUP(role_course_map[[#This Row],[course_id]],course_data[course_id],course_data[title],"")</f>
        <v>Medicines Management</v>
      </c>
      <c r="E1348" s="5" t="str">
        <f>_xlfn.XLOOKUP(role_course_map[[#This Row],[course_id]],course_data[course_id],course_data[topic],"")</f>
        <v>SAS : Clinical Practice</v>
      </c>
      <c r="F1348" s="5" t="str">
        <f>_xlfn.XLOOKUP(role_course_map[[#This Row],[course_id]],course_data[course_id],course_data[type],"")</f>
        <v>eLearning</v>
      </c>
      <c r="K1348" t="str">
        <f>role_course_map[[#This Row],[role_id]] &amp; "|" &amp; role_course_map[[#This Row],[course_id]]</f>
        <v>R0150|999019</v>
      </c>
      <c r="L1348" t="str">
        <f>IF(COUNTIF(role_course_map[mapping_key],role_course_map[[#This Row],[mapping_key]])&gt;1,"DUPLICATE","OK")</f>
        <v>OK</v>
      </c>
      <c r="M1348" t="str">
        <f>IF(COUNTIF(role_data[role_id],role_course_map[[#This Row],[role_id]])=0, "INVALID","VALID")</f>
        <v>VALID</v>
      </c>
      <c r="N1348" t="str">
        <f>IF(COUNTIF(course_data[course_id],role_course_map[[#This Row],[course_id]])=0, "INVALID","VALID")</f>
        <v>VALID</v>
      </c>
    </row>
    <row r="1349" spans="1:14" x14ac:dyDescent="0.35">
      <c r="A1349" t="s">
        <v>312</v>
      </c>
      <c r="B1349" s="5" t="str">
        <f>_xlfn.XLOOKUP(role_course_map[[#This Row],[role_id]], role_data[role_id], role_data[Role],"")</f>
        <v>Paediatric Nurse Consultant</v>
      </c>
      <c r="C1349">
        <v>999020</v>
      </c>
      <c r="D1349" s="5" t="str">
        <f>_xlfn.XLOOKUP(role_course_map[[#This Row],[course_id]],course_data[course_id],course_data[title],"")</f>
        <v>JRCALC Update</v>
      </c>
      <c r="E1349" s="5" t="str">
        <f>_xlfn.XLOOKUP(role_course_map[[#This Row],[course_id]],course_data[course_id],course_data[topic],"")</f>
        <v>SAS : Clinical Practice</v>
      </c>
      <c r="F1349" s="5" t="str">
        <f>_xlfn.XLOOKUP(role_course_map[[#This Row],[course_id]],course_data[course_id],course_data[type],"")</f>
        <v>eLearning</v>
      </c>
      <c r="K1349" t="str">
        <f>role_course_map[[#This Row],[role_id]] &amp; "|" &amp; role_course_map[[#This Row],[course_id]]</f>
        <v>R0150|999020</v>
      </c>
      <c r="L1349" t="str">
        <f>IF(COUNTIF(role_course_map[mapping_key],role_course_map[[#This Row],[mapping_key]])&gt;1,"DUPLICATE","OK")</f>
        <v>OK</v>
      </c>
      <c r="M1349" t="str">
        <f>IF(COUNTIF(role_data[role_id],role_course_map[[#This Row],[role_id]])=0, "INVALID","VALID")</f>
        <v>VALID</v>
      </c>
      <c r="N1349" t="str">
        <f>IF(COUNTIF(course_data[course_id],role_course_map[[#This Row],[course_id]])=0, "INVALID","VALID")</f>
        <v>VALID</v>
      </c>
    </row>
    <row r="1350" spans="1:14" x14ac:dyDescent="0.35">
      <c r="A1350" t="s">
        <v>312</v>
      </c>
      <c r="B1350" s="5" t="str">
        <f>_xlfn.XLOOKUP(role_course_map[[#This Row],[role_id]], role_data[role_id], role_data[Role],"")</f>
        <v>Paediatric Nurse Consultant</v>
      </c>
      <c r="C1350">
        <v>999021</v>
      </c>
      <c r="D1350" s="5" t="str">
        <f>_xlfn.XLOOKUP(role_course_map[[#This Row],[course_id]],course_data[course_id],course_data[title],"")</f>
        <v>Mental Health</v>
      </c>
      <c r="E1350" s="5" t="str">
        <f>_xlfn.XLOOKUP(role_course_map[[#This Row],[course_id]],course_data[course_id],course_data[topic],"")</f>
        <v>SAS : Clinical Practice</v>
      </c>
      <c r="F1350" s="5" t="str">
        <f>_xlfn.XLOOKUP(role_course_map[[#This Row],[course_id]],course_data[course_id],course_data[type],"")</f>
        <v>eLearning</v>
      </c>
      <c r="K1350" t="str">
        <f>role_course_map[[#This Row],[role_id]] &amp; "|" &amp; role_course_map[[#This Row],[course_id]]</f>
        <v>R0150|999021</v>
      </c>
      <c r="L1350" t="str">
        <f>IF(COUNTIF(role_course_map[mapping_key],role_course_map[[#This Row],[mapping_key]])&gt;1,"DUPLICATE","OK")</f>
        <v>OK</v>
      </c>
      <c r="M1350" t="str">
        <f>IF(COUNTIF(role_data[role_id],role_course_map[[#This Row],[role_id]])=0, "INVALID","VALID")</f>
        <v>VALID</v>
      </c>
      <c r="N1350" t="str">
        <f>IF(COUNTIF(course_data[course_id],role_course_map[[#This Row],[course_id]])=0, "INVALID","VALID")</f>
        <v>VALID</v>
      </c>
    </row>
    <row r="1351" spans="1:14" x14ac:dyDescent="0.35">
      <c r="A1351" t="s">
        <v>312</v>
      </c>
      <c r="B1351" s="5" t="str">
        <f>_xlfn.XLOOKUP(role_course_map[[#This Row],[role_id]], role_data[role_id], role_data[Role],"")</f>
        <v>Paediatric Nurse Consultant</v>
      </c>
      <c r="C1351">
        <v>999022</v>
      </c>
      <c r="D1351" s="5" t="str">
        <f>_xlfn.XLOOKUP(role_course_map[[#This Row],[course_id]],course_data[course_id],course_data[title],"")</f>
        <v>Learning Disabilities</v>
      </c>
      <c r="E1351" s="5" t="str">
        <f>_xlfn.XLOOKUP(role_course_map[[#This Row],[course_id]],course_data[course_id],course_data[topic],"")</f>
        <v>SAS : Clinical Practice</v>
      </c>
      <c r="F1351" s="5" t="str">
        <f>_xlfn.XLOOKUP(role_course_map[[#This Row],[course_id]],course_data[course_id],course_data[type],"")</f>
        <v>eLearning</v>
      </c>
      <c r="K1351" t="str">
        <f>role_course_map[[#This Row],[role_id]] &amp; "|" &amp; role_course_map[[#This Row],[course_id]]</f>
        <v>R0150|999022</v>
      </c>
      <c r="L1351" t="str">
        <f>IF(COUNTIF(role_course_map[mapping_key],role_course_map[[#This Row],[mapping_key]])&gt;1,"DUPLICATE","OK")</f>
        <v>OK</v>
      </c>
      <c r="M1351" t="str">
        <f>IF(COUNTIF(role_data[role_id],role_course_map[[#This Row],[role_id]])=0, "INVALID","VALID")</f>
        <v>VALID</v>
      </c>
      <c r="N1351" t="str">
        <f>IF(COUNTIF(course_data[course_id],role_course_map[[#This Row],[course_id]])=0, "INVALID","VALID")</f>
        <v>VALID</v>
      </c>
    </row>
    <row r="1352" spans="1:14" x14ac:dyDescent="0.35">
      <c r="A1352" t="s">
        <v>312</v>
      </c>
      <c r="B1352" s="5" t="str">
        <f>_xlfn.XLOOKUP(role_course_map[[#This Row],[role_id]], role_data[role_id], role_data[Role],"")</f>
        <v>Paediatric Nurse Consultant</v>
      </c>
      <c r="C1352">
        <v>75202</v>
      </c>
      <c r="D1352" s="5" t="str">
        <f>_xlfn.XLOOKUP(role_course_map[[#This Row],[course_id]],course_data[course_id],course_data[title],"")</f>
        <v>SAS : Clinical Practice</v>
      </c>
      <c r="E1352" s="5" t="str">
        <f>_xlfn.XLOOKUP(role_course_map[[#This Row],[course_id]],course_data[course_id],course_data[topic],"")</f>
        <v>SAS : Clinical Practice</v>
      </c>
      <c r="F1352" s="5" t="str">
        <f>_xlfn.XLOOKUP(role_course_map[[#This Row],[course_id]],course_data[course_id],course_data[type],"")</f>
        <v>Page</v>
      </c>
      <c r="K1352" t="str">
        <f>role_course_map[[#This Row],[role_id]] &amp; "|" &amp; role_course_map[[#This Row],[course_id]]</f>
        <v>R0150|75202</v>
      </c>
      <c r="L1352" t="str">
        <f>IF(COUNTIF(role_course_map[mapping_key],role_course_map[[#This Row],[mapping_key]])&gt;1,"DUPLICATE","OK")</f>
        <v>OK</v>
      </c>
      <c r="M1352" t="str">
        <f>IF(COUNTIF(role_data[role_id],role_course_map[[#This Row],[role_id]])=0, "INVALID","VALID")</f>
        <v>VALID</v>
      </c>
      <c r="N1352" t="str">
        <f>IF(COUNTIF(course_data[course_id],role_course_map[[#This Row],[course_id]])=0, "INVALID","VALID")</f>
        <v>VALID</v>
      </c>
    </row>
    <row r="1353" spans="1:14" x14ac:dyDescent="0.35">
      <c r="A1353" t="s">
        <v>312</v>
      </c>
      <c r="B1353" s="5" t="str">
        <f>_xlfn.XLOOKUP(role_course_map[[#This Row],[role_id]], role_data[role_id], role_data[Role],"")</f>
        <v>Paediatric Nurse Consultant</v>
      </c>
      <c r="C1353">
        <v>999023</v>
      </c>
      <c r="D1353" s="5" t="str">
        <f>_xlfn.XLOOKUP(role_course_map[[#This Row],[course_id]],course_data[course_id],course_data[title],"")</f>
        <v>Dementia</v>
      </c>
      <c r="E1353" s="5" t="str">
        <f>_xlfn.XLOOKUP(role_course_map[[#This Row],[course_id]],course_data[course_id],course_data[topic],"")</f>
        <v>SAS : Clinical Practice</v>
      </c>
      <c r="F1353" s="5" t="str">
        <f>_xlfn.XLOOKUP(role_course_map[[#This Row],[course_id]],course_data[course_id],course_data[type],"")</f>
        <v>eLearning</v>
      </c>
      <c r="K1353" t="str">
        <f>role_course_map[[#This Row],[role_id]] &amp; "|" &amp; role_course_map[[#This Row],[course_id]]</f>
        <v>R0150|999023</v>
      </c>
      <c r="L1353" t="str">
        <f>IF(COUNTIF(role_course_map[mapping_key],role_course_map[[#This Row],[mapping_key]])&gt;1,"DUPLICATE","OK")</f>
        <v>OK</v>
      </c>
      <c r="M1353" t="str">
        <f>IF(COUNTIF(role_data[role_id],role_course_map[[#This Row],[role_id]])=0, "INVALID","VALID")</f>
        <v>VALID</v>
      </c>
      <c r="N1353" t="str">
        <f>IF(COUNTIF(course_data[course_id],role_course_map[[#This Row],[course_id]])=0, "INVALID","VALID")</f>
        <v>VALID</v>
      </c>
    </row>
    <row r="1354" spans="1:14" x14ac:dyDescent="0.35">
      <c r="A1354" t="s">
        <v>310</v>
      </c>
      <c r="B1354" s="5" t="str">
        <f>_xlfn.XLOOKUP(role_course_map[[#This Row],[role_id]], role_data[role_id], role_data[Role],"")</f>
        <v>Paediatric Nurse</v>
      </c>
      <c r="C1354">
        <v>999024</v>
      </c>
      <c r="D1354" s="5" t="str">
        <f>_xlfn.XLOOKUP(role_course_map[[#This Row],[course_id]],course_data[course_id],course_data[title],"")</f>
        <v>Conditions requiring specific hospital management. I.e. Parkinsons</v>
      </c>
      <c r="E1354" s="5" t="str">
        <f>_xlfn.XLOOKUP(role_course_map[[#This Row],[course_id]],course_data[course_id],course_data[topic],"")</f>
        <v>SAS : Clinical Practice</v>
      </c>
      <c r="F1354" s="5" t="str">
        <f>_xlfn.XLOOKUP(role_course_map[[#This Row],[course_id]],course_data[course_id],course_data[type],"")</f>
        <v>eLearning</v>
      </c>
      <c r="K1354" t="str">
        <f>role_course_map[[#This Row],[role_id]] &amp; "|" &amp; role_course_map[[#This Row],[course_id]]</f>
        <v>R0149|999024</v>
      </c>
      <c r="L1354" t="str">
        <f>IF(COUNTIF(role_course_map[mapping_key],role_course_map[[#This Row],[mapping_key]])&gt;1,"DUPLICATE","OK")</f>
        <v>OK</v>
      </c>
      <c r="M1354" t="str">
        <f>IF(COUNTIF(role_data[role_id],role_course_map[[#This Row],[role_id]])=0, "INVALID","VALID")</f>
        <v>VALID</v>
      </c>
      <c r="N1354" t="str">
        <f>IF(COUNTIF(course_data[course_id],role_course_map[[#This Row],[course_id]])=0, "INVALID","VALID")</f>
        <v>VALID</v>
      </c>
    </row>
    <row r="1355" spans="1:14" x14ac:dyDescent="0.35">
      <c r="A1355" t="s">
        <v>312</v>
      </c>
      <c r="B1355" s="5" t="str">
        <f>_xlfn.XLOOKUP(role_course_map[[#This Row],[role_id]], role_data[role_id], role_data[Role],"")</f>
        <v>Paediatric Nurse Consultant</v>
      </c>
      <c r="C1355">
        <v>999024</v>
      </c>
      <c r="D1355" s="5" t="str">
        <f>_xlfn.XLOOKUP(role_course_map[[#This Row],[course_id]],course_data[course_id],course_data[title],"")</f>
        <v>Conditions requiring specific hospital management. I.e. Parkinsons</v>
      </c>
      <c r="E1355" s="5" t="str">
        <f>_xlfn.XLOOKUP(role_course_map[[#This Row],[course_id]],course_data[course_id],course_data[topic],"")</f>
        <v>SAS : Clinical Practice</v>
      </c>
      <c r="F1355" s="5" t="str">
        <f>_xlfn.XLOOKUP(role_course_map[[#This Row],[course_id]],course_data[course_id],course_data[type],"")</f>
        <v>eLearning</v>
      </c>
      <c r="K1355" t="str">
        <f>role_course_map[[#This Row],[role_id]] &amp; "|" &amp; role_course_map[[#This Row],[course_id]]</f>
        <v>R0150|999024</v>
      </c>
      <c r="L1355" t="str">
        <f>IF(COUNTIF(role_course_map[mapping_key],role_course_map[[#This Row],[mapping_key]])&gt;1,"DUPLICATE","OK")</f>
        <v>OK</v>
      </c>
      <c r="M1355" t="str">
        <f>IF(COUNTIF(role_data[role_id],role_course_map[[#This Row],[role_id]])=0, "INVALID","VALID")</f>
        <v>VALID</v>
      </c>
      <c r="N1355" t="str">
        <f>IF(COUNTIF(course_data[course_id],role_course_map[[#This Row],[course_id]])=0, "INVALID","VALID")</f>
        <v>VALID</v>
      </c>
    </row>
    <row r="1356" spans="1:14" x14ac:dyDescent="0.35">
      <c r="A1356" t="s">
        <v>312</v>
      </c>
      <c r="B1356" s="5" t="str">
        <f>_xlfn.XLOOKUP(role_course_map[[#This Row],[role_id]], role_data[role_id], role_data[Role],"")</f>
        <v>Paediatric Nurse Consultant</v>
      </c>
      <c r="C1356">
        <v>999095</v>
      </c>
      <c r="D1356" s="5" t="str">
        <f>_xlfn.XLOOKUP(role_course_map[[#This Row],[course_id]],course_data[course_id],course_data[title],"")</f>
        <v>Mentoring</v>
      </c>
      <c r="E1356" s="5" t="str">
        <f>_xlfn.XLOOKUP(role_course_map[[#This Row],[course_id]],course_data[course_id],course_data[topic],"")</f>
        <v>SAS: Staff development and experience</v>
      </c>
      <c r="F1356" s="5" t="str">
        <f>_xlfn.XLOOKUP(role_course_map[[#This Row],[course_id]],course_data[course_id],course_data[type],"")</f>
        <v>eLearning</v>
      </c>
      <c r="K1356" t="str">
        <f>role_course_map[[#This Row],[role_id]] &amp; "|" &amp; role_course_map[[#This Row],[course_id]]</f>
        <v>R0150|999095</v>
      </c>
      <c r="L1356" t="str">
        <f>IF(COUNTIF(role_course_map[mapping_key],role_course_map[[#This Row],[mapping_key]])&gt;1,"DUPLICATE","OK")</f>
        <v>OK</v>
      </c>
      <c r="M1356" t="str">
        <f>IF(COUNTIF(role_data[role_id],role_course_map[[#This Row],[role_id]])=0, "INVALID","VALID")</f>
        <v>VALID</v>
      </c>
      <c r="N1356" t="str">
        <f>IF(COUNTIF(course_data[course_id],role_course_map[[#This Row],[course_id]])=0, "INVALID","VALID")</f>
        <v>VALID</v>
      </c>
    </row>
    <row r="1357" spans="1:14" x14ac:dyDescent="0.35">
      <c r="A1357" t="s">
        <v>312</v>
      </c>
      <c r="B1357" s="5" t="str">
        <f>_xlfn.XLOOKUP(role_course_map[[#This Row],[role_id]], role_data[role_id], role_data[Role],"")</f>
        <v>Paediatric Nurse Consultant</v>
      </c>
      <c r="C1357">
        <v>999096</v>
      </c>
      <c r="D1357" s="5" t="str">
        <f>_xlfn.XLOOKUP(role_course_map[[#This Row],[course_id]],course_data[course_id],course_data[title],"")</f>
        <v>Supporting others in practice (Supervision)</v>
      </c>
      <c r="E1357" s="5" t="str">
        <f>_xlfn.XLOOKUP(role_course_map[[#This Row],[course_id]],course_data[course_id],course_data[topic],"")</f>
        <v>SAS: Staff development and experience</v>
      </c>
      <c r="F1357" s="5" t="str">
        <f>_xlfn.XLOOKUP(role_course_map[[#This Row],[course_id]],course_data[course_id],course_data[type],"")</f>
        <v>Course</v>
      </c>
      <c r="K1357" t="str">
        <f>role_course_map[[#This Row],[role_id]] &amp; "|" &amp; role_course_map[[#This Row],[course_id]]</f>
        <v>R0150|999096</v>
      </c>
      <c r="L1357" t="str">
        <f>IF(COUNTIF(role_course_map[mapping_key],role_course_map[[#This Row],[mapping_key]])&gt;1,"DUPLICATE","OK")</f>
        <v>OK</v>
      </c>
      <c r="M1357" t="str">
        <f>IF(COUNTIF(role_data[role_id],role_course_map[[#This Row],[role_id]])=0, "INVALID","VALID")</f>
        <v>VALID</v>
      </c>
      <c r="N1357" t="str">
        <f>IF(COUNTIF(course_data[course_id],role_course_map[[#This Row],[course_id]])=0, "INVALID","VALID")</f>
        <v>VALID</v>
      </c>
    </row>
    <row r="1358" spans="1:14" x14ac:dyDescent="0.35">
      <c r="A1358" t="s">
        <v>312</v>
      </c>
      <c r="B1358" s="5" t="str">
        <f>_xlfn.XLOOKUP(role_course_map[[#This Row],[role_id]], role_data[role_id], role_data[Role],"")</f>
        <v>Paediatric Nurse Consultant</v>
      </c>
      <c r="C1358">
        <v>89161</v>
      </c>
      <c r="D1358" s="5" t="str">
        <f>_xlfn.XLOOKUP(role_course_map[[#This Row],[course_id]],course_data[course_id],course_data[title],"")</f>
        <v>Personal Protective Equipment</v>
      </c>
      <c r="E1358" s="5" t="str">
        <f>_xlfn.XLOOKUP(role_course_map[[#This Row],[course_id]],course_data[course_id],course_data[topic],"")</f>
        <v>SAS : Infection Prevention and Control (IPC)</v>
      </c>
      <c r="F1358" s="5" t="str">
        <f>_xlfn.XLOOKUP(role_course_map[[#This Row],[course_id]],course_data[course_id],course_data[type],"")</f>
        <v>eLearning</v>
      </c>
      <c r="K1358" t="str">
        <f>role_course_map[[#This Row],[role_id]] &amp; "|" &amp; role_course_map[[#This Row],[course_id]]</f>
        <v>R0150|89161</v>
      </c>
      <c r="L1358" t="str">
        <f>IF(COUNTIF(role_course_map[mapping_key],role_course_map[[#This Row],[mapping_key]])&gt;1,"DUPLICATE","OK")</f>
        <v>DUPLICATE</v>
      </c>
      <c r="M1358" t="str">
        <f>IF(COUNTIF(role_data[role_id],role_course_map[[#This Row],[role_id]])=0, "INVALID","VALID")</f>
        <v>VALID</v>
      </c>
      <c r="N1358" t="str">
        <f>IF(COUNTIF(course_data[course_id],role_course_map[[#This Row],[course_id]])=0, "INVALID","VALID")</f>
        <v>VALID</v>
      </c>
    </row>
    <row r="1359" spans="1:14" x14ac:dyDescent="0.35">
      <c r="A1359" t="s">
        <v>312</v>
      </c>
      <c r="B1359" s="5" t="str">
        <f>_xlfn.XLOOKUP(role_course_map[[#This Row],[role_id]], role_data[role_id], role_data[Role],"")</f>
        <v>Paediatric Nurse Consultant</v>
      </c>
      <c r="C1359">
        <v>999059</v>
      </c>
      <c r="D1359" s="5" t="str">
        <f>_xlfn.XLOOKUP(role_course_map[[#This Row],[course_id]],course_data[course_id],course_data[title],"")</f>
        <v>Driving update (practical)</v>
      </c>
      <c r="E1359" s="5" t="str">
        <f>_xlfn.XLOOKUP(role_course_map[[#This Row],[course_id]],course_data[course_id],course_data[topic],"")</f>
        <v>SAS : Health and Safety</v>
      </c>
      <c r="F1359" s="5" t="str">
        <f>_xlfn.XLOOKUP(role_course_map[[#This Row],[course_id]],course_data[course_id],course_data[type],"")</f>
        <v>Course</v>
      </c>
      <c r="K1359" t="str">
        <f>role_course_map[[#This Row],[role_id]] &amp; "|" &amp; role_course_map[[#This Row],[course_id]]</f>
        <v>R0150|999059</v>
      </c>
      <c r="L1359" t="str">
        <f>IF(COUNTIF(role_course_map[mapping_key],role_course_map[[#This Row],[mapping_key]])&gt;1,"DUPLICATE","OK")</f>
        <v>OK</v>
      </c>
      <c r="M1359" t="str">
        <f>IF(COUNTIF(role_data[role_id],role_course_map[[#This Row],[role_id]])=0, "INVALID","VALID")</f>
        <v>VALID</v>
      </c>
      <c r="N1359" t="str">
        <f>IF(COUNTIF(course_data[course_id],role_course_map[[#This Row],[course_id]])=0, "INVALID","VALID")</f>
        <v>VALID</v>
      </c>
    </row>
    <row r="1360" spans="1:14" x14ac:dyDescent="0.35">
      <c r="A1360" t="s">
        <v>310</v>
      </c>
      <c r="B1360" s="5" t="str">
        <f>_xlfn.XLOOKUP(role_course_map[[#This Row],[role_id]], role_data[role_id], role_data[Role],"")</f>
        <v>Paediatric Nurse</v>
      </c>
      <c r="C1360">
        <v>999060</v>
      </c>
      <c r="D1360" s="5" t="str">
        <f>_xlfn.XLOOKUP(role_course_map[[#This Row],[course_id]],course_data[course_id],course_data[title],"")</f>
        <v>COSHH</v>
      </c>
      <c r="E1360" s="5" t="str">
        <f>_xlfn.XLOOKUP(role_course_map[[#This Row],[course_id]],course_data[course_id],course_data[topic],"")</f>
        <v>SAS : Health and Safety</v>
      </c>
      <c r="F1360" s="5" t="str">
        <f>_xlfn.XLOOKUP(role_course_map[[#This Row],[course_id]],course_data[course_id],course_data[type],"")</f>
        <v>eLearning</v>
      </c>
      <c r="K1360" t="str">
        <f>role_course_map[[#This Row],[role_id]] &amp; "|" &amp; role_course_map[[#This Row],[course_id]]</f>
        <v>R0149|999060</v>
      </c>
      <c r="L1360" t="str">
        <f>IF(COUNTIF(role_course_map[mapping_key],role_course_map[[#This Row],[mapping_key]])&gt;1,"DUPLICATE","OK")</f>
        <v>OK</v>
      </c>
      <c r="M1360" t="str">
        <f>IF(COUNTIF(role_data[role_id],role_course_map[[#This Row],[role_id]])=0, "INVALID","VALID")</f>
        <v>VALID</v>
      </c>
      <c r="N1360" t="str">
        <f>IF(COUNTIF(course_data[course_id],role_course_map[[#This Row],[course_id]])=0, "INVALID","VALID")</f>
        <v>VALID</v>
      </c>
    </row>
    <row r="1361" spans="1:14" x14ac:dyDescent="0.35">
      <c r="A1361" t="s">
        <v>312</v>
      </c>
      <c r="B1361" s="5" t="str">
        <f>_xlfn.XLOOKUP(role_course_map[[#This Row],[role_id]], role_data[role_id], role_data[Role],"")</f>
        <v>Paediatric Nurse Consultant</v>
      </c>
      <c r="C1361">
        <v>999060</v>
      </c>
      <c r="D1361" s="5" t="str">
        <f>_xlfn.XLOOKUP(role_course_map[[#This Row],[course_id]],course_data[course_id],course_data[title],"")</f>
        <v>COSHH</v>
      </c>
      <c r="E1361" s="5" t="str">
        <f>_xlfn.XLOOKUP(role_course_map[[#This Row],[course_id]],course_data[course_id],course_data[topic],"")</f>
        <v>SAS : Health and Safety</v>
      </c>
      <c r="F1361" s="5" t="str">
        <f>_xlfn.XLOOKUP(role_course_map[[#This Row],[course_id]],course_data[course_id],course_data[type],"")</f>
        <v>eLearning</v>
      </c>
      <c r="K1361" t="str">
        <f>role_course_map[[#This Row],[role_id]] &amp; "|" &amp; role_course_map[[#This Row],[course_id]]</f>
        <v>R0150|999060</v>
      </c>
      <c r="L1361" t="str">
        <f>IF(COUNTIF(role_course_map[mapping_key],role_course_map[[#This Row],[mapping_key]])&gt;1,"DUPLICATE","OK")</f>
        <v>OK</v>
      </c>
      <c r="M1361" t="str">
        <f>IF(COUNTIF(role_data[role_id],role_course_map[[#This Row],[role_id]])=0, "INVALID","VALID")</f>
        <v>VALID</v>
      </c>
      <c r="N1361" t="str">
        <f>IF(COUNTIF(course_data[course_id],role_course_map[[#This Row],[course_id]])=0, "INVALID","VALID")</f>
        <v>VALID</v>
      </c>
    </row>
    <row r="1362" spans="1:14" x14ac:dyDescent="0.35">
      <c r="A1362" t="s">
        <v>312</v>
      </c>
      <c r="B1362" s="5" t="str">
        <f>_xlfn.XLOOKUP(role_course_map[[#This Row],[role_id]], role_data[role_id], role_data[Role],"")</f>
        <v>Paediatric Nurse Consultant</v>
      </c>
      <c r="C1362">
        <v>999066</v>
      </c>
      <c r="D1362" s="5" t="str">
        <f>_xlfn.XLOOKUP(role_course_map[[#This Row],[course_id]],course_data[course_id],course_data[title],"")</f>
        <v>NRRD Update i.e. Major Incidents/Methane/ Multiple Casualities</v>
      </c>
      <c r="E1362" s="5" t="str">
        <f>_xlfn.XLOOKUP(role_course_map[[#This Row],[course_id]],course_data[course_id],course_data[topic],"")</f>
        <v>SAS : National Risk and Resilience Department (NRRD)</v>
      </c>
      <c r="F1362" s="5" t="str">
        <f>_xlfn.XLOOKUP(role_course_map[[#This Row],[course_id]],course_data[course_id],course_data[type],"")</f>
        <v>eLearning</v>
      </c>
      <c r="K1362" t="str">
        <f>role_course_map[[#This Row],[role_id]] &amp; "|" &amp; role_course_map[[#This Row],[course_id]]</f>
        <v>R0150|999066</v>
      </c>
      <c r="L1362" t="str">
        <f>IF(COUNTIF(role_course_map[mapping_key],role_course_map[[#This Row],[mapping_key]])&gt;1,"DUPLICATE","OK")</f>
        <v>OK</v>
      </c>
      <c r="M1362" t="str">
        <f>IF(COUNTIF(role_data[role_id],role_course_map[[#This Row],[role_id]])=0, "INVALID","VALID")</f>
        <v>VALID</v>
      </c>
      <c r="N1362" t="str">
        <f>IF(COUNTIF(course_data[course_id],role_course_map[[#This Row],[course_id]])=0, "INVALID","VALID")</f>
        <v>VALID</v>
      </c>
    </row>
    <row r="1363" spans="1:14" x14ac:dyDescent="0.35">
      <c r="A1363" t="s">
        <v>312</v>
      </c>
      <c r="B1363" s="5" t="str">
        <f>_xlfn.XLOOKUP(role_course_map[[#This Row],[role_id]], role_data[role_id], role_data[Role],"")</f>
        <v>Paediatric Nurse Consultant</v>
      </c>
      <c r="C1363">
        <v>999025</v>
      </c>
      <c r="D1363" s="5" t="str">
        <f>_xlfn.XLOOKUP(role_course_map[[#This Row],[course_id]],course_data[course_id],course_data[title],"")</f>
        <v>Professional Standards</v>
      </c>
      <c r="E1363" s="5" t="str">
        <f>_xlfn.XLOOKUP(role_course_map[[#This Row],[course_id]],course_data[course_id],course_data[topic],"")</f>
        <v>SAS : Clinical Practice</v>
      </c>
      <c r="F1363" s="5" t="str">
        <f>_xlfn.XLOOKUP(role_course_map[[#This Row],[course_id]],course_data[course_id],course_data[type],"")</f>
        <v>eLearning</v>
      </c>
      <c r="K1363" t="str">
        <f>role_course_map[[#This Row],[role_id]] &amp; "|" &amp; role_course_map[[#This Row],[course_id]]</f>
        <v>R0150|999025</v>
      </c>
      <c r="L1363" t="str">
        <f>IF(COUNTIF(role_course_map[mapping_key],role_course_map[[#This Row],[mapping_key]])&gt;1,"DUPLICATE","OK")</f>
        <v>OK</v>
      </c>
      <c r="M1363" t="str">
        <f>IF(COUNTIF(role_data[role_id],role_course_map[[#This Row],[role_id]])=0, "INVALID","VALID")</f>
        <v>VALID</v>
      </c>
      <c r="N1363" t="str">
        <f>IF(COUNTIF(course_data[course_id],role_course_map[[#This Row],[course_id]])=0, "INVALID","VALID")</f>
        <v>VALID</v>
      </c>
    </row>
    <row r="1364" spans="1:14" x14ac:dyDescent="0.35">
      <c r="A1364" t="s">
        <v>310</v>
      </c>
      <c r="B1364" s="5" t="str">
        <f>_xlfn.XLOOKUP(role_course_map[[#This Row],[role_id]], role_data[role_id], role_data[Role],"")</f>
        <v>Paediatric Nurse</v>
      </c>
      <c r="C1364">
        <v>999026</v>
      </c>
      <c r="D1364" s="5" t="str">
        <f>_xlfn.XLOOKUP(role_course_map[[#This Row],[course_id]],course_data[course_id],course_data[title],"")</f>
        <v>Communication Standards</v>
      </c>
      <c r="E1364" s="5" t="str">
        <f>_xlfn.XLOOKUP(role_course_map[[#This Row],[course_id]],course_data[course_id],course_data[topic],"")</f>
        <v>SAS : Clinical Practice</v>
      </c>
      <c r="F1364" s="5" t="str">
        <f>_xlfn.XLOOKUP(role_course_map[[#This Row],[course_id]],course_data[course_id],course_data[type],"")</f>
        <v>eLearning</v>
      </c>
      <c r="K1364" t="str">
        <f>role_course_map[[#This Row],[role_id]] &amp; "|" &amp; role_course_map[[#This Row],[course_id]]</f>
        <v>R0149|999026</v>
      </c>
      <c r="L1364" t="str">
        <f>IF(COUNTIF(role_course_map[mapping_key],role_course_map[[#This Row],[mapping_key]])&gt;1,"DUPLICATE","OK")</f>
        <v>OK</v>
      </c>
      <c r="M1364" t="str">
        <f>IF(COUNTIF(role_data[role_id],role_course_map[[#This Row],[role_id]])=0, "INVALID","VALID")</f>
        <v>VALID</v>
      </c>
      <c r="N1364" t="str">
        <f>IF(COUNTIF(course_data[course_id],role_course_map[[#This Row],[course_id]])=0, "INVALID","VALID")</f>
        <v>VALID</v>
      </c>
    </row>
    <row r="1365" spans="1:14" x14ac:dyDescent="0.35">
      <c r="A1365" t="s">
        <v>312</v>
      </c>
      <c r="B1365" s="5" t="str">
        <f>_xlfn.XLOOKUP(role_course_map[[#This Row],[role_id]], role_data[role_id], role_data[Role],"")</f>
        <v>Paediatric Nurse Consultant</v>
      </c>
      <c r="C1365">
        <v>999026</v>
      </c>
      <c r="D1365" s="5" t="str">
        <f>_xlfn.XLOOKUP(role_course_map[[#This Row],[course_id]],course_data[course_id],course_data[title],"")</f>
        <v>Communication Standards</v>
      </c>
      <c r="E1365" s="5" t="str">
        <f>_xlfn.XLOOKUP(role_course_map[[#This Row],[course_id]],course_data[course_id],course_data[topic],"")</f>
        <v>SAS : Clinical Practice</v>
      </c>
      <c r="F1365" s="5" t="str">
        <f>_xlfn.XLOOKUP(role_course_map[[#This Row],[course_id]],course_data[course_id],course_data[type],"")</f>
        <v>eLearning</v>
      </c>
      <c r="K1365" t="str">
        <f>role_course_map[[#This Row],[role_id]] &amp; "|" &amp; role_course_map[[#This Row],[course_id]]</f>
        <v>R0150|999026</v>
      </c>
      <c r="L1365" t="str">
        <f>IF(COUNTIF(role_course_map[mapping_key],role_course_map[[#This Row],[mapping_key]])&gt;1,"DUPLICATE","OK")</f>
        <v>OK</v>
      </c>
      <c r="M1365" t="str">
        <f>IF(COUNTIF(role_data[role_id],role_course_map[[#This Row],[role_id]])=0, "INVALID","VALID")</f>
        <v>VALID</v>
      </c>
      <c r="N1365" t="str">
        <f>IF(COUNTIF(course_data[course_id],role_course_map[[#This Row],[course_id]])=0, "INVALID","VALID")</f>
        <v>VALID</v>
      </c>
    </row>
    <row r="1366" spans="1:14" x14ac:dyDescent="0.35">
      <c r="A1366" t="s">
        <v>312</v>
      </c>
      <c r="B1366" s="5" t="str">
        <f>_xlfn.XLOOKUP(role_course_map[[#This Row],[role_id]], role_data[role_id], role_data[Role],"")</f>
        <v>Paediatric Nurse Consultant</v>
      </c>
      <c r="C1366">
        <v>999058</v>
      </c>
      <c r="D1366" s="5" t="str">
        <f>_xlfn.XLOOKUP(role_course_map[[#This Row],[course_id]],course_data[course_id],course_data[title],"")</f>
        <v>Stress Identification &amp; Stress Management</v>
      </c>
      <c r="E1366" s="5" t="str">
        <f>_xlfn.XLOOKUP(role_course_map[[#This Row],[course_id]],course_data[course_id],course_data[topic],"")</f>
        <v>SAS : Health and Safety</v>
      </c>
      <c r="F1366" s="5" t="str">
        <f>_xlfn.XLOOKUP(role_course_map[[#This Row],[course_id]],course_data[course_id],course_data[type],"")</f>
        <v>eLearning</v>
      </c>
      <c r="K1366" t="str">
        <f>role_course_map[[#This Row],[role_id]] &amp; "|" &amp; role_course_map[[#This Row],[course_id]]</f>
        <v>R0150|999058</v>
      </c>
      <c r="L1366" t="str">
        <f>IF(COUNTIF(role_course_map[mapping_key],role_course_map[[#This Row],[mapping_key]])&gt;1,"DUPLICATE","OK")</f>
        <v>OK</v>
      </c>
      <c r="M1366" t="str">
        <f>IF(COUNTIF(role_data[role_id],role_course_map[[#This Row],[role_id]])=0, "INVALID","VALID")</f>
        <v>VALID</v>
      </c>
      <c r="N1366" t="str">
        <f>IF(COUNTIF(course_data[course_id],role_course_map[[#This Row],[course_id]])=0, "INVALID","VALID")</f>
        <v>VALID</v>
      </c>
    </row>
    <row r="1367" spans="1:14" x14ac:dyDescent="0.35">
      <c r="A1367" t="s">
        <v>310</v>
      </c>
      <c r="B1367" s="5" t="str">
        <f>_xlfn.XLOOKUP(role_course_map[[#This Row],[role_id]], role_data[role_id], role_data[Role],"")</f>
        <v>Paediatric Nurse</v>
      </c>
      <c r="C1367">
        <v>999056</v>
      </c>
      <c r="D1367" s="5" t="str">
        <f>_xlfn.XLOOKUP(role_course_map[[#This Row],[course_id]],course_data[course_id],course_data[title],"")</f>
        <v>Driver Assessment &amp; Training</v>
      </c>
      <c r="E1367" s="5" t="str">
        <f>_xlfn.XLOOKUP(role_course_map[[#This Row],[course_id]],course_data[course_id],course_data[topic],"")</f>
        <v>SAS : Health and Safety</v>
      </c>
      <c r="F1367" s="5" t="str">
        <f>_xlfn.XLOOKUP(role_course_map[[#This Row],[course_id]],course_data[course_id],course_data[type],"")</f>
        <v>eLearning</v>
      </c>
      <c r="K1367" t="str">
        <f>role_course_map[[#This Row],[role_id]] &amp; "|" &amp; role_course_map[[#This Row],[course_id]]</f>
        <v>R0149|999056</v>
      </c>
      <c r="L1367" t="str">
        <f>IF(COUNTIF(role_course_map[mapping_key],role_course_map[[#This Row],[mapping_key]])&gt;1,"DUPLICATE","OK")</f>
        <v>OK</v>
      </c>
      <c r="M1367" t="str">
        <f>IF(COUNTIF(role_data[role_id],role_course_map[[#This Row],[role_id]])=0, "INVALID","VALID")</f>
        <v>VALID</v>
      </c>
      <c r="N1367" t="str">
        <f>IF(COUNTIF(course_data[course_id],role_course_map[[#This Row],[course_id]])=0, "INVALID","VALID")</f>
        <v>VALID</v>
      </c>
    </row>
    <row r="1368" spans="1:14" x14ac:dyDescent="0.35">
      <c r="A1368" t="s">
        <v>312</v>
      </c>
      <c r="B1368" s="5" t="str">
        <f>_xlfn.XLOOKUP(role_course_map[[#This Row],[role_id]], role_data[role_id], role_data[Role],"")</f>
        <v>Paediatric Nurse Consultant</v>
      </c>
      <c r="C1368">
        <v>999056</v>
      </c>
      <c r="D1368" s="5" t="str">
        <f>_xlfn.XLOOKUP(role_course_map[[#This Row],[course_id]],course_data[course_id],course_data[title],"")</f>
        <v>Driver Assessment &amp; Training</v>
      </c>
      <c r="E1368" s="5" t="str">
        <f>_xlfn.XLOOKUP(role_course_map[[#This Row],[course_id]],course_data[course_id],course_data[topic],"")</f>
        <v>SAS : Health and Safety</v>
      </c>
      <c r="F1368" s="5" t="str">
        <f>_xlfn.XLOOKUP(role_course_map[[#This Row],[course_id]],course_data[course_id],course_data[type],"")</f>
        <v>eLearning</v>
      </c>
      <c r="K1368" t="str">
        <f>role_course_map[[#This Row],[role_id]] &amp; "|" &amp; role_course_map[[#This Row],[course_id]]</f>
        <v>R0150|999056</v>
      </c>
      <c r="L1368" t="str">
        <f>IF(COUNTIF(role_course_map[mapping_key],role_course_map[[#This Row],[mapping_key]])&gt;1,"DUPLICATE","OK")</f>
        <v>OK</v>
      </c>
      <c r="M1368" t="str">
        <f>IF(COUNTIF(role_data[role_id],role_course_map[[#This Row],[role_id]])=0, "INVALID","VALID")</f>
        <v>VALID</v>
      </c>
      <c r="N1368" t="str">
        <f>IF(COUNTIF(course_data[course_id],role_course_map[[#This Row],[course_id]])=0, "INVALID","VALID")</f>
        <v>VALID</v>
      </c>
    </row>
    <row r="1369" spans="1:14" x14ac:dyDescent="0.35">
      <c r="A1369" t="s">
        <v>312</v>
      </c>
      <c r="B1369" s="5" t="str">
        <f>_xlfn.XLOOKUP(role_course_map[[#This Row],[role_id]], role_data[role_id], role_data[Role],"")</f>
        <v>Paediatric Nurse Consultant</v>
      </c>
      <c r="C1369">
        <v>999061</v>
      </c>
      <c r="D1369" s="5" t="str">
        <f>_xlfn.XLOOKUP(role_course_map[[#This Row],[course_id]],course_data[course_id],course_data[title],"")</f>
        <v>Skin Awareness</v>
      </c>
      <c r="E1369" s="5" t="str">
        <f>_xlfn.XLOOKUP(role_course_map[[#This Row],[course_id]],course_data[course_id],course_data[topic],"")</f>
        <v>SAS : Health and Safety</v>
      </c>
      <c r="F1369" s="5" t="str">
        <f>_xlfn.XLOOKUP(role_course_map[[#This Row],[course_id]],course_data[course_id],course_data[type],"")</f>
        <v>eLearning</v>
      </c>
      <c r="K1369" t="str">
        <f>role_course_map[[#This Row],[role_id]] &amp; "|" &amp; role_course_map[[#This Row],[course_id]]</f>
        <v>R0150|999061</v>
      </c>
      <c r="L1369" t="str">
        <f>IF(COUNTIF(role_course_map[mapping_key],role_course_map[[#This Row],[mapping_key]])&gt;1,"DUPLICATE","OK")</f>
        <v>OK</v>
      </c>
      <c r="M1369" t="str">
        <f>IF(COUNTIF(role_data[role_id],role_course_map[[#This Row],[role_id]])=0, "INVALID","VALID")</f>
        <v>VALID</v>
      </c>
      <c r="N1369" t="str">
        <f>IF(COUNTIF(course_data[course_id],role_course_map[[#This Row],[course_id]])=0, "INVALID","VALID")</f>
        <v>VALID</v>
      </c>
    </row>
    <row r="1370" spans="1:14" x14ac:dyDescent="0.35">
      <c r="A1370" t="s">
        <v>310</v>
      </c>
      <c r="B1370" s="5" t="str">
        <f>_xlfn.XLOOKUP(role_course_map[[#This Row],[role_id]], role_data[role_id], role_data[Role],"")</f>
        <v>Paediatric Nurse</v>
      </c>
      <c r="C1370">
        <v>999057</v>
      </c>
      <c r="D1370" s="5" t="str">
        <f>_xlfn.XLOOKUP(role_course_map[[#This Row],[course_id]],course_data[course_id],course_data[title],"")</f>
        <v>Fatigue Awareness</v>
      </c>
      <c r="E1370" s="5" t="str">
        <f>_xlfn.XLOOKUP(role_course_map[[#This Row],[course_id]],course_data[course_id],course_data[topic],"")</f>
        <v>SAS : Health and Safety</v>
      </c>
      <c r="F1370" s="5" t="str">
        <f>_xlfn.XLOOKUP(role_course_map[[#This Row],[course_id]],course_data[course_id],course_data[type],"")</f>
        <v>eLearning</v>
      </c>
      <c r="K1370" t="str">
        <f>role_course_map[[#This Row],[role_id]] &amp; "|" &amp; role_course_map[[#This Row],[course_id]]</f>
        <v>R0149|999057</v>
      </c>
      <c r="L1370" t="str">
        <f>IF(COUNTIF(role_course_map[mapping_key],role_course_map[[#This Row],[mapping_key]])&gt;1,"DUPLICATE","OK")</f>
        <v>OK</v>
      </c>
      <c r="M1370" t="str">
        <f>IF(COUNTIF(role_data[role_id],role_course_map[[#This Row],[role_id]])=0, "INVALID","VALID")</f>
        <v>VALID</v>
      </c>
      <c r="N1370" t="str">
        <f>IF(COUNTIF(course_data[course_id],role_course_map[[#This Row],[course_id]])=0, "INVALID","VALID")</f>
        <v>VALID</v>
      </c>
    </row>
    <row r="1371" spans="1:14" x14ac:dyDescent="0.35">
      <c r="A1371" t="s">
        <v>312</v>
      </c>
      <c r="B1371" s="5" t="str">
        <f>_xlfn.XLOOKUP(role_course_map[[#This Row],[role_id]], role_data[role_id], role_data[Role],"")</f>
        <v>Paediatric Nurse Consultant</v>
      </c>
      <c r="C1371">
        <v>999057</v>
      </c>
      <c r="D1371" s="5" t="str">
        <f>_xlfn.XLOOKUP(role_course_map[[#This Row],[course_id]],course_data[course_id],course_data[title],"")</f>
        <v>Fatigue Awareness</v>
      </c>
      <c r="E1371" s="5" t="str">
        <f>_xlfn.XLOOKUP(role_course_map[[#This Row],[course_id]],course_data[course_id],course_data[topic],"")</f>
        <v>SAS : Health and Safety</v>
      </c>
      <c r="F1371" s="5" t="str">
        <f>_xlfn.XLOOKUP(role_course_map[[#This Row],[course_id]],course_data[course_id],course_data[type],"")</f>
        <v>eLearning</v>
      </c>
      <c r="K1371" t="str">
        <f>role_course_map[[#This Row],[role_id]] &amp; "|" &amp; role_course_map[[#This Row],[course_id]]</f>
        <v>R0150|999057</v>
      </c>
      <c r="L1371" t="str">
        <f>IF(COUNTIF(role_course_map[mapping_key],role_course_map[[#This Row],[mapping_key]])&gt;1,"DUPLICATE","OK")</f>
        <v>OK</v>
      </c>
      <c r="M1371" t="str">
        <f>IF(COUNTIF(role_data[role_id],role_course_map[[#This Row],[role_id]])=0, "INVALID","VALID")</f>
        <v>VALID</v>
      </c>
      <c r="N1371" t="str">
        <f>IF(COUNTIF(course_data[course_id],role_course_map[[#This Row],[course_id]])=0, "INVALID","VALID")</f>
        <v>VALID</v>
      </c>
    </row>
    <row r="1372" spans="1:14" x14ac:dyDescent="0.35">
      <c r="A1372" t="s">
        <v>312</v>
      </c>
      <c r="B1372" s="5" t="str">
        <f>_xlfn.XLOOKUP(role_course_map[[#This Row],[role_id]], role_data[role_id], role_data[Role],"")</f>
        <v>Paediatric Nurse Consultant</v>
      </c>
      <c r="C1372">
        <v>999027</v>
      </c>
      <c r="D1372" s="5" t="str">
        <f>_xlfn.XLOOKUP(role_course_map[[#This Row],[course_id]],course_data[course_id],course_data[title],"")</f>
        <v>Manual and Patient Handling Foundation Training - Level 2</v>
      </c>
      <c r="E1372" s="5" t="str">
        <f>_xlfn.XLOOKUP(role_course_map[[#This Row],[course_id]],course_data[course_id],course_data[topic],"")</f>
        <v>SAS : Clinical Practice</v>
      </c>
      <c r="F1372" s="5" t="str">
        <f>_xlfn.XLOOKUP(role_course_map[[#This Row],[course_id]],course_data[course_id],course_data[type],"")</f>
        <v>Course</v>
      </c>
      <c r="K1372" t="str">
        <f>role_course_map[[#This Row],[role_id]] &amp; "|" &amp; role_course_map[[#This Row],[course_id]]</f>
        <v>R0150|999027</v>
      </c>
      <c r="L1372" t="str">
        <f>IF(COUNTIF(role_course_map[mapping_key],role_course_map[[#This Row],[mapping_key]])&gt;1,"DUPLICATE","OK")</f>
        <v>OK</v>
      </c>
      <c r="M1372" t="str">
        <f>IF(COUNTIF(role_data[role_id],role_course_map[[#This Row],[role_id]])=0, "INVALID","VALID")</f>
        <v>VALID</v>
      </c>
      <c r="N1372" t="str">
        <f>IF(COUNTIF(course_data[course_id],role_course_map[[#This Row],[course_id]])=0, "INVALID","VALID")</f>
        <v>VALID</v>
      </c>
    </row>
    <row r="1373" spans="1:14" x14ac:dyDescent="0.35">
      <c r="A1373" t="s">
        <v>312</v>
      </c>
      <c r="B1373" s="5" t="str">
        <f>_xlfn.XLOOKUP(role_course_map[[#This Row],[role_id]], role_data[role_id], role_data[Role],"")</f>
        <v>Paediatric Nurse Consultant</v>
      </c>
      <c r="C1373">
        <v>999028</v>
      </c>
      <c r="D1373" s="5" t="str">
        <f>_xlfn.XLOOKUP(role_course_map[[#This Row],[course_id]],course_data[course_id],course_data[title],"")</f>
        <v>Manual and Patient Handling Competency Assessment - Level 3</v>
      </c>
      <c r="E1373" s="5" t="str">
        <f>_xlfn.XLOOKUP(role_course_map[[#This Row],[course_id]],course_data[course_id],course_data[topic],"")</f>
        <v>SAS : Clinical Practice</v>
      </c>
      <c r="F1373" s="5" t="str">
        <f>_xlfn.XLOOKUP(role_course_map[[#This Row],[course_id]],course_data[course_id],course_data[type],"")</f>
        <v>Course</v>
      </c>
      <c r="K1373" t="str">
        <f>role_course_map[[#This Row],[role_id]] &amp; "|" &amp; role_course_map[[#This Row],[course_id]]</f>
        <v>R0150|999028</v>
      </c>
      <c r="L1373" t="str">
        <f>IF(COUNTIF(role_course_map[mapping_key],role_course_map[[#This Row],[mapping_key]])&gt;1,"DUPLICATE","OK")</f>
        <v>OK</v>
      </c>
      <c r="M1373" t="str">
        <f>IF(COUNTIF(role_data[role_id],role_course_map[[#This Row],[role_id]])=0, "INVALID","VALID")</f>
        <v>VALID</v>
      </c>
      <c r="N1373" t="str">
        <f>IF(COUNTIF(course_data[course_id],role_course_map[[#This Row],[course_id]])=0, "INVALID","VALID")</f>
        <v>VALID</v>
      </c>
    </row>
    <row r="1374" spans="1:14" x14ac:dyDescent="0.35">
      <c r="A1374" t="s">
        <v>312</v>
      </c>
      <c r="B1374" s="5" t="str">
        <f>_xlfn.XLOOKUP(role_course_map[[#This Row],[role_id]], role_data[role_id], role_data[Role],"")</f>
        <v>Paediatric Nurse Consultant</v>
      </c>
      <c r="C1374">
        <v>999029</v>
      </c>
      <c r="D1374" s="5" t="str">
        <f>_xlfn.XLOOKUP(role_course_map[[#This Row],[course_id]],course_data[course_id],course_data[title],"")</f>
        <v>Manual and Patient Handling Competency Assessment Theory - Level 3</v>
      </c>
      <c r="E1374" s="5" t="str">
        <f>_xlfn.XLOOKUP(role_course_map[[#This Row],[course_id]],course_data[course_id],course_data[topic],"")</f>
        <v>SAS : Clinical Practice</v>
      </c>
      <c r="F1374" s="5" t="str">
        <f>_xlfn.XLOOKUP(role_course_map[[#This Row],[course_id]],course_data[course_id],course_data[type],"")</f>
        <v>Course</v>
      </c>
      <c r="K1374" t="str">
        <f>role_course_map[[#This Row],[role_id]] &amp; "|" &amp; role_course_map[[#This Row],[course_id]]</f>
        <v>R0150|999029</v>
      </c>
      <c r="L1374" t="str">
        <f>IF(COUNTIF(role_course_map[mapping_key],role_course_map[[#This Row],[mapping_key]])&gt;1,"DUPLICATE","OK")</f>
        <v>OK</v>
      </c>
      <c r="M1374" t="str">
        <f>IF(COUNTIF(role_data[role_id],role_course_map[[#This Row],[role_id]])=0, "INVALID","VALID")</f>
        <v>VALID</v>
      </c>
      <c r="N1374" t="str">
        <f>IF(COUNTIF(course_data[course_id],role_course_map[[#This Row],[course_id]])=0, "INVALID","VALID")</f>
        <v>VALID</v>
      </c>
    </row>
    <row r="1375" spans="1:14" x14ac:dyDescent="0.35">
      <c r="A1375" t="s">
        <v>312</v>
      </c>
      <c r="B1375" s="5" t="str">
        <f>_xlfn.XLOOKUP(role_course_map[[#This Row],[role_id]], role_data[role_id], role_data[Role],"")</f>
        <v>Paediatric Nurse Consultant</v>
      </c>
      <c r="C1375" t="s">
        <v>659</v>
      </c>
      <c r="D1375" s="5" t="str">
        <f>_xlfn.XLOOKUP(role_course_map[[#This Row],[course_id]],course_data[course_id],course_data[title],"")</f>
        <v>Prevention and Management of Violence and Aggression - Breakaway training Level 2 /Restrictive movement Level 3</v>
      </c>
      <c r="E1375" s="5" t="str">
        <f>_xlfn.XLOOKUP(role_course_map[[#This Row],[course_id]],course_data[course_id],course_data[topic],"")</f>
        <v>SAS : Health and Safety</v>
      </c>
      <c r="F1375" s="5" t="str">
        <f>_xlfn.XLOOKUP(role_course_map[[#This Row],[course_id]],course_data[course_id],course_data[type],"")</f>
        <v>Course</v>
      </c>
      <c r="K1375" t="str">
        <f>role_course_map[[#This Row],[role_id]] &amp; "|" &amp; role_course_map[[#This Row],[course_id]]</f>
        <v>R0150|2025-6 edition</v>
      </c>
      <c r="L1375" t="str">
        <f>IF(COUNTIF(role_course_map[mapping_key],role_course_map[[#This Row],[mapping_key]])&gt;1,"DUPLICATE","OK")</f>
        <v>OK</v>
      </c>
      <c r="M1375" t="str">
        <f>IF(COUNTIF(role_data[role_id],role_course_map[[#This Row],[role_id]])=0, "INVALID","VALID")</f>
        <v>VALID</v>
      </c>
      <c r="N1375" t="str">
        <f>IF(COUNTIF(course_data[course_id],role_course_map[[#This Row],[course_id]])=0, "INVALID","VALID")</f>
        <v>VALID</v>
      </c>
    </row>
    <row r="1376" spans="1:14" x14ac:dyDescent="0.35">
      <c r="A1376" t="s">
        <v>312</v>
      </c>
      <c r="B1376" s="5" t="str">
        <f>_xlfn.XLOOKUP(role_course_map[[#This Row],[role_id]], role_data[role_id], role_data[Role],"")</f>
        <v>Paediatric Nurse Consultant</v>
      </c>
      <c r="C1376">
        <v>999055</v>
      </c>
      <c r="D1376" s="5" t="str">
        <f>_xlfn.XLOOKUP(role_course_map[[#This Row],[course_id]],course_data[course_id],course_data[title],"")</f>
        <v>Prevention and Management of Violence and Aggression - Refresher</v>
      </c>
      <c r="E1376" s="5" t="str">
        <f>_xlfn.XLOOKUP(role_course_map[[#This Row],[course_id]],course_data[course_id],course_data[topic],"")</f>
        <v>SAS : Health and Safety</v>
      </c>
      <c r="F1376" s="5" t="str">
        <f>_xlfn.XLOOKUP(role_course_map[[#This Row],[course_id]],course_data[course_id],course_data[type],"")</f>
        <v>Course</v>
      </c>
      <c r="K1376" t="str">
        <f>role_course_map[[#This Row],[role_id]] &amp; "|" &amp; role_course_map[[#This Row],[course_id]]</f>
        <v>R0150|999055</v>
      </c>
      <c r="L1376" t="str">
        <f>IF(COUNTIF(role_course_map[mapping_key],role_course_map[[#This Row],[mapping_key]])&gt;1,"DUPLICATE","OK")</f>
        <v>OK</v>
      </c>
      <c r="M1376" t="str">
        <f>IF(COUNTIF(role_data[role_id],role_course_map[[#This Row],[role_id]])=0, "INVALID","VALID")</f>
        <v>VALID</v>
      </c>
      <c r="N1376" t="str">
        <f>IF(COUNTIF(course_data[course_id],role_course_map[[#This Row],[course_id]])=0, "INVALID","VALID")</f>
        <v>VALID</v>
      </c>
    </row>
    <row r="1377" spans="1:14" x14ac:dyDescent="0.35">
      <c r="A1377" t="s">
        <v>312</v>
      </c>
      <c r="B1377" s="5" t="str">
        <f>_xlfn.XLOOKUP(role_course_map[[#This Row],[role_id]], role_data[role_id], role_data[Role],"")</f>
        <v>Paediatric Nurse Consultant</v>
      </c>
      <c r="C1377">
        <v>64322</v>
      </c>
      <c r="D1377" s="5" t="str">
        <f>_xlfn.XLOOKUP(role_course_map[[#This Row],[course_id]],course_data[course_id],course_data[title],"")</f>
        <v>Adult support and protection: practice level 2 [skilled]</v>
      </c>
      <c r="E1377" s="5" t="str">
        <f>_xlfn.XLOOKUP(role_course_map[[#This Row],[course_id]],course_data[course_id],course_data[topic],"")</f>
        <v>SAS : Public Protection</v>
      </c>
      <c r="F1377" s="5" t="str">
        <f>_xlfn.XLOOKUP(role_course_map[[#This Row],[course_id]],course_data[course_id],course_data[type],"")</f>
        <v>eLearning</v>
      </c>
      <c r="K1377" t="str">
        <f>role_course_map[[#This Row],[role_id]] &amp; "|" &amp; role_course_map[[#This Row],[course_id]]</f>
        <v>R0150|64322</v>
      </c>
      <c r="L1377" t="str">
        <f>IF(COUNTIF(role_course_map[mapping_key],role_course_map[[#This Row],[mapping_key]])&gt;1,"DUPLICATE","OK")</f>
        <v>OK</v>
      </c>
      <c r="M1377" t="str">
        <f>IF(COUNTIF(role_data[role_id],role_course_map[[#This Row],[role_id]])=0, "INVALID","VALID")</f>
        <v>VALID</v>
      </c>
      <c r="N1377" t="str">
        <f>IF(COUNTIF(course_data[course_id],role_course_map[[#This Row],[course_id]])=0, "INVALID","VALID")</f>
        <v>VALID</v>
      </c>
    </row>
    <row r="1378" spans="1:14" x14ac:dyDescent="0.35">
      <c r="A1378" t="s">
        <v>312</v>
      </c>
      <c r="B1378" s="5" t="str">
        <f>_xlfn.XLOOKUP(role_course_map[[#This Row],[role_id]], role_data[role_id], role_data[Role],"")</f>
        <v>Paediatric Nurse Consultant</v>
      </c>
      <c r="C1378">
        <v>64324</v>
      </c>
      <c r="D1378" s="5" t="str">
        <f>_xlfn.XLOOKUP(role_course_map[[#This Row],[course_id]],course_data[course_id],course_data[title],"")</f>
        <v>Child protection: practice level 2 [skilled]</v>
      </c>
      <c r="E1378" s="5" t="str">
        <f>_xlfn.XLOOKUP(role_course_map[[#This Row],[course_id]],course_data[course_id],course_data[topic],"")</f>
        <v>SAS : Public Protection</v>
      </c>
      <c r="F1378" s="5" t="str">
        <f>_xlfn.XLOOKUP(role_course_map[[#This Row],[course_id]],course_data[course_id],course_data[type],"")</f>
        <v>eLearning</v>
      </c>
      <c r="K1378" t="str">
        <f>role_course_map[[#This Row],[role_id]] &amp; "|" &amp; role_course_map[[#This Row],[course_id]]</f>
        <v>R0150|64324</v>
      </c>
      <c r="L1378" t="str">
        <f>IF(COUNTIF(role_course_map[mapping_key],role_course_map[[#This Row],[mapping_key]])&gt;1,"DUPLICATE","OK")</f>
        <v>OK</v>
      </c>
      <c r="M1378" t="str">
        <f>IF(COUNTIF(role_data[role_id],role_course_map[[#This Row],[role_id]])=0, "INVALID","VALID")</f>
        <v>VALID</v>
      </c>
      <c r="N1378" t="str">
        <f>IF(COUNTIF(course_data[course_id],role_course_map[[#This Row],[course_id]])=0, "INVALID","VALID")</f>
        <v>VALID</v>
      </c>
    </row>
    <row r="1379" spans="1:14" x14ac:dyDescent="0.35">
      <c r="A1379" t="s">
        <v>310</v>
      </c>
      <c r="B1379" s="5" t="str">
        <f>_xlfn.XLOOKUP(role_course_map[[#This Row],[role_id]], role_data[role_id], role_data[Role],"")</f>
        <v>Paediatric Nurse</v>
      </c>
      <c r="C1379">
        <v>76716</v>
      </c>
      <c r="D1379" s="5" t="str">
        <f>_xlfn.XLOOKUP(role_course_map[[#This Row],[course_id]],course_data[course_id],course_data[title],"")</f>
        <v>Domestic abuse awareness training tool (DAART)</v>
      </c>
      <c r="E1379" s="5" t="str">
        <f>_xlfn.XLOOKUP(role_course_map[[#This Row],[course_id]],course_data[course_id],course_data[topic],"")</f>
        <v>SAS : Public Protection</v>
      </c>
      <c r="F1379" s="5" t="str">
        <f>_xlfn.XLOOKUP(role_course_map[[#This Row],[course_id]],course_data[course_id],course_data[type],"")</f>
        <v>eLearning</v>
      </c>
      <c r="K1379" t="str">
        <f>role_course_map[[#This Row],[role_id]] &amp; "|" &amp; role_course_map[[#This Row],[course_id]]</f>
        <v>R0149|76716</v>
      </c>
      <c r="L1379" t="str">
        <f>IF(COUNTIF(role_course_map[mapping_key],role_course_map[[#This Row],[mapping_key]])&gt;1,"DUPLICATE","OK")</f>
        <v>OK</v>
      </c>
      <c r="M1379" t="str">
        <f>IF(COUNTIF(role_data[role_id],role_course_map[[#This Row],[role_id]])=0, "INVALID","VALID")</f>
        <v>VALID</v>
      </c>
      <c r="N1379" t="str">
        <f>IF(COUNTIF(course_data[course_id],role_course_map[[#This Row],[course_id]])=0, "INVALID","VALID")</f>
        <v>VALID</v>
      </c>
    </row>
    <row r="1380" spans="1:14" x14ac:dyDescent="0.35">
      <c r="A1380" t="s">
        <v>312</v>
      </c>
      <c r="B1380" s="5" t="str">
        <f>_xlfn.XLOOKUP(role_course_map[[#This Row],[role_id]], role_data[role_id], role_data[Role],"")</f>
        <v>Paediatric Nurse Consultant</v>
      </c>
      <c r="C1380">
        <v>76716</v>
      </c>
      <c r="D1380" s="5" t="str">
        <f>_xlfn.XLOOKUP(role_course_map[[#This Row],[course_id]],course_data[course_id],course_data[title],"")</f>
        <v>Domestic abuse awareness training tool (DAART)</v>
      </c>
      <c r="E1380" s="5" t="str">
        <f>_xlfn.XLOOKUP(role_course_map[[#This Row],[course_id]],course_data[course_id],course_data[topic],"")</f>
        <v>SAS : Public Protection</v>
      </c>
      <c r="F1380" s="5" t="str">
        <f>_xlfn.XLOOKUP(role_course_map[[#This Row],[course_id]],course_data[course_id],course_data[type],"")</f>
        <v>eLearning</v>
      </c>
      <c r="K1380" t="str">
        <f>role_course_map[[#This Row],[role_id]] &amp; "|" &amp; role_course_map[[#This Row],[course_id]]</f>
        <v>R0150|76716</v>
      </c>
      <c r="L1380" t="str">
        <f>IF(COUNTIF(role_course_map[mapping_key],role_course_map[[#This Row],[mapping_key]])&gt;1,"DUPLICATE","OK")</f>
        <v>OK</v>
      </c>
      <c r="M1380" t="str">
        <f>IF(COUNTIF(role_data[role_id],role_course_map[[#This Row],[role_id]])=0, "INVALID","VALID")</f>
        <v>VALID</v>
      </c>
      <c r="N1380" t="str">
        <f>IF(COUNTIF(course_data[course_id],role_course_map[[#This Row],[course_id]])=0, "INVALID","VALID")</f>
        <v>VALID</v>
      </c>
    </row>
    <row r="1381" spans="1:14" x14ac:dyDescent="0.35">
      <c r="A1381" t="s">
        <v>312</v>
      </c>
      <c r="B1381" s="5" t="str">
        <f>_xlfn.XLOOKUP(role_course_map[[#This Row],[role_id]], role_data[role_id], role_data[Role],"")</f>
        <v>Paediatric Nurse Consultant</v>
      </c>
      <c r="C1381">
        <v>79666</v>
      </c>
      <c r="D1381" s="5" t="str">
        <f>_xlfn.XLOOKUP(role_course_map[[#This Row],[course_id]],course_data[course_id],course_data[title],"")</f>
        <v>Getting it right for every child (GIRFEC): informed level</v>
      </c>
      <c r="E1381" s="5" t="str">
        <f>_xlfn.XLOOKUP(role_course_map[[#This Row],[course_id]],course_data[course_id],course_data[topic],"")</f>
        <v>SAS : Public Protection</v>
      </c>
      <c r="F1381" s="5" t="str">
        <f>_xlfn.XLOOKUP(role_course_map[[#This Row],[course_id]],course_data[course_id],course_data[type],"")</f>
        <v>eLearning</v>
      </c>
      <c r="K1381" t="str">
        <f>role_course_map[[#This Row],[role_id]] &amp; "|" &amp; role_course_map[[#This Row],[course_id]]</f>
        <v>R0150|79666</v>
      </c>
      <c r="L1381" t="str">
        <f>IF(COUNTIF(role_course_map[mapping_key],role_course_map[[#This Row],[mapping_key]])&gt;1,"DUPLICATE","OK")</f>
        <v>OK</v>
      </c>
      <c r="M1381" t="str">
        <f>IF(COUNTIF(role_data[role_id],role_course_map[[#This Row],[role_id]])=0, "INVALID","VALID")</f>
        <v>VALID</v>
      </c>
      <c r="N1381" t="str">
        <f>IF(COUNTIF(course_data[course_id],role_course_map[[#This Row],[course_id]])=0, "INVALID","VALID")</f>
        <v>VALID</v>
      </c>
    </row>
    <row r="1382" spans="1:14" x14ac:dyDescent="0.35">
      <c r="A1382" t="s">
        <v>312</v>
      </c>
      <c r="B1382" s="5" t="str">
        <f>_xlfn.XLOOKUP(role_course_map[[#This Row],[role_id]], role_data[role_id], role_data[Role],"")</f>
        <v>Paediatric Nurse Consultant</v>
      </c>
      <c r="C1382">
        <v>999074</v>
      </c>
      <c r="D1382" s="5" t="str">
        <f>_xlfn.XLOOKUP(role_course_map[[#This Row],[course_id]],course_data[course_id],course_data[title],"")</f>
        <v>SAS-specific Children’s rights</v>
      </c>
      <c r="E1382" s="5" t="str">
        <f>_xlfn.XLOOKUP(role_course_map[[#This Row],[course_id]],course_data[course_id],course_data[topic],"")</f>
        <v>SAS : Public Protection</v>
      </c>
      <c r="F1382" s="5" t="str">
        <f>_xlfn.XLOOKUP(role_course_map[[#This Row],[course_id]],course_data[course_id],course_data[type],"")</f>
        <v>eLearning</v>
      </c>
      <c r="K1382" t="str">
        <f>role_course_map[[#This Row],[role_id]] &amp; "|" &amp; role_course_map[[#This Row],[course_id]]</f>
        <v>R0150|999074</v>
      </c>
      <c r="L1382" t="str">
        <f>IF(COUNTIF(role_course_map[mapping_key],role_course_map[[#This Row],[mapping_key]])&gt;1,"DUPLICATE","OK")</f>
        <v>OK</v>
      </c>
      <c r="M1382" t="str">
        <f>IF(COUNTIF(role_data[role_id],role_course_map[[#This Row],[role_id]])=0, "INVALID","VALID")</f>
        <v>VALID</v>
      </c>
      <c r="N1382" t="str">
        <f>IF(COUNTIF(course_data[course_id],role_course_map[[#This Row],[course_id]])=0, "INVALID","VALID")</f>
        <v>VALID</v>
      </c>
    </row>
    <row r="1383" spans="1:14" x14ac:dyDescent="0.35">
      <c r="A1383" t="s">
        <v>312</v>
      </c>
      <c r="B1383" s="5" t="str">
        <f>_xlfn.XLOOKUP(role_course_map[[#This Row],[role_id]], role_data[role_id], role_data[Role],"")</f>
        <v>Paediatric Nurse Consultant</v>
      </c>
      <c r="C1383">
        <v>999075</v>
      </c>
      <c r="D1383" s="5" t="str">
        <f>_xlfn.XLOOKUP(role_course_map[[#This Row],[course_id]],course_data[course_id],course_data[title],"")</f>
        <v>Multiagency local or bespoke Level 3 delivery training</v>
      </c>
      <c r="E1383" s="5" t="str">
        <f>_xlfn.XLOOKUP(role_course_map[[#This Row],[course_id]],course_data[course_id],course_data[topic],"")</f>
        <v>SAS : Public Protection</v>
      </c>
      <c r="F1383" s="5" t="str">
        <f>_xlfn.XLOOKUP(role_course_map[[#This Row],[course_id]],course_data[course_id],course_data[type],"")</f>
        <v>eLearning</v>
      </c>
      <c r="K1383" t="str">
        <f>role_course_map[[#This Row],[role_id]] &amp; "|" &amp; role_course_map[[#This Row],[course_id]]</f>
        <v>R0150|999075</v>
      </c>
      <c r="L1383" t="str">
        <f>IF(COUNTIF(role_course_map[mapping_key],role_course_map[[#This Row],[mapping_key]])&gt;1,"DUPLICATE","OK")</f>
        <v>OK</v>
      </c>
      <c r="M1383" t="str">
        <f>IF(COUNTIF(role_data[role_id],role_course_map[[#This Row],[role_id]])=0, "INVALID","VALID")</f>
        <v>VALID</v>
      </c>
      <c r="N1383" t="str">
        <f>IF(COUNTIF(course_data[course_id],role_course_map[[#This Row],[course_id]])=0, "INVALID","VALID")</f>
        <v>VALID</v>
      </c>
    </row>
    <row r="1384" spans="1:14" x14ac:dyDescent="0.35">
      <c r="A1384" t="s">
        <v>312</v>
      </c>
      <c r="B1384" s="5" t="str">
        <f>_xlfn.XLOOKUP(role_course_map[[#This Row],[role_id]], role_data[role_id], role_data[Role],"")</f>
        <v>Paediatric Nurse Consultant</v>
      </c>
      <c r="C1384">
        <v>15249</v>
      </c>
      <c r="D1384" s="5" t="str">
        <f>_xlfn.XLOOKUP(role_course_map[[#This Row],[course_id]],course_data[course_id],course_data[title],"")</f>
        <v>Human trafficking</v>
      </c>
      <c r="E1384" s="5" t="str">
        <f>_xlfn.XLOOKUP(role_course_map[[#This Row],[course_id]],course_data[course_id],course_data[topic],"")</f>
        <v>SAS : Public Protection</v>
      </c>
      <c r="F1384" s="5" t="str">
        <f>_xlfn.XLOOKUP(role_course_map[[#This Row],[course_id]],course_data[course_id],course_data[type],"")</f>
        <v>eLearning</v>
      </c>
      <c r="K1384" t="str">
        <f>role_course_map[[#This Row],[role_id]] &amp; "|" &amp; role_course_map[[#This Row],[course_id]]</f>
        <v>R0150|15249</v>
      </c>
      <c r="L1384" t="str">
        <f>IF(COUNTIF(role_course_map[mapping_key],role_course_map[[#This Row],[mapping_key]])&gt;1,"DUPLICATE","OK")</f>
        <v>OK</v>
      </c>
      <c r="M1384" t="str">
        <f>IF(COUNTIF(role_data[role_id],role_course_map[[#This Row],[role_id]])=0, "INVALID","VALID")</f>
        <v>VALID</v>
      </c>
      <c r="N1384" t="str">
        <f>IF(COUNTIF(course_data[course_id],role_course_map[[#This Row],[course_id]])=0, "INVALID","VALID")</f>
        <v>VALID</v>
      </c>
    </row>
    <row r="1385" spans="1:14" x14ac:dyDescent="0.35">
      <c r="A1385" t="s">
        <v>312</v>
      </c>
      <c r="B1385" s="5" t="str">
        <f>_xlfn.XLOOKUP(role_course_map[[#This Row],[role_id]], role_data[role_id], role_data[Role],"")</f>
        <v>Paediatric Nurse Consultant</v>
      </c>
      <c r="C1385">
        <v>89161</v>
      </c>
      <c r="D1385" s="5" t="str">
        <f>_xlfn.XLOOKUP(role_course_map[[#This Row],[course_id]],course_data[course_id],course_data[title],"")</f>
        <v>Personal Protective Equipment</v>
      </c>
      <c r="E1385" s="5" t="str">
        <f>_xlfn.XLOOKUP(role_course_map[[#This Row],[course_id]],course_data[course_id],course_data[topic],"")</f>
        <v>SAS : Infection Prevention and Control (IPC)</v>
      </c>
      <c r="F1385" s="5" t="str">
        <f>_xlfn.XLOOKUP(role_course_map[[#This Row],[course_id]],course_data[course_id],course_data[type],"")</f>
        <v>eLearning</v>
      </c>
      <c r="K1385" t="str">
        <f>role_course_map[[#This Row],[role_id]] &amp; "|" &amp; role_course_map[[#This Row],[course_id]]</f>
        <v>R0150|89161</v>
      </c>
      <c r="L1385" t="str">
        <f>IF(COUNTIF(role_course_map[mapping_key],role_course_map[[#This Row],[mapping_key]])&gt;1,"DUPLICATE","OK")</f>
        <v>DUPLICATE</v>
      </c>
      <c r="M1385" t="str">
        <f>IF(COUNTIF(role_data[role_id],role_course_map[[#This Row],[role_id]])=0, "INVALID","VALID")</f>
        <v>VALID</v>
      </c>
      <c r="N1385" t="str">
        <f>IF(COUNTIF(course_data[course_id],role_course_map[[#This Row],[course_id]])=0, "INVALID","VALID")</f>
        <v>VALID</v>
      </c>
    </row>
    <row r="1386" spans="1:14" x14ac:dyDescent="0.35">
      <c r="A1386" t="s">
        <v>312</v>
      </c>
      <c r="B1386" s="5" t="str">
        <f>_xlfn.XLOOKUP(role_course_map[[#This Row],[role_id]], role_data[role_id], role_data[Role],"")</f>
        <v>Paediatric Nurse Consultant</v>
      </c>
      <c r="C1386">
        <v>89157</v>
      </c>
      <c r="D1386" s="5" t="str">
        <f>_xlfn.XLOOKUP(role_course_map[[#This Row],[course_id]],course_data[course_id],course_data[title],"")</f>
        <v>Safe Management of Care Equipment</v>
      </c>
      <c r="E1386" s="5" t="str">
        <f>_xlfn.XLOOKUP(role_course_map[[#This Row],[course_id]],course_data[course_id],course_data[topic],"")</f>
        <v>SAS : Infection Prevention and Control (IPC)</v>
      </c>
      <c r="F1386" s="5" t="str">
        <f>_xlfn.XLOOKUP(role_course_map[[#This Row],[course_id]],course_data[course_id],course_data[type],"")</f>
        <v>eLearning</v>
      </c>
      <c r="K1386" t="str">
        <f>role_course_map[[#This Row],[role_id]] &amp; "|" &amp; role_course_map[[#This Row],[course_id]]</f>
        <v>R0150|89157</v>
      </c>
      <c r="L1386" t="str">
        <f>IF(COUNTIF(role_course_map[mapping_key],role_course_map[[#This Row],[mapping_key]])&gt;1,"DUPLICATE","OK")</f>
        <v>OK</v>
      </c>
      <c r="M1386" t="str">
        <f>IF(COUNTIF(role_data[role_id],role_course_map[[#This Row],[role_id]])=0, "INVALID","VALID")</f>
        <v>VALID</v>
      </c>
      <c r="N1386" t="str">
        <f>IF(COUNTIF(course_data[course_id],role_course_map[[#This Row],[course_id]])=0, "INVALID","VALID")</f>
        <v>VALID</v>
      </c>
    </row>
    <row r="1387" spans="1:14" x14ac:dyDescent="0.35">
      <c r="A1387" t="s">
        <v>312</v>
      </c>
      <c r="B1387" s="5" t="str">
        <f>_xlfn.XLOOKUP(role_course_map[[#This Row],[role_id]], role_data[role_id], role_data[Role],"")</f>
        <v>Paediatric Nurse Consultant</v>
      </c>
      <c r="C1387">
        <v>89158</v>
      </c>
      <c r="D1387" s="5" t="str">
        <f>_xlfn.XLOOKUP(role_course_map[[#This Row],[course_id]],course_data[course_id],course_data[title],"")</f>
        <v>Safe Management of Care Environment</v>
      </c>
      <c r="E1387" s="5" t="str">
        <f>_xlfn.XLOOKUP(role_course_map[[#This Row],[course_id]],course_data[course_id],course_data[topic],"")</f>
        <v>SAS : Infection Prevention and Control (IPC)</v>
      </c>
      <c r="F1387" s="5" t="str">
        <f>_xlfn.XLOOKUP(role_course_map[[#This Row],[course_id]],course_data[course_id],course_data[type],"")</f>
        <v>eLearning</v>
      </c>
      <c r="K1387" t="str">
        <f>role_course_map[[#This Row],[role_id]] &amp; "|" &amp; role_course_map[[#This Row],[course_id]]</f>
        <v>R0150|89158</v>
      </c>
      <c r="L1387" t="str">
        <f>IF(COUNTIF(role_course_map[mapping_key],role_course_map[[#This Row],[mapping_key]])&gt;1,"DUPLICATE","OK")</f>
        <v>OK</v>
      </c>
      <c r="M1387" t="str">
        <f>IF(COUNTIF(role_data[role_id],role_course_map[[#This Row],[role_id]])=0, "INVALID","VALID")</f>
        <v>VALID</v>
      </c>
      <c r="N1387" t="str">
        <f>IF(COUNTIF(course_data[course_id],role_course_map[[#This Row],[course_id]])=0, "INVALID","VALID")</f>
        <v>VALID</v>
      </c>
    </row>
    <row r="1388" spans="1:14" x14ac:dyDescent="0.35">
      <c r="A1388" t="s">
        <v>312</v>
      </c>
      <c r="B1388" s="5" t="str">
        <f>_xlfn.XLOOKUP(role_course_map[[#This Row],[role_id]], role_data[role_id], role_data[Role],"")</f>
        <v>Paediatric Nurse Consultant</v>
      </c>
      <c r="C1388">
        <v>89159</v>
      </c>
      <c r="D1388" s="5" t="str">
        <f>_xlfn.XLOOKUP(role_course_map[[#This Row],[course_id]],course_data[course_id],course_data[title],"")</f>
        <v>Safe Management of Linen</v>
      </c>
      <c r="E1388" s="5" t="str">
        <f>_xlfn.XLOOKUP(role_course_map[[#This Row],[course_id]],course_data[course_id],course_data[topic],"")</f>
        <v>SAS : Infection Prevention and Control (IPC)</v>
      </c>
      <c r="F1388" s="5" t="str">
        <f>_xlfn.XLOOKUP(role_course_map[[#This Row],[course_id]],course_data[course_id],course_data[type],"")</f>
        <v>eLearning</v>
      </c>
      <c r="K1388" t="str">
        <f>role_course_map[[#This Row],[role_id]] &amp; "|" &amp; role_course_map[[#This Row],[course_id]]</f>
        <v>R0150|89159</v>
      </c>
      <c r="L1388" t="str">
        <f>IF(COUNTIF(role_course_map[mapping_key],role_course_map[[#This Row],[mapping_key]])&gt;1,"DUPLICATE","OK")</f>
        <v>OK</v>
      </c>
      <c r="M1388" t="str">
        <f>IF(COUNTIF(role_data[role_id],role_course_map[[#This Row],[role_id]])=0, "INVALID","VALID")</f>
        <v>VALID</v>
      </c>
      <c r="N1388" t="str">
        <f>IF(COUNTIF(course_data[course_id],role_course_map[[#This Row],[course_id]])=0, "INVALID","VALID")</f>
        <v>VALID</v>
      </c>
    </row>
    <row r="1389" spans="1:14" x14ac:dyDescent="0.35">
      <c r="A1389" t="s">
        <v>312</v>
      </c>
      <c r="B1389" s="5" t="str">
        <f>_xlfn.XLOOKUP(role_course_map[[#This Row],[role_id]], role_data[role_id], role_data[Role],"")</f>
        <v>Paediatric Nurse Consultant</v>
      </c>
      <c r="C1389">
        <v>89160</v>
      </c>
      <c r="D1389" s="5" t="str">
        <f>_xlfn.XLOOKUP(role_course_map[[#This Row],[course_id]],course_data[course_id],course_data[title],"")</f>
        <v>Safe Management of blood and body fluids</v>
      </c>
      <c r="E1389" s="5" t="str">
        <f>_xlfn.XLOOKUP(role_course_map[[#This Row],[course_id]],course_data[course_id],course_data[topic],"")</f>
        <v>SAS : Infection Prevention and Control (IPC)</v>
      </c>
      <c r="F1389" s="5" t="str">
        <f>_xlfn.XLOOKUP(role_course_map[[#This Row],[course_id]],course_data[course_id],course_data[type],"")</f>
        <v>eLearning</v>
      </c>
      <c r="K1389" t="str">
        <f>role_course_map[[#This Row],[role_id]] &amp; "|" &amp; role_course_map[[#This Row],[course_id]]</f>
        <v>R0150|89160</v>
      </c>
      <c r="L1389" t="str">
        <f>IF(COUNTIF(role_course_map[mapping_key],role_course_map[[#This Row],[mapping_key]])&gt;1,"DUPLICATE","OK")</f>
        <v>OK</v>
      </c>
      <c r="M1389" t="str">
        <f>IF(COUNTIF(role_data[role_id],role_course_map[[#This Row],[role_id]])=0, "INVALID","VALID")</f>
        <v>VALID</v>
      </c>
      <c r="N1389" t="str">
        <f>IF(COUNTIF(course_data[course_id],role_course_map[[#This Row],[course_id]])=0, "INVALID","VALID")</f>
        <v>VALID</v>
      </c>
    </row>
    <row r="1390" spans="1:14" x14ac:dyDescent="0.35">
      <c r="A1390" t="s">
        <v>312</v>
      </c>
      <c r="B1390" s="5" t="str">
        <f>_xlfn.XLOOKUP(role_course_map[[#This Row],[role_id]], role_data[role_id], role_data[Role],"")</f>
        <v>Paediatric Nurse Consultant</v>
      </c>
      <c r="C1390">
        <v>89154</v>
      </c>
      <c r="D1390" s="5" t="str">
        <f>_xlfn.XLOOKUP(role_course_map[[#This Row],[course_id]],course_data[course_id],course_data[title],"")</f>
        <v>Safe disposal of waste</v>
      </c>
      <c r="E1390" s="5" t="str">
        <f>_xlfn.XLOOKUP(role_course_map[[#This Row],[course_id]],course_data[course_id],course_data[topic],"")</f>
        <v>SAS : Infection Prevention and Control (IPC)</v>
      </c>
      <c r="F1390" s="5" t="str">
        <f>_xlfn.XLOOKUP(role_course_map[[#This Row],[course_id]],course_data[course_id],course_data[type],"")</f>
        <v>eLearning</v>
      </c>
      <c r="K1390" t="str">
        <f>role_course_map[[#This Row],[role_id]] &amp; "|" &amp; role_course_map[[#This Row],[course_id]]</f>
        <v>R0150|89154</v>
      </c>
      <c r="L1390" t="str">
        <f>IF(COUNTIF(role_course_map[mapping_key],role_course_map[[#This Row],[mapping_key]])&gt;1,"DUPLICATE","OK")</f>
        <v>OK</v>
      </c>
      <c r="M1390" t="str">
        <f>IF(COUNTIF(role_data[role_id],role_course_map[[#This Row],[role_id]])=0, "INVALID","VALID")</f>
        <v>VALID</v>
      </c>
      <c r="N1390" t="str">
        <f>IF(COUNTIF(course_data[course_id],role_course_map[[#This Row],[course_id]])=0, "INVALID","VALID")</f>
        <v>VALID</v>
      </c>
    </row>
    <row r="1391" spans="1:14" x14ac:dyDescent="0.35">
      <c r="A1391" t="s">
        <v>312</v>
      </c>
      <c r="B1391" s="5" t="str">
        <f>_xlfn.XLOOKUP(role_course_map[[#This Row],[role_id]], role_data[role_id], role_data[Role],"")</f>
        <v>Paediatric Nurse Consultant</v>
      </c>
      <c r="C1391">
        <v>89155</v>
      </c>
      <c r="D1391" s="5" t="str">
        <f>_xlfn.XLOOKUP(role_course_map[[#This Row],[course_id]],course_data[course_id],course_data[title],"")</f>
        <v>Prevention &amp; management of occupational exposure</v>
      </c>
      <c r="E1391" s="5" t="str">
        <f>_xlfn.XLOOKUP(role_course_map[[#This Row],[course_id]],course_data[course_id],course_data[topic],"")</f>
        <v>SAS : Infection Prevention and Control (IPC)</v>
      </c>
      <c r="F1391" s="5" t="str">
        <f>_xlfn.XLOOKUP(role_course_map[[#This Row],[course_id]],course_data[course_id],course_data[type],"")</f>
        <v>eLearning</v>
      </c>
      <c r="K1391" t="str">
        <f>role_course_map[[#This Row],[role_id]] &amp; "|" &amp; role_course_map[[#This Row],[course_id]]</f>
        <v>R0150|89155</v>
      </c>
      <c r="L1391" t="str">
        <f>IF(COUNTIF(role_course_map[mapping_key],role_course_map[[#This Row],[mapping_key]])&gt;1,"DUPLICATE","OK")</f>
        <v>OK</v>
      </c>
      <c r="M1391" t="str">
        <f>IF(COUNTIF(role_data[role_id],role_course_map[[#This Row],[role_id]])=0, "INVALID","VALID")</f>
        <v>VALID</v>
      </c>
      <c r="N1391" t="str">
        <f>IF(COUNTIF(course_data[course_id],role_course_map[[#This Row],[course_id]])=0, "INVALID","VALID")</f>
        <v>VALID</v>
      </c>
    </row>
    <row r="1392" spans="1:14" x14ac:dyDescent="0.35">
      <c r="A1392" t="s">
        <v>312</v>
      </c>
      <c r="B1392" s="5" t="str">
        <f>_xlfn.XLOOKUP(role_course_map[[#This Row],[role_id]], role_data[role_id], role_data[Role],"")</f>
        <v>Paediatric Nurse Consultant</v>
      </c>
      <c r="C1392">
        <v>999064</v>
      </c>
      <c r="D1392" s="5" t="str">
        <f>_xlfn.XLOOKUP(role_course_map[[#This Row],[course_id]],course_data[course_id],course_data[title],"")</f>
        <v>Infection prevention and control: Clostridioides difficile infection</v>
      </c>
      <c r="E1392" s="5" t="str">
        <f>_xlfn.XLOOKUP(role_course_map[[#This Row],[course_id]],course_data[course_id],course_data[topic],"")</f>
        <v>SAS : Infection Prevention and Control (IPC)</v>
      </c>
      <c r="F1392" s="5" t="str">
        <f>_xlfn.XLOOKUP(role_course_map[[#This Row],[course_id]],course_data[course_id],course_data[type],"")</f>
        <v>eLearning</v>
      </c>
      <c r="K1392" t="str">
        <f>role_course_map[[#This Row],[role_id]] &amp; "|" &amp; role_course_map[[#This Row],[course_id]]</f>
        <v>R0150|999064</v>
      </c>
      <c r="L1392" t="str">
        <f>IF(COUNTIF(role_course_map[mapping_key],role_course_map[[#This Row],[mapping_key]])&gt;1,"DUPLICATE","OK")</f>
        <v>OK</v>
      </c>
      <c r="M1392" t="str">
        <f>IF(COUNTIF(role_data[role_id],role_course_map[[#This Row],[role_id]])=0, "INVALID","VALID")</f>
        <v>VALID</v>
      </c>
      <c r="N1392" t="str">
        <f>IF(COUNTIF(course_data[course_id],role_course_map[[#This Row],[course_id]])=0, "INVALID","VALID")</f>
        <v>VALID</v>
      </c>
    </row>
    <row r="1393" spans="1:14" x14ac:dyDescent="0.35">
      <c r="A1393" t="s">
        <v>312</v>
      </c>
      <c r="B1393" s="5" t="str">
        <f>_xlfn.XLOOKUP(role_course_map[[#This Row],[role_id]], role_data[role_id], role_data[Role],"")</f>
        <v>Paediatric Nurse Consultant</v>
      </c>
      <c r="C1393">
        <v>3256</v>
      </c>
      <c r="D1393" s="5" t="str">
        <f>_xlfn.XLOOKUP(role_course_map[[#This Row],[course_id]],course_data[course_id],course_data[title],"")</f>
        <v>Antibiotic Management CHECK THIS IS THE RIGHT ONE</v>
      </c>
      <c r="E1393" s="5" t="str">
        <f>_xlfn.XLOOKUP(role_course_map[[#This Row],[course_id]],course_data[course_id],course_data[topic],"")</f>
        <v>SAS : Infection Prevention and Control (IPC)</v>
      </c>
      <c r="F1393" s="5" t="str">
        <f>_xlfn.XLOOKUP(role_course_map[[#This Row],[course_id]],course_data[course_id],course_data[type],"")</f>
        <v>eLearning</v>
      </c>
      <c r="K1393" t="str">
        <f>role_course_map[[#This Row],[role_id]] &amp; "|" &amp; role_course_map[[#This Row],[course_id]]</f>
        <v>R0150|3256</v>
      </c>
      <c r="L1393" t="str">
        <f>IF(COUNTIF(role_course_map[mapping_key],role_course_map[[#This Row],[mapping_key]])&gt;1,"DUPLICATE","OK")</f>
        <v>OK</v>
      </c>
      <c r="M1393" t="str">
        <f>IF(COUNTIF(role_data[role_id],role_course_map[[#This Row],[role_id]])=0, "INVALID","VALID")</f>
        <v>VALID</v>
      </c>
      <c r="N1393" t="str">
        <f>IF(COUNTIF(course_data[course_id],role_course_map[[#This Row],[course_id]])=0, "INVALID","VALID")</f>
        <v>VALID</v>
      </c>
    </row>
    <row r="1394" spans="1:14" x14ac:dyDescent="0.35">
      <c r="A1394" t="s">
        <v>312</v>
      </c>
      <c r="B1394" s="5" t="str">
        <f>_xlfn.XLOOKUP(role_course_map[[#This Row],[role_id]], role_data[role_id], role_data[Role],"")</f>
        <v>Paediatric Nurse Consultant</v>
      </c>
      <c r="C1394">
        <v>82383</v>
      </c>
      <c r="D1394" s="5" t="str">
        <f>_xlfn.XLOOKUP(role_course_map[[#This Row],[course_id]],course_data[course_id],course_data[title],"")</f>
        <v>Aseptic technique</v>
      </c>
      <c r="E1394" s="5" t="str">
        <f>_xlfn.XLOOKUP(role_course_map[[#This Row],[course_id]],course_data[course_id],course_data[topic],"")</f>
        <v>SAS : Infection Prevention and Control (IPC)</v>
      </c>
      <c r="F1394" s="5" t="str">
        <f>_xlfn.XLOOKUP(role_course_map[[#This Row],[course_id]],course_data[course_id],course_data[type],"")</f>
        <v>eLearning</v>
      </c>
      <c r="K1394" t="str">
        <f>role_course_map[[#This Row],[role_id]] &amp; "|" &amp; role_course_map[[#This Row],[course_id]]</f>
        <v>R0150|82383</v>
      </c>
      <c r="L1394" t="str">
        <f>IF(COUNTIF(role_course_map[mapping_key],role_course_map[[#This Row],[mapping_key]])&gt;1,"DUPLICATE","OK")</f>
        <v>OK</v>
      </c>
      <c r="M1394" t="str">
        <f>IF(COUNTIF(role_data[role_id],role_course_map[[#This Row],[role_id]])=0, "INVALID","VALID")</f>
        <v>VALID</v>
      </c>
      <c r="N1394" t="str">
        <f>IF(COUNTIF(course_data[course_id],role_course_map[[#This Row],[course_id]])=0, "INVALID","VALID")</f>
        <v>VALID</v>
      </c>
    </row>
    <row r="1395" spans="1:14" x14ac:dyDescent="0.35">
      <c r="A1395" t="s">
        <v>312</v>
      </c>
      <c r="B1395" s="5" t="str">
        <f>_xlfn.XLOOKUP(role_course_map[[#This Row],[role_id]], role_data[role_id], role_data[Role],"")</f>
        <v>Paediatric Nurse Consultant</v>
      </c>
      <c r="C1395">
        <v>3886</v>
      </c>
      <c r="D1395" s="5" t="str">
        <f>_xlfn.XLOOKUP(role_course_map[[#This Row],[course_id]],course_data[course_id],course_data[title],"")</f>
        <v>Prevention and management of pressure ulcers</v>
      </c>
      <c r="E1395" s="5" t="str">
        <f>_xlfn.XLOOKUP(role_course_map[[#This Row],[course_id]],course_data[course_id],course_data[topic],"")</f>
        <v>SAS : Clinical Practice</v>
      </c>
      <c r="F1395" s="5" t="str">
        <f>_xlfn.XLOOKUP(role_course_map[[#This Row],[course_id]],course_data[course_id],course_data[type],"")</f>
        <v>Page</v>
      </c>
      <c r="K1395" t="str">
        <f>role_course_map[[#This Row],[role_id]] &amp; "|" &amp; role_course_map[[#This Row],[course_id]]</f>
        <v>R0150|3886</v>
      </c>
      <c r="L1395" t="str">
        <f>IF(COUNTIF(role_course_map[mapping_key],role_course_map[[#This Row],[mapping_key]])&gt;1,"DUPLICATE","OK")</f>
        <v>OK</v>
      </c>
      <c r="M1395" t="str">
        <f>IF(COUNTIF(role_data[role_id],role_course_map[[#This Row],[role_id]])=0, "INVALID","VALID")</f>
        <v>VALID</v>
      </c>
      <c r="N1395" t="str">
        <f>IF(COUNTIF(course_data[course_id],role_course_map[[#This Row],[course_id]])=0, "INVALID","VALID")</f>
        <v>VALID</v>
      </c>
    </row>
    <row r="1396" spans="1:14" x14ac:dyDescent="0.35">
      <c r="A1396" t="s">
        <v>308</v>
      </c>
      <c r="B1396" s="5" t="str">
        <f>_xlfn.XLOOKUP(role_course_map[[#This Row],[role_id]], role_data[role_id], role_data[Role],"")</f>
        <v>Paediatric Fellow</v>
      </c>
      <c r="C1396">
        <v>999092</v>
      </c>
      <c r="D1396" s="5" t="str">
        <f>_xlfn.XLOOKUP(role_course_map[[#This Row],[course_id]],course_data[course_id],course_data[title],"")</f>
        <v>Health &amp; Wellbeing Awareness for Managers</v>
      </c>
      <c r="E1396" s="5" t="str">
        <f>_xlfn.XLOOKUP(role_course_map[[#This Row],[course_id]],course_data[course_id],course_data[topic],"")</f>
        <v>SAS: Staff development and experience</v>
      </c>
      <c r="F1396" s="5" t="str">
        <f>_xlfn.XLOOKUP(role_course_map[[#This Row],[course_id]],course_data[course_id],course_data[type],"")</f>
        <v>eLearning</v>
      </c>
      <c r="K1396" t="str">
        <f>role_course_map[[#This Row],[role_id]] &amp; "|" &amp; role_course_map[[#This Row],[course_id]]</f>
        <v>R0148|999092</v>
      </c>
      <c r="L1396" t="str">
        <f>IF(COUNTIF(role_course_map[mapping_key],role_course_map[[#This Row],[mapping_key]])&gt;1,"DUPLICATE","OK")</f>
        <v>OK</v>
      </c>
      <c r="M1396" t="str">
        <f>IF(COUNTIF(role_data[role_id],role_course_map[[#This Row],[role_id]])=0, "INVALID","VALID")</f>
        <v>VALID</v>
      </c>
      <c r="N1396" t="str">
        <f>IF(COUNTIF(course_data[course_id],role_course_map[[#This Row],[course_id]])=0, "INVALID","VALID")</f>
        <v>VALID</v>
      </c>
    </row>
    <row r="1397" spans="1:14" x14ac:dyDescent="0.35">
      <c r="A1397" t="s">
        <v>312</v>
      </c>
      <c r="B1397" s="5" t="str">
        <f>_xlfn.XLOOKUP(role_course_map[[#This Row],[role_id]], role_data[role_id], role_data[Role],"")</f>
        <v>Paediatric Nurse Consultant</v>
      </c>
      <c r="C1397">
        <v>999094</v>
      </c>
      <c r="D1397" s="5" t="str">
        <f>_xlfn.XLOOKUP(role_course_map[[#This Row],[course_id]],course_data[course_id],course_data[title],"")</f>
        <v>Being well, Mind, Body &amp; Workplace</v>
      </c>
      <c r="E1397" s="5" t="str">
        <f>_xlfn.XLOOKUP(role_course_map[[#This Row],[course_id]],course_data[course_id],course_data[topic],"")</f>
        <v>SAS: Staff development and experience</v>
      </c>
      <c r="F1397" s="5" t="str">
        <f>_xlfn.XLOOKUP(role_course_map[[#This Row],[course_id]],course_data[course_id],course_data[type],"")</f>
        <v>eLearning</v>
      </c>
      <c r="K1397" t="str">
        <f>role_course_map[[#This Row],[role_id]] &amp; "|" &amp; role_course_map[[#This Row],[course_id]]</f>
        <v>R0150|999094</v>
      </c>
      <c r="L1397" t="str">
        <f>IF(COUNTIF(role_course_map[mapping_key],role_course_map[[#This Row],[mapping_key]])&gt;1,"DUPLICATE","OK")</f>
        <v>OK</v>
      </c>
      <c r="M1397" t="str">
        <f>IF(COUNTIF(role_data[role_id],role_course_map[[#This Row],[role_id]])=0, "INVALID","VALID")</f>
        <v>VALID</v>
      </c>
      <c r="N1397" t="str">
        <f>IF(COUNTIF(course_data[course_id],role_course_map[[#This Row],[course_id]])=0, "INVALID","VALID")</f>
        <v>VALID</v>
      </c>
    </row>
    <row r="1398" spans="1:14" x14ac:dyDescent="0.35">
      <c r="A1398" t="s">
        <v>312</v>
      </c>
      <c r="B1398" s="5" t="str">
        <f>_xlfn.XLOOKUP(role_course_map[[#This Row],[role_id]], role_data[role_id], role_data[Role],"")</f>
        <v>Paediatric Nurse Consultant</v>
      </c>
      <c r="C1398">
        <v>999092</v>
      </c>
      <c r="D1398" s="5" t="str">
        <f>_xlfn.XLOOKUP(role_course_map[[#This Row],[course_id]],course_data[course_id],course_data[title],"")</f>
        <v>Health &amp; Wellbeing Awareness for Managers</v>
      </c>
      <c r="E1398" s="5" t="str">
        <f>_xlfn.XLOOKUP(role_course_map[[#This Row],[course_id]],course_data[course_id],course_data[topic],"")</f>
        <v>SAS: Staff development and experience</v>
      </c>
      <c r="F1398" s="5" t="str">
        <f>_xlfn.XLOOKUP(role_course_map[[#This Row],[course_id]],course_data[course_id],course_data[type],"")</f>
        <v>eLearning</v>
      </c>
      <c r="K1398" t="str">
        <f>role_course_map[[#This Row],[role_id]] &amp; "|" &amp; role_course_map[[#This Row],[course_id]]</f>
        <v>R0150|999092</v>
      </c>
      <c r="L1398" t="str">
        <f>IF(COUNTIF(role_course_map[mapping_key],role_course_map[[#This Row],[mapping_key]])&gt;1,"DUPLICATE","OK")</f>
        <v>OK</v>
      </c>
      <c r="M1398" t="str">
        <f>IF(COUNTIF(role_data[role_id],role_course_map[[#This Row],[role_id]])=0, "INVALID","VALID")</f>
        <v>VALID</v>
      </c>
      <c r="N1398" t="str">
        <f>IF(COUNTIF(course_data[course_id],role_course_map[[#This Row],[course_id]])=0, "INVALID","VALID")</f>
        <v>VALID</v>
      </c>
    </row>
    <row r="1399" spans="1:14" x14ac:dyDescent="0.35">
      <c r="A1399" t="s">
        <v>312</v>
      </c>
      <c r="B1399" s="5" t="str">
        <f>_xlfn.XLOOKUP(role_course_map[[#This Row],[role_id]], role_data[role_id], role_data[Role],"")</f>
        <v>Paediatric Nurse Consultant</v>
      </c>
      <c r="C1399">
        <v>999093</v>
      </c>
      <c r="D1399" s="5" t="str">
        <f>_xlfn.XLOOKUP(role_course_map[[#This Row],[course_id]],course_data[course_id],course_data[title],"")</f>
        <v>Managing Wellbeing Refresher for Managers</v>
      </c>
      <c r="E1399" s="5" t="str">
        <f>_xlfn.XLOOKUP(role_course_map[[#This Row],[course_id]],course_data[course_id],course_data[topic],"")</f>
        <v>SAS: Staff development and experience</v>
      </c>
      <c r="F1399" s="5" t="str">
        <f>_xlfn.XLOOKUP(role_course_map[[#This Row],[course_id]],course_data[course_id],course_data[type],"")</f>
        <v>eLearning</v>
      </c>
      <c r="K1399" t="str">
        <f>role_course_map[[#This Row],[role_id]] &amp; "|" &amp; role_course_map[[#This Row],[course_id]]</f>
        <v>R0150|999093</v>
      </c>
      <c r="L1399" t="str">
        <f>IF(COUNTIF(role_course_map[mapping_key],role_course_map[[#This Row],[mapping_key]])&gt;1,"DUPLICATE","OK")</f>
        <v>OK</v>
      </c>
      <c r="M1399" t="str">
        <f>IF(COUNTIF(role_data[role_id],role_course_map[[#This Row],[role_id]])=0, "INVALID","VALID")</f>
        <v>VALID</v>
      </c>
      <c r="N1399" t="str">
        <f>IF(COUNTIF(course_data[course_id],role_course_map[[#This Row],[course_id]])=0, "INVALID","VALID")</f>
        <v>VALID</v>
      </c>
    </row>
    <row r="1400" spans="1:14" x14ac:dyDescent="0.35">
      <c r="A1400" t="s">
        <v>310</v>
      </c>
      <c r="B1400" s="5" t="str">
        <f>_xlfn.XLOOKUP(role_course_map[[#This Row],[role_id]], role_data[role_id], role_data[Role],"")</f>
        <v>Paediatric Nurse</v>
      </c>
      <c r="C1400">
        <v>999094</v>
      </c>
      <c r="D1400" s="5" t="str">
        <f>_xlfn.XLOOKUP(role_course_map[[#This Row],[course_id]],course_data[course_id],course_data[title],"")</f>
        <v>Being well, Mind, Body &amp; Workplace</v>
      </c>
      <c r="E1400" s="5" t="str">
        <f>_xlfn.XLOOKUP(role_course_map[[#This Row],[course_id]],course_data[course_id],course_data[topic],"")</f>
        <v>SAS: Staff development and experience</v>
      </c>
      <c r="F1400" s="5" t="str">
        <f>_xlfn.XLOOKUP(role_course_map[[#This Row],[course_id]],course_data[course_id],course_data[type],"")</f>
        <v>eLearning</v>
      </c>
      <c r="K1400" t="str">
        <f>role_course_map[[#This Row],[role_id]] &amp; "|" &amp; role_course_map[[#This Row],[course_id]]</f>
        <v>R0149|999094</v>
      </c>
      <c r="L1400" t="str">
        <f>IF(COUNTIF(role_course_map[mapping_key],role_course_map[[#This Row],[mapping_key]])&gt;1,"DUPLICATE","OK")</f>
        <v>OK</v>
      </c>
      <c r="M1400" t="str">
        <f>IF(COUNTIF(role_data[role_id],role_course_map[[#This Row],[role_id]])=0, "INVALID","VALID")</f>
        <v>VALID</v>
      </c>
      <c r="N1400" t="str">
        <f>IF(COUNTIF(course_data[course_id],role_course_map[[#This Row],[course_id]])=0, "INVALID","VALID")</f>
        <v>VALID</v>
      </c>
    </row>
    <row r="1401" spans="1:14" x14ac:dyDescent="0.35">
      <c r="A1401" t="s">
        <v>312</v>
      </c>
      <c r="B1401" s="5" t="str">
        <f>_xlfn.XLOOKUP(role_course_map[[#This Row],[role_id]], role_data[role_id], role_data[Role],"")</f>
        <v>Paediatric Nurse Consultant</v>
      </c>
      <c r="C1401">
        <v>999077</v>
      </c>
      <c r="D1401" s="5" t="str">
        <f>_xlfn.XLOOKUP(role_course_map[[#This Row],[course_id]],course_data[course_id],course_data[title],"")</f>
        <v>ScotSTAR: Role specific Orientation &amp; Induction</v>
      </c>
      <c r="E1401" s="5" t="str">
        <f>_xlfn.XLOOKUP(role_course_map[[#This Row],[course_id]],course_data[course_id],course_data[topic],"")</f>
        <v>SAS : ScotSTAR</v>
      </c>
      <c r="F1401" s="5" t="str">
        <f>_xlfn.XLOOKUP(role_course_map[[#This Row],[course_id]],course_data[course_id],course_data[type],"")</f>
        <v>Course</v>
      </c>
      <c r="K1401" t="str">
        <f>role_course_map[[#This Row],[role_id]] &amp; "|" &amp; role_course_map[[#This Row],[course_id]]</f>
        <v>R0150|999077</v>
      </c>
      <c r="L1401" t="str">
        <f>IF(COUNTIF(role_course_map[mapping_key],role_course_map[[#This Row],[mapping_key]])&gt;1,"DUPLICATE","OK")</f>
        <v>OK</v>
      </c>
      <c r="M1401" t="str">
        <f>IF(COUNTIF(role_data[role_id],role_course_map[[#This Row],[role_id]])=0, "INVALID","VALID")</f>
        <v>VALID</v>
      </c>
      <c r="N1401" t="str">
        <f>IF(COUNTIF(course_data[course_id],role_course_map[[#This Row],[course_id]])=0, "INVALID","VALID")</f>
        <v>VALID</v>
      </c>
    </row>
    <row r="1402" spans="1:14" x14ac:dyDescent="0.35">
      <c r="A1402" t="s">
        <v>312</v>
      </c>
      <c r="B1402" s="5" t="str">
        <f>_xlfn.XLOOKUP(role_course_map[[#This Row],[role_id]], role_data[role_id], role_data[Role],"")</f>
        <v>Paediatric Nurse Consultant</v>
      </c>
      <c r="C1402">
        <v>999080</v>
      </c>
      <c r="D1402" s="5" t="str">
        <f>_xlfn.XLOOKUP(role_course_map[[#This Row],[course_id]],course_data[course_id],course_data[title],"")</f>
        <v>HUET (on line)</v>
      </c>
      <c r="E1402" s="5" t="str">
        <f>_xlfn.XLOOKUP(role_course_map[[#This Row],[course_id]],course_data[course_id],course_data[topic],"")</f>
        <v>SAS : ScotSTAR</v>
      </c>
      <c r="F1402" s="5" t="str">
        <f>_xlfn.XLOOKUP(role_course_map[[#This Row],[course_id]],course_data[course_id],course_data[type],"")</f>
        <v>eLearning</v>
      </c>
      <c r="K1402" t="str">
        <f>role_course_map[[#This Row],[role_id]] &amp; "|" &amp; role_course_map[[#This Row],[course_id]]</f>
        <v>R0150|999080</v>
      </c>
      <c r="L1402" t="str">
        <f>IF(COUNTIF(role_course_map[mapping_key],role_course_map[[#This Row],[mapping_key]])&gt;1,"DUPLICATE","OK")</f>
        <v>OK</v>
      </c>
      <c r="M1402" t="str">
        <f>IF(COUNTIF(role_data[role_id],role_course_map[[#This Row],[role_id]])=0, "INVALID","VALID")</f>
        <v>VALID</v>
      </c>
      <c r="N1402" t="str">
        <f>IF(COUNTIF(course_data[course_id],role_course_map[[#This Row],[course_id]])=0, "INVALID","VALID")</f>
        <v>VALID</v>
      </c>
    </row>
    <row r="1403" spans="1:14" x14ac:dyDescent="0.35">
      <c r="A1403" t="s">
        <v>312</v>
      </c>
      <c r="B1403" s="5" t="str">
        <f>_xlfn.XLOOKUP(role_course_map[[#This Row],[role_id]], role_data[role_id], role_data[Role],"")</f>
        <v>Paediatric Nurse Consultant</v>
      </c>
      <c r="C1403">
        <v>999081</v>
      </c>
      <c r="D1403" s="5" t="str">
        <f>_xlfn.XLOOKUP(role_course_map[[#This Row],[course_id]],course_data[course_id],course_data[title],"")</f>
        <v>Major Incident Training- Operational Commander</v>
      </c>
      <c r="E1403" s="5" t="str">
        <f>_xlfn.XLOOKUP(role_course_map[[#This Row],[course_id]],course_data[course_id],course_data[topic],"")</f>
        <v>SAS : ScotSTAR</v>
      </c>
      <c r="F1403" s="5" t="str">
        <f>_xlfn.XLOOKUP(role_course_map[[#This Row],[course_id]],course_data[course_id],course_data[type],"")</f>
        <v>Course</v>
      </c>
      <c r="K1403" t="str">
        <f>role_course_map[[#This Row],[role_id]] &amp; "|" &amp; role_course_map[[#This Row],[course_id]]</f>
        <v>R0150|999081</v>
      </c>
      <c r="L1403" t="str">
        <f>IF(COUNTIF(role_course_map[mapping_key],role_course_map[[#This Row],[mapping_key]])&gt;1,"DUPLICATE","OK")</f>
        <v>OK</v>
      </c>
      <c r="M1403" t="str">
        <f>IF(COUNTIF(role_data[role_id],role_course_map[[#This Row],[role_id]])=0, "INVALID","VALID")</f>
        <v>VALID</v>
      </c>
      <c r="N1403" t="str">
        <f>IF(COUNTIF(course_data[course_id],role_course_map[[#This Row],[course_id]])=0, "INVALID","VALID")</f>
        <v>VALID</v>
      </c>
    </row>
    <row r="1404" spans="1:14" x14ac:dyDescent="0.35">
      <c r="A1404" t="s">
        <v>312</v>
      </c>
      <c r="B1404" s="5" t="str">
        <f>_xlfn.XLOOKUP(role_course_map[[#This Row],[role_id]], role_data[role_id], role_data[Role],"")</f>
        <v>Paediatric Nurse Consultant</v>
      </c>
      <c r="C1404">
        <v>999082</v>
      </c>
      <c r="D1404" s="5" t="str">
        <f>_xlfn.XLOOKUP(role_course_map[[#This Row],[course_id]],course_data[course_id],course_data[title],"")</f>
        <v>Major Incident Training - MIO</v>
      </c>
      <c r="E1404" s="5" t="str">
        <f>_xlfn.XLOOKUP(role_course_map[[#This Row],[course_id]],course_data[course_id],course_data[topic],"")</f>
        <v>SAS : ScotSTAR</v>
      </c>
      <c r="F1404" s="5" t="str">
        <f>_xlfn.XLOOKUP(role_course_map[[#This Row],[course_id]],course_data[course_id],course_data[type],"")</f>
        <v>Course</v>
      </c>
      <c r="K1404" t="str">
        <f>role_course_map[[#This Row],[role_id]] &amp; "|" &amp; role_course_map[[#This Row],[course_id]]</f>
        <v>R0150|999082</v>
      </c>
      <c r="L1404" t="str">
        <f>IF(COUNTIF(role_course_map[mapping_key],role_course_map[[#This Row],[mapping_key]])&gt;1,"DUPLICATE","OK")</f>
        <v>OK</v>
      </c>
      <c r="M1404" t="str">
        <f>IF(COUNTIF(role_data[role_id],role_course_map[[#This Row],[role_id]])=0, "INVALID","VALID")</f>
        <v>VALID</v>
      </c>
      <c r="N1404" t="str">
        <f>IF(COUNTIF(course_data[course_id],role_course_map[[#This Row],[course_id]])=0, "INVALID","VALID")</f>
        <v>VALID</v>
      </c>
    </row>
    <row r="1405" spans="1:14" x14ac:dyDescent="0.35">
      <c r="A1405" t="s">
        <v>312</v>
      </c>
      <c r="B1405" s="5" t="str">
        <f>_xlfn.XLOOKUP(role_course_map[[#This Row],[role_id]], role_data[role_id], role_data[Role],"")</f>
        <v>Paediatric Nurse Consultant</v>
      </c>
      <c r="C1405">
        <v>999084</v>
      </c>
      <c r="D1405" s="5" t="str">
        <f>_xlfn.XLOOKUP(role_course_map[[#This Row],[course_id]],course_data[course_id],course_data[title],"")</f>
        <v>Paediatric Life Support (PLS)</v>
      </c>
      <c r="E1405" s="5" t="str">
        <f>_xlfn.XLOOKUP(role_course_map[[#This Row],[course_id]],course_data[course_id],course_data[topic],"")</f>
        <v>SAS : ScotSTAR</v>
      </c>
      <c r="F1405" s="5" t="str">
        <f>_xlfn.XLOOKUP(role_course_map[[#This Row],[course_id]],course_data[course_id],course_data[type],"")</f>
        <v>Course</v>
      </c>
      <c r="K1405" t="str">
        <f>role_course_map[[#This Row],[role_id]] &amp; "|" &amp; role_course_map[[#This Row],[course_id]]</f>
        <v>R0150|999084</v>
      </c>
      <c r="L1405" t="str">
        <f>IF(COUNTIF(role_course_map[mapping_key],role_course_map[[#This Row],[mapping_key]])&gt;1,"DUPLICATE","OK")</f>
        <v>OK</v>
      </c>
      <c r="M1405" t="str">
        <f>IF(COUNTIF(role_data[role_id],role_course_map[[#This Row],[role_id]])=0, "INVALID","VALID")</f>
        <v>VALID</v>
      </c>
      <c r="N1405" t="str">
        <f>IF(COUNTIF(course_data[course_id],role_course_map[[#This Row],[course_id]])=0, "INVALID","VALID")</f>
        <v>VALID</v>
      </c>
    </row>
    <row r="1406" spans="1:14" x14ac:dyDescent="0.35">
      <c r="A1406" t="s">
        <v>314</v>
      </c>
      <c r="B1406" s="5" t="str">
        <f>_xlfn.XLOOKUP(role_course_map[[#This Row],[role_id]], role_data[role_id], role_data[Role],"")</f>
        <v>ScotSTAR Administrator</v>
      </c>
      <c r="C1406">
        <v>999009</v>
      </c>
      <c r="D1406" s="5" t="str">
        <f>_xlfn.XLOOKUP(role_course_map[[#This Row],[course_id]],course_data[course_id],course_data[title],"")</f>
        <v>Life Support</v>
      </c>
      <c r="E1406" s="5" t="str">
        <f>_xlfn.XLOOKUP(role_course_map[[#This Row],[course_id]],course_data[course_id],course_data[topic],"")</f>
        <v>SAS : Clinical Practice</v>
      </c>
      <c r="F1406" s="5" t="str">
        <f>_xlfn.XLOOKUP(role_course_map[[#This Row],[course_id]],course_data[course_id],course_data[type],"")</f>
        <v>Course</v>
      </c>
      <c r="K1406" t="str">
        <f>role_course_map[[#This Row],[role_id]] &amp; "|" &amp; role_course_map[[#This Row],[course_id]]</f>
        <v>R0151|999009</v>
      </c>
      <c r="L1406" t="str">
        <f>IF(COUNTIF(role_course_map[mapping_key],role_course_map[[#This Row],[mapping_key]])&gt;1,"DUPLICATE","OK")</f>
        <v>OK</v>
      </c>
      <c r="M1406" t="str">
        <f>IF(COUNTIF(role_data[role_id],role_course_map[[#This Row],[role_id]])=0, "INVALID","VALID")</f>
        <v>VALID</v>
      </c>
      <c r="N1406" t="str">
        <f>IF(COUNTIF(course_data[course_id],role_course_map[[#This Row],[course_id]])=0, "INVALID","VALID")</f>
        <v>VALID</v>
      </c>
    </row>
    <row r="1407" spans="1:14" x14ac:dyDescent="0.35">
      <c r="A1407" t="s">
        <v>314</v>
      </c>
      <c r="B1407" s="5" t="str">
        <f>_xlfn.XLOOKUP(role_course_map[[#This Row],[role_id]], role_data[role_id], role_data[Role],"")</f>
        <v>ScotSTAR Administrator</v>
      </c>
      <c r="C1407">
        <v>999007</v>
      </c>
      <c r="D1407" s="5" t="str">
        <f>_xlfn.XLOOKUP(role_course_map[[#This Row],[course_id]],course_data[course_id],course_data[title],"")</f>
        <v>Obstetrics</v>
      </c>
      <c r="E1407" s="5" t="str">
        <f>_xlfn.XLOOKUP(role_course_map[[#This Row],[course_id]],course_data[course_id],course_data[topic],"")</f>
        <v>SAS : Clinical Practice</v>
      </c>
      <c r="F1407" s="5" t="str">
        <f>_xlfn.XLOOKUP(role_course_map[[#This Row],[course_id]],course_data[course_id],course_data[type],"")</f>
        <v>Course</v>
      </c>
      <c r="K1407" t="str">
        <f>role_course_map[[#This Row],[role_id]] &amp; "|" &amp; role_course_map[[#This Row],[course_id]]</f>
        <v>R0151|999007</v>
      </c>
      <c r="L1407" t="str">
        <f>IF(COUNTIF(role_course_map[mapping_key],role_course_map[[#This Row],[mapping_key]])&gt;1,"DUPLICATE","OK")</f>
        <v>OK</v>
      </c>
      <c r="M1407" t="str">
        <f>IF(COUNTIF(role_data[role_id],role_course_map[[#This Row],[role_id]])=0, "INVALID","VALID")</f>
        <v>VALID</v>
      </c>
      <c r="N1407" t="str">
        <f>IF(COUNTIF(course_data[course_id],role_course_map[[#This Row],[course_id]])=0, "INVALID","VALID")</f>
        <v>VALID</v>
      </c>
    </row>
    <row r="1408" spans="1:14" x14ac:dyDescent="0.35">
      <c r="A1408" t="s">
        <v>314</v>
      </c>
      <c r="B1408" s="5" t="str">
        <f>_xlfn.XLOOKUP(role_course_map[[#This Row],[role_id]], role_data[role_id], role_data[Role],"")</f>
        <v>ScotSTAR Administrator</v>
      </c>
      <c r="C1408">
        <v>999008</v>
      </c>
      <c r="D1408" s="5" t="str">
        <f>_xlfn.XLOOKUP(role_course_map[[#This Row],[course_id]],course_data[course_id],course_data[title],"")</f>
        <v>Obstetrics</v>
      </c>
      <c r="E1408" s="5" t="str">
        <f>_xlfn.XLOOKUP(role_course_map[[#This Row],[course_id]],course_data[course_id],course_data[topic],"")</f>
        <v>SAS : Clinical Practice</v>
      </c>
      <c r="F1408" s="5" t="str">
        <f>_xlfn.XLOOKUP(role_course_map[[#This Row],[course_id]],course_data[course_id],course_data[type],"")</f>
        <v>eLearning</v>
      </c>
      <c r="K1408" t="str">
        <f>role_course_map[[#This Row],[role_id]] &amp; "|" &amp; role_course_map[[#This Row],[course_id]]</f>
        <v>R0151|999008</v>
      </c>
      <c r="L1408" t="str">
        <f>IF(COUNTIF(role_course_map[mapping_key],role_course_map[[#This Row],[mapping_key]])&gt;1,"DUPLICATE","OK")</f>
        <v>OK</v>
      </c>
      <c r="M1408" t="str">
        <f>IF(COUNTIF(role_data[role_id],role_course_map[[#This Row],[role_id]])=0, "INVALID","VALID")</f>
        <v>VALID</v>
      </c>
      <c r="N1408" t="str">
        <f>IF(COUNTIF(course_data[course_id],role_course_map[[#This Row],[course_id]])=0, "INVALID","VALID")</f>
        <v>VALID</v>
      </c>
    </row>
    <row r="1409" spans="1:14" x14ac:dyDescent="0.35">
      <c r="A1409" t="s">
        <v>314</v>
      </c>
      <c r="B1409" s="5" t="str">
        <f>_xlfn.XLOOKUP(role_course_map[[#This Row],[role_id]], role_data[role_id], role_data[Role],"")</f>
        <v>ScotSTAR Administrator</v>
      </c>
      <c r="C1409">
        <v>999010</v>
      </c>
      <c r="D1409" s="5" t="str">
        <f>_xlfn.XLOOKUP(role_course_map[[#This Row],[course_id]],course_data[course_id],course_data[title],"")</f>
        <v>Paediatrics</v>
      </c>
      <c r="E1409" s="5" t="str">
        <f>_xlfn.XLOOKUP(role_course_map[[#This Row],[course_id]],course_data[course_id],course_data[topic],"")</f>
        <v>SAS : Clinical Practice</v>
      </c>
      <c r="F1409" s="5" t="str">
        <f>_xlfn.XLOOKUP(role_course_map[[#This Row],[course_id]],course_data[course_id],course_data[type],"")</f>
        <v>Course</v>
      </c>
      <c r="K1409" t="str">
        <f>role_course_map[[#This Row],[role_id]] &amp; "|" &amp; role_course_map[[#This Row],[course_id]]</f>
        <v>R0151|999010</v>
      </c>
      <c r="L1409" t="str">
        <f>IF(COUNTIF(role_course_map[mapping_key],role_course_map[[#This Row],[mapping_key]])&gt;1,"DUPLICATE","OK")</f>
        <v>OK</v>
      </c>
      <c r="M1409" t="str">
        <f>IF(COUNTIF(role_data[role_id],role_course_map[[#This Row],[role_id]])=0, "INVALID","VALID")</f>
        <v>VALID</v>
      </c>
      <c r="N1409" t="str">
        <f>IF(COUNTIF(course_data[course_id],role_course_map[[#This Row],[course_id]])=0, "INVALID","VALID")</f>
        <v>VALID</v>
      </c>
    </row>
    <row r="1410" spans="1:14" x14ac:dyDescent="0.35">
      <c r="A1410" t="s">
        <v>314</v>
      </c>
      <c r="B1410" s="5" t="str">
        <f>_xlfn.XLOOKUP(role_course_map[[#This Row],[role_id]], role_data[role_id], role_data[Role],"")</f>
        <v>ScotSTAR Administrator</v>
      </c>
      <c r="C1410">
        <v>999011</v>
      </c>
      <c r="D1410" s="5" t="str">
        <f>_xlfn.XLOOKUP(role_course_map[[#This Row],[course_id]],course_data[course_id],course_data[title],"")</f>
        <v>Paediatrics</v>
      </c>
      <c r="E1410" s="5" t="str">
        <f>_xlfn.XLOOKUP(role_course_map[[#This Row],[course_id]],course_data[course_id],course_data[topic],"")</f>
        <v>SAS : Clinical Practice</v>
      </c>
      <c r="F1410" s="5" t="str">
        <f>_xlfn.XLOOKUP(role_course_map[[#This Row],[course_id]],course_data[course_id],course_data[type],"")</f>
        <v>eLearning</v>
      </c>
      <c r="K1410" t="str">
        <f>role_course_map[[#This Row],[role_id]] &amp; "|" &amp; role_course_map[[#This Row],[course_id]]</f>
        <v>R0151|999011</v>
      </c>
      <c r="L1410" t="str">
        <f>IF(COUNTIF(role_course_map[mapping_key],role_course_map[[#This Row],[mapping_key]])&gt;1,"DUPLICATE","OK")</f>
        <v>OK</v>
      </c>
      <c r="M1410" t="str">
        <f>IF(COUNTIF(role_data[role_id],role_course_map[[#This Row],[role_id]])=0, "INVALID","VALID")</f>
        <v>VALID</v>
      </c>
      <c r="N1410" t="str">
        <f>IF(COUNTIF(course_data[course_id],role_course_map[[#This Row],[course_id]])=0, "INVALID","VALID")</f>
        <v>VALID</v>
      </c>
    </row>
    <row r="1411" spans="1:14" x14ac:dyDescent="0.35">
      <c r="A1411" t="s">
        <v>314</v>
      </c>
      <c r="B1411" s="5" t="str">
        <f>_xlfn.XLOOKUP(role_course_map[[#This Row],[role_id]], role_data[role_id], role_data[Role],"")</f>
        <v>ScotSTAR Administrator</v>
      </c>
      <c r="C1411">
        <v>999012</v>
      </c>
      <c r="D1411" s="5" t="str">
        <f>_xlfn.XLOOKUP(role_course_map[[#This Row],[course_id]],course_data[course_id],course_data[title],"")</f>
        <v>Trauma</v>
      </c>
      <c r="E1411" s="5" t="str">
        <f>_xlfn.XLOOKUP(role_course_map[[#This Row],[course_id]],course_data[course_id],course_data[topic],"")</f>
        <v>SAS : Clinical Practice</v>
      </c>
      <c r="F1411" s="5" t="str">
        <f>_xlfn.XLOOKUP(role_course_map[[#This Row],[course_id]],course_data[course_id],course_data[type],"")</f>
        <v>Course</v>
      </c>
      <c r="K1411" t="str">
        <f>role_course_map[[#This Row],[role_id]] &amp; "|" &amp; role_course_map[[#This Row],[course_id]]</f>
        <v>R0151|999012</v>
      </c>
      <c r="L1411" t="str">
        <f>IF(COUNTIF(role_course_map[mapping_key],role_course_map[[#This Row],[mapping_key]])&gt;1,"DUPLICATE","OK")</f>
        <v>OK</v>
      </c>
      <c r="M1411" t="str">
        <f>IF(COUNTIF(role_data[role_id],role_course_map[[#This Row],[role_id]])=0, "INVALID","VALID")</f>
        <v>VALID</v>
      </c>
      <c r="N1411" t="str">
        <f>IF(COUNTIF(course_data[course_id],role_course_map[[#This Row],[course_id]])=0, "INVALID","VALID")</f>
        <v>VALID</v>
      </c>
    </row>
    <row r="1412" spans="1:14" x14ac:dyDescent="0.35">
      <c r="A1412" t="s">
        <v>314</v>
      </c>
      <c r="B1412" s="5" t="str">
        <f>_xlfn.XLOOKUP(role_course_map[[#This Row],[role_id]], role_data[role_id], role_data[Role],"")</f>
        <v>ScotSTAR Administrator</v>
      </c>
      <c r="C1412">
        <v>999013</v>
      </c>
      <c r="D1412" s="5" t="str">
        <f>_xlfn.XLOOKUP(role_course_map[[#This Row],[course_id]],course_data[course_id],course_data[title],"")</f>
        <v>Trauma</v>
      </c>
      <c r="E1412" s="5" t="str">
        <f>_xlfn.XLOOKUP(role_course_map[[#This Row],[course_id]],course_data[course_id],course_data[topic],"")</f>
        <v>SAS : Clinical Practice</v>
      </c>
      <c r="F1412" s="5" t="str">
        <f>_xlfn.XLOOKUP(role_course_map[[#This Row],[course_id]],course_data[course_id],course_data[type],"")</f>
        <v>eLearning</v>
      </c>
      <c r="K1412" t="str">
        <f>role_course_map[[#This Row],[role_id]] &amp; "|" &amp; role_course_map[[#This Row],[course_id]]</f>
        <v>R0151|999013</v>
      </c>
      <c r="L1412" t="str">
        <f>IF(COUNTIF(role_course_map[mapping_key],role_course_map[[#This Row],[mapping_key]])&gt;1,"DUPLICATE","OK")</f>
        <v>OK</v>
      </c>
      <c r="M1412" t="str">
        <f>IF(COUNTIF(role_data[role_id],role_course_map[[#This Row],[role_id]])=0, "INVALID","VALID")</f>
        <v>VALID</v>
      </c>
      <c r="N1412" t="str">
        <f>IF(COUNTIF(course_data[course_id],role_course_map[[#This Row],[course_id]])=0, "INVALID","VALID")</f>
        <v>VALID</v>
      </c>
    </row>
    <row r="1413" spans="1:14" x14ac:dyDescent="0.35">
      <c r="A1413" t="s">
        <v>314</v>
      </c>
      <c r="B1413" s="5" t="str">
        <f>_xlfn.XLOOKUP(role_course_map[[#This Row],[role_id]], role_data[role_id], role_data[Role],"")</f>
        <v>ScotSTAR Administrator</v>
      </c>
      <c r="C1413">
        <v>999014</v>
      </c>
      <c r="D1413" s="5" t="str">
        <f>_xlfn.XLOOKUP(role_course_map[[#This Row],[course_id]],course_data[course_id],course_data[title],"")</f>
        <v>Patient Assessment</v>
      </c>
      <c r="E1413" s="5" t="str">
        <f>_xlfn.XLOOKUP(role_course_map[[#This Row],[course_id]],course_data[course_id],course_data[topic],"")</f>
        <v>SAS : Clinical Practice</v>
      </c>
      <c r="F1413" s="5" t="str">
        <f>_xlfn.XLOOKUP(role_course_map[[#This Row],[course_id]],course_data[course_id],course_data[type],"")</f>
        <v>Course</v>
      </c>
      <c r="K1413" t="str">
        <f>role_course_map[[#This Row],[role_id]] &amp; "|" &amp; role_course_map[[#This Row],[course_id]]</f>
        <v>R0151|999014</v>
      </c>
      <c r="L1413" t="str">
        <f>IF(COUNTIF(role_course_map[mapping_key],role_course_map[[#This Row],[mapping_key]])&gt;1,"DUPLICATE","OK")</f>
        <v>OK</v>
      </c>
      <c r="M1413" t="str">
        <f>IF(COUNTIF(role_data[role_id],role_course_map[[#This Row],[role_id]])=0, "INVALID","VALID")</f>
        <v>VALID</v>
      </c>
      <c r="N1413" t="str">
        <f>IF(COUNTIF(course_data[course_id],role_course_map[[#This Row],[course_id]])=0, "INVALID","VALID")</f>
        <v>VALID</v>
      </c>
    </row>
    <row r="1414" spans="1:14" x14ac:dyDescent="0.35">
      <c r="A1414" t="s">
        <v>314</v>
      </c>
      <c r="B1414" s="5" t="str">
        <f>_xlfn.XLOOKUP(role_course_map[[#This Row],[role_id]], role_data[role_id], role_data[Role],"")</f>
        <v>ScotSTAR Administrator</v>
      </c>
      <c r="C1414">
        <v>999015</v>
      </c>
      <c r="D1414" s="5" t="str">
        <f>_xlfn.XLOOKUP(role_course_map[[#This Row],[course_id]],course_data[course_id],course_data[title],"")</f>
        <v>Patient Assessment</v>
      </c>
      <c r="E1414" s="5" t="str">
        <f>_xlfn.XLOOKUP(role_course_map[[#This Row],[course_id]],course_data[course_id],course_data[topic],"")</f>
        <v>SAS : Clinical Practice</v>
      </c>
      <c r="F1414" s="5" t="str">
        <f>_xlfn.XLOOKUP(role_course_map[[#This Row],[course_id]],course_data[course_id],course_data[type],"")</f>
        <v>eLearning</v>
      </c>
      <c r="K1414" t="str">
        <f>role_course_map[[#This Row],[role_id]] &amp; "|" &amp; role_course_map[[#This Row],[course_id]]</f>
        <v>R0151|999015</v>
      </c>
      <c r="L1414" t="str">
        <f>IF(COUNTIF(role_course_map[mapping_key],role_course_map[[#This Row],[mapping_key]])&gt;1,"DUPLICATE","OK")</f>
        <v>OK</v>
      </c>
      <c r="M1414" t="str">
        <f>IF(COUNTIF(role_data[role_id],role_course_map[[#This Row],[role_id]])=0, "INVALID","VALID")</f>
        <v>VALID</v>
      </c>
      <c r="N1414" t="str">
        <f>IF(COUNTIF(course_data[course_id],role_course_map[[#This Row],[course_id]])=0, "INVALID","VALID")</f>
        <v>VALID</v>
      </c>
    </row>
    <row r="1415" spans="1:14" x14ac:dyDescent="0.35">
      <c r="A1415" t="s">
        <v>314</v>
      </c>
      <c r="B1415" s="5" t="str">
        <f>_xlfn.XLOOKUP(role_course_map[[#This Row],[role_id]], role_data[role_id], role_data[Role],"")</f>
        <v>ScotSTAR Administrator</v>
      </c>
      <c r="C1415">
        <v>999018</v>
      </c>
      <c r="D1415" s="5" t="str">
        <f>_xlfn.XLOOKUP(role_course_map[[#This Row],[course_id]],course_data[course_id],course_data[title],"")</f>
        <v>Learning from Events</v>
      </c>
      <c r="E1415" s="5" t="str">
        <f>_xlfn.XLOOKUP(role_course_map[[#This Row],[course_id]],course_data[course_id],course_data[topic],"")</f>
        <v>SAS : Clinical Practice</v>
      </c>
      <c r="F1415" s="5" t="str">
        <f>_xlfn.XLOOKUP(role_course_map[[#This Row],[course_id]],course_data[course_id],course_data[type],"")</f>
        <v>eLearning</v>
      </c>
      <c r="K1415" t="str">
        <f>role_course_map[[#This Row],[role_id]] &amp; "|" &amp; role_course_map[[#This Row],[course_id]]</f>
        <v>R0151|999018</v>
      </c>
      <c r="L1415" t="str">
        <f>IF(COUNTIF(role_course_map[mapping_key],role_course_map[[#This Row],[mapping_key]])&gt;1,"DUPLICATE","OK")</f>
        <v>OK</v>
      </c>
      <c r="M1415" t="str">
        <f>IF(COUNTIF(role_data[role_id],role_course_map[[#This Row],[role_id]])=0, "INVALID","VALID")</f>
        <v>VALID</v>
      </c>
      <c r="N1415" t="str">
        <f>IF(COUNTIF(course_data[course_id],role_course_map[[#This Row],[course_id]])=0, "INVALID","VALID")</f>
        <v>VALID</v>
      </c>
    </row>
    <row r="1416" spans="1:14" x14ac:dyDescent="0.35">
      <c r="A1416" t="s">
        <v>314</v>
      </c>
      <c r="B1416" s="5" t="str">
        <f>_xlfn.XLOOKUP(role_course_map[[#This Row],[role_id]], role_data[role_id], role_data[Role],"")</f>
        <v>ScotSTAR Administrator</v>
      </c>
      <c r="C1416">
        <v>999019</v>
      </c>
      <c r="D1416" s="5" t="str">
        <f>_xlfn.XLOOKUP(role_course_map[[#This Row],[course_id]],course_data[course_id],course_data[title],"")</f>
        <v>Medicines Management</v>
      </c>
      <c r="E1416" s="5" t="str">
        <f>_xlfn.XLOOKUP(role_course_map[[#This Row],[course_id]],course_data[course_id],course_data[topic],"")</f>
        <v>SAS : Clinical Practice</v>
      </c>
      <c r="F1416" s="5" t="str">
        <f>_xlfn.XLOOKUP(role_course_map[[#This Row],[course_id]],course_data[course_id],course_data[type],"")</f>
        <v>eLearning</v>
      </c>
      <c r="K1416" t="str">
        <f>role_course_map[[#This Row],[role_id]] &amp; "|" &amp; role_course_map[[#This Row],[course_id]]</f>
        <v>R0151|999019</v>
      </c>
      <c r="L1416" t="str">
        <f>IF(COUNTIF(role_course_map[mapping_key],role_course_map[[#This Row],[mapping_key]])&gt;1,"DUPLICATE","OK")</f>
        <v>OK</v>
      </c>
      <c r="M1416" t="str">
        <f>IF(COUNTIF(role_data[role_id],role_course_map[[#This Row],[role_id]])=0, "INVALID","VALID")</f>
        <v>VALID</v>
      </c>
      <c r="N1416" t="str">
        <f>IF(COUNTIF(course_data[course_id],role_course_map[[#This Row],[course_id]])=0, "INVALID","VALID")</f>
        <v>VALID</v>
      </c>
    </row>
    <row r="1417" spans="1:14" x14ac:dyDescent="0.35">
      <c r="A1417" t="s">
        <v>314</v>
      </c>
      <c r="B1417" s="5" t="str">
        <f>_xlfn.XLOOKUP(role_course_map[[#This Row],[role_id]], role_data[role_id], role_data[Role],"")</f>
        <v>ScotSTAR Administrator</v>
      </c>
      <c r="C1417">
        <v>999020</v>
      </c>
      <c r="D1417" s="5" t="str">
        <f>_xlfn.XLOOKUP(role_course_map[[#This Row],[course_id]],course_data[course_id],course_data[title],"")</f>
        <v>JRCALC Update</v>
      </c>
      <c r="E1417" s="5" t="str">
        <f>_xlfn.XLOOKUP(role_course_map[[#This Row],[course_id]],course_data[course_id],course_data[topic],"")</f>
        <v>SAS : Clinical Practice</v>
      </c>
      <c r="F1417" s="5" t="str">
        <f>_xlfn.XLOOKUP(role_course_map[[#This Row],[course_id]],course_data[course_id],course_data[type],"")</f>
        <v>eLearning</v>
      </c>
      <c r="K1417" t="str">
        <f>role_course_map[[#This Row],[role_id]] &amp; "|" &amp; role_course_map[[#This Row],[course_id]]</f>
        <v>R0151|999020</v>
      </c>
      <c r="L1417" t="str">
        <f>IF(COUNTIF(role_course_map[mapping_key],role_course_map[[#This Row],[mapping_key]])&gt;1,"DUPLICATE","OK")</f>
        <v>OK</v>
      </c>
      <c r="M1417" t="str">
        <f>IF(COUNTIF(role_data[role_id],role_course_map[[#This Row],[role_id]])=0, "INVALID","VALID")</f>
        <v>VALID</v>
      </c>
      <c r="N1417" t="str">
        <f>IF(COUNTIF(course_data[course_id],role_course_map[[#This Row],[course_id]])=0, "INVALID","VALID")</f>
        <v>VALID</v>
      </c>
    </row>
    <row r="1418" spans="1:14" x14ac:dyDescent="0.35">
      <c r="A1418" t="s">
        <v>314</v>
      </c>
      <c r="B1418" s="5" t="str">
        <f>_xlfn.XLOOKUP(role_course_map[[#This Row],[role_id]], role_data[role_id], role_data[Role],"")</f>
        <v>ScotSTAR Administrator</v>
      </c>
      <c r="C1418">
        <v>999021</v>
      </c>
      <c r="D1418" s="5" t="str">
        <f>_xlfn.XLOOKUP(role_course_map[[#This Row],[course_id]],course_data[course_id],course_data[title],"")</f>
        <v>Mental Health</v>
      </c>
      <c r="E1418" s="5" t="str">
        <f>_xlfn.XLOOKUP(role_course_map[[#This Row],[course_id]],course_data[course_id],course_data[topic],"")</f>
        <v>SAS : Clinical Practice</v>
      </c>
      <c r="F1418" s="5" t="str">
        <f>_xlfn.XLOOKUP(role_course_map[[#This Row],[course_id]],course_data[course_id],course_data[type],"")</f>
        <v>eLearning</v>
      </c>
      <c r="K1418" t="str">
        <f>role_course_map[[#This Row],[role_id]] &amp; "|" &amp; role_course_map[[#This Row],[course_id]]</f>
        <v>R0151|999021</v>
      </c>
      <c r="L1418" t="str">
        <f>IF(COUNTIF(role_course_map[mapping_key],role_course_map[[#This Row],[mapping_key]])&gt;1,"DUPLICATE","OK")</f>
        <v>OK</v>
      </c>
      <c r="M1418" t="str">
        <f>IF(COUNTIF(role_data[role_id],role_course_map[[#This Row],[role_id]])=0, "INVALID","VALID")</f>
        <v>VALID</v>
      </c>
      <c r="N1418" t="str">
        <f>IF(COUNTIF(course_data[course_id],role_course_map[[#This Row],[course_id]])=0, "INVALID","VALID")</f>
        <v>VALID</v>
      </c>
    </row>
    <row r="1419" spans="1:14" x14ac:dyDescent="0.35">
      <c r="A1419" t="s">
        <v>314</v>
      </c>
      <c r="B1419" s="5" t="str">
        <f>_xlfn.XLOOKUP(role_course_map[[#This Row],[role_id]], role_data[role_id], role_data[Role],"")</f>
        <v>ScotSTAR Administrator</v>
      </c>
      <c r="C1419">
        <v>999022</v>
      </c>
      <c r="D1419" s="5" t="str">
        <f>_xlfn.XLOOKUP(role_course_map[[#This Row],[course_id]],course_data[course_id],course_data[title],"")</f>
        <v>Learning Disabilities</v>
      </c>
      <c r="E1419" s="5" t="str">
        <f>_xlfn.XLOOKUP(role_course_map[[#This Row],[course_id]],course_data[course_id],course_data[topic],"")</f>
        <v>SAS : Clinical Practice</v>
      </c>
      <c r="F1419" s="5" t="str">
        <f>_xlfn.XLOOKUP(role_course_map[[#This Row],[course_id]],course_data[course_id],course_data[type],"")</f>
        <v>eLearning</v>
      </c>
      <c r="K1419" t="str">
        <f>role_course_map[[#This Row],[role_id]] &amp; "|" &amp; role_course_map[[#This Row],[course_id]]</f>
        <v>R0151|999022</v>
      </c>
      <c r="L1419" t="str">
        <f>IF(COUNTIF(role_course_map[mapping_key],role_course_map[[#This Row],[mapping_key]])&gt;1,"DUPLICATE","OK")</f>
        <v>OK</v>
      </c>
      <c r="M1419" t="str">
        <f>IF(COUNTIF(role_data[role_id],role_course_map[[#This Row],[role_id]])=0, "INVALID","VALID")</f>
        <v>VALID</v>
      </c>
      <c r="N1419" t="str">
        <f>IF(COUNTIF(course_data[course_id],role_course_map[[#This Row],[course_id]])=0, "INVALID","VALID")</f>
        <v>VALID</v>
      </c>
    </row>
    <row r="1420" spans="1:14" x14ac:dyDescent="0.35">
      <c r="A1420" t="s">
        <v>314</v>
      </c>
      <c r="B1420" s="5" t="str">
        <f>_xlfn.XLOOKUP(role_course_map[[#This Row],[role_id]], role_data[role_id], role_data[Role],"")</f>
        <v>ScotSTAR Administrator</v>
      </c>
      <c r="C1420">
        <v>75202</v>
      </c>
      <c r="D1420" s="5" t="str">
        <f>_xlfn.XLOOKUP(role_course_map[[#This Row],[course_id]],course_data[course_id],course_data[title],"")</f>
        <v>SAS : Clinical Practice</v>
      </c>
      <c r="E1420" s="5" t="str">
        <f>_xlfn.XLOOKUP(role_course_map[[#This Row],[course_id]],course_data[course_id],course_data[topic],"")</f>
        <v>SAS : Clinical Practice</v>
      </c>
      <c r="F1420" s="5" t="str">
        <f>_xlfn.XLOOKUP(role_course_map[[#This Row],[course_id]],course_data[course_id],course_data[type],"")</f>
        <v>Page</v>
      </c>
      <c r="K1420" t="str">
        <f>role_course_map[[#This Row],[role_id]] &amp; "|" &amp; role_course_map[[#This Row],[course_id]]</f>
        <v>R0151|75202</v>
      </c>
      <c r="L1420" t="str">
        <f>IF(COUNTIF(role_course_map[mapping_key],role_course_map[[#This Row],[mapping_key]])&gt;1,"DUPLICATE","OK")</f>
        <v>OK</v>
      </c>
      <c r="M1420" t="str">
        <f>IF(COUNTIF(role_data[role_id],role_course_map[[#This Row],[role_id]])=0, "INVALID","VALID")</f>
        <v>VALID</v>
      </c>
      <c r="N1420" t="str">
        <f>IF(COUNTIF(course_data[course_id],role_course_map[[#This Row],[course_id]])=0, "INVALID","VALID")</f>
        <v>VALID</v>
      </c>
    </row>
    <row r="1421" spans="1:14" x14ac:dyDescent="0.35">
      <c r="A1421" t="s">
        <v>314</v>
      </c>
      <c r="B1421" s="5" t="str">
        <f>_xlfn.XLOOKUP(role_course_map[[#This Row],[role_id]], role_data[role_id], role_data[Role],"")</f>
        <v>ScotSTAR Administrator</v>
      </c>
      <c r="C1421">
        <v>999023</v>
      </c>
      <c r="D1421" s="5" t="str">
        <f>_xlfn.XLOOKUP(role_course_map[[#This Row],[course_id]],course_data[course_id],course_data[title],"")</f>
        <v>Dementia</v>
      </c>
      <c r="E1421" s="5" t="str">
        <f>_xlfn.XLOOKUP(role_course_map[[#This Row],[course_id]],course_data[course_id],course_data[topic],"")</f>
        <v>SAS : Clinical Practice</v>
      </c>
      <c r="F1421" s="5" t="str">
        <f>_xlfn.XLOOKUP(role_course_map[[#This Row],[course_id]],course_data[course_id],course_data[type],"")</f>
        <v>eLearning</v>
      </c>
      <c r="K1421" t="str">
        <f>role_course_map[[#This Row],[role_id]] &amp; "|" &amp; role_course_map[[#This Row],[course_id]]</f>
        <v>R0151|999023</v>
      </c>
      <c r="L1421" t="str">
        <f>IF(COUNTIF(role_course_map[mapping_key],role_course_map[[#This Row],[mapping_key]])&gt;1,"DUPLICATE","OK")</f>
        <v>OK</v>
      </c>
      <c r="M1421" t="str">
        <f>IF(COUNTIF(role_data[role_id],role_course_map[[#This Row],[role_id]])=0, "INVALID","VALID")</f>
        <v>VALID</v>
      </c>
      <c r="N1421" t="str">
        <f>IF(COUNTIF(course_data[course_id],role_course_map[[#This Row],[course_id]])=0, "INVALID","VALID")</f>
        <v>VALID</v>
      </c>
    </row>
    <row r="1422" spans="1:14" x14ac:dyDescent="0.35">
      <c r="A1422" t="s">
        <v>314</v>
      </c>
      <c r="B1422" s="5" t="str">
        <f>_xlfn.XLOOKUP(role_course_map[[#This Row],[role_id]], role_data[role_id], role_data[Role],"")</f>
        <v>ScotSTAR Administrator</v>
      </c>
      <c r="C1422">
        <v>999095</v>
      </c>
      <c r="D1422" s="5" t="str">
        <f>_xlfn.XLOOKUP(role_course_map[[#This Row],[course_id]],course_data[course_id],course_data[title],"")</f>
        <v>Mentoring</v>
      </c>
      <c r="E1422" s="5" t="str">
        <f>_xlfn.XLOOKUP(role_course_map[[#This Row],[course_id]],course_data[course_id],course_data[topic],"")</f>
        <v>SAS: Staff development and experience</v>
      </c>
      <c r="F1422" s="5" t="str">
        <f>_xlfn.XLOOKUP(role_course_map[[#This Row],[course_id]],course_data[course_id],course_data[type],"")</f>
        <v>eLearning</v>
      </c>
      <c r="K1422" t="str">
        <f>role_course_map[[#This Row],[role_id]] &amp; "|" &amp; role_course_map[[#This Row],[course_id]]</f>
        <v>R0151|999095</v>
      </c>
      <c r="L1422" t="str">
        <f>IF(COUNTIF(role_course_map[mapping_key],role_course_map[[#This Row],[mapping_key]])&gt;1,"DUPLICATE","OK")</f>
        <v>OK</v>
      </c>
      <c r="M1422" t="str">
        <f>IF(COUNTIF(role_data[role_id],role_course_map[[#This Row],[role_id]])=0, "INVALID","VALID")</f>
        <v>VALID</v>
      </c>
      <c r="N1422" t="str">
        <f>IF(COUNTIF(course_data[course_id],role_course_map[[#This Row],[course_id]])=0, "INVALID","VALID")</f>
        <v>VALID</v>
      </c>
    </row>
    <row r="1423" spans="1:14" x14ac:dyDescent="0.35">
      <c r="A1423" t="s">
        <v>314</v>
      </c>
      <c r="B1423" s="5" t="str">
        <f>_xlfn.XLOOKUP(role_course_map[[#This Row],[role_id]], role_data[role_id], role_data[Role],"")</f>
        <v>ScotSTAR Administrator</v>
      </c>
      <c r="C1423">
        <v>999096</v>
      </c>
      <c r="D1423" s="5" t="str">
        <f>_xlfn.XLOOKUP(role_course_map[[#This Row],[course_id]],course_data[course_id],course_data[title],"")</f>
        <v>Supporting others in practice (Supervision)</v>
      </c>
      <c r="E1423" s="5" t="str">
        <f>_xlfn.XLOOKUP(role_course_map[[#This Row],[course_id]],course_data[course_id],course_data[topic],"")</f>
        <v>SAS: Staff development and experience</v>
      </c>
      <c r="F1423" s="5" t="str">
        <f>_xlfn.XLOOKUP(role_course_map[[#This Row],[course_id]],course_data[course_id],course_data[type],"")</f>
        <v>Course</v>
      </c>
      <c r="K1423" t="str">
        <f>role_course_map[[#This Row],[role_id]] &amp; "|" &amp; role_course_map[[#This Row],[course_id]]</f>
        <v>R0151|999096</v>
      </c>
      <c r="L1423" t="str">
        <f>IF(COUNTIF(role_course_map[mapping_key],role_course_map[[#This Row],[mapping_key]])&gt;1,"DUPLICATE","OK")</f>
        <v>OK</v>
      </c>
      <c r="M1423" t="str">
        <f>IF(COUNTIF(role_data[role_id],role_course_map[[#This Row],[role_id]])=0, "INVALID","VALID")</f>
        <v>VALID</v>
      </c>
      <c r="N1423" t="str">
        <f>IF(COUNTIF(course_data[course_id],role_course_map[[#This Row],[course_id]])=0, "INVALID","VALID")</f>
        <v>VALID</v>
      </c>
    </row>
    <row r="1424" spans="1:14" x14ac:dyDescent="0.35">
      <c r="A1424" t="s">
        <v>314</v>
      </c>
      <c r="B1424" s="5" t="str">
        <f>_xlfn.XLOOKUP(role_course_map[[#This Row],[role_id]], role_data[role_id], role_data[Role],"")</f>
        <v>ScotSTAR Administrator</v>
      </c>
      <c r="C1424">
        <v>999097</v>
      </c>
      <c r="D1424" s="5" t="str">
        <f>_xlfn.XLOOKUP(role_course_map[[#This Row],[course_id]],course_data[course_id],course_data[title],"")</f>
        <v>Personal Wellbeing</v>
      </c>
      <c r="E1424" s="5" t="str">
        <f>_xlfn.XLOOKUP(role_course_map[[#This Row],[course_id]],course_data[course_id],course_data[topic],"")</f>
        <v>SAS: Staff development and experience</v>
      </c>
      <c r="F1424" s="5" t="str">
        <f>_xlfn.XLOOKUP(role_course_map[[#This Row],[course_id]],course_data[course_id],course_data[type],"")</f>
        <v>eLearning</v>
      </c>
      <c r="K1424" t="str">
        <f>role_course_map[[#This Row],[role_id]] &amp; "|" &amp; role_course_map[[#This Row],[course_id]]</f>
        <v>R0151|999097</v>
      </c>
      <c r="L1424" t="str">
        <f>IF(COUNTIF(role_course_map[mapping_key],role_course_map[[#This Row],[mapping_key]])&gt;1,"DUPLICATE","OK")</f>
        <v>OK</v>
      </c>
      <c r="M1424" t="str">
        <f>IF(COUNTIF(role_data[role_id],role_course_map[[#This Row],[role_id]])=0, "INVALID","VALID")</f>
        <v>VALID</v>
      </c>
      <c r="N1424" t="str">
        <f>IF(COUNTIF(course_data[course_id],role_course_map[[#This Row],[course_id]])=0, "INVALID","VALID")</f>
        <v>VALID</v>
      </c>
    </row>
    <row r="1425" spans="1:14" x14ac:dyDescent="0.35">
      <c r="A1425" t="s">
        <v>314</v>
      </c>
      <c r="B1425" s="5" t="str">
        <f>_xlfn.XLOOKUP(role_course_map[[#This Row],[role_id]], role_data[role_id], role_data[Role],"")</f>
        <v>ScotSTAR Administrator</v>
      </c>
      <c r="C1425">
        <v>79147</v>
      </c>
      <c r="D1425" s="5" t="str">
        <f>_xlfn.XLOOKUP(role_course_map[[#This Row],[course_id]],course_data[course_id],course_data[title],"")</f>
        <v>Driving risks at work</v>
      </c>
      <c r="E1425" s="5" t="str">
        <f>_xlfn.XLOOKUP(role_course_map[[#This Row],[course_id]],course_data[course_id],course_data[topic],"")</f>
        <v>SAS : Health and Safety</v>
      </c>
      <c r="F1425" s="5" t="str">
        <f>_xlfn.XLOOKUP(role_course_map[[#This Row],[course_id]],course_data[course_id],course_data[type],"")</f>
        <v>eLearning</v>
      </c>
      <c r="K1425" t="str">
        <f>role_course_map[[#This Row],[role_id]] &amp; "|" &amp; role_course_map[[#This Row],[course_id]]</f>
        <v>R0151|79147</v>
      </c>
      <c r="L1425" t="str">
        <f>IF(COUNTIF(role_course_map[mapping_key],role_course_map[[#This Row],[mapping_key]])&gt;1,"DUPLICATE","OK")</f>
        <v>OK</v>
      </c>
      <c r="M1425" t="str">
        <f>IF(COUNTIF(role_data[role_id],role_course_map[[#This Row],[role_id]])=0, "INVALID","VALID")</f>
        <v>VALID</v>
      </c>
      <c r="N1425" t="str">
        <f>IF(COUNTIF(course_data[course_id],role_course_map[[#This Row],[course_id]])=0, "INVALID","VALID")</f>
        <v>VALID</v>
      </c>
    </row>
    <row r="1426" spans="1:14" x14ac:dyDescent="0.35">
      <c r="A1426" t="s">
        <v>314</v>
      </c>
      <c r="B1426" s="5" t="str">
        <f>_xlfn.XLOOKUP(role_course_map[[#This Row],[role_id]], role_data[role_id], role_data[Role],"")</f>
        <v>ScotSTAR Administrator</v>
      </c>
      <c r="C1426">
        <v>999066</v>
      </c>
      <c r="D1426" s="5" t="str">
        <f>_xlfn.XLOOKUP(role_course_map[[#This Row],[course_id]],course_data[course_id],course_data[title],"")</f>
        <v>NRRD Update i.e. Major Incidents/Methane/ Multiple Casualities</v>
      </c>
      <c r="E1426" s="5" t="str">
        <f>_xlfn.XLOOKUP(role_course_map[[#This Row],[course_id]],course_data[course_id],course_data[topic],"")</f>
        <v>SAS : National Risk and Resilience Department (NRRD)</v>
      </c>
      <c r="F1426" s="5" t="str">
        <f>_xlfn.XLOOKUP(role_course_map[[#This Row],[course_id]],course_data[course_id],course_data[type],"")</f>
        <v>eLearning</v>
      </c>
      <c r="K1426" t="str">
        <f>role_course_map[[#This Row],[role_id]] &amp; "|" &amp; role_course_map[[#This Row],[course_id]]</f>
        <v>R0151|999066</v>
      </c>
      <c r="L1426" t="str">
        <f>IF(COUNTIF(role_course_map[mapping_key],role_course_map[[#This Row],[mapping_key]])&gt;1,"DUPLICATE","OK")</f>
        <v>OK</v>
      </c>
      <c r="M1426" t="str">
        <f>IF(COUNTIF(role_data[role_id],role_course_map[[#This Row],[role_id]])=0, "INVALID","VALID")</f>
        <v>VALID</v>
      </c>
      <c r="N1426" t="str">
        <f>IF(COUNTIF(course_data[course_id],role_course_map[[#This Row],[course_id]])=0, "INVALID","VALID")</f>
        <v>VALID</v>
      </c>
    </row>
    <row r="1427" spans="1:14" x14ac:dyDescent="0.35">
      <c r="A1427" t="s">
        <v>314</v>
      </c>
      <c r="B1427" s="5" t="str">
        <f>_xlfn.XLOOKUP(role_course_map[[#This Row],[role_id]], role_data[role_id], role_data[Role],"")</f>
        <v>ScotSTAR Administrator</v>
      </c>
      <c r="C1427">
        <v>999025</v>
      </c>
      <c r="D1427" s="5" t="str">
        <f>_xlfn.XLOOKUP(role_course_map[[#This Row],[course_id]],course_data[course_id],course_data[title],"")</f>
        <v>Professional Standards</v>
      </c>
      <c r="E1427" s="5" t="str">
        <f>_xlfn.XLOOKUP(role_course_map[[#This Row],[course_id]],course_data[course_id],course_data[topic],"")</f>
        <v>SAS : Clinical Practice</v>
      </c>
      <c r="F1427" s="5" t="str">
        <f>_xlfn.XLOOKUP(role_course_map[[#This Row],[course_id]],course_data[course_id],course_data[type],"")</f>
        <v>eLearning</v>
      </c>
      <c r="K1427" t="str">
        <f>role_course_map[[#This Row],[role_id]] &amp; "|" &amp; role_course_map[[#This Row],[course_id]]</f>
        <v>R0151|999025</v>
      </c>
      <c r="L1427" t="str">
        <f>IF(COUNTIF(role_course_map[mapping_key],role_course_map[[#This Row],[mapping_key]])&gt;1,"DUPLICATE","OK")</f>
        <v>OK</v>
      </c>
      <c r="M1427" t="str">
        <f>IF(COUNTIF(role_data[role_id],role_course_map[[#This Row],[role_id]])=0, "INVALID","VALID")</f>
        <v>VALID</v>
      </c>
      <c r="N1427" t="str">
        <f>IF(COUNTIF(course_data[course_id],role_course_map[[#This Row],[course_id]])=0, "INVALID","VALID")</f>
        <v>VALID</v>
      </c>
    </row>
    <row r="1428" spans="1:14" x14ac:dyDescent="0.35">
      <c r="A1428" t="s">
        <v>314</v>
      </c>
      <c r="B1428" s="5" t="str">
        <f>_xlfn.XLOOKUP(role_course_map[[#This Row],[role_id]], role_data[role_id], role_data[Role],"")</f>
        <v>ScotSTAR Administrator</v>
      </c>
      <c r="C1428">
        <v>999058</v>
      </c>
      <c r="D1428" s="5" t="str">
        <f>_xlfn.XLOOKUP(role_course_map[[#This Row],[course_id]],course_data[course_id],course_data[title],"")</f>
        <v>Stress Identification &amp; Stress Management</v>
      </c>
      <c r="E1428" s="5" t="str">
        <f>_xlfn.XLOOKUP(role_course_map[[#This Row],[course_id]],course_data[course_id],course_data[topic],"")</f>
        <v>SAS : Health and Safety</v>
      </c>
      <c r="F1428" s="5" t="str">
        <f>_xlfn.XLOOKUP(role_course_map[[#This Row],[course_id]],course_data[course_id],course_data[type],"")</f>
        <v>eLearning</v>
      </c>
      <c r="K1428" t="str">
        <f>role_course_map[[#This Row],[role_id]] &amp; "|" &amp; role_course_map[[#This Row],[course_id]]</f>
        <v>R0151|999058</v>
      </c>
      <c r="L1428" t="str">
        <f>IF(COUNTIF(role_course_map[mapping_key],role_course_map[[#This Row],[mapping_key]])&gt;1,"DUPLICATE","OK")</f>
        <v>OK</v>
      </c>
      <c r="M1428" t="str">
        <f>IF(COUNTIF(role_data[role_id],role_course_map[[#This Row],[role_id]])=0, "INVALID","VALID")</f>
        <v>VALID</v>
      </c>
      <c r="N1428" t="str">
        <f>IF(COUNTIF(course_data[course_id],role_course_map[[#This Row],[course_id]])=0, "INVALID","VALID")</f>
        <v>VALID</v>
      </c>
    </row>
    <row r="1429" spans="1:14" x14ac:dyDescent="0.35">
      <c r="A1429" t="s">
        <v>314</v>
      </c>
      <c r="B1429" s="5" t="str">
        <f>_xlfn.XLOOKUP(role_course_map[[#This Row],[role_id]], role_data[role_id], role_data[Role],"")</f>
        <v>ScotSTAR Administrator</v>
      </c>
      <c r="C1429">
        <v>999061</v>
      </c>
      <c r="D1429" s="5" t="str">
        <f>_xlfn.XLOOKUP(role_course_map[[#This Row],[course_id]],course_data[course_id],course_data[title],"")</f>
        <v>Skin Awareness</v>
      </c>
      <c r="E1429" s="5" t="str">
        <f>_xlfn.XLOOKUP(role_course_map[[#This Row],[course_id]],course_data[course_id],course_data[topic],"")</f>
        <v>SAS : Health and Safety</v>
      </c>
      <c r="F1429" s="5" t="str">
        <f>_xlfn.XLOOKUP(role_course_map[[#This Row],[course_id]],course_data[course_id],course_data[type],"")</f>
        <v>eLearning</v>
      </c>
      <c r="K1429" t="str">
        <f>role_course_map[[#This Row],[role_id]] &amp; "|" &amp; role_course_map[[#This Row],[course_id]]</f>
        <v>R0151|999061</v>
      </c>
      <c r="L1429" t="str">
        <f>IF(COUNTIF(role_course_map[mapping_key],role_course_map[[#This Row],[mapping_key]])&gt;1,"DUPLICATE","OK")</f>
        <v>OK</v>
      </c>
      <c r="M1429" t="str">
        <f>IF(COUNTIF(role_data[role_id],role_course_map[[#This Row],[role_id]])=0, "INVALID","VALID")</f>
        <v>VALID</v>
      </c>
      <c r="N1429" t="str">
        <f>IF(COUNTIF(course_data[course_id],role_course_map[[#This Row],[course_id]])=0, "INVALID","VALID")</f>
        <v>VALID</v>
      </c>
    </row>
    <row r="1430" spans="1:14" x14ac:dyDescent="0.35">
      <c r="A1430" t="s">
        <v>314</v>
      </c>
      <c r="B1430" s="5" t="str">
        <f>_xlfn.XLOOKUP(role_course_map[[#This Row],[role_id]], role_data[role_id], role_data[Role],"")</f>
        <v>ScotSTAR Administrator</v>
      </c>
      <c r="C1430">
        <v>999027</v>
      </c>
      <c r="D1430" s="5" t="str">
        <f>_xlfn.XLOOKUP(role_course_map[[#This Row],[course_id]],course_data[course_id],course_data[title],"")</f>
        <v>Manual and Patient Handling Foundation Training - Level 2</v>
      </c>
      <c r="E1430" s="5" t="str">
        <f>_xlfn.XLOOKUP(role_course_map[[#This Row],[course_id]],course_data[course_id],course_data[topic],"")</f>
        <v>SAS : Clinical Practice</v>
      </c>
      <c r="F1430" s="5" t="str">
        <f>_xlfn.XLOOKUP(role_course_map[[#This Row],[course_id]],course_data[course_id],course_data[type],"")</f>
        <v>Course</v>
      </c>
      <c r="K1430" t="str">
        <f>role_course_map[[#This Row],[role_id]] &amp; "|" &amp; role_course_map[[#This Row],[course_id]]</f>
        <v>R0151|999027</v>
      </c>
      <c r="L1430" t="str">
        <f>IF(COUNTIF(role_course_map[mapping_key],role_course_map[[#This Row],[mapping_key]])&gt;1,"DUPLICATE","OK")</f>
        <v>OK</v>
      </c>
      <c r="M1430" t="str">
        <f>IF(COUNTIF(role_data[role_id],role_course_map[[#This Row],[role_id]])=0, "INVALID","VALID")</f>
        <v>VALID</v>
      </c>
      <c r="N1430" t="str">
        <f>IF(COUNTIF(course_data[course_id],role_course_map[[#This Row],[course_id]])=0, "INVALID","VALID")</f>
        <v>VALID</v>
      </c>
    </row>
    <row r="1431" spans="1:14" x14ac:dyDescent="0.35">
      <c r="A1431" t="s">
        <v>314</v>
      </c>
      <c r="B1431" s="5" t="str">
        <f>_xlfn.XLOOKUP(role_course_map[[#This Row],[role_id]], role_data[role_id], role_data[Role],"")</f>
        <v>ScotSTAR Administrator</v>
      </c>
      <c r="C1431">
        <v>999028</v>
      </c>
      <c r="D1431" s="5" t="str">
        <f>_xlfn.XLOOKUP(role_course_map[[#This Row],[course_id]],course_data[course_id],course_data[title],"")</f>
        <v>Manual and Patient Handling Competency Assessment - Level 3</v>
      </c>
      <c r="E1431" s="5" t="str">
        <f>_xlfn.XLOOKUP(role_course_map[[#This Row],[course_id]],course_data[course_id],course_data[topic],"")</f>
        <v>SAS : Clinical Practice</v>
      </c>
      <c r="F1431" s="5" t="str">
        <f>_xlfn.XLOOKUP(role_course_map[[#This Row],[course_id]],course_data[course_id],course_data[type],"")</f>
        <v>Course</v>
      </c>
      <c r="K1431" t="str">
        <f>role_course_map[[#This Row],[role_id]] &amp; "|" &amp; role_course_map[[#This Row],[course_id]]</f>
        <v>R0151|999028</v>
      </c>
      <c r="L1431" t="str">
        <f>IF(COUNTIF(role_course_map[mapping_key],role_course_map[[#This Row],[mapping_key]])&gt;1,"DUPLICATE","OK")</f>
        <v>OK</v>
      </c>
      <c r="M1431" t="str">
        <f>IF(COUNTIF(role_data[role_id],role_course_map[[#This Row],[role_id]])=0, "INVALID","VALID")</f>
        <v>VALID</v>
      </c>
      <c r="N1431" t="str">
        <f>IF(COUNTIF(course_data[course_id],role_course_map[[#This Row],[course_id]])=0, "INVALID","VALID")</f>
        <v>VALID</v>
      </c>
    </row>
    <row r="1432" spans="1:14" x14ac:dyDescent="0.35">
      <c r="A1432" t="s">
        <v>314</v>
      </c>
      <c r="B1432" s="5" t="str">
        <f>_xlfn.XLOOKUP(role_course_map[[#This Row],[role_id]], role_data[role_id], role_data[Role],"")</f>
        <v>ScotSTAR Administrator</v>
      </c>
      <c r="C1432">
        <v>999029</v>
      </c>
      <c r="D1432" s="5" t="str">
        <f>_xlfn.XLOOKUP(role_course_map[[#This Row],[course_id]],course_data[course_id],course_data[title],"")</f>
        <v>Manual and Patient Handling Competency Assessment Theory - Level 3</v>
      </c>
      <c r="E1432" s="5" t="str">
        <f>_xlfn.XLOOKUP(role_course_map[[#This Row],[course_id]],course_data[course_id],course_data[topic],"")</f>
        <v>SAS : Clinical Practice</v>
      </c>
      <c r="F1432" s="5" t="str">
        <f>_xlfn.XLOOKUP(role_course_map[[#This Row],[course_id]],course_data[course_id],course_data[type],"")</f>
        <v>Course</v>
      </c>
      <c r="K1432" t="str">
        <f>role_course_map[[#This Row],[role_id]] &amp; "|" &amp; role_course_map[[#This Row],[course_id]]</f>
        <v>R0151|999029</v>
      </c>
      <c r="L1432" t="str">
        <f>IF(COUNTIF(role_course_map[mapping_key],role_course_map[[#This Row],[mapping_key]])&gt;1,"DUPLICATE","OK")</f>
        <v>OK</v>
      </c>
      <c r="M1432" t="str">
        <f>IF(COUNTIF(role_data[role_id],role_course_map[[#This Row],[role_id]])=0, "INVALID","VALID")</f>
        <v>VALID</v>
      </c>
      <c r="N1432" t="str">
        <f>IF(COUNTIF(course_data[course_id],role_course_map[[#This Row],[course_id]])=0, "INVALID","VALID")</f>
        <v>VALID</v>
      </c>
    </row>
    <row r="1433" spans="1:14" x14ac:dyDescent="0.35">
      <c r="A1433" t="s">
        <v>314</v>
      </c>
      <c r="B1433" s="5" t="str">
        <f>_xlfn.XLOOKUP(role_course_map[[#This Row],[role_id]], role_data[role_id], role_data[Role],"")</f>
        <v>ScotSTAR Administrator</v>
      </c>
      <c r="C1433" t="s">
        <v>659</v>
      </c>
      <c r="D1433" s="5" t="str">
        <f>_xlfn.XLOOKUP(role_course_map[[#This Row],[course_id]],course_data[course_id],course_data[title],"")</f>
        <v>Prevention and Management of Violence and Aggression - Breakaway training Level 2 /Restrictive movement Level 3</v>
      </c>
      <c r="E1433" s="5" t="str">
        <f>_xlfn.XLOOKUP(role_course_map[[#This Row],[course_id]],course_data[course_id],course_data[topic],"")</f>
        <v>SAS : Health and Safety</v>
      </c>
      <c r="F1433" s="5" t="str">
        <f>_xlfn.XLOOKUP(role_course_map[[#This Row],[course_id]],course_data[course_id],course_data[type],"")</f>
        <v>Course</v>
      </c>
      <c r="K1433" t="str">
        <f>role_course_map[[#This Row],[role_id]] &amp; "|" &amp; role_course_map[[#This Row],[course_id]]</f>
        <v>R0151|2025-6 edition</v>
      </c>
      <c r="L1433" t="str">
        <f>IF(COUNTIF(role_course_map[mapping_key],role_course_map[[#This Row],[mapping_key]])&gt;1,"DUPLICATE","OK")</f>
        <v>OK</v>
      </c>
      <c r="M1433" t="str">
        <f>IF(COUNTIF(role_data[role_id],role_course_map[[#This Row],[role_id]])=0, "INVALID","VALID")</f>
        <v>VALID</v>
      </c>
      <c r="N1433" t="str">
        <f>IF(COUNTIF(course_data[course_id],role_course_map[[#This Row],[course_id]])=0, "INVALID","VALID")</f>
        <v>VALID</v>
      </c>
    </row>
    <row r="1434" spans="1:14" x14ac:dyDescent="0.35">
      <c r="A1434" t="s">
        <v>314</v>
      </c>
      <c r="B1434" s="5" t="str">
        <f>_xlfn.XLOOKUP(role_course_map[[#This Row],[role_id]], role_data[role_id], role_data[Role],"")</f>
        <v>ScotSTAR Administrator</v>
      </c>
      <c r="C1434">
        <v>999055</v>
      </c>
      <c r="D1434" s="5" t="str">
        <f>_xlfn.XLOOKUP(role_course_map[[#This Row],[course_id]],course_data[course_id],course_data[title],"")</f>
        <v>Prevention and Management of Violence and Aggression - Refresher</v>
      </c>
      <c r="E1434" s="5" t="str">
        <f>_xlfn.XLOOKUP(role_course_map[[#This Row],[course_id]],course_data[course_id],course_data[topic],"")</f>
        <v>SAS : Health and Safety</v>
      </c>
      <c r="F1434" s="5" t="str">
        <f>_xlfn.XLOOKUP(role_course_map[[#This Row],[course_id]],course_data[course_id],course_data[type],"")</f>
        <v>Course</v>
      </c>
      <c r="K1434" t="str">
        <f>role_course_map[[#This Row],[role_id]] &amp; "|" &amp; role_course_map[[#This Row],[course_id]]</f>
        <v>R0151|999055</v>
      </c>
      <c r="L1434" t="str">
        <f>IF(COUNTIF(role_course_map[mapping_key],role_course_map[[#This Row],[mapping_key]])&gt;1,"DUPLICATE","OK")</f>
        <v>OK</v>
      </c>
      <c r="M1434" t="str">
        <f>IF(COUNTIF(role_data[role_id],role_course_map[[#This Row],[role_id]])=0, "INVALID","VALID")</f>
        <v>VALID</v>
      </c>
      <c r="N1434" t="str">
        <f>IF(COUNTIF(course_data[course_id],role_course_map[[#This Row],[course_id]])=0, "INVALID","VALID")</f>
        <v>VALID</v>
      </c>
    </row>
    <row r="1435" spans="1:14" x14ac:dyDescent="0.35">
      <c r="A1435" t="s">
        <v>314</v>
      </c>
      <c r="B1435" s="5" t="str">
        <f>_xlfn.XLOOKUP(role_course_map[[#This Row],[role_id]], role_data[role_id], role_data[Role],"")</f>
        <v>ScotSTAR Administrator</v>
      </c>
      <c r="C1435">
        <v>64322</v>
      </c>
      <c r="D1435" s="5" t="str">
        <f>_xlfn.XLOOKUP(role_course_map[[#This Row],[course_id]],course_data[course_id],course_data[title],"")</f>
        <v>Adult support and protection: practice level 2 [skilled]</v>
      </c>
      <c r="E1435" s="5" t="str">
        <f>_xlfn.XLOOKUP(role_course_map[[#This Row],[course_id]],course_data[course_id],course_data[topic],"")</f>
        <v>SAS : Public Protection</v>
      </c>
      <c r="F1435" s="5" t="str">
        <f>_xlfn.XLOOKUP(role_course_map[[#This Row],[course_id]],course_data[course_id],course_data[type],"")</f>
        <v>eLearning</v>
      </c>
      <c r="K1435" t="str">
        <f>role_course_map[[#This Row],[role_id]] &amp; "|" &amp; role_course_map[[#This Row],[course_id]]</f>
        <v>R0151|64322</v>
      </c>
      <c r="L1435" t="str">
        <f>IF(COUNTIF(role_course_map[mapping_key],role_course_map[[#This Row],[mapping_key]])&gt;1,"DUPLICATE","OK")</f>
        <v>OK</v>
      </c>
      <c r="M1435" t="str">
        <f>IF(COUNTIF(role_data[role_id],role_course_map[[#This Row],[role_id]])=0, "INVALID","VALID")</f>
        <v>VALID</v>
      </c>
      <c r="N1435" t="str">
        <f>IF(COUNTIF(course_data[course_id],role_course_map[[#This Row],[course_id]])=0, "INVALID","VALID")</f>
        <v>VALID</v>
      </c>
    </row>
    <row r="1436" spans="1:14" x14ac:dyDescent="0.35">
      <c r="A1436" t="s">
        <v>314</v>
      </c>
      <c r="B1436" s="5" t="str">
        <f>_xlfn.XLOOKUP(role_course_map[[#This Row],[role_id]], role_data[role_id], role_data[Role],"")</f>
        <v>ScotSTAR Administrator</v>
      </c>
      <c r="C1436">
        <v>64324</v>
      </c>
      <c r="D1436" s="5" t="str">
        <f>_xlfn.XLOOKUP(role_course_map[[#This Row],[course_id]],course_data[course_id],course_data[title],"")</f>
        <v>Child protection: practice level 2 [skilled]</v>
      </c>
      <c r="E1436" s="5" t="str">
        <f>_xlfn.XLOOKUP(role_course_map[[#This Row],[course_id]],course_data[course_id],course_data[topic],"")</f>
        <v>SAS : Public Protection</v>
      </c>
      <c r="F1436" s="5" t="str">
        <f>_xlfn.XLOOKUP(role_course_map[[#This Row],[course_id]],course_data[course_id],course_data[type],"")</f>
        <v>eLearning</v>
      </c>
      <c r="K1436" t="str">
        <f>role_course_map[[#This Row],[role_id]] &amp; "|" &amp; role_course_map[[#This Row],[course_id]]</f>
        <v>R0151|64324</v>
      </c>
      <c r="L1436" t="str">
        <f>IF(COUNTIF(role_course_map[mapping_key],role_course_map[[#This Row],[mapping_key]])&gt;1,"DUPLICATE","OK")</f>
        <v>OK</v>
      </c>
      <c r="M1436" t="str">
        <f>IF(COUNTIF(role_data[role_id],role_course_map[[#This Row],[role_id]])=0, "INVALID","VALID")</f>
        <v>VALID</v>
      </c>
      <c r="N1436" t="str">
        <f>IF(COUNTIF(course_data[course_id],role_course_map[[#This Row],[course_id]])=0, "INVALID","VALID")</f>
        <v>VALID</v>
      </c>
    </row>
    <row r="1437" spans="1:14" x14ac:dyDescent="0.35">
      <c r="A1437" t="s">
        <v>314</v>
      </c>
      <c r="B1437" s="5" t="str">
        <f>_xlfn.XLOOKUP(role_course_map[[#This Row],[role_id]], role_data[role_id], role_data[Role],"")</f>
        <v>ScotSTAR Administrator</v>
      </c>
      <c r="C1437">
        <v>79666</v>
      </c>
      <c r="D1437" s="5" t="str">
        <f>_xlfn.XLOOKUP(role_course_map[[#This Row],[course_id]],course_data[course_id],course_data[title],"")</f>
        <v>Getting it right for every child (GIRFEC): informed level</v>
      </c>
      <c r="E1437" s="5" t="str">
        <f>_xlfn.XLOOKUP(role_course_map[[#This Row],[course_id]],course_data[course_id],course_data[topic],"")</f>
        <v>SAS : Public Protection</v>
      </c>
      <c r="F1437" s="5" t="str">
        <f>_xlfn.XLOOKUP(role_course_map[[#This Row],[course_id]],course_data[course_id],course_data[type],"")</f>
        <v>eLearning</v>
      </c>
      <c r="K1437" t="str">
        <f>role_course_map[[#This Row],[role_id]] &amp; "|" &amp; role_course_map[[#This Row],[course_id]]</f>
        <v>R0151|79666</v>
      </c>
      <c r="L1437" t="str">
        <f>IF(COUNTIF(role_course_map[mapping_key],role_course_map[[#This Row],[mapping_key]])&gt;1,"DUPLICATE","OK")</f>
        <v>OK</v>
      </c>
      <c r="M1437" t="str">
        <f>IF(COUNTIF(role_data[role_id],role_course_map[[#This Row],[role_id]])=0, "INVALID","VALID")</f>
        <v>VALID</v>
      </c>
      <c r="N1437" t="str">
        <f>IF(COUNTIF(course_data[course_id],role_course_map[[#This Row],[course_id]])=0, "INVALID","VALID")</f>
        <v>VALID</v>
      </c>
    </row>
    <row r="1438" spans="1:14" x14ac:dyDescent="0.35">
      <c r="A1438" t="s">
        <v>314</v>
      </c>
      <c r="B1438" s="5" t="str">
        <f>_xlfn.XLOOKUP(role_course_map[[#This Row],[role_id]], role_data[role_id], role_data[Role],"")</f>
        <v>ScotSTAR Administrator</v>
      </c>
      <c r="C1438">
        <v>999074</v>
      </c>
      <c r="D1438" s="5" t="str">
        <f>_xlfn.XLOOKUP(role_course_map[[#This Row],[course_id]],course_data[course_id],course_data[title],"")</f>
        <v>SAS-specific Children’s rights</v>
      </c>
      <c r="E1438" s="5" t="str">
        <f>_xlfn.XLOOKUP(role_course_map[[#This Row],[course_id]],course_data[course_id],course_data[topic],"")</f>
        <v>SAS : Public Protection</v>
      </c>
      <c r="F1438" s="5" t="str">
        <f>_xlfn.XLOOKUP(role_course_map[[#This Row],[course_id]],course_data[course_id],course_data[type],"")</f>
        <v>eLearning</v>
      </c>
      <c r="K1438" t="str">
        <f>role_course_map[[#This Row],[role_id]] &amp; "|" &amp; role_course_map[[#This Row],[course_id]]</f>
        <v>R0151|999074</v>
      </c>
      <c r="L1438" t="str">
        <f>IF(COUNTIF(role_course_map[mapping_key],role_course_map[[#This Row],[mapping_key]])&gt;1,"DUPLICATE","OK")</f>
        <v>OK</v>
      </c>
      <c r="M1438" t="str">
        <f>IF(COUNTIF(role_data[role_id],role_course_map[[#This Row],[role_id]])=0, "INVALID","VALID")</f>
        <v>VALID</v>
      </c>
      <c r="N1438" t="str">
        <f>IF(COUNTIF(course_data[course_id],role_course_map[[#This Row],[course_id]])=0, "INVALID","VALID")</f>
        <v>VALID</v>
      </c>
    </row>
    <row r="1439" spans="1:14" x14ac:dyDescent="0.35">
      <c r="A1439" t="s">
        <v>314</v>
      </c>
      <c r="B1439" s="5" t="str">
        <f>_xlfn.XLOOKUP(role_course_map[[#This Row],[role_id]], role_data[role_id], role_data[Role],"")</f>
        <v>ScotSTAR Administrator</v>
      </c>
      <c r="C1439">
        <v>999075</v>
      </c>
      <c r="D1439" s="5" t="str">
        <f>_xlfn.XLOOKUP(role_course_map[[#This Row],[course_id]],course_data[course_id],course_data[title],"")</f>
        <v>Multiagency local or bespoke Level 3 delivery training</v>
      </c>
      <c r="E1439" s="5" t="str">
        <f>_xlfn.XLOOKUP(role_course_map[[#This Row],[course_id]],course_data[course_id],course_data[topic],"")</f>
        <v>SAS : Public Protection</v>
      </c>
      <c r="F1439" s="5" t="str">
        <f>_xlfn.XLOOKUP(role_course_map[[#This Row],[course_id]],course_data[course_id],course_data[type],"")</f>
        <v>eLearning</v>
      </c>
      <c r="K1439" t="str">
        <f>role_course_map[[#This Row],[role_id]] &amp; "|" &amp; role_course_map[[#This Row],[course_id]]</f>
        <v>R0151|999075</v>
      </c>
      <c r="L1439" t="str">
        <f>IF(COUNTIF(role_course_map[mapping_key],role_course_map[[#This Row],[mapping_key]])&gt;1,"DUPLICATE","OK")</f>
        <v>OK</v>
      </c>
      <c r="M1439" t="str">
        <f>IF(COUNTIF(role_data[role_id],role_course_map[[#This Row],[role_id]])=0, "INVALID","VALID")</f>
        <v>VALID</v>
      </c>
      <c r="N1439" t="str">
        <f>IF(COUNTIF(course_data[course_id],role_course_map[[#This Row],[course_id]])=0, "INVALID","VALID")</f>
        <v>VALID</v>
      </c>
    </row>
    <row r="1440" spans="1:14" x14ac:dyDescent="0.35">
      <c r="A1440" t="s">
        <v>314</v>
      </c>
      <c r="B1440" s="5" t="str">
        <f>_xlfn.XLOOKUP(role_course_map[[#This Row],[role_id]], role_data[role_id], role_data[Role],"")</f>
        <v>ScotSTAR Administrator</v>
      </c>
      <c r="C1440">
        <v>15249</v>
      </c>
      <c r="D1440" s="5" t="str">
        <f>_xlfn.XLOOKUP(role_course_map[[#This Row],[course_id]],course_data[course_id],course_data[title],"")</f>
        <v>Human trafficking</v>
      </c>
      <c r="E1440" s="5" t="str">
        <f>_xlfn.XLOOKUP(role_course_map[[#This Row],[course_id]],course_data[course_id],course_data[topic],"")</f>
        <v>SAS : Public Protection</v>
      </c>
      <c r="F1440" s="5" t="str">
        <f>_xlfn.XLOOKUP(role_course_map[[#This Row],[course_id]],course_data[course_id],course_data[type],"")</f>
        <v>eLearning</v>
      </c>
      <c r="K1440" t="str">
        <f>role_course_map[[#This Row],[role_id]] &amp; "|" &amp; role_course_map[[#This Row],[course_id]]</f>
        <v>R0151|15249</v>
      </c>
      <c r="L1440" t="str">
        <f>IF(COUNTIF(role_course_map[mapping_key],role_course_map[[#This Row],[mapping_key]])&gt;1,"DUPLICATE","OK")</f>
        <v>OK</v>
      </c>
      <c r="M1440" t="str">
        <f>IF(COUNTIF(role_data[role_id],role_course_map[[#This Row],[role_id]])=0, "INVALID","VALID")</f>
        <v>VALID</v>
      </c>
      <c r="N1440" t="str">
        <f>IF(COUNTIF(course_data[course_id],role_course_map[[#This Row],[course_id]])=0, "INVALID","VALID")</f>
        <v>VALID</v>
      </c>
    </row>
    <row r="1441" spans="1:14" x14ac:dyDescent="0.35">
      <c r="A1441" t="s">
        <v>314</v>
      </c>
      <c r="B1441" s="5" t="str">
        <f>_xlfn.XLOOKUP(role_course_map[[#This Row],[role_id]], role_data[role_id], role_data[Role],"")</f>
        <v>ScotSTAR Administrator</v>
      </c>
      <c r="C1441">
        <v>89161</v>
      </c>
      <c r="D1441" s="5" t="str">
        <f>_xlfn.XLOOKUP(role_course_map[[#This Row],[course_id]],course_data[course_id],course_data[title],"")</f>
        <v>Personal Protective Equipment</v>
      </c>
      <c r="E1441" s="5" t="str">
        <f>_xlfn.XLOOKUP(role_course_map[[#This Row],[course_id]],course_data[course_id],course_data[topic],"")</f>
        <v>SAS : Infection Prevention and Control (IPC)</v>
      </c>
      <c r="F1441" s="5" t="str">
        <f>_xlfn.XLOOKUP(role_course_map[[#This Row],[course_id]],course_data[course_id],course_data[type],"")</f>
        <v>eLearning</v>
      </c>
      <c r="K1441" t="str">
        <f>role_course_map[[#This Row],[role_id]] &amp; "|" &amp; role_course_map[[#This Row],[course_id]]</f>
        <v>R0151|89161</v>
      </c>
      <c r="L1441" t="str">
        <f>IF(COUNTIF(role_course_map[mapping_key],role_course_map[[#This Row],[mapping_key]])&gt;1,"DUPLICATE","OK")</f>
        <v>OK</v>
      </c>
      <c r="M1441" t="str">
        <f>IF(COUNTIF(role_data[role_id],role_course_map[[#This Row],[role_id]])=0, "INVALID","VALID")</f>
        <v>VALID</v>
      </c>
      <c r="N1441" t="str">
        <f>IF(COUNTIF(course_data[course_id],role_course_map[[#This Row],[course_id]])=0, "INVALID","VALID")</f>
        <v>VALID</v>
      </c>
    </row>
    <row r="1442" spans="1:14" x14ac:dyDescent="0.35">
      <c r="A1442" t="s">
        <v>314</v>
      </c>
      <c r="B1442" s="5" t="str">
        <f>_xlfn.XLOOKUP(role_course_map[[#This Row],[role_id]], role_data[role_id], role_data[Role],"")</f>
        <v>ScotSTAR Administrator</v>
      </c>
      <c r="C1442">
        <v>89157</v>
      </c>
      <c r="D1442" s="5" t="str">
        <f>_xlfn.XLOOKUP(role_course_map[[#This Row],[course_id]],course_data[course_id],course_data[title],"")</f>
        <v>Safe Management of Care Equipment</v>
      </c>
      <c r="E1442" s="5" t="str">
        <f>_xlfn.XLOOKUP(role_course_map[[#This Row],[course_id]],course_data[course_id],course_data[topic],"")</f>
        <v>SAS : Infection Prevention and Control (IPC)</v>
      </c>
      <c r="F1442" s="5" t="str">
        <f>_xlfn.XLOOKUP(role_course_map[[#This Row],[course_id]],course_data[course_id],course_data[type],"")</f>
        <v>eLearning</v>
      </c>
      <c r="K1442" t="str">
        <f>role_course_map[[#This Row],[role_id]] &amp; "|" &amp; role_course_map[[#This Row],[course_id]]</f>
        <v>R0151|89157</v>
      </c>
      <c r="L1442" t="str">
        <f>IF(COUNTIF(role_course_map[mapping_key],role_course_map[[#This Row],[mapping_key]])&gt;1,"DUPLICATE","OK")</f>
        <v>OK</v>
      </c>
      <c r="M1442" t="str">
        <f>IF(COUNTIF(role_data[role_id],role_course_map[[#This Row],[role_id]])=0, "INVALID","VALID")</f>
        <v>VALID</v>
      </c>
      <c r="N1442" t="str">
        <f>IF(COUNTIF(course_data[course_id],role_course_map[[#This Row],[course_id]])=0, "INVALID","VALID")</f>
        <v>VALID</v>
      </c>
    </row>
    <row r="1443" spans="1:14" x14ac:dyDescent="0.35">
      <c r="A1443" t="s">
        <v>314</v>
      </c>
      <c r="B1443" s="5" t="str">
        <f>_xlfn.XLOOKUP(role_course_map[[#This Row],[role_id]], role_data[role_id], role_data[Role],"")</f>
        <v>ScotSTAR Administrator</v>
      </c>
      <c r="C1443">
        <v>89158</v>
      </c>
      <c r="D1443" s="5" t="str">
        <f>_xlfn.XLOOKUP(role_course_map[[#This Row],[course_id]],course_data[course_id],course_data[title],"")</f>
        <v>Safe Management of Care Environment</v>
      </c>
      <c r="E1443" s="5" t="str">
        <f>_xlfn.XLOOKUP(role_course_map[[#This Row],[course_id]],course_data[course_id],course_data[topic],"")</f>
        <v>SAS : Infection Prevention and Control (IPC)</v>
      </c>
      <c r="F1443" s="5" t="str">
        <f>_xlfn.XLOOKUP(role_course_map[[#This Row],[course_id]],course_data[course_id],course_data[type],"")</f>
        <v>eLearning</v>
      </c>
      <c r="K1443" t="str">
        <f>role_course_map[[#This Row],[role_id]] &amp; "|" &amp; role_course_map[[#This Row],[course_id]]</f>
        <v>R0151|89158</v>
      </c>
      <c r="L1443" t="str">
        <f>IF(COUNTIF(role_course_map[mapping_key],role_course_map[[#This Row],[mapping_key]])&gt;1,"DUPLICATE","OK")</f>
        <v>OK</v>
      </c>
      <c r="M1443" t="str">
        <f>IF(COUNTIF(role_data[role_id],role_course_map[[#This Row],[role_id]])=0, "INVALID","VALID")</f>
        <v>VALID</v>
      </c>
      <c r="N1443" t="str">
        <f>IF(COUNTIF(course_data[course_id],role_course_map[[#This Row],[course_id]])=0, "INVALID","VALID")</f>
        <v>VALID</v>
      </c>
    </row>
    <row r="1444" spans="1:14" x14ac:dyDescent="0.35">
      <c r="A1444" t="s">
        <v>314</v>
      </c>
      <c r="B1444" s="5" t="str">
        <f>_xlfn.XLOOKUP(role_course_map[[#This Row],[role_id]], role_data[role_id], role_data[Role],"")</f>
        <v>ScotSTAR Administrator</v>
      </c>
      <c r="C1444">
        <v>89159</v>
      </c>
      <c r="D1444" s="5" t="str">
        <f>_xlfn.XLOOKUP(role_course_map[[#This Row],[course_id]],course_data[course_id],course_data[title],"")</f>
        <v>Safe Management of Linen</v>
      </c>
      <c r="E1444" s="5" t="str">
        <f>_xlfn.XLOOKUP(role_course_map[[#This Row],[course_id]],course_data[course_id],course_data[topic],"")</f>
        <v>SAS : Infection Prevention and Control (IPC)</v>
      </c>
      <c r="F1444" s="5" t="str">
        <f>_xlfn.XLOOKUP(role_course_map[[#This Row],[course_id]],course_data[course_id],course_data[type],"")</f>
        <v>eLearning</v>
      </c>
      <c r="K1444" t="str">
        <f>role_course_map[[#This Row],[role_id]] &amp; "|" &amp; role_course_map[[#This Row],[course_id]]</f>
        <v>R0151|89159</v>
      </c>
      <c r="L1444" t="str">
        <f>IF(COUNTIF(role_course_map[mapping_key],role_course_map[[#This Row],[mapping_key]])&gt;1,"DUPLICATE","OK")</f>
        <v>OK</v>
      </c>
      <c r="M1444" t="str">
        <f>IF(COUNTIF(role_data[role_id],role_course_map[[#This Row],[role_id]])=0, "INVALID","VALID")</f>
        <v>VALID</v>
      </c>
      <c r="N1444" t="str">
        <f>IF(COUNTIF(course_data[course_id],role_course_map[[#This Row],[course_id]])=0, "INVALID","VALID")</f>
        <v>VALID</v>
      </c>
    </row>
    <row r="1445" spans="1:14" x14ac:dyDescent="0.35">
      <c r="A1445" t="s">
        <v>314</v>
      </c>
      <c r="B1445" s="5" t="str">
        <f>_xlfn.XLOOKUP(role_course_map[[#This Row],[role_id]], role_data[role_id], role_data[Role],"")</f>
        <v>ScotSTAR Administrator</v>
      </c>
      <c r="C1445">
        <v>89160</v>
      </c>
      <c r="D1445" s="5" t="str">
        <f>_xlfn.XLOOKUP(role_course_map[[#This Row],[course_id]],course_data[course_id],course_data[title],"")</f>
        <v>Safe Management of blood and body fluids</v>
      </c>
      <c r="E1445" s="5" t="str">
        <f>_xlfn.XLOOKUP(role_course_map[[#This Row],[course_id]],course_data[course_id],course_data[topic],"")</f>
        <v>SAS : Infection Prevention and Control (IPC)</v>
      </c>
      <c r="F1445" s="5" t="str">
        <f>_xlfn.XLOOKUP(role_course_map[[#This Row],[course_id]],course_data[course_id],course_data[type],"")</f>
        <v>eLearning</v>
      </c>
      <c r="K1445" t="str">
        <f>role_course_map[[#This Row],[role_id]] &amp; "|" &amp; role_course_map[[#This Row],[course_id]]</f>
        <v>R0151|89160</v>
      </c>
      <c r="L1445" t="str">
        <f>IF(COUNTIF(role_course_map[mapping_key],role_course_map[[#This Row],[mapping_key]])&gt;1,"DUPLICATE","OK")</f>
        <v>OK</v>
      </c>
      <c r="M1445" t="str">
        <f>IF(COUNTIF(role_data[role_id],role_course_map[[#This Row],[role_id]])=0, "INVALID","VALID")</f>
        <v>VALID</v>
      </c>
      <c r="N1445" t="str">
        <f>IF(COUNTIF(course_data[course_id],role_course_map[[#This Row],[course_id]])=0, "INVALID","VALID")</f>
        <v>VALID</v>
      </c>
    </row>
    <row r="1446" spans="1:14" x14ac:dyDescent="0.35">
      <c r="A1446" t="s">
        <v>314</v>
      </c>
      <c r="B1446" s="5" t="str">
        <f>_xlfn.XLOOKUP(role_course_map[[#This Row],[role_id]], role_data[role_id], role_data[Role],"")</f>
        <v>ScotSTAR Administrator</v>
      </c>
      <c r="C1446">
        <v>89154</v>
      </c>
      <c r="D1446" s="5" t="str">
        <f>_xlfn.XLOOKUP(role_course_map[[#This Row],[course_id]],course_data[course_id],course_data[title],"")</f>
        <v>Safe disposal of waste</v>
      </c>
      <c r="E1446" s="5" t="str">
        <f>_xlfn.XLOOKUP(role_course_map[[#This Row],[course_id]],course_data[course_id],course_data[topic],"")</f>
        <v>SAS : Infection Prevention and Control (IPC)</v>
      </c>
      <c r="F1446" s="5" t="str">
        <f>_xlfn.XLOOKUP(role_course_map[[#This Row],[course_id]],course_data[course_id],course_data[type],"")</f>
        <v>eLearning</v>
      </c>
      <c r="K1446" t="str">
        <f>role_course_map[[#This Row],[role_id]] &amp; "|" &amp; role_course_map[[#This Row],[course_id]]</f>
        <v>R0151|89154</v>
      </c>
      <c r="L1446" t="str">
        <f>IF(COUNTIF(role_course_map[mapping_key],role_course_map[[#This Row],[mapping_key]])&gt;1,"DUPLICATE","OK")</f>
        <v>OK</v>
      </c>
      <c r="M1446" t="str">
        <f>IF(COUNTIF(role_data[role_id],role_course_map[[#This Row],[role_id]])=0, "INVALID","VALID")</f>
        <v>VALID</v>
      </c>
      <c r="N1446" t="str">
        <f>IF(COUNTIF(course_data[course_id],role_course_map[[#This Row],[course_id]])=0, "INVALID","VALID")</f>
        <v>VALID</v>
      </c>
    </row>
    <row r="1447" spans="1:14" x14ac:dyDescent="0.35">
      <c r="A1447" t="s">
        <v>314</v>
      </c>
      <c r="B1447" s="5" t="str">
        <f>_xlfn.XLOOKUP(role_course_map[[#This Row],[role_id]], role_data[role_id], role_data[Role],"")</f>
        <v>ScotSTAR Administrator</v>
      </c>
      <c r="C1447">
        <v>89155</v>
      </c>
      <c r="D1447" s="5" t="str">
        <f>_xlfn.XLOOKUP(role_course_map[[#This Row],[course_id]],course_data[course_id],course_data[title],"")</f>
        <v>Prevention &amp; management of occupational exposure</v>
      </c>
      <c r="E1447" s="5" t="str">
        <f>_xlfn.XLOOKUP(role_course_map[[#This Row],[course_id]],course_data[course_id],course_data[topic],"")</f>
        <v>SAS : Infection Prevention and Control (IPC)</v>
      </c>
      <c r="F1447" s="5" t="str">
        <f>_xlfn.XLOOKUP(role_course_map[[#This Row],[course_id]],course_data[course_id],course_data[type],"")</f>
        <v>eLearning</v>
      </c>
      <c r="K1447" t="str">
        <f>role_course_map[[#This Row],[role_id]] &amp; "|" &amp; role_course_map[[#This Row],[course_id]]</f>
        <v>R0151|89155</v>
      </c>
      <c r="L1447" t="str">
        <f>IF(COUNTIF(role_course_map[mapping_key],role_course_map[[#This Row],[mapping_key]])&gt;1,"DUPLICATE","OK")</f>
        <v>OK</v>
      </c>
      <c r="M1447" t="str">
        <f>IF(COUNTIF(role_data[role_id],role_course_map[[#This Row],[role_id]])=0, "INVALID","VALID")</f>
        <v>VALID</v>
      </c>
      <c r="N1447" t="str">
        <f>IF(COUNTIF(course_data[course_id],role_course_map[[#This Row],[course_id]])=0, "INVALID","VALID")</f>
        <v>VALID</v>
      </c>
    </row>
    <row r="1448" spans="1:14" x14ac:dyDescent="0.35">
      <c r="A1448" t="s">
        <v>314</v>
      </c>
      <c r="B1448" s="5" t="str">
        <f>_xlfn.XLOOKUP(role_course_map[[#This Row],[role_id]], role_data[role_id], role_data[Role],"")</f>
        <v>ScotSTAR Administrator</v>
      </c>
      <c r="C1448">
        <v>999064</v>
      </c>
      <c r="D1448" s="5" t="str">
        <f>_xlfn.XLOOKUP(role_course_map[[#This Row],[course_id]],course_data[course_id],course_data[title],"")</f>
        <v>Infection prevention and control: Clostridioides difficile infection</v>
      </c>
      <c r="E1448" s="5" t="str">
        <f>_xlfn.XLOOKUP(role_course_map[[#This Row],[course_id]],course_data[course_id],course_data[topic],"")</f>
        <v>SAS : Infection Prevention and Control (IPC)</v>
      </c>
      <c r="F1448" s="5" t="str">
        <f>_xlfn.XLOOKUP(role_course_map[[#This Row],[course_id]],course_data[course_id],course_data[type],"")</f>
        <v>eLearning</v>
      </c>
      <c r="K1448" t="str">
        <f>role_course_map[[#This Row],[role_id]] &amp; "|" &amp; role_course_map[[#This Row],[course_id]]</f>
        <v>R0151|999064</v>
      </c>
      <c r="L1448" t="str">
        <f>IF(COUNTIF(role_course_map[mapping_key],role_course_map[[#This Row],[mapping_key]])&gt;1,"DUPLICATE","OK")</f>
        <v>OK</v>
      </c>
      <c r="M1448" t="str">
        <f>IF(COUNTIF(role_data[role_id],role_course_map[[#This Row],[role_id]])=0, "INVALID","VALID")</f>
        <v>VALID</v>
      </c>
      <c r="N1448" t="str">
        <f>IF(COUNTIF(course_data[course_id],role_course_map[[#This Row],[course_id]])=0, "INVALID","VALID")</f>
        <v>VALID</v>
      </c>
    </row>
    <row r="1449" spans="1:14" x14ac:dyDescent="0.35">
      <c r="A1449" t="s">
        <v>314</v>
      </c>
      <c r="B1449" s="5" t="str">
        <f>_xlfn.XLOOKUP(role_course_map[[#This Row],[role_id]], role_data[role_id], role_data[Role],"")</f>
        <v>ScotSTAR Administrator</v>
      </c>
      <c r="C1449">
        <v>3886</v>
      </c>
      <c r="D1449" s="5" t="str">
        <f>_xlfn.XLOOKUP(role_course_map[[#This Row],[course_id]],course_data[course_id],course_data[title],"")</f>
        <v>Prevention and management of pressure ulcers</v>
      </c>
      <c r="E1449" s="5" t="str">
        <f>_xlfn.XLOOKUP(role_course_map[[#This Row],[course_id]],course_data[course_id],course_data[topic],"")</f>
        <v>SAS : Clinical Practice</v>
      </c>
      <c r="F1449" s="5" t="str">
        <f>_xlfn.XLOOKUP(role_course_map[[#This Row],[course_id]],course_data[course_id],course_data[type],"")</f>
        <v>Page</v>
      </c>
      <c r="K1449" t="str">
        <f>role_course_map[[#This Row],[role_id]] &amp; "|" &amp; role_course_map[[#This Row],[course_id]]</f>
        <v>R0151|3886</v>
      </c>
      <c r="L1449" t="str">
        <f>IF(COUNTIF(role_course_map[mapping_key],role_course_map[[#This Row],[mapping_key]])&gt;1,"DUPLICATE","OK")</f>
        <v>OK</v>
      </c>
      <c r="M1449" t="str">
        <f>IF(COUNTIF(role_data[role_id],role_course_map[[#This Row],[role_id]])=0, "INVALID","VALID")</f>
        <v>VALID</v>
      </c>
      <c r="N1449" t="str">
        <f>IF(COUNTIF(course_data[course_id],role_course_map[[#This Row],[course_id]])=0, "INVALID","VALID")</f>
        <v>VALID</v>
      </c>
    </row>
    <row r="1450" spans="1:14" x14ac:dyDescent="0.35">
      <c r="A1450" t="s">
        <v>316</v>
      </c>
      <c r="B1450" s="5" t="str">
        <f>_xlfn.XLOOKUP(role_course_map[[#This Row],[role_id]], role_data[role_id], role_data[Role],"")</f>
        <v>ScotSTAR Driver</v>
      </c>
      <c r="C1450">
        <v>999009</v>
      </c>
      <c r="D1450" s="5" t="str">
        <f>_xlfn.XLOOKUP(role_course_map[[#This Row],[course_id]],course_data[course_id],course_data[title],"")</f>
        <v>Life Support</v>
      </c>
      <c r="E1450" s="5" t="str">
        <f>_xlfn.XLOOKUP(role_course_map[[#This Row],[course_id]],course_data[course_id],course_data[topic],"")</f>
        <v>SAS : Clinical Practice</v>
      </c>
      <c r="F1450" s="5" t="str">
        <f>_xlfn.XLOOKUP(role_course_map[[#This Row],[course_id]],course_data[course_id],course_data[type],"")</f>
        <v>Course</v>
      </c>
      <c r="K1450" t="str">
        <f>role_course_map[[#This Row],[role_id]] &amp; "|" &amp; role_course_map[[#This Row],[course_id]]</f>
        <v>R0152|999009</v>
      </c>
      <c r="L1450" t="str">
        <f>IF(COUNTIF(role_course_map[mapping_key],role_course_map[[#This Row],[mapping_key]])&gt;1,"DUPLICATE","OK")</f>
        <v>OK</v>
      </c>
      <c r="M1450" t="str">
        <f>IF(COUNTIF(role_data[role_id],role_course_map[[#This Row],[role_id]])=0, "INVALID","VALID")</f>
        <v>VALID</v>
      </c>
      <c r="N1450" t="str">
        <f>IF(COUNTIF(course_data[course_id],role_course_map[[#This Row],[course_id]])=0, "INVALID","VALID")</f>
        <v>VALID</v>
      </c>
    </row>
    <row r="1451" spans="1:14" x14ac:dyDescent="0.35">
      <c r="A1451" t="s">
        <v>316</v>
      </c>
      <c r="B1451" s="5" t="str">
        <f>_xlfn.XLOOKUP(role_course_map[[#This Row],[role_id]], role_data[role_id], role_data[Role],"")</f>
        <v>ScotSTAR Driver</v>
      </c>
      <c r="C1451">
        <v>999007</v>
      </c>
      <c r="D1451" s="5" t="str">
        <f>_xlfn.XLOOKUP(role_course_map[[#This Row],[course_id]],course_data[course_id],course_data[title],"")</f>
        <v>Obstetrics</v>
      </c>
      <c r="E1451" s="5" t="str">
        <f>_xlfn.XLOOKUP(role_course_map[[#This Row],[course_id]],course_data[course_id],course_data[topic],"")</f>
        <v>SAS : Clinical Practice</v>
      </c>
      <c r="F1451" s="5" t="str">
        <f>_xlfn.XLOOKUP(role_course_map[[#This Row],[course_id]],course_data[course_id],course_data[type],"")</f>
        <v>Course</v>
      </c>
      <c r="K1451" t="str">
        <f>role_course_map[[#This Row],[role_id]] &amp; "|" &amp; role_course_map[[#This Row],[course_id]]</f>
        <v>R0152|999007</v>
      </c>
      <c r="L1451" t="str">
        <f>IF(COUNTIF(role_course_map[mapping_key],role_course_map[[#This Row],[mapping_key]])&gt;1,"DUPLICATE","OK")</f>
        <v>OK</v>
      </c>
      <c r="M1451" t="str">
        <f>IF(COUNTIF(role_data[role_id],role_course_map[[#This Row],[role_id]])=0, "INVALID","VALID")</f>
        <v>VALID</v>
      </c>
      <c r="N1451" t="str">
        <f>IF(COUNTIF(course_data[course_id],role_course_map[[#This Row],[course_id]])=0, "INVALID","VALID")</f>
        <v>VALID</v>
      </c>
    </row>
    <row r="1452" spans="1:14" x14ac:dyDescent="0.35">
      <c r="A1452" t="s">
        <v>316</v>
      </c>
      <c r="B1452" s="5" t="str">
        <f>_xlfn.XLOOKUP(role_course_map[[#This Row],[role_id]], role_data[role_id], role_data[Role],"")</f>
        <v>ScotSTAR Driver</v>
      </c>
      <c r="C1452">
        <v>999008</v>
      </c>
      <c r="D1452" s="5" t="str">
        <f>_xlfn.XLOOKUP(role_course_map[[#This Row],[course_id]],course_data[course_id],course_data[title],"")</f>
        <v>Obstetrics</v>
      </c>
      <c r="E1452" s="5" t="str">
        <f>_xlfn.XLOOKUP(role_course_map[[#This Row],[course_id]],course_data[course_id],course_data[topic],"")</f>
        <v>SAS : Clinical Practice</v>
      </c>
      <c r="F1452" s="5" t="str">
        <f>_xlfn.XLOOKUP(role_course_map[[#This Row],[course_id]],course_data[course_id],course_data[type],"")</f>
        <v>eLearning</v>
      </c>
      <c r="K1452" t="str">
        <f>role_course_map[[#This Row],[role_id]] &amp; "|" &amp; role_course_map[[#This Row],[course_id]]</f>
        <v>R0152|999008</v>
      </c>
      <c r="L1452" t="str">
        <f>IF(COUNTIF(role_course_map[mapping_key],role_course_map[[#This Row],[mapping_key]])&gt;1,"DUPLICATE","OK")</f>
        <v>OK</v>
      </c>
      <c r="M1452" t="str">
        <f>IF(COUNTIF(role_data[role_id],role_course_map[[#This Row],[role_id]])=0, "INVALID","VALID")</f>
        <v>VALID</v>
      </c>
      <c r="N1452" t="str">
        <f>IF(COUNTIF(course_data[course_id],role_course_map[[#This Row],[course_id]])=0, "INVALID","VALID")</f>
        <v>VALID</v>
      </c>
    </row>
    <row r="1453" spans="1:14" x14ac:dyDescent="0.35">
      <c r="A1453" t="s">
        <v>316</v>
      </c>
      <c r="B1453" s="5" t="str">
        <f>_xlfn.XLOOKUP(role_course_map[[#This Row],[role_id]], role_data[role_id], role_data[Role],"")</f>
        <v>ScotSTAR Driver</v>
      </c>
      <c r="C1453">
        <v>999010</v>
      </c>
      <c r="D1453" s="5" t="str">
        <f>_xlfn.XLOOKUP(role_course_map[[#This Row],[course_id]],course_data[course_id],course_data[title],"")</f>
        <v>Paediatrics</v>
      </c>
      <c r="E1453" s="5" t="str">
        <f>_xlfn.XLOOKUP(role_course_map[[#This Row],[course_id]],course_data[course_id],course_data[topic],"")</f>
        <v>SAS : Clinical Practice</v>
      </c>
      <c r="F1453" s="5" t="str">
        <f>_xlfn.XLOOKUP(role_course_map[[#This Row],[course_id]],course_data[course_id],course_data[type],"")</f>
        <v>Course</v>
      </c>
      <c r="K1453" t="str">
        <f>role_course_map[[#This Row],[role_id]] &amp; "|" &amp; role_course_map[[#This Row],[course_id]]</f>
        <v>R0152|999010</v>
      </c>
      <c r="L1453" t="str">
        <f>IF(COUNTIF(role_course_map[mapping_key],role_course_map[[#This Row],[mapping_key]])&gt;1,"DUPLICATE","OK")</f>
        <v>OK</v>
      </c>
      <c r="M1453" t="str">
        <f>IF(COUNTIF(role_data[role_id],role_course_map[[#This Row],[role_id]])=0, "INVALID","VALID")</f>
        <v>VALID</v>
      </c>
      <c r="N1453" t="str">
        <f>IF(COUNTIF(course_data[course_id],role_course_map[[#This Row],[course_id]])=0, "INVALID","VALID")</f>
        <v>VALID</v>
      </c>
    </row>
    <row r="1454" spans="1:14" x14ac:dyDescent="0.35">
      <c r="A1454" t="s">
        <v>316</v>
      </c>
      <c r="B1454" s="5" t="str">
        <f>_xlfn.XLOOKUP(role_course_map[[#This Row],[role_id]], role_data[role_id], role_data[Role],"")</f>
        <v>ScotSTAR Driver</v>
      </c>
      <c r="C1454">
        <v>999011</v>
      </c>
      <c r="D1454" s="5" t="str">
        <f>_xlfn.XLOOKUP(role_course_map[[#This Row],[course_id]],course_data[course_id],course_data[title],"")</f>
        <v>Paediatrics</v>
      </c>
      <c r="E1454" s="5" t="str">
        <f>_xlfn.XLOOKUP(role_course_map[[#This Row],[course_id]],course_data[course_id],course_data[topic],"")</f>
        <v>SAS : Clinical Practice</v>
      </c>
      <c r="F1454" s="5" t="str">
        <f>_xlfn.XLOOKUP(role_course_map[[#This Row],[course_id]],course_data[course_id],course_data[type],"")</f>
        <v>eLearning</v>
      </c>
      <c r="K1454" t="str">
        <f>role_course_map[[#This Row],[role_id]] &amp; "|" &amp; role_course_map[[#This Row],[course_id]]</f>
        <v>R0152|999011</v>
      </c>
      <c r="L1454" t="str">
        <f>IF(COUNTIF(role_course_map[mapping_key],role_course_map[[#This Row],[mapping_key]])&gt;1,"DUPLICATE","OK")</f>
        <v>OK</v>
      </c>
      <c r="M1454" t="str">
        <f>IF(COUNTIF(role_data[role_id],role_course_map[[#This Row],[role_id]])=0, "INVALID","VALID")</f>
        <v>VALID</v>
      </c>
      <c r="N1454" t="str">
        <f>IF(COUNTIF(course_data[course_id],role_course_map[[#This Row],[course_id]])=0, "INVALID","VALID")</f>
        <v>VALID</v>
      </c>
    </row>
    <row r="1455" spans="1:14" x14ac:dyDescent="0.35">
      <c r="A1455" t="s">
        <v>316</v>
      </c>
      <c r="B1455" s="5" t="str">
        <f>_xlfn.XLOOKUP(role_course_map[[#This Row],[role_id]], role_data[role_id], role_data[Role],"")</f>
        <v>ScotSTAR Driver</v>
      </c>
      <c r="C1455">
        <v>999012</v>
      </c>
      <c r="D1455" s="5" t="str">
        <f>_xlfn.XLOOKUP(role_course_map[[#This Row],[course_id]],course_data[course_id],course_data[title],"")</f>
        <v>Trauma</v>
      </c>
      <c r="E1455" s="5" t="str">
        <f>_xlfn.XLOOKUP(role_course_map[[#This Row],[course_id]],course_data[course_id],course_data[topic],"")</f>
        <v>SAS : Clinical Practice</v>
      </c>
      <c r="F1455" s="5" t="str">
        <f>_xlfn.XLOOKUP(role_course_map[[#This Row],[course_id]],course_data[course_id],course_data[type],"")</f>
        <v>Course</v>
      </c>
      <c r="K1455" t="str">
        <f>role_course_map[[#This Row],[role_id]] &amp; "|" &amp; role_course_map[[#This Row],[course_id]]</f>
        <v>R0152|999012</v>
      </c>
      <c r="L1455" t="str">
        <f>IF(COUNTIF(role_course_map[mapping_key],role_course_map[[#This Row],[mapping_key]])&gt;1,"DUPLICATE","OK")</f>
        <v>OK</v>
      </c>
      <c r="M1455" t="str">
        <f>IF(COUNTIF(role_data[role_id],role_course_map[[#This Row],[role_id]])=0, "INVALID","VALID")</f>
        <v>VALID</v>
      </c>
      <c r="N1455" t="str">
        <f>IF(COUNTIF(course_data[course_id],role_course_map[[#This Row],[course_id]])=0, "INVALID","VALID")</f>
        <v>VALID</v>
      </c>
    </row>
    <row r="1456" spans="1:14" x14ac:dyDescent="0.35">
      <c r="A1456" t="s">
        <v>316</v>
      </c>
      <c r="B1456" s="5" t="str">
        <f>_xlfn.XLOOKUP(role_course_map[[#This Row],[role_id]], role_data[role_id], role_data[Role],"")</f>
        <v>ScotSTAR Driver</v>
      </c>
      <c r="C1456">
        <v>999013</v>
      </c>
      <c r="D1456" s="5" t="str">
        <f>_xlfn.XLOOKUP(role_course_map[[#This Row],[course_id]],course_data[course_id],course_data[title],"")</f>
        <v>Trauma</v>
      </c>
      <c r="E1456" s="5" t="str">
        <f>_xlfn.XLOOKUP(role_course_map[[#This Row],[course_id]],course_data[course_id],course_data[topic],"")</f>
        <v>SAS : Clinical Practice</v>
      </c>
      <c r="F1456" s="5" t="str">
        <f>_xlfn.XLOOKUP(role_course_map[[#This Row],[course_id]],course_data[course_id],course_data[type],"")</f>
        <v>eLearning</v>
      </c>
      <c r="K1456" t="str">
        <f>role_course_map[[#This Row],[role_id]] &amp; "|" &amp; role_course_map[[#This Row],[course_id]]</f>
        <v>R0152|999013</v>
      </c>
      <c r="L1456" t="str">
        <f>IF(COUNTIF(role_course_map[mapping_key],role_course_map[[#This Row],[mapping_key]])&gt;1,"DUPLICATE","OK")</f>
        <v>OK</v>
      </c>
      <c r="M1456" t="str">
        <f>IF(COUNTIF(role_data[role_id],role_course_map[[#This Row],[role_id]])=0, "INVALID","VALID")</f>
        <v>VALID</v>
      </c>
      <c r="N1456" t="str">
        <f>IF(COUNTIF(course_data[course_id],role_course_map[[#This Row],[course_id]])=0, "INVALID","VALID")</f>
        <v>VALID</v>
      </c>
    </row>
    <row r="1457" spans="1:14" x14ac:dyDescent="0.35">
      <c r="A1457" t="s">
        <v>316</v>
      </c>
      <c r="B1457" s="5" t="str">
        <f>_xlfn.XLOOKUP(role_course_map[[#This Row],[role_id]], role_data[role_id], role_data[Role],"")</f>
        <v>ScotSTAR Driver</v>
      </c>
      <c r="C1457">
        <v>999014</v>
      </c>
      <c r="D1457" s="5" t="str">
        <f>_xlfn.XLOOKUP(role_course_map[[#This Row],[course_id]],course_data[course_id],course_data[title],"")</f>
        <v>Patient Assessment</v>
      </c>
      <c r="E1457" s="5" t="str">
        <f>_xlfn.XLOOKUP(role_course_map[[#This Row],[course_id]],course_data[course_id],course_data[topic],"")</f>
        <v>SAS : Clinical Practice</v>
      </c>
      <c r="F1457" s="5" t="str">
        <f>_xlfn.XLOOKUP(role_course_map[[#This Row],[course_id]],course_data[course_id],course_data[type],"")</f>
        <v>Course</v>
      </c>
      <c r="K1457" t="str">
        <f>role_course_map[[#This Row],[role_id]] &amp; "|" &amp; role_course_map[[#This Row],[course_id]]</f>
        <v>R0152|999014</v>
      </c>
      <c r="L1457" t="str">
        <f>IF(COUNTIF(role_course_map[mapping_key],role_course_map[[#This Row],[mapping_key]])&gt;1,"DUPLICATE","OK")</f>
        <v>OK</v>
      </c>
      <c r="M1457" t="str">
        <f>IF(COUNTIF(role_data[role_id],role_course_map[[#This Row],[role_id]])=0, "INVALID","VALID")</f>
        <v>VALID</v>
      </c>
      <c r="N1457" t="str">
        <f>IF(COUNTIF(course_data[course_id],role_course_map[[#This Row],[course_id]])=0, "INVALID","VALID")</f>
        <v>VALID</v>
      </c>
    </row>
    <row r="1458" spans="1:14" x14ac:dyDescent="0.35">
      <c r="A1458" t="s">
        <v>316</v>
      </c>
      <c r="B1458" s="5" t="str">
        <f>_xlfn.XLOOKUP(role_course_map[[#This Row],[role_id]], role_data[role_id], role_data[Role],"")</f>
        <v>ScotSTAR Driver</v>
      </c>
      <c r="C1458">
        <v>999015</v>
      </c>
      <c r="D1458" s="5" t="str">
        <f>_xlfn.XLOOKUP(role_course_map[[#This Row],[course_id]],course_data[course_id],course_data[title],"")</f>
        <v>Patient Assessment</v>
      </c>
      <c r="E1458" s="5" t="str">
        <f>_xlfn.XLOOKUP(role_course_map[[#This Row],[course_id]],course_data[course_id],course_data[topic],"")</f>
        <v>SAS : Clinical Practice</v>
      </c>
      <c r="F1458" s="5" t="str">
        <f>_xlfn.XLOOKUP(role_course_map[[#This Row],[course_id]],course_data[course_id],course_data[type],"")</f>
        <v>eLearning</v>
      </c>
      <c r="K1458" t="str">
        <f>role_course_map[[#This Row],[role_id]] &amp; "|" &amp; role_course_map[[#This Row],[course_id]]</f>
        <v>R0152|999015</v>
      </c>
      <c r="L1458" t="str">
        <f>IF(COUNTIF(role_course_map[mapping_key],role_course_map[[#This Row],[mapping_key]])&gt;1,"DUPLICATE","OK")</f>
        <v>OK</v>
      </c>
      <c r="M1458" t="str">
        <f>IF(COUNTIF(role_data[role_id],role_course_map[[#This Row],[role_id]])=0, "INVALID","VALID")</f>
        <v>VALID</v>
      </c>
      <c r="N1458" t="str">
        <f>IF(COUNTIF(course_data[course_id],role_course_map[[#This Row],[course_id]])=0, "INVALID","VALID")</f>
        <v>VALID</v>
      </c>
    </row>
    <row r="1459" spans="1:14" x14ac:dyDescent="0.35">
      <c r="A1459" t="s">
        <v>314</v>
      </c>
      <c r="B1459" s="5" t="str">
        <f>_xlfn.XLOOKUP(role_course_map[[#This Row],[role_id]], role_data[role_id], role_data[Role],"")</f>
        <v>ScotSTAR Administrator</v>
      </c>
      <c r="C1459">
        <v>999016</v>
      </c>
      <c r="D1459" s="5" t="str">
        <f>_xlfn.XLOOKUP(role_course_map[[#This Row],[course_id]],course_data[course_id],course_data[title],"")</f>
        <v>Clinical Skills</v>
      </c>
      <c r="E1459" s="5" t="str">
        <f>_xlfn.XLOOKUP(role_course_map[[#This Row],[course_id]],course_data[course_id],course_data[topic],"")</f>
        <v>SAS : Clinical Practice</v>
      </c>
      <c r="F1459" s="5" t="str">
        <f>_xlfn.XLOOKUP(role_course_map[[#This Row],[course_id]],course_data[course_id],course_data[type],"")</f>
        <v>Course</v>
      </c>
      <c r="K1459" t="str">
        <f>role_course_map[[#This Row],[role_id]] &amp; "|" &amp; role_course_map[[#This Row],[course_id]]</f>
        <v>R0151|999016</v>
      </c>
      <c r="L1459" t="str">
        <f>IF(COUNTIF(role_course_map[mapping_key],role_course_map[[#This Row],[mapping_key]])&gt;1,"DUPLICATE","OK")</f>
        <v>OK</v>
      </c>
      <c r="M1459" t="str">
        <f>IF(COUNTIF(role_data[role_id],role_course_map[[#This Row],[role_id]])=0, "INVALID","VALID")</f>
        <v>VALID</v>
      </c>
      <c r="N1459" t="str">
        <f>IF(COUNTIF(course_data[course_id],role_course_map[[#This Row],[course_id]])=0, "INVALID","VALID")</f>
        <v>VALID</v>
      </c>
    </row>
    <row r="1460" spans="1:14" x14ac:dyDescent="0.35">
      <c r="A1460" t="s">
        <v>316</v>
      </c>
      <c r="B1460" s="5" t="str">
        <f>_xlfn.XLOOKUP(role_course_map[[#This Row],[role_id]], role_data[role_id], role_data[Role],"")</f>
        <v>ScotSTAR Driver</v>
      </c>
      <c r="C1460">
        <v>999018</v>
      </c>
      <c r="D1460" s="5" t="str">
        <f>_xlfn.XLOOKUP(role_course_map[[#This Row],[course_id]],course_data[course_id],course_data[title],"")</f>
        <v>Learning from Events</v>
      </c>
      <c r="E1460" s="5" t="str">
        <f>_xlfn.XLOOKUP(role_course_map[[#This Row],[course_id]],course_data[course_id],course_data[topic],"")</f>
        <v>SAS : Clinical Practice</v>
      </c>
      <c r="F1460" s="5" t="str">
        <f>_xlfn.XLOOKUP(role_course_map[[#This Row],[course_id]],course_data[course_id],course_data[type],"")</f>
        <v>eLearning</v>
      </c>
      <c r="K1460" t="str">
        <f>role_course_map[[#This Row],[role_id]] &amp; "|" &amp; role_course_map[[#This Row],[course_id]]</f>
        <v>R0152|999018</v>
      </c>
      <c r="L1460" t="str">
        <f>IF(COUNTIF(role_course_map[mapping_key],role_course_map[[#This Row],[mapping_key]])&gt;1,"DUPLICATE","OK")</f>
        <v>OK</v>
      </c>
      <c r="M1460" t="str">
        <f>IF(COUNTIF(role_data[role_id],role_course_map[[#This Row],[role_id]])=0, "INVALID","VALID")</f>
        <v>VALID</v>
      </c>
      <c r="N1460" t="str">
        <f>IF(COUNTIF(course_data[course_id],role_course_map[[#This Row],[course_id]])=0, "INVALID","VALID")</f>
        <v>VALID</v>
      </c>
    </row>
    <row r="1461" spans="1:14" x14ac:dyDescent="0.35">
      <c r="A1461" t="s">
        <v>316</v>
      </c>
      <c r="B1461" s="5" t="str">
        <f>_xlfn.XLOOKUP(role_course_map[[#This Row],[role_id]], role_data[role_id], role_data[Role],"")</f>
        <v>ScotSTAR Driver</v>
      </c>
      <c r="C1461">
        <v>999019</v>
      </c>
      <c r="D1461" s="5" t="str">
        <f>_xlfn.XLOOKUP(role_course_map[[#This Row],[course_id]],course_data[course_id],course_data[title],"")</f>
        <v>Medicines Management</v>
      </c>
      <c r="E1461" s="5" t="str">
        <f>_xlfn.XLOOKUP(role_course_map[[#This Row],[course_id]],course_data[course_id],course_data[topic],"")</f>
        <v>SAS : Clinical Practice</v>
      </c>
      <c r="F1461" s="5" t="str">
        <f>_xlfn.XLOOKUP(role_course_map[[#This Row],[course_id]],course_data[course_id],course_data[type],"")</f>
        <v>eLearning</v>
      </c>
      <c r="K1461" t="str">
        <f>role_course_map[[#This Row],[role_id]] &amp; "|" &amp; role_course_map[[#This Row],[course_id]]</f>
        <v>R0152|999019</v>
      </c>
      <c r="L1461" t="str">
        <f>IF(COUNTIF(role_course_map[mapping_key],role_course_map[[#This Row],[mapping_key]])&gt;1,"DUPLICATE","OK")</f>
        <v>OK</v>
      </c>
      <c r="M1461" t="str">
        <f>IF(COUNTIF(role_data[role_id],role_course_map[[#This Row],[role_id]])=0, "INVALID","VALID")</f>
        <v>VALID</v>
      </c>
      <c r="N1461" t="str">
        <f>IF(COUNTIF(course_data[course_id],role_course_map[[#This Row],[course_id]])=0, "INVALID","VALID")</f>
        <v>VALID</v>
      </c>
    </row>
    <row r="1462" spans="1:14" x14ac:dyDescent="0.35">
      <c r="A1462" t="s">
        <v>316</v>
      </c>
      <c r="B1462" s="5" t="str">
        <f>_xlfn.XLOOKUP(role_course_map[[#This Row],[role_id]], role_data[role_id], role_data[Role],"")</f>
        <v>ScotSTAR Driver</v>
      </c>
      <c r="C1462">
        <v>999020</v>
      </c>
      <c r="D1462" s="5" t="str">
        <f>_xlfn.XLOOKUP(role_course_map[[#This Row],[course_id]],course_data[course_id],course_data[title],"")</f>
        <v>JRCALC Update</v>
      </c>
      <c r="E1462" s="5" t="str">
        <f>_xlfn.XLOOKUP(role_course_map[[#This Row],[course_id]],course_data[course_id],course_data[topic],"")</f>
        <v>SAS : Clinical Practice</v>
      </c>
      <c r="F1462" s="5" t="str">
        <f>_xlfn.XLOOKUP(role_course_map[[#This Row],[course_id]],course_data[course_id],course_data[type],"")</f>
        <v>eLearning</v>
      </c>
      <c r="K1462" t="str">
        <f>role_course_map[[#This Row],[role_id]] &amp; "|" &amp; role_course_map[[#This Row],[course_id]]</f>
        <v>R0152|999020</v>
      </c>
      <c r="L1462" t="str">
        <f>IF(COUNTIF(role_course_map[mapping_key],role_course_map[[#This Row],[mapping_key]])&gt;1,"DUPLICATE","OK")</f>
        <v>OK</v>
      </c>
      <c r="M1462" t="str">
        <f>IF(COUNTIF(role_data[role_id],role_course_map[[#This Row],[role_id]])=0, "INVALID","VALID")</f>
        <v>VALID</v>
      </c>
      <c r="N1462" t="str">
        <f>IF(COUNTIF(course_data[course_id],role_course_map[[#This Row],[course_id]])=0, "INVALID","VALID")</f>
        <v>VALID</v>
      </c>
    </row>
    <row r="1463" spans="1:14" x14ac:dyDescent="0.35">
      <c r="A1463" t="s">
        <v>316</v>
      </c>
      <c r="B1463" s="5" t="str">
        <f>_xlfn.XLOOKUP(role_course_map[[#This Row],[role_id]], role_data[role_id], role_data[Role],"")</f>
        <v>ScotSTAR Driver</v>
      </c>
      <c r="C1463">
        <v>999021</v>
      </c>
      <c r="D1463" s="5" t="str">
        <f>_xlfn.XLOOKUP(role_course_map[[#This Row],[course_id]],course_data[course_id],course_data[title],"")</f>
        <v>Mental Health</v>
      </c>
      <c r="E1463" s="5" t="str">
        <f>_xlfn.XLOOKUP(role_course_map[[#This Row],[course_id]],course_data[course_id],course_data[topic],"")</f>
        <v>SAS : Clinical Practice</v>
      </c>
      <c r="F1463" s="5" t="str">
        <f>_xlfn.XLOOKUP(role_course_map[[#This Row],[course_id]],course_data[course_id],course_data[type],"")</f>
        <v>eLearning</v>
      </c>
      <c r="K1463" t="str">
        <f>role_course_map[[#This Row],[role_id]] &amp; "|" &amp; role_course_map[[#This Row],[course_id]]</f>
        <v>R0152|999021</v>
      </c>
      <c r="L1463" t="str">
        <f>IF(COUNTIF(role_course_map[mapping_key],role_course_map[[#This Row],[mapping_key]])&gt;1,"DUPLICATE","OK")</f>
        <v>OK</v>
      </c>
      <c r="M1463" t="str">
        <f>IF(COUNTIF(role_data[role_id],role_course_map[[#This Row],[role_id]])=0, "INVALID","VALID")</f>
        <v>VALID</v>
      </c>
      <c r="N1463" t="str">
        <f>IF(COUNTIF(course_data[course_id],role_course_map[[#This Row],[course_id]])=0, "INVALID","VALID")</f>
        <v>VALID</v>
      </c>
    </row>
    <row r="1464" spans="1:14" x14ac:dyDescent="0.35">
      <c r="A1464" t="s">
        <v>316</v>
      </c>
      <c r="B1464" s="5" t="str">
        <f>_xlfn.XLOOKUP(role_course_map[[#This Row],[role_id]], role_data[role_id], role_data[Role],"")</f>
        <v>ScotSTAR Driver</v>
      </c>
      <c r="C1464">
        <v>999022</v>
      </c>
      <c r="D1464" s="5" t="str">
        <f>_xlfn.XLOOKUP(role_course_map[[#This Row],[course_id]],course_data[course_id],course_data[title],"")</f>
        <v>Learning Disabilities</v>
      </c>
      <c r="E1464" s="5" t="str">
        <f>_xlfn.XLOOKUP(role_course_map[[#This Row],[course_id]],course_data[course_id],course_data[topic],"")</f>
        <v>SAS : Clinical Practice</v>
      </c>
      <c r="F1464" s="5" t="str">
        <f>_xlfn.XLOOKUP(role_course_map[[#This Row],[course_id]],course_data[course_id],course_data[type],"")</f>
        <v>eLearning</v>
      </c>
      <c r="K1464" t="str">
        <f>role_course_map[[#This Row],[role_id]] &amp; "|" &amp; role_course_map[[#This Row],[course_id]]</f>
        <v>R0152|999022</v>
      </c>
      <c r="L1464" t="str">
        <f>IF(COUNTIF(role_course_map[mapping_key],role_course_map[[#This Row],[mapping_key]])&gt;1,"DUPLICATE","OK")</f>
        <v>OK</v>
      </c>
      <c r="M1464" t="str">
        <f>IF(COUNTIF(role_data[role_id],role_course_map[[#This Row],[role_id]])=0, "INVALID","VALID")</f>
        <v>VALID</v>
      </c>
      <c r="N1464" t="str">
        <f>IF(COUNTIF(course_data[course_id],role_course_map[[#This Row],[course_id]])=0, "INVALID","VALID")</f>
        <v>VALID</v>
      </c>
    </row>
    <row r="1465" spans="1:14" x14ac:dyDescent="0.35">
      <c r="A1465" t="s">
        <v>316</v>
      </c>
      <c r="B1465" s="5" t="str">
        <f>_xlfn.XLOOKUP(role_course_map[[#This Row],[role_id]], role_data[role_id], role_data[Role],"")</f>
        <v>ScotSTAR Driver</v>
      </c>
      <c r="C1465">
        <v>75202</v>
      </c>
      <c r="D1465" s="5" t="str">
        <f>_xlfn.XLOOKUP(role_course_map[[#This Row],[course_id]],course_data[course_id],course_data[title],"")</f>
        <v>SAS : Clinical Practice</v>
      </c>
      <c r="E1465" s="5" t="str">
        <f>_xlfn.XLOOKUP(role_course_map[[#This Row],[course_id]],course_data[course_id],course_data[topic],"")</f>
        <v>SAS : Clinical Practice</v>
      </c>
      <c r="F1465" s="5" t="str">
        <f>_xlfn.XLOOKUP(role_course_map[[#This Row],[course_id]],course_data[course_id],course_data[type],"")</f>
        <v>Page</v>
      </c>
      <c r="K1465" t="str">
        <f>role_course_map[[#This Row],[role_id]] &amp; "|" &amp; role_course_map[[#This Row],[course_id]]</f>
        <v>R0152|75202</v>
      </c>
      <c r="L1465" t="str">
        <f>IF(COUNTIF(role_course_map[mapping_key],role_course_map[[#This Row],[mapping_key]])&gt;1,"DUPLICATE","OK")</f>
        <v>OK</v>
      </c>
      <c r="M1465" t="str">
        <f>IF(COUNTIF(role_data[role_id],role_course_map[[#This Row],[role_id]])=0, "INVALID","VALID")</f>
        <v>VALID</v>
      </c>
      <c r="N1465" t="str">
        <f>IF(COUNTIF(course_data[course_id],role_course_map[[#This Row],[course_id]])=0, "INVALID","VALID")</f>
        <v>VALID</v>
      </c>
    </row>
    <row r="1466" spans="1:14" x14ac:dyDescent="0.35">
      <c r="A1466" t="s">
        <v>316</v>
      </c>
      <c r="B1466" s="5" t="str">
        <f>_xlfn.XLOOKUP(role_course_map[[#This Row],[role_id]], role_data[role_id], role_data[Role],"")</f>
        <v>ScotSTAR Driver</v>
      </c>
      <c r="C1466">
        <v>999023</v>
      </c>
      <c r="D1466" s="5" t="str">
        <f>_xlfn.XLOOKUP(role_course_map[[#This Row],[course_id]],course_data[course_id],course_data[title],"")</f>
        <v>Dementia</v>
      </c>
      <c r="E1466" s="5" t="str">
        <f>_xlfn.XLOOKUP(role_course_map[[#This Row],[course_id]],course_data[course_id],course_data[topic],"")</f>
        <v>SAS : Clinical Practice</v>
      </c>
      <c r="F1466" s="5" t="str">
        <f>_xlfn.XLOOKUP(role_course_map[[#This Row],[course_id]],course_data[course_id],course_data[type],"")</f>
        <v>eLearning</v>
      </c>
      <c r="K1466" t="str">
        <f>role_course_map[[#This Row],[role_id]] &amp; "|" &amp; role_course_map[[#This Row],[course_id]]</f>
        <v>R0152|999023</v>
      </c>
      <c r="L1466" t="str">
        <f>IF(COUNTIF(role_course_map[mapping_key],role_course_map[[#This Row],[mapping_key]])&gt;1,"DUPLICATE","OK")</f>
        <v>OK</v>
      </c>
      <c r="M1466" t="str">
        <f>IF(COUNTIF(role_data[role_id],role_course_map[[#This Row],[role_id]])=0, "INVALID","VALID")</f>
        <v>VALID</v>
      </c>
      <c r="N1466" t="str">
        <f>IF(COUNTIF(course_data[course_id],role_course_map[[#This Row],[course_id]])=0, "INVALID","VALID")</f>
        <v>VALID</v>
      </c>
    </row>
    <row r="1467" spans="1:14" x14ac:dyDescent="0.35">
      <c r="A1467" t="s">
        <v>314</v>
      </c>
      <c r="B1467" s="5" t="str">
        <f>_xlfn.XLOOKUP(role_course_map[[#This Row],[role_id]], role_data[role_id], role_data[Role],"")</f>
        <v>ScotSTAR Administrator</v>
      </c>
      <c r="C1467">
        <v>999024</v>
      </c>
      <c r="D1467" s="5" t="str">
        <f>_xlfn.XLOOKUP(role_course_map[[#This Row],[course_id]],course_data[course_id],course_data[title],"")</f>
        <v>Conditions requiring specific hospital management. I.e. Parkinsons</v>
      </c>
      <c r="E1467" s="5" t="str">
        <f>_xlfn.XLOOKUP(role_course_map[[#This Row],[course_id]],course_data[course_id],course_data[topic],"")</f>
        <v>SAS : Clinical Practice</v>
      </c>
      <c r="F1467" s="5" t="str">
        <f>_xlfn.XLOOKUP(role_course_map[[#This Row],[course_id]],course_data[course_id],course_data[type],"")</f>
        <v>eLearning</v>
      </c>
      <c r="K1467" t="str">
        <f>role_course_map[[#This Row],[role_id]] &amp; "|" &amp; role_course_map[[#This Row],[course_id]]</f>
        <v>R0151|999024</v>
      </c>
      <c r="L1467" t="str">
        <f>IF(COUNTIF(role_course_map[mapping_key],role_course_map[[#This Row],[mapping_key]])&gt;1,"DUPLICATE","OK")</f>
        <v>OK</v>
      </c>
      <c r="M1467" t="str">
        <f>IF(COUNTIF(role_data[role_id],role_course_map[[#This Row],[role_id]])=0, "INVALID","VALID")</f>
        <v>VALID</v>
      </c>
      <c r="N1467" t="str">
        <f>IF(COUNTIF(course_data[course_id],role_course_map[[#This Row],[course_id]])=0, "INVALID","VALID")</f>
        <v>VALID</v>
      </c>
    </row>
    <row r="1468" spans="1:14" x14ac:dyDescent="0.35">
      <c r="A1468" t="s">
        <v>316</v>
      </c>
      <c r="B1468" s="5" t="str">
        <f>_xlfn.XLOOKUP(role_course_map[[#This Row],[role_id]], role_data[role_id], role_data[Role],"")</f>
        <v>ScotSTAR Driver</v>
      </c>
      <c r="C1468">
        <v>999095</v>
      </c>
      <c r="D1468" s="5" t="str">
        <f>_xlfn.XLOOKUP(role_course_map[[#This Row],[course_id]],course_data[course_id],course_data[title],"")</f>
        <v>Mentoring</v>
      </c>
      <c r="E1468" s="5" t="str">
        <f>_xlfn.XLOOKUP(role_course_map[[#This Row],[course_id]],course_data[course_id],course_data[topic],"")</f>
        <v>SAS: Staff development and experience</v>
      </c>
      <c r="F1468" s="5" t="str">
        <f>_xlfn.XLOOKUP(role_course_map[[#This Row],[course_id]],course_data[course_id],course_data[type],"")</f>
        <v>eLearning</v>
      </c>
      <c r="K1468" t="str">
        <f>role_course_map[[#This Row],[role_id]] &amp; "|" &amp; role_course_map[[#This Row],[course_id]]</f>
        <v>R0152|999095</v>
      </c>
      <c r="L1468" t="str">
        <f>IF(COUNTIF(role_course_map[mapping_key],role_course_map[[#This Row],[mapping_key]])&gt;1,"DUPLICATE","OK")</f>
        <v>OK</v>
      </c>
      <c r="M1468" t="str">
        <f>IF(COUNTIF(role_data[role_id],role_course_map[[#This Row],[role_id]])=0, "INVALID","VALID")</f>
        <v>VALID</v>
      </c>
      <c r="N1468" t="str">
        <f>IF(COUNTIF(course_data[course_id],role_course_map[[#This Row],[course_id]])=0, "INVALID","VALID")</f>
        <v>VALID</v>
      </c>
    </row>
    <row r="1469" spans="1:14" x14ac:dyDescent="0.35">
      <c r="A1469" t="s">
        <v>316</v>
      </c>
      <c r="B1469" s="5" t="str">
        <f>_xlfn.XLOOKUP(role_course_map[[#This Row],[role_id]], role_data[role_id], role_data[Role],"")</f>
        <v>ScotSTAR Driver</v>
      </c>
      <c r="C1469">
        <v>999096</v>
      </c>
      <c r="D1469" s="5" t="str">
        <f>_xlfn.XLOOKUP(role_course_map[[#This Row],[course_id]],course_data[course_id],course_data[title],"")</f>
        <v>Supporting others in practice (Supervision)</v>
      </c>
      <c r="E1469" s="5" t="str">
        <f>_xlfn.XLOOKUP(role_course_map[[#This Row],[course_id]],course_data[course_id],course_data[topic],"")</f>
        <v>SAS: Staff development and experience</v>
      </c>
      <c r="F1469" s="5" t="str">
        <f>_xlfn.XLOOKUP(role_course_map[[#This Row],[course_id]],course_data[course_id],course_data[type],"")</f>
        <v>Course</v>
      </c>
      <c r="K1469" t="str">
        <f>role_course_map[[#This Row],[role_id]] &amp; "|" &amp; role_course_map[[#This Row],[course_id]]</f>
        <v>R0152|999096</v>
      </c>
      <c r="L1469" t="str">
        <f>IF(COUNTIF(role_course_map[mapping_key],role_course_map[[#This Row],[mapping_key]])&gt;1,"DUPLICATE","OK")</f>
        <v>OK</v>
      </c>
      <c r="M1469" t="str">
        <f>IF(COUNTIF(role_data[role_id],role_course_map[[#This Row],[role_id]])=0, "INVALID","VALID")</f>
        <v>VALID</v>
      </c>
      <c r="N1469" t="str">
        <f>IF(COUNTIF(course_data[course_id],role_course_map[[#This Row],[course_id]])=0, "INVALID","VALID")</f>
        <v>VALID</v>
      </c>
    </row>
    <row r="1470" spans="1:14" x14ac:dyDescent="0.35">
      <c r="A1470" t="s">
        <v>316</v>
      </c>
      <c r="B1470" s="5" t="str">
        <f>_xlfn.XLOOKUP(role_course_map[[#This Row],[role_id]], role_data[role_id], role_data[Role],"")</f>
        <v>ScotSTAR Driver</v>
      </c>
      <c r="C1470">
        <v>999097</v>
      </c>
      <c r="D1470" s="5" t="str">
        <f>_xlfn.XLOOKUP(role_course_map[[#This Row],[course_id]],course_data[course_id],course_data[title],"")</f>
        <v>Personal Wellbeing</v>
      </c>
      <c r="E1470" s="5" t="str">
        <f>_xlfn.XLOOKUP(role_course_map[[#This Row],[course_id]],course_data[course_id],course_data[topic],"")</f>
        <v>SAS: Staff development and experience</v>
      </c>
      <c r="F1470" s="5" t="str">
        <f>_xlfn.XLOOKUP(role_course_map[[#This Row],[course_id]],course_data[course_id],course_data[type],"")</f>
        <v>eLearning</v>
      </c>
      <c r="K1470" t="str">
        <f>role_course_map[[#This Row],[role_id]] &amp; "|" &amp; role_course_map[[#This Row],[course_id]]</f>
        <v>R0152|999097</v>
      </c>
      <c r="L1470" t="str">
        <f>IF(COUNTIF(role_course_map[mapping_key],role_course_map[[#This Row],[mapping_key]])&gt;1,"DUPLICATE","OK")</f>
        <v>OK</v>
      </c>
      <c r="M1470" t="str">
        <f>IF(COUNTIF(role_data[role_id],role_course_map[[#This Row],[role_id]])=0, "INVALID","VALID")</f>
        <v>VALID</v>
      </c>
      <c r="N1470" t="str">
        <f>IF(COUNTIF(course_data[course_id],role_course_map[[#This Row],[course_id]])=0, "INVALID","VALID")</f>
        <v>VALID</v>
      </c>
    </row>
    <row r="1471" spans="1:14" x14ac:dyDescent="0.35">
      <c r="A1471" t="s">
        <v>316</v>
      </c>
      <c r="B1471" s="5" t="str">
        <f>_xlfn.XLOOKUP(role_course_map[[#This Row],[role_id]], role_data[role_id], role_data[Role],"")</f>
        <v>ScotSTAR Driver</v>
      </c>
      <c r="C1471">
        <v>999058</v>
      </c>
      <c r="D1471" s="5" t="str">
        <f>_xlfn.XLOOKUP(role_course_map[[#This Row],[course_id]],course_data[course_id],course_data[title],"")</f>
        <v>Stress Identification &amp; Stress Management</v>
      </c>
      <c r="E1471" s="5" t="str">
        <f>_xlfn.XLOOKUP(role_course_map[[#This Row],[course_id]],course_data[course_id],course_data[topic],"")</f>
        <v>SAS : Health and Safety</v>
      </c>
      <c r="F1471" s="5" t="str">
        <f>_xlfn.XLOOKUP(role_course_map[[#This Row],[course_id]],course_data[course_id],course_data[type],"")</f>
        <v>eLearning</v>
      </c>
      <c r="K1471" t="str">
        <f>role_course_map[[#This Row],[role_id]] &amp; "|" &amp; role_course_map[[#This Row],[course_id]]</f>
        <v>R0152|999058</v>
      </c>
      <c r="L1471" t="str">
        <f>IF(COUNTIF(role_course_map[mapping_key],role_course_map[[#This Row],[mapping_key]])&gt;1,"DUPLICATE","OK")</f>
        <v>OK</v>
      </c>
      <c r="M1471" t="str">
        <f>IF(COUNTIF(role_data[role_id],role_course_map[[#This Row],[role_id]])=0, "INVALID","VALID")</f>
        <v>VALID</v>
      </c>
      <c r="N1471" t="str">
        <f>IF(COUNTIF(course_data[course_id],role_course_map[[#This Row],[course_id]])=0, "INVALID","VALID")</f>
        <v>VALID</v>
      </c>
    </row>
    <row r="1472" spans="1:14" x14ac:dyDescent="0.35">
      <c r="A1472" t="s">
        <v>314</v>
      </c>
      <c r="B1472" s="5" t="str">
        <f>_xlfn.XLOOKUP(role_course_map[[#This Row],[role_id]], role_data[role_id], role_data[Role],"")</f>
        <v>ScotSTAR Administrator</v>
      </c>
      <c r="C1472">
        <v>999056</v>
      </c>
      <c r="D1472" s="5" t="str">
        <f>_xlfn.XLOOKUP(role_course_map[[#This Row],[course_id]],course_data[course_id],course_data[title],"")</f>
        <v>Driver Assessment &amp; Training</v>
      </c>
      <c r="E1472" s="5" t="str">
        <f>_xlfn.XLOOKUP(role_course_map[[#This Row],[course_id]],course_data[course_id],course_data[topic],"")</f>
        <v>SAS : Health and Safety</v>
      </c>
      <c r="F1472" s="5" t="str">
        <f>_xlfn.XLOOKUP(role_course_map[[#This Row],[course_id]],course_data[course_id],course_data[type],"")</f>
        <v>eLearning</v>
      </c>
      <c r="K1472" t="str">
        <f>role_course_map[[#This Row],[role_id]] &amp; "|" &amp; role_course_map[[#This Row],[course_id]]</f>
        <v>R0151|999056</v>
      </c>
      <c r="L1472" t="str">
        <f>IF(COUNTIF(role_course_map[mapping_key],role_course_map[[#This Row],[mapping_key]])&gt;1,"DUPLICATE","OK")</f>
        <v>OK</v>
      </c>
      <c r="M1472" t="str">
        <f>IF(COUNTIF(role_data[role_id],role_course_map[[#This Row],[role_id]])=0, "INVALID","VALID")</f>
        <v>VALID</v>
      </c>
      <c r="N1472" t="str">
        <f>IF(COUNTIF(course_data[course_id],role_course_map[[#This Row],[course_id]])=0, "INVALID","VALID")</f>
        <v>VALID</v>
      </c>
    </row>
    <row r="1473" spans="1:14" x14ac:dyDescent="0.35">
      <c r="A1473" t="s">
        <v>316</v>
      </c>
      <c r="B1473" s="5" t="str">
        <f>_xlfn.XLOOKUP(role_course_map[[#This Row],[role_id]], role_data[role_id], role_data[Role],"")</f>
        <v>ScotSTAR Driver</v>
      </c>
      <c r="C1473">
        <v>999061</v>
      </c>
      <c r="D1473" s="5" t="str">
        <f>_xlfn.XLOOKUP(role_course_map[[#This Row],[course_id]],course_data[course_id],course_data[title],"")</f>
        <v>Skin Awareness</v>
      </c>
      <c r="E1473" s="5" t="str">
        <f>_xlfn.XLOOKUP(role_course_map[[#This Row],[course_id]],course_data[course_id],course_data[topic],"")</f>
        <v>SAS : Health and Safety</v>
      </c>
      <c r="F1473" s="5" t="str">
        <f>_xlfn.XLOOKUP(role_course_map[[#This Row],[course_id]],course_data[course_id],course_data[type],"")</f>
        <v>eLearning</v>
      </c>
      <c r="K1473" t="str">
        <f>role_course_map[[#This Row],[role_id]] &amp; "|" &amp; role_course_map[[#This Row],[course_id]]</f>
        <v>R0152|999061</v>
      </c>
      <c r="L1473" t="str">
        <f>IF(COUNTIF(role_course_map[mapping_key],role_course_map[[#This Row],[mapping_key]])&gt;1,"DUPLICATE","OK")</f>
        <v>OK</v>
      </c>
      <c r="M1473" t="str">
        <f>IF(COUNTIF(role_data[role_id],role_course_map[[#This Row],[role_id]])=0, "INVALID","VALID")</f>
        <v>VALID</v>
      </c>
      <c r="N1473" t="str">
        <f>IF(COUNTIF(course_data[course_id],role_course_map[[#This Row],[course_id]])=0, "INVALID","VALID")</f>
        <v>VALID</v>
      </c>
    </row>
    <row r="1474" spans="1:14" x14ac:dyDescent="0.35">
      <c r="A1474" t="s">
        <v>314</v>
      </c>
      <c r="B1474" s="5" t="str">
        <f>_xlfn.XLOOKUP(role_course_map[[#This Row],[role_id]], role_data[role_id], role_data[Role],"")</f>
        <v>ScotSTAR Administrator</v>
      </c>
      <c r="C1474">
        <v>999057</v>
      </c>
      <c r="D1474" s="5" t="str">
        <f>_xlfn.XLOOKUP(role_course_map[[#This Row],[course_id]],course_data[course_id],course_data[title],"")</f>
        <v>Fatigue Awareness</v>
      </c>
      <c r="E1474" s="5" t="str">
        <f>_xlfn.XLOOKUP(role_course_map[[#This Row],[course_id]],course_data[course_id],course_data[topic],"")</f>
        <v>SAS : Health and Safety</v>
      </c>
      <c r="F1474" s="5" t="str">
        <f>_xlfn.XLOOKUP(role_course_map[[#This Row],[course_id]],course_data[course_id],course_data[type],"")</f>
        <v>eLearning</v>
      </c>
      <c r="K1474" t="str">
        <f>role_course_map[[#This Row],[role_id]] &amp; "|" &amp; role_course_map[[#This Row],[course_id]]</f>
        <v>R0151|999057</v>
      </c>
      <c r="L1474" t="str">
        <f>IF(COUNTIF(role_course_map[mapping_key],role_course_map[[#This Row],[mapping_key]])&gt;1,"DUPLICATE","OK")</f>
        <v>OK</v>
      </c>
      <c r="M1474" t="str">
        <f>IF(COUNTIF(role_data[role_id],role_course_map[[#This Row],[role_id]])=0, "INVALID","VALID")</f>
        <v>VALID</v>
      </c>
      <c r="N1474" t="str">
        <f>IF(COUNTIF(course_data[course_id],role_course_map[[#This Row],[course_id]])=0, "INVALID","VALID")</f>
        <v>VALID</v>
      </c>
    </row>
    <row r="1475" spans="1:14" x14ac:dyDescent="0.35">
      <c r="A1475" t="s">
        <v>316</v>
      </c>
      <c r="B1475" s="5" t="str">
        <f>_xlfn.XLOOKUP(role_course_map[[#This Row],[role_id]], role_data[role_id], role_data[Role],"")</f>
        <v>ScotSTAR Driver</v>
      </c>
      <c r="C1475">
        <v>999027</v>
      </c>
      <c r="D1475" s="5" t="str">
        <f>_xlfn.XLOOKUP(role_course_map[[#This Row],[course_id]],course_data[course_id],course_data[title],"")</f>
        <v>Manual and Patient Handling Foundation Training - Level 2</v>
      </c>
      <c r="E1475" s="5" t="str">
        <f>_xlfn.XLOOKUP(role_course_map[[#This Row],[course_id]],course_data[course_id],course_data[topic],"")</f>
        <v>SAS : Clinical Practice</v>
      </c>
      <c r="F1475" s="5" t="str">
        <f>_xlfn.XLOOKUP(role_course_map[[#This Row],[course_id]],course_data[course_id],course_data[type],"")</f>
        <v>Course</v>
      </c>
      <c r="K1475" t="str">
        <f>role_course_map[[#This Row],[role_id]] &amp; "|" &amp; role_course_map[[#This Row],[course_id]]</f>
        <v>R0152|999027</v>
      </c>
      <c r="L1475" t="str">
        <f>IF(COUNTIF(role_course_map[mapping_key],role_course_map[[#This Row],[mapping_key]])&gt;1,"DUPLICATE","OK")</f>
        <v>OK</v>
      </c>
      <c r="M1475" t="str">
        <f>IF(COUNTIF(role_data[role_id],role_course_map[[#This Row],[role_id]])=0, "INVALID","VALID")</f>
        <v>VALID</v>
      </c>
      <c r="N1475" t="str">
        <f>IF(COUNTIF(course_data[course_id],role_course_map[[#This Row],[course_id]])=0, "INVALID","VALID")</f>
        <v>VALID</v>
      </c>
    </row>
    <row r="1476" spans="1:14" x14ac:dyDescent="0.35">
      <c r="A1476" t="s">
        <v>316</v>
      </c>
      <c r="B1476" s="5" t="str">
        <f>_xlfn.XLOOKUP(role_course_map[[#This Row],[role_id]], role_data[role_id], role_data[Role],"")</f>
        <v>ScotSTAR Driver</v>
      </c>
      <c r="C1476">
        <v>999028</v>
      </c>
      <c r="D1476" s="5" t="str">
        <f>_xlfn.XLOOKUP(role_course_map[[#This Row],[course_id]],course_data[course_id],course_data[title],"")</f>
        <v>Manual and Patient Handling Competency Assessment - Level 3</v>
      </c>
      <c r="E1476" s="5" t="str">
        <f>_xlfn.XLOOKUP(role_course_map[[#This Row],[course_id]],course_data[course_id],course_data[topic],"")</f>
        <v>SAS : Clinical Practice</v>
      </c>
      <c r="F1476" s="5" t="str">
        <f>_xlfn.XLOOKUP(role_course_map[[#This Row],[course_id]],course_data[course_id],course_data[type],"")</f>
        <v>Course</v>
      </c>
      <c r="K1476" t="str">
        <f>role_course_map[[#This Row],[role_id]] &amp; "|" &amp; role_course_map[[#This Row],[course_id]]</f>
        <v>R0152|999028</v>
      </c>
      <c r="L1476" t="str">
        <f>IF(COUNTIF(role_course_map[mapping_key],role_course_map[[#This Row],[mapping_key]])&gt;1,"DUPLICATE","OK")</f>
        <v>OK</v>
      </c>
      <c r="M1476" t="str">
        <f>IF(COUNTIF(role_data[role_id],role_course_map[[#This Row],[role_id]])=0, "INVALID","VALID")</f>
        <v>VALID</v>
      </c>
      <c r="N1476" t="str">
        <f>IF(COUNTIF(course_data[course_id],role_course_map[[#This Row],[course_id]])=0, "INVALID","VALID")</f>
        <v>VALID</v>
      </c>
    </row>
    <row r="1477" spans="1:14" x14ac:dyDescent="0.35">
      <c r="A1477" t="s">
        <v>316</v>
      </c>
      <c r="B1477" s="5" t="str">
        <f>_xlfn.XLOOKUP(role_course_map[[#This Row],[role_id]], role_data[role_id], role_data[Role],"")</f>
        <v>ScotSTAR Driver</v>
      </c>
      <c r="C1477">
        <v>999029</v>
      </c>
      <c r="D1477" s="5" t="str">
        <f>_xlfn.XLOOKUP(role_course_map[[#This Row],[course_id]],course_data[course_id],course_data[title],"")</f>
        <v>Manual and Patient Handling Competency Assessment Theory - Level 3</v>
      </c>
      <c r="E1477" s="5" t="str">
        <f>_xlfn.XLOOKUP(role_course_map[[#This Row],[course_id]],course_data[course_id],course_data[topic],"")</f>
        <v>SAS : Clinical Practice</v>
      </c>
      <c r="F1477" s="5" t="str">
        <f>_xlfn.XLOOKUP(role_course_map[[#This Row],[course_id]],course_data[course_id],course_data[type],"")</f>
        <v>Course</v>
      </c>
      <c r="K1477" t="str">
        <f>role_course_map[[#This Row],[role_id]] &amp; "|" &amp; role_course_map[[#This Row],[course_id]]</f>
        <v>R0152|999029</v>
      </c>
      <c r="L1477" t="str">
        <f>IF(COUNTIF(role_course_map[mapping_key],role_course_map[[#This Row],[mapping_key]])&gt;1,"DUPLICATE","OK")</f>
        <v>OK</v>
      </c>
      <c r="M1477" t="str">
        <f>IF(COUNTIF(role_data[role_id],role_course_map[[#This Row],[role_id]])=0, "INVALID","VALID")</f>
        <v>VALID</v>
      </c>
      <c r="N1477" t="str">
        <f>IF(COUNTIF(course_data[course_id],role_course_map[[#This Row],[course_id]])=0, "INVALID","VALID")</f>
        <v>VALID</v>
      </c>
    </row>
    <row r="1478" spans="1:14" x14ac:dyDescent="0.35">
      <c r="A1478" t="s">
        <v>316</v>
      </c>
      <c r="B1478" s="5" t="str">
        <f>_xlfn.XLOOKUP(role_course_map[[#This Row],[role_id]], role_data[role_id], role_data[Role],"")</f>
        <v>ScotSTAR Driver</v>
      </c>
      <c r="C1478" t="s">
        <v>659</v>
      </c>
      <c r="D1478" s="5" t="str">
        <f>_xlfn.XLOOKUP(role_course_map[[#This Row],[course_id]],course_data[course_id],course_data[title],"")</f>
        <v>Prevention and Management of Violence and Aggression - Breakaway training Level 2 /Restrictive movement Level 3</v>
      </c>
      <c r="E1478" s="5" t="str">
        <f>_xlfn.XLOOKUP(role_course_map[[#This Row],[course_id]],course_data[course_id],course_data[topic],"")</f>
        <v>SAS : Health and Safety</v>
      </c>
      <c r="F1478" s="5" t="str">
        <f>_xlfn.XLOOKUP(role_course_map[[#This Row],[course_id]],course_data[course_id],course_data[type],"")</f>
        <v>Course</v>
      </c>
      <c r="K1478" t="str">
        <f>role_course_map[[#This Row],[role_id]] &amp; "|" &amp; role_course_map[[#This Row],[course_id]]</f>
        <v>R0152|2025-6 edition</v>
      </c>
      <c r="L1478" t="str">
        <f>IF(COUNTIF(role_course_map[mapping_key],role_course_map[[#This Row],[mapping_key]])&gt;1,"DUPLICATE","OK")</f>
        <v>OK</v>
      </c>
      <c r="M1478" t="str">
        <f>IF(COUNTIF(role_data[role_id],role_course_map[[#This Row],[role_id]])=0, "INVALID","VALID")</f>
        <v>VALID</v>
      </c>
      <c r="N1478" t="str">
        <f>IF(COUNTIF(course_data[course_id],role_course_map[[#This Row],[course_id]])=0, "INVALID","VALID")</f>
        <v>VALID</v>
      </c>
    </row>
    <row r="1479" spans="1:14" x14ac:dyDescent="0.35">
      <c r="A1479" t="s">
        <v>316</v>
      </c>
      <c r="B1479" s="5" t="str">
        <f>_xlfn.XLOOKUP(role_course_map[[#This Row],[role_id]], role_data[role_id], role_data[Role],"")</f>
        <v>ScotSTAR Driver</v>
      </c>
      <c r="C1479">
        <v>999055</v>
      </c>
      <c r="D1479" s="5" t="str">
        <f>_xlfn.XLOOKUP(role_course_map[[#This Row],[course_id]],course_data[course_id],course_data[title],"")</f>
        <v>Prevention and Management of Violence and Aggression - Refresher</v>
      </c>
      <c r="E1479" s="5" t="str">
        <f>_xlfn.XLOOKUP(role_course_map[[#This Row],[course_id]],course_data[course_id],course_data[topic],"")</f>
        <v>SAS : Health and Safety</v>
      </c>
      <c r="F1479" s="5" t="str">
        <f>_xlfn.XLOOKUP(role_course_map[[#This Row],[course_id]],course_data[course_id],course_data[type],"")</f>
        <v>Course</v>
      </c>
      <c r="K1479" t="str">
        <f>role_course_map[[#This Row],[role_id]] &amp; "|" &amp; role_course_map[[#This Row],[course_id]]</f>
        <v>R0152|999055</v>
      </c>
      <c r="L1479" t="str">
        <f>IF(COUNTIF(role_course_map[mapping_key],role_course_map[[#This Row],[mapping_key]])&gt;1,"DUPLICATE","OK")</f>
        <v>OK</v>
      </c>
      <c r="M1479" t="str">
        <f>IF(COUNTIF(role_data[role_id],role_course_map[[#This Row],[role_id]])=0, "INVALID","VALID")</f>
        <v>VALID</v>
      </c>
      <c r="N1479" t="str">
        <f>IF(COUNTIF(course_data[course_id],role_course_map[[#This Row],[course_id]])=0, "INVALID","VALID")</f>
        <v>VALID</v>
      </c>
    </row>
    <row r="1480" spans="1:14" x14ac:dyDescent="0.35">
      <c r="A1480" t="s">
        <v>316</v>
      </c>
      <c r="B1480" s="5" t="str">
        <f>_xlfn.XLOOKUP(role_course_map[[#This Row],[role_id]], role_data[role_id], role_data[Role],"")</f>
        <v>ScotSTAR Driver</v>
      </c>
      <c r="C1480">
        <v>64322</v>
      </c>
      <c r="D1480" s="5" t="str">
        <f>_xlfn.XLOOKUP(role_course_map[[#This Row],[course_id]],course_data[course_id],course_data[title],"")</f>
        <v>Adult support and protection: practice level 2 [skilled]</v>
      </c>
      <c r="E1480" s="5" t="str">
        <f>_xlfn.XLOOKUP(role_course_map[[#This Row],[course_id]],course_data[course_id],course_data[topic],"")</f>
        <v>SAS : Public Protection</v>
      </c>
      <c r="F1480" s="5" t="str">
        <f>_xlfn.XLOOKUP(role_course_map[[#This Row],[course_id]],course_data[course_id],course_data[type],"")</f>
        <v>eLearning</v>
      </c>
      <c r="K1480" t="str">
        <f>role_course_map[[#This Row],[role_id]] &amp; "|" &amp; role_course_map[[#This Row],[course_id]]</f>
        <v>R0152|64322</v>
      </c>
      <c r="L1480" t="str">
        <f>IF(COUNTIF(role_course_map[mapping_key],role_course_map[[#This Row],[mapping_key]])&gt;1,"DUPLICATE","OK")</f>
        <v>OK</v>
      </c>
      <c r="M1480" t="str">
        <f>IF(COUNTIF(role_data[role_id],role_course_map[[#This Row],[role_id]])=0, "INVALID","VALID")</f>
        <v>VALID</v>
      </c>
      <c r="N1480" t="str">
        <f>IF(COUNTIF(course_data[course_id],role_course_map[[#This Row],[course_id]])=0, "INVALID","VALID")</f>
        <v>VALID</v>
      </c>
    </row>
    <row r="1481" spans="1:14" x14ac:dyDescent="0.35">
      <c r="A1481" t="s">
        <v>316</v>
      </c>
      <c r="B1481" s="5" t="str">
        <f>_xlfn.XLOOKUP(role_course_map[[#This Row],[role_id]], role_data[role_id], role_data[Role],"")</f>
        <v>ScotSTAR Driver</v>
      </c>
      <c r="C1481">
        <v>64324</v>
      </c>
      <c r="D1481" s="5" t="str">
        <f>_xlfn.XLOOKUP(role_course_map[[#This Row],[course_id]],course_data[course_id],course_data[title],"")</f>
        <v>Child protection: practice level 2 [skilled]</v>
      </c>
      <c r="E1481" s="5" t="str">
        <f>_xlfn.XLOOKUP(role_course_map[[#This Row],[course_id]],course_data[course_id],course_data[topic],"")</f>
        <v>SAS : Public Protection</v>
      </c>
      <c r="F1481" s="5" t="str">
        <f>_xlfn.XLOOKUP(role_course_map[[#This Row],[course_id]],course_data[course_id],course_data[type],"")</f>
        <v>eLearning</v>
      </c>
      <c r="K1481" t="str">
        <f>role_course_map[[#This Row],[role_id]] &amp; "|" &amp; role_course_map[[#This Row],[course_id]]</f>
        <v>R0152|64324</v>
      </c>
      <c r="L1481" t="str">
        <f>IF(COUNTIF(role_course_map[mapping_key],role_course_map[[#This Row],[mapping_key]])&gt;1,"DUPLICATE","OK")</f>
        <v>OK</v>
      </c>
      <c r="M1481" t="str">
        <f>IF(COUNTIF(role_data[role_id],role_course_map[[#This Row],[role_id]])=0, "INVALID","VALID")</f>
        <v>VALID</v>
      </c>
      <c r="N1481" t="str">
        <f>IF(COUNTIF(course_data[course_id],role_course_map[[#This Row],[course_id]])=0, "INVALID","VALID")</f>
        <v>VALID</v>
      </c>
    </row>
    <row r="1482" spans="1:14" x14ac:dyDescent="0.35">
      <c r="A1482" t="s">
        <v>314</v>
      </c>
      <c r="B1482" s="5" t="str">
        <f>_xlfn.XLOOKUP(role_course_map[[#This Row],[role_id]], role_data[role_id], role_data[Role],"")</f>
        <v>ScotSTAR Administrator</v>
      </c>
      <c r="C1482">
        <v>76716</v>
      </c>
      <c r="D1482" s="5" t="str">
        <f>_xlfn.XLOOKUP(role_course_map[[#This Row],[course_id]],course_data[course_id],course_data[title],"")</f>
        <v>Domestic abuse awareness training tool (DAART)</v>
      </c>
      <c r="E1482" s="5" t="str">
        <f>_xlfn.XLOOKUP(role_course_map[[#This Row],[course_id]],course_data[course_id],course_data[topic],"")</f>
        <v>SAS : Public Protection</v>
      </c>
      <c r="F1482" s="5" t="str">
        <f>_xlfn.XLOOKUP(role_course_map[[#This Row],[course_id]],course_data[course_id],course_data[type],"")</f>
        <v>eLearning</v>
      </c>
      <c r="K1482" t="str">
        <f>role_course_map[[#This Row],[role_id]] &amp; "|" &amp; role_course_map[[#This Row],[course_id]]</f>
        <v>R0151|76716</v>
      </c>
      <c r="L1482" t="str">
        <f>IF(COUNTIF(role_course_map[mapping_key],role_course_map[[#This Row],[mapping_key]])&gt;1,"DUPLICATE","OK")</f>
        <v>OK</v>
      </c>
      <c r="M1482" t="str">
        <f>IF(COUNTIF(role_data[role_id],role_course_map[[#This Row],[role_id]])=0, "INVALID","VALID")</f>
        <v>VALID</v>
      </c>
      <c r="N1482" t="str">
        <f>IF(COUNTIF(course_data[course_id],role_course_map[[#This Row],[course_id]])=0, "INVALID","VALID")</f>
        <v>VALID</v>
      </c>
    </row>
    <row r="1483" spans="1:14" x14ac:dyDescent="0.35">
      <c r="A1483" t="s">
        <v>316</v>
      </c>
      <c r="B1483" s="5" t="str">
        <f>_xlfn.XLOOKUP(role_course_map[[#This Row],[role_id]], role_data[role_id], role_data[Role],"")</f>
        <v>ScotSTAR Driver</v>
      </c>
      <c r="C1483">
        <v>79666</v>
      </c>
      <c r="D1483" s="5" t="str">
        <f>_xlfn.XLOOKUP(role_course_map[[#This Row],[course_id]],course_data[course_id],course_data[title],"")</f>
        <v>Getting it right for every child (GIRFEC): informed level</v>
      </c>
      <c r="E1483" s="5" t="str">
        <f>_xlfn.XLOOKUP(role_course_map[[#This Row],[course_id]],course_data[course_id],course_data[topic],"")</f>
        <v>SAS : Public Protection</v>
      </c>
      <c r="F1483" s="5" t="str">
        <f>_xlfn.XLOOKUP(role_course_map[[#This Row],[course_id]],course_data[course_id],course_data[type],"")</f>
        <v>eLearning</v>
      </c>
      <c r="K1483" t="str">
        <f>role_course_map[[#This Row],[role_id]] &amp; "|" &amp; role_course_map[[#This Row],[course_id]]</f>
        <v>R0152|79666</v>
      </c>
      <c r="L1483" t="str">
        <f>IF(COUNTIF(role_course_map[mapping_key],role_course_map[[#This Row],[mapping_key]])&gt;1,"DUPLICATE","OK")</f>
        <v>OK</v>
      </c>
      <c r="M1483" t="str">
        <f>IF(COUNTIF(role_data[role_id],role_course_map[[#This Row],[role_id]])=0, "INVALID","VALID")</f>
        <v>VALID</v>
      </c>
      <c r="N1483" t="str">
        <f>IF(COUNTIF(course_data[course_id],role_course_map[[#This Row],[course_id]])=0, "INVALID","VALID")</f>
        <v>VALID</v>
      </c>
    </row>
    <row r="1484" spans="1:14" x14ac:dyDescent="0.35">
      <c r="A1484" t="s">
        <v>316</v>
      </c>
      <c r="B1484" s="5" t="str">
        <f>_xlfn.XLOOKUP(role_course_map[[#This Row],[role_id]], role_data[role_id], role_data[Role],"")</f>
        <v>ScotSTAR Driver</v>
      </c>
      <c r="C1484">
        <v>999074</v>
      </c>
      <c r="D1484" s="5" t="str">
        <f>_xlfn.XLOOKUP(role_course_map[[#This Row],[course_id]],course_data[course_id],course_data[title],"")</f>
        <v>SAS-specific Children’s rights</v>
      </c>
      <c r="E1484" s="5" t="str">
        <f>_xlfn.XLOOKUP(role_course_map[[#This Row],[course_id]],course_data[course_id],course_data[topic],"")</f>
        <v>SAS : Public Protection</v>
      </c>
      <c r="F1484" s="5" t="str">
        <f>_xlfn.XLOOKUP(role_course_map[[#This Row],[course_id]],course_data[course_id],course_data[type],"")</f>
        <v>eLearning</v>
      </c>
      <c r="K1484" t="str">
        <f>role_course_map[[#This Row],[role_id]] &amp; "|" &amp; role_course_map[[#This Row],[course_id]]</f>
        <v>R0152|999074</v>
      </c>
      <c r="L1484" t="str">
        <f>IF(COUNTIF(role_course_map[mapping_key],role_course_map[[#This Row],[mapping_key]])&gt;1,"DUPLICATE","OK")</f>
        <v>OK</v>
      </c>
      <c r="M1484" t="str">
        <f>IF(COUNTIF(role_data[role_id],role_course_map[[#This Row],[role_id]])=0, "INVALID","VALID")</f>
        <v>VALID</v>
      </c>
      <c r="N1484" t="str">
        <f>IF(COUNTIF(course_data[course_id],role_course_map[[#This Row],[course_id]])=0, "INVALID","VALID")</f>
        <v>VALID</v>
      </c>
    </row>
    <row r="1485" spans="1:14" x14ac:dyDescent="0.35">
      <c r="A1485" t="s">
        <v>316</v>
      </c>
      <c r="B1485" s="5" t="str">
        <f>_xlfn.XLOOKUP(role_course_map[[#This Row],[role_id]], role_data[role_id], role_data[Role],"")</f>
        <v>ScotSTAR Driver</v>
      </c>
      <c r="C1485">
        <v>999075</v>
      </c>
      <c r="D1485" s="5" t="str">
        <f>_xlfn.XLOOKUP(role_course_map[[#This Row],[course_id]],course_data[course_id],course_data[title],"")</f>
        <v>Multiagency local or bespoke Level 3 delivery training</v>
      </c>
      <c r="E1485" s="5" t="str">
        <f>_xlfn.XLOOKUP(role_course_map[[#This Row],[course_id]],course_data[course_id],course_data[topic],"")</f>
        <v>SAS : Public Protection</v>
      </c>
      <c r="F1485" s="5" t="str">
        <f>_xlfn.XLOOKUP(role_course_map[[#This Row],[course_id]],course_data[course_id],course_data[type],"")</f>
        <v>eLearning</v>
      </c>
      <c r="K1485" t="str">
        <f>role_course_map[[#This Row],[role_id]] &amp; "|" &amp; role_course_map[[#This Row],[course_id]]</f>
        <v>R0152|999075</v>
      </c>
      <c r="L1485" t="str">
        <f>IF(COUNTIF(role_course_map[mapping_key],role_course_map[[#This Row],[mapping_key]])&gt;1,"DUPLICATE","OK")</f>
        <v>OK</v>
      </c>
      <c r="M1485" t="str">
        <f>IF(COUNTIF(role_data[role_id],role_course_map[[#This Row],[role_id]])=0, "INVALID","VALID")</f>
        <v>VALID</v>
      </c>
      <c r="N1485" t="str">
        <f>IF(COUNTIF(course_data[course_id],role_course_map[[#This Row],[course_id]])=0, "INVALID","VALID")</f>
        <v>VALID</v>
      </c>
    </row>
    <row r="1486" spans="1:14" x14ac:dyDescent="0.35">
      <c r="A1486" t="s">
        <v>316</v>
      </c>
      <c r="B1486" s="5" t="str">
        <f>_xlfn.XLOOKUP(role_course_map[[#This Row],[role_id]], role_data[role_id], role_data[Role],"")</f>
        <v>ScotSTAR Driver</v>
      </c>
      <c r="C1486">
        <v>15249</v>
      </c>
      <c r="D1486" s="5" t="str">
        <f>_xlfn.XLOOKUP(role_course_map[[#This Row],[course_id]],course_data[course_id],course_data[title],"")</f>
        <v>Human trafficking</v>
      </c>
      <c r="E1486" s="5" t="str">
        <f>_xlfn.XLOOKUP(role_course_map[[#This Row],[course_id]],course_data[course_id],course_data[topic],"")</f>
        <v>SAS : Public Protection</v>
      </c>
      <c r="F1486" s="5" t="str">
        <f>_xlfn.XLOOKUP(role_course_map[[#This Row],[course_id]],course_data[course_id],course_data[type],"")</f>
        <v>eLearning</v>
      </c>
      <c r="K1486" t="str">
        <f>role_course_map[[#This Row],[role_id]] &amp; "|" &amp; role_course_map[[#This Row],[course_id]]</f>
        <v>R0152|15249</v>
      </c>
      <c r="L1486" t="str">
        <f>IF(COUNTIF(role_course_map[mapping_key],role_course_map[[#This Row],[mapping_key]])&gt;1,"DUPLICATE","OK")</f>
        <v>OK</v>
      </c>
      <c r="M1486" t="str">
        <f>IF(COUNTIF(role_data[role_id],role_course_map[[#This Row],[role_id]])=0, "INVALID","VALID")</f>
        <v>VALID</v>
      </c>
      <c r="N1486" t="str">
        <f>IF(COUNTIF(course_data[course_id],role_course_map[[#This Row],[course_id]])=0, "INVALID","VALID")</f>
        <v>VALID</v>
      </c>
    </row>
    <row r="1487" spans="1:14" x14ac:dyDescent="0.35">
      <c r="A1487" t="s">
        <v>316</v>
      </c>
      <c r="B1487" s="5" t="str">
        <f>_xlfn.XLOOKUP(role_course_map[[#This Row],[role_id]], role_data[role_id], role_data[Role],"")</f>
        <v>ScotSTAR Driver</v>
      </c>
      <c r="C1487">
        <v>89161</v>
      </c>
      <c r="D1487" s="5" t="str">
        <f>_xlfn.XLOOKUP(role_course_map[[#This Row],[course_id]],course_data[course_id],course_data[title],"")</f>
        <v>Personal Protective Equipment</v>
      </c>
      <c r="E1487" s="5" t="str">
        <f>_xlfn.XLOOKUP(role_course_map[[#This Row],[course_id]],course_data[course_id],course_data[topic],"")</f>
        <v>SAS : Infection Prevention and Control (IPC)</v>
      </c>
      <c r="F1487" s="5" t="str">
        <f>_xlfn.XLOOKUP(role_course_map[[#This Row],[course_id]],course_data[course_id],course_data[type],"")</f>
        <v>eLearning</v>
      </c>
      <c r="K1487" t="str">
        <f>role_course_map[[#This Row],[role_id]] &amp; "|" &amp; role_course_map[[#This Row],[course_id]]</f>
        <v>R0152|89161</v>
      </c>
      <c r="L1487" t="str">
        <f>IF(COUNTIF(role_course_map[mapping_key],role_course_map[[#This Row],[mapping_key]])&gt;1,"DUPLICATE","OK")</f>
        <v>OK</v>
      </c>
      <c r="M1487" t="str">
        <f>IF(COUNTIF(role_data[role_id],role_course_map[[#This Row],[role_id]])=0, "INVALID","VALID")</f>
        <v>VALID</v>
      </c>
      <c r="N1487" t="str">
        <f>IF(COUNTIF(course_data[course_id],role_course_map[[#This Row],[course_id]])=0, "INVALID","VALID")</f>
        <v>VALID</v>
      </c>
    </row>
    <row r="1488" spans="1:14" x14ac:dyDescent="0.35">
      <c r="A1488" t="s">
        <v>316</v>
      </c>
      <c r="B1488" s="5" t="str">
        <f>_xlfn.XLOOKUP(role_course_map[[#This Row],[role_id]], role_data[role_id], role_data[Role],"")</f>
        <v>ScotSTAR Driver</v>
      </c>
      <c r="C1488">
        <v>89157</v>
      </c>
      <c r="D1488" s="5" t="str">
        <f>_xlfn.XLOOKUP(role_course_map[[#This Row],[course_id]],course_data[course_id],course_data[title],"")</f>
        <v>Safe Management of Care Equipment</v>
      </c>
      <c r="E1488" s="5" t="str">
        <f>_xlfn.XLOOKUP(role_course_map[[#This Row],[course_id]],course_data[course_id],course_data[topic],"")</f>
        <v>SAS : Infection Prevention and Control (IPC)</v>
      </c>
      <c r="F1488" s="5" t="str">
        <f>_xlfn.XLOOKUP(role_course_map[[#This Row],[course_id]],course_data[course_id],course_data[type],"")</f>
        <v>eLearning</v>
      </c>
      <c r="K1488" t="str">
        <f>role_course_map[[#This Row],[role_id]] &amp; "|" &amp; role_course_map[[#This Row],[course_id]]</f>
        <v>R0152|89157</v>
      </c>
      <c r="L1488" t="str">
        <f>IF(COUNTIF(role_course_map[mapping_key],role_course_map[[#This Row],[mapping_key]])&gt;1,"DUPLICATE","OK")</f>
        <v>OK</v>
      </c>
      <c r="M1488" t="str">
        <f>IF(COUNTIF(role_data[role_id],role_course_map[[#This Row],[role_id]])=0, "INVALID","VALID")</f>
        <v>VALID</v>
      </c>
      <c r="N1488" t="str">
        <f>IF(COUNTIF(course_data[course_id],role_course_map[[#This Row],[course_id]])=0, "INVALID","VALID")</f>
        <v>VALID</v>
      </c>
    </row>
    <row r="1489" spans="1:14" x14ac:dyDescent="0.35">
      <c r="A1489" t="s">
        <v>316</v>
      </c>
      <c r="B1489" s="5" t="str">
        <f>_xlfn.XLOOKUP(role_course_map[[#This Row],[role_id]], role_data[role_id], role_data[Role],"")</f>
        <v>ScotSTAR Driver</v>
      </c>
      <c r="C1489">
        <v>89158</v>
      </c>
      <c r="D1489" s="5" t="str">
        <f>_xlfn.XLOOKUP(role_course_map[[#This Row],[course_id]],course_data[course_id],course_data[title],"")</f>
        <v>Safe Management of Care Environment</v>
      </c>
      <c r="E1489" s="5" t="str">
        <f>_xlfn.XLOOKUP(role_course_map[[#This Row],[course_id]],course_data[course_id],course_data[topic],"")</f>
        <v>SAS : Infection Prevention and Control (IPC)</v>
      </c>
      <c r="F1489" s="5" t="str">
        <f>_xlfn.XLOOKUP(role_course_map[[#This Row],[course_id]],course_data[course_id],course_data[type],"")</f>
        <v>eLearning</v>
      </c>
      <c r="K1489" t="str">
        <f>role_course_map[[#This Row],[role_id]] &amp; "|" &amp; role_course_map[[#This Row],[course_id]]</f>
        <v>R0152|89158</v>
      </c>
      <c r="L1489" t="str">
        <f>IF(COUNTIF(role_course_map[mapping_key],role_course_map[[#This Row],[mapping_key]])&gt;1,"DUPLICATE","OK")</f>
        <v>OK</v>
      </c>
      <c r="M1489" t="str">
        <f>IF(COUNTIF(role_data[role_id],role_course_map[[#This Row],[role_id]])=0, "INVALID","VALID")</f>
        <v>VALID</v>
      </c>
      <c r="N1489" t="str">
        <f>IF(COUNTIF(course_data[course_id],role_course_map[[#This Row],[course_id]])=0, "INVALID","VALID")</f>
        <v>VALID</v>
      </c>
    </row>
    <row r="1490" spans="1:14" x14ac:dyDescent="0.35">
      <c r="A1490" t="s">
        <v>316</v>
      </c>
      <c r="B1490" s="5" t="str">
        <f>_xlfn.XLOOKUP(role_course_map[[#This Row],[role_id]], role_data[role_id], role_data[Role],"")</f>
        <v>ScotSTAR Driver</v>
      </c>
      <c r="C1490">
        <v>89159</v>
      </c>
      <c r="D1490" s="5" t="str">
        <f>_xlfn.XLOOKUP(role_course_map[[#This Row],[course_id]],course_data[course_id],course_data[title],"")</f>
        <v>Safe Management of Linen</v>
      </c>
      <c r="E1490" s="5" t="str">
        <f>_xlfn.XLOOKUP(role_course_map[[#This Row],[course_id]],course_data[course_id],course_data[topic],"")</f>
        <v>SAS : Infection Prevention and Control (IPC)</v>
      </c>
      <c r="F1490" s="5" t="str">
        <f>_xlfn.XLOOKUP(role_course_map[[#This Row],[course_id]],course_data[course_id],course_data[type],"")</f>
        <v>eLearning</v>
      </c>
      <c r="K1490" t="str">
        <f>role_course_map[[#This Row],[role_id]] &amp; "|" &amp; role_course_map[[#This Row],[course_id]]</f>
        <v>R0152|89159</v>
      </c>
      <c r="L1490" t="str">
        <f>IF(COUNTIF(role_course_map[mapping_key],role_course_map[[#This Row],[mapping_key]])&gt;1,"DUPLICATE","OK")</f>
        <v>OK</v>
      </c>
      <c r="M1490" t="str">
        <f>IF(COUNTIF(role_data[role_id],role_course_map[[#This Row],[role_id]])=0, "INVALID","VALID")</f>
        <v>VALID</v>
      </c>
      <c r="N1490" t="str">
        <f>IF(COUNTIF(course_data[course_id],role_course_map[[#This Row],[course_id]])=0, "INVALID","VALID")</f>
        <v>VALID</v>
      </c>
    </row>
    <row r="1491" spans="1:14" x14ac:dyDescent="0.35">
      <c r="A1491" t="s">
        <v>316</v>
      </c>
      <c r="B1491" s="5" t="str">
        <f>_xlfn.XLOOKUP(role_course_map[[#This Row],[role_id]], role_data[role_id], role_data[Role],"")</f>
        <v>ScotSTAR Driver</v>
      </c>
      <c r="C1491">
        <v>89160</v>
      </c>
      <c r="D1491" s="5" t="str">
        <f>_xlfn.XLOOKUP(role_course_map[[#This Row],[course_id]],course_data[course_id],course_data[title],"")</f>
        <v>Safe Management of blood and body fluids</v>
      </c>
      <c r="E1491" s="5" t="str">
        <f>_xlfn.XLOOKUP(role_course_map[[#This Row],[course_id]],course_data[course_id],course_data[topic],"")</f>
        <v>SAS : Infection Prevention and Control (IPC)</v>
      </c>
      <c r="F1491" s="5" t="str">
        <f>_xlfn.XLOOKUP(role_course_map[[#This Row],[course_id]],course_data[course_id],course_data[type],"")</f>
        <v>eLearning</v>
      </c>
      <c r="K1491" t="str">
        <f>role_course_map[[#This Row],[role_id]] &amp; "|" &amp; role_course_map[[#This Row],[course_id]]</f>
        <v>R0152|89160</v>
      </c>
      <c r="L1491" t="str">
        <f>IF(COUNTIF(role_course_map[mapping_key],role_course_map[[#This Row],[mapping_key]])&gt;1,"DUPLICATE","OK")</f>
        <v>OK</v>
      </c>
      <c r="M1491" t="str">
        <f>IF(COUNTIF(role_data[role_id],role_course_map[[#This Row],[role_id]])=0, "INVALID","VALID")</f>
        <v>VALID</v>
      </c>
      <c r="N1491" t="str">
        <f>IF(COUNTIF(course_data[course_id],role_course_map[[#This Row],[course_id]])=0, "INVALID","VALID")</f>
        <v>VALID</v>
      </c>
    </row>
    <row r="1492" spans="1:14" x14ac:dyDescent="0.35">
      <c r="A1492" t="s">
        <v>316</v>
      </c>
      <c r="B1492" s="5" t="str">
        <f>_xlfn.XLOOKUP(role_course_map[[#This Row],[role_id]], role_data[role_id], role_data[Role],"")</f>
        <v>ScotSTAR Driver</v>
      </c>
      <c r="C1492">
        <v>89154</v>
      </c>
      <c r="D1492" s="5" t="str">
        <f>_xlfn.XLOOKUP(role_course_map[[#This Row],[course_id]],course_data[course_id],course_data[title],"")</f>
        <v>Safe disposal of waste</v>
      </c>
      <c r="E1492" s="5" t="str">
        <f>_xlfn.XLOOKUP(role_course_map[[#This Row],[course_id]],course_data[course_id],course_data[topic],"")</f>
        <v>SAS : Infection Prevention and Control (IPC)</v>
      </c>
      <c r="F1492" s="5" t="str">
        <f>_xlfn.XLOOKUP(role_course_map[[#This Row],[course_id]],course_data[course_id],course_data[type],"")</f>
        <v>eLearning</v>
      </c>
      <c r="K1492" t="str">
        <f>role_course_map[[#This Row],[role_id]] &amp; "|" &amp; role_course_map[[#This Row],[course_id]]</f>
        <v>R0152|89154</v>
      </c>
      <c r="L1492" t="str">
        <f>IF(COUNTIF(role_course_map[mapping_key],role_course_map[[#This Row],[mapping_key]])&gt;1,"DUPLICATE","OK")</f>
        <v>OK</v>
      </c>
      <c r="M1492" t="str">
        <f>IF(COUNTIF(role_data[role_id],role_course_map[[#This Row],[role_id]])=0, "INVALID","VALID")</f>
        <v>VALID</v>
      </c>
      <c r="N1492" t="str">
        <f>IF(COUNTIF(course_data[course_id],role_course_map[[#This Row],[course_id]])=0, "INVALID","VALID")</f>
        <v>VALID</v>
      </c>
    </row>
    <row r="1493" spans="1:14" x14ac:dyDescent="0.35">
      <c r="A1493" t="s">
        <v>316</v>
      </c>
      <c r="B1493" s="5" t="str">
        <f>_xlfn.XLOOKUP(role_course_map[[#This Row],[role_id]], role_data[role_id], role_data[Role],"")</f>
        <v>ScotSTAR Driver</v>
      </c>
      <c r="C1493">
        <v>89155</v>
      </c>
      <c r="D1493" s="5" t="str">
        <f>_xlfn.XLOOKUP(role_course_map[[#This Row],[course_id]],course_data[course_id],course_data[title],"")</f>
        <v>Prevention &amp; management of occupational exposure</v>
      </c>
      <c r="E1493" s="5" t="str">
        <f>_xlfn.XLOOKUP(role_course_map[[#This Row],[course_id]],course_data[course_id],course_data[topic],"")</f>
        <v>SAS : Infection Prevention and Control (IPC)</v>
      </c>
      <c r="F1493" s="5" t="str">
        <f>_xlfn.XLOOKUP(role_course_map[[#This Row],[course_id]],course_data[course_id],course_data[type],"")</f>
        <v>eLearning</v>
      </c>
      <c r="K1493" t="str">
        <f>role_course_map[[#This Row],[role_id]] &amp; "|" &amp; role_course_map[[#This Row],[course_id]]</f>
        <v>R0152|89155</v>
      </c>
      <c r="L1493" t="str">
        <f>IF(COUNTIF(role_course_map[mapping_key],role_course_map[[#This Row],[mapping_key]])&gt;1,"DUPLICATE","OK")</f>
        <v>OK</v>
      </c>
      <c r="M1493" t="str">
        <f>IF(COUNTIF(role_data[role_id],role_course_map[[#This Row],[role_id]])=0, "INVALID","VALID")</f>
        <v>VALID</v>
      </c>
      <c r="N1493" t="str">
        <f>IF(COUNTIF(course_data[course_id],role_course_map[[#This Row],[course_id]])=0, "INVALID","VALID")</f>
        <v>VALID</v>
      </c>
    </row>
    <row r="1494" spans="1:14" x14ac:dyDescent="0.35">
      <c r="A1494" t="s">
        <v>316</v>
      </c>
      <c r="B1494" s="5" t="str">
        <f>_xlfn.XLOOKUP(role_course_map[[#This Row],[role_id]], role_data[role_id], role_data[Role],"")</f>
        <v>ScotSTAR Driver</v>
      </c>
      <c r="C1494">
        <v>999064</v>
      </c>
      <c r="D1494" s="5" t="str">
        <f>_xlfn.XLOOKUP(role_course_map[[#This Row],[course_id]],course_data[course_id],course_data[title],"")</f>
        <v>Infection prevention and control: Clostridioides difficile infection</v>
      </c>
      <c r="E1494" s="5" t="str">
        <f>_xlfn.XLOOKUP(role_course_map[[#This Row],[course_id]],course_data[course_id],course_data[topic],"")</f>
        <v>SAS : Infection Prevention and Control (IPC)</v>
      </c>
      <c r="F1494" s="5" t="str">
        <f>_xlfn.XLOOKUP(role_course_map[[#This Row],[course_id]],course_data[course_id],course_data[type],"")</f>
        <v>eLearning</v>
      </c>
      <c r="K1494" t="str">
        <f>role_course_map[[#This Row],[role_id]] &amp; "|" &amp; role_course_map[[#This Row],[course_id]]</f>
        <v>R0152|999064</v>
      </c>
      <c r="L1494" t="str">
        <f>IF(COUNTIF(role_course_map[mapping_key],role_course_map[[#This Row],[mapping_key]])&gt;1,"DUPLICATE","OK")</f>
        <v>OK</v>
      </c>
      <c r="M1494" t="str">
        <f>IF(COUNTIF(role_data[role_id],role_course_map[[#This Row],[role_id]])=0, "INVALID","VALID")</f>
        <v>VALID</v>
      </c>
      <c r="N1494" t="str">
        <f>IF(COUNTIF(course_data[course_id],role_course_map[[#This Row],[course_id]])=0, "INVALID","VALID")</f>
        <v>VALID</v>
      </c>
    </row>
    <row r="1495" spans="1:14" x14ac:dyDescent="0.35">
      <c r="A1495" t="s">
        <v>316</v>
      </c>
      <c r="B1495" s="5" t="str">
        <f>_xlfn.XLOOKUP(role_course_map[[#This Row],[role_id]], role_data[role_id], role_data[Role],"")</f>
        <v>ScotSTAR Driver</v>
      </c>
      <c r="C1495">
        <v>3886</v>
      </c>
      <c r="D1495" s="5" t="str">
        <f>_xlfn.XLOOKUP(role_course_map[[#This Row],[course_id]],course_data[course_id],course_data[title],"")</f>
        <v>Prevention and management of pressure ulcers</v>
      </c>
      <c r="E1495" s="5" t="str">
        <f>_xlfn.XLOOKUP(role_course_map[[#This Row],[course_id]],course_data[course_id],course_data[topic],"")</f>
        <v>SAS : Clinical Practice</v>
      </c>
      <c r="F1495" s="5" t="str">
        <f>_xlfn.XLOOKUP(role_course_map[[#This Row],[course_id]],course_data[course_id],course_data[type],"")</f>
        <v>Page</v>
      </c>
      <c r="K1495" t="str">
        <f>role_course_map[[#This Row],[role_id]] &amp; "|" &amp; role_course_map[[#This Row],[course_id]]</f>
        <v>R0152|3886</v>
      </c>
      <c r="L1495" t="str">
        <f>IF(COUNTIF(role_course_map[mapping_key],role_course_map[[#This Row],[mapping_key]])&gt;1,"DUPLICATE","OK")</f>
        <v>OK</v>
      </c>
      <c r="M1495" t="str">
        <f>IF(COUNTIF(role_data[role_id],role_course_map[[#This Row],[role_id]])=0, "INVALID","VALID")</f>
        <v>VALID</v>
      </c>
      <c r="N1495" t="str">
        <f>IF(COUNTIF(course_data[course_id],role_course_map[[#This Row],[course_id]])=0, "INVALID","VALID")</f>
        <v>VALID</v>
      </c>
    </row>
    <row r="1496" spans="1:14" x14ac:dyDescent="0.35">
      <c r="A1496" t="s">
        <v>316</v>
      </c>
      <c r="B1496" s="5" t="str">
        <f>_xlfn.XLOOKUP(role_course_map[[#This Row],[role_id]], role_data[role_id], role_data[Role],"")</f>
        <v>ScotSTAR Driver</v>
      </c>
      <c r="C1496">
        <v>999077</v>
      </c>
      <c r="D1496" s="5" t="str">
        <f>_xlfn.XLOOKUP(role_course_map[[#This Row],[course_id]],course_data[course_id],course_data[title],"")</f>
        <v>ScotSTAR: Role specific Orientation &amp; Induction</v>
      </c>
      <c r="E1496" s="5" t="str">
        <f>_xlfn.XLOOKUP(role_course_map[[#This Row],[course_id]],course_data[course_id],course_data[topic],"")</f>
        <v>SAS : ScotSTAR</v>
      </c>
      <c r="F1496" s="5" t="str">
        <f>_xlfn.XLOOKUP(role_course_map[[#This Row],[course_id]],course_data[course_id],course_data[type],"")</f>
        <v>Course</v>
      </c>
      <c r="K1496" t="str">
        <f>role_course_map[[#This Row],[role_id]] &amp; "|" &amp; role_course_map[[#This Row],[course_id]]</f>
        <v>R0152|999077</v>
      </c>
      <c r="L1496" t="str">
        <f>IF(COUNTIF(role_course_map[mapping_key],role_course_map[[#This Row],[mapping_key]])&gt;1,"DUPLICATE","OK")</f>
        <v>OK</v>
      </c>
      <c r="M1496" t="str">
        <f>IF(COUNTIF(role_data[role_id],role_course_map[[#This Row],[role_id]])=0, "INVALID","VALID")</f>
        <v>VALID</v>
      </c>
      <c r="N1496" t="str">
        <f>IF(COUNTIF(course_data[course_id],role_course_map[[#This Row],[course_id]])=0, "INVALID","VALID")</f>
        <v>VALID</v>
      </c>
    </row>
    <row r="1497" spans="1:14" x14ac:dyDescent="0.35">
      <c r="A1497" t="s">
        <v>276</v>
      </c>
      <c r="B1497" s="5" t="str">
        <f>_xlfn.XLOOKUP(role_course_map[[#This Row],[role_id]], role_data[role_id], role_data[Role],"")</f>
        <v>EMRS Advanced Retrieval Practitioner</v>
      </c>
      <c r="C1497">
        <v>74436</v>
      </c>
      <c r="D1497" s="5" t="str">
        <f>_xlfn.XLOOKUP(role_course_map[[#This Row],[course_id]],course_data[course_id],course_data[title],"")</f>
        <v>Airwave radio refresher</v>
      </c>
      <c r="E1497" s="5" t="str">
        <f>_xlfn.XLOOKUP(role_course_map[[#This Row],[course_id]],course_data[course_id],course_data[topic],"")</f>
        <v>SAS: Systems Training</v>
      </c>
      <c r="F1497" s="5" t="str">
        <f>_xlfn.XLOOKUP(role_course_map[[#This Row],[course_id]],course_data[course_id],course_data[type],"")</f>
        <v>eLearning</v>
      </c>
      <c r="K1497" t="str">
        <f>role_course_map[[#This Row],[role_id]] &amp; "|" &amp; role_course_map[[#This Row],[course_id]]</f>
        <v>R0132|74436</v>
      </c>
      <c r="L1497" t="str">
        <f>IF(COUNTIF(role_course_map[mapping_key],role_course_map[[#This Row],[mapping_key]])&gt;1,"DUPLICATE","OK")</f>
        <v>OK</v>
      </c>
      <c r="M1497" t="str">
        <f>IF(COUNTIF(role_data[role_id],role_course_map[[#This Row],[role_id]])=0, "INVALID","VALID")</f>
        <v>VALID</v>
      </c>
      <c r="N1497" t="str">
        <f>IF(COUNTIF(course_data[course_id],role_course_map[[#This Row],[course_id]])=0, "INVALID","VALID")</f>
        <v>VALID</v>
      </c>
    </row>
    <row r="1498" spans="1:14" x14ac:dyDescent="0.35">
      <c r="A1498" t="s">
        <v>278</v>
      </c>
      <c r="B1498" s="5" t="str">
        <f>_xlfn.XLOOKUP(role_course_map[[#This Row],[role_id]], role_data[role_id], role_data[Role],"")</f>
        <v>EMRS Consultant</v>
      </c>
      <c r="C1498">
        <v>74436</v>
      </c>
      <c r="D1498" s="5" t="str">
        <f>_xlfn.XLOOKUP(role_course_map[[#This Row],[course_id]],course_data[course_id],course_data[title],"")</f>
        <v>Airwave radio refresher</v>
      </c>
      <c r="E1498" s="5" t="str">
        <f>_xlfn.XLOOKUP(role_course_map[[#This Row],[course_id]],course_data[course_id],course_data[topic],"")</f>
        <v>SAS: Systems Training</v>
      </c>
      <c r="F1498" s="5" t="str">
        <f>_xlfn.XLOOKUP(role_course_map[[#This Row],[course_id]],course_data[course_id],course_data[type],"")</f>
        <v>eLearning</v>
      </c>
      <c r="K1498" t="str">
        <f>role_course_map[[#This Row],[role_id]] &amp; "|" &amp; role_course_map[[#This Row],[course_id]]</f>
        <v>R0133|74436</v>
      </c>
      <c r="L1498" t="str">
        <f>IF(COUNTIF(role_course_map[mapping_key],role_course_map[[#This Row],[mapping_key]])&gt;1,"DUPLICATE","OK")</f>
        <v>OK</v>
      </c>
      <c r="M1498" t="str">
        <f>IF(COUNTIF(role_data[role_id],role_course_map[[#This Row],[role_id]])=0, "INVALID","VALID")</f>
        <v>VALID</v>
      </c>
      <c r="N1498" t="str">
        <f>IF(COUNTIF(course_data[course_id],role_course_map[[#This Row],[course_id]])=0, "INVALID","VALID")</f>
        <v>VALID</v>
      </c>
    </row>
    <row r="1499" spans="1:14" x14ac:dyDescent="0.35">
      <c r="A1499" t="s">
        <v>280</v>
      </c>
      <c r="B1499" s="5" t="str">
        <f>_xlfn.XLOOKUP(role_course_map[[#This Row],[role_id]], role_data[role_id], role_data[Role],"")</f>
        <v>EMRS Fellow</v>
      </c>
      <c r="C1499">
        <v>74436</v>
      </c>
      <c r="D1499" s="5" t="str">
        <f>_xlfn.XLOOKUP(role_course_map[[#This Row],[course_id]],course_data[course_id],course_data[title],"")</f>
        <v>Airwave radio refresher</v>
      </c>
      <c r="E1499" s="5" t="str">
        <f>_xlfn.XLOOKUP(role_course_map[[#This Row],[course_id]],course_data[course_id],course_data[topic],"")</f>
        <v>SAS: Systems Training</v>
      </c>
      <c r="F1499" s="5" t="str">
        <f>_xlfn.XLOOKUP(role_course_map[[#This Row],[course_id]],course_data[course_id],course_data[type],"")</f>
        <v>eLearning</v>
      </c>
      <c r="K1499" t="str">
        <f>role_course_map[[#This Row],[role_id]] &amp; "|" &amp; role_course_map[[#This Row],[course_id]]</f>
        <v>R0134|74436</v>
      </c>
      <c r="L1499" t="str">
        <f>IF(COUNTIF(role_course_map[mapping_key],role_course_map[[#This Row],[mapping_key]])&gt;1,"DUPLICATE","OK")</f>
        <v>OK</v>
      </c>
      <c r="M1499" t="str">
        <f>IF(COUNTIF(role_data[role_id],role_course_map[[#This Row],[role_id]])=0, "INVALID","VALID")</f>
        <v>VALID</v>
      </c>
      <c r="N1499" t="str">
        <f>IF(COUNTIF(course_data[course_id],role_course_map[[#This Row],[course_id]])=0, "INVALID","VALID")</f>
        <v>VALID</v>
      </c>
    </row>
    <row r="1500" spans="1:14" x14ac:dyDescent="0.35">
      <c r="A1500" t="s">
        <v>316</v>
      </c>
      <c r="B1500" s="5" t="str">
        <f>_xlfn.XLOOKUP(role_course_map[[#This Row],[role_id]], role_data[role_id], role_data[Role],"")</f>
        <v>ScotSTAR Driver</v>
      </c>
      <c r="C1500">
        <v>74436</v>
      </c>
      <c r="D1500" s="5" t="str">
        <f>_xlfn.XLOOKUP(role_course_map[[#This Row],[course_id]],course_data[course_id],course_data[title],"")</f>
        <v>Airwave radio refresher</v>
      </c>
      <c r="E1500" s="5" t="str">
        <f>_xlfn.XLOOKUP(role_course_map[[#This Row],[course_id]],course_data[course_id],course_data[topic],"")</f>
        <v>SAS: Systems Training</v>
      </c>
      <c r="F1500" s="5" t="str">
        <f>_xlfn.XLOOKUP(role_course_map[[#This Row],[course_id]],course_data[course_id],course_data[type],"")</f>
        <v>eLearning</v>
      </c>
      <c r="K1500" t="str">
        <f>role_course_map[[#This Row],[role_id]] &amp; "|" &amp; role_course_map[[#This Row],[course_id]]</f>
        <v>R0152|74436</v>
      </c>
      <c r="L1500" t="str">
        <f>IF(COUNTIF(role_course_map[mapping_key],role_course_map[[#This Row],[mapping_key]])&gt;1,"DUPLICATE","OK")</f>
        <v>OK</v>
      </c>
      <c r="M1500" t="str">
        <f>IF(COUNTIF(role_data[role_id],role_course_map[[#This Row],[role_id]])=0, "INVALID","VALID")</f>
        <v>VALID</v>
      </c>
      <c r="N1500" t="str">
        <f>IF(COUNTIF(course_data[course_id],role_course_map[[#This Row],[course_id]])=0, "INVALID","VALID")</f>
        <v>VALID</v>
      </c>
    </row>
    <row r="1501" spans="1:14" x14ac:dyDescent="0.35">
      <c r="A1501" t="s">
        <v>318</v>
      </c>
      <c r="B1501" s="5" t="str">
        <f>_xlfn.XLOOKUP(role_course_map[[#This Row],[role_id]], role_data[role_id], role_data[Role],"")</f>
        <v>Senior Transport Charge Nurse</v>
      </c>
      <c r="C1501">
        <v>999009</v>
      </c>
      <c r="D1501" s="5" t="str">
        <f>_xlfn.XLOOKUP(role_course_map[[#This Row],[course_id]],course_data[course_id],course_data[title],"")</f>
        <v>Life Support</v>
      </c>
      <c r="E1501" s="5" t="str">
        <f>_xlfn.XLOOKUP(role_course_map[[#This Row],[course_id]],course_data[course_id],course_data[topic],"")</f>
        <v>SAS : Clinical Practice</v>
      </c>
      <c r="F1501" s="5" t="str">
        <f>_xlfn.XLOOKUP(role_course_map[[#This Row],[course_id]],course_data[course_id],course_data[type],"")</f>
        <v>Course</v>
      </c>
      <c r="K1501" t="str">
        <f>role_course_map[[#This Row],[role_id]] &amp; "|" &amp; role_course_map[[#This Row],[course_id]]</f>
        <v>R0153|999009</v>
      </c>
      <c r="L1501" t="str">
        <f>IF(COUNTIF(role_course_map[mapping_key],role_course_map[[#This Row],[mapping_key]])&gt;1,"DUPLICATE","OK")</f>
        <v>OK</v>
      </c>
      <c r="M1501" t="str">
        <f>IF(COUNTIF(role_data[role_id],role_course_map[[#This Row],[role_id]])=0, "INVALID","VALID")</f>
        <v>VALID</v>
      </c>
      <c r="N1501" t="str">
        <f>IF(COUNTIF(course_data[course_id],role_course_map[[#This Row],[course_id]])=0, "INVALID","VALID")</f>
        <v>VALID</v>
      </c>
    </row>
    <row r="1502" spans="1:14" x14ac:dyDescent="0.35">
      <c r="A1502" t="s">
        <v>318</v>
      </c>
      <c r="B1502" s="5" t="str">
        <f>_xlfn.XLOOKUP(role_course_map[[#This Row],[role_id]], role_data[role_id], role_data[Role],"")</f>
        <v>Senior Transport Charge Nurse</v>
      </c>
      <c r="C1502">
        <v>999007</v>
      </c>
      <c r="D1502" s="5" t="str">
        <f>_xlfn.XLOOKUP(role_course_map[[#This Row],[course_id]],course_data[course_id],course_data[title],"")</f>
        <v>Obstetrics</v>
      </c>
      <c r="E1502" s="5" t="str">
        <f>_xlfn.XLOOKUP(role_course_map[[#This Row],[course_id]],course_data[course_id],course_data[topic],"")</f>
        <v>SAS : Clinical Practice</v>
      </c>
      <c r="F1502" s="5" t="str">
        <f>_xlfn.XLOOKUP(role_course_map[[#This Row],[course_id]],course_data[course_id],course_data[type],"")</f>
        <v>Course</v>
      </c>
      <c r="K1502" t="str">
        <f>role_course_map[[#This Row],[role_id]] &amp; "|" &amp; role_course_map[[#This Row],[course_id]]</f>
        <v>R0153|999007</v>
      </c>
      <c r="L1502" t="str">
        <f>IF(COUNTIF(role_course_map[mapping_key],role_course_map[[#This Row],[mapping_key]])&gt;1,"DUPLICATE","OK")</f>
        <v>OK</v>
      </c>
      <c r="M1502" t="str">
        <f>IF(COUNTIF(role_data[role_id],role_course_map[[#This Row],[role_id]])=0, "INVALID","VALID")</f>
        <v>VALID</v>
      </c>
      <c r="N1502" t="str">
        <f>IF(COUNTIF(course_data[course_id],role_course_map[[#This Row],[course_id]])=0, "INVALID","VALID")</f>
        <v>VALID</v>
      </c>
    </row>
    <row r="1503" spans="1:14" x14ac:dyDescent="0.35">
      <c r="A1503" t="s">
        <v>318</v>
      </c>
      <c r="B1503" s="5" t="str">
        <f>_xlfn.XLOOKUP(role_course_map[[#This Row],[role_id]], role_data[role_id], role_data[Role],"")</f>
        <v>Senior Transport Charge Nurse</v>
      </c>
      <c r="C1503">
        <v>999008</v>
      </c>
      <c r="D1503" s="5" t="str">
        <f>_xlfn.XLOOKUP(role_course_map[[#This Row],[course_id]],course_data[course_id],course_data[title],"")</f>
        <v>Obstetrics</v>
      </c>
      <c r="E1503" s="5" t="str">
        <f>_xlfn.XLOOKUP(role_course_map[[#This Row],[course_id]],course_data[course_id],course_data[topic],"")</f>
        <v>SAS : Clinical Practice</v>
      </c>
      <c r="F1503" s="5" t="str">
        <f>_xlfn.XLOOKUP(role_course_map[[#This Row],[course_id]],course_data[course_id],course_data[type],"")</f>
        <v>eLearning</v>
      </c>
      <c r="K1503" t="str">
        <f>role_course_map[[#This Row],[role_id]] &amp; "|" &amp; role_course_map[[#This Row],[course_id]]</f>
        <v>R0153|999008</v>
      </c>
      <c r="L1503" t="str">
        <f>IF(COUNTIF(role_course_map[mapping_key],role_course_map[[#This Row],[mapping_key]])&gt;1,"DUPLICATE","OK")</f>
        <v>OK</v>
      </c>
      <c r="M1503" t="str">
        <f>IF(COUNTIF(role_data[role_id],role_course_map[[#This Row],[role_id]])=0, "INVALID","VALID")</f>
        <v>VALID</v>
      </c>
      <c r="N1503" t="str">
        <f>IF(COUNTIF(course_data[course_id],role_course_map[[#This Row],[course_id]])=0, "INVALID","VALID")</f>
        <v>VALID</v>
      </c>
    </row>
    <row r="1504" spans="1:14" x14ac:dyDescent="0.35">
      <c r="A1504" t="s">
        <v>318</v>
      </c>
      <c r="B1504" s="5" t="str">
        <f>_xlfn.XLOOKUP(role_course_map[[#This Row],[role_id]], role_data[role_id], role_data[Role],"")</f>
        <v>Senior Transport Charge Nurse</v>
      </c>
      <c r="C1504">
        <v>999010</v>
      </c>
      <c r="D1504" s="5" t="str">
        <f>_xlfn.XLOOKUP(role_course_map[[#This Row],[course_id]],course_data[course_id],course_data[title],"")</f>
        <v>Paediatrics</v>
      </c>
      <c r="E1504" s="5" t="str">
        <f>_xlfn.XLOOKUP(role_course_map[[#This Row],[course_id]],course_data[course_id],course_data[topic],"")</f>
        <v>SAS : Clinical Practice</v>
      </c>
      <c r="F1504" s="5" t="str">
        <f>_xlfn.XLOOKUP(role_course_map[[#This Row],[course_id]],course_data[course_id],course_data[type],"")</f>
        <v>Course</v>
      </c>
      <c r="K1504" t="str">
        <f>role_course_map[[#This Row],[role_id]] &amp; "|" &amp; role_course_map[[#This Row],[course_id]]</f>
        <v>R0153|999010</v>
      </c>
      <c r="L1504" t="str">
        <f>IF(COUNTIF(role_course_map[mapping_key],role_course_map[[#This Row],[mapping_key]])&gt;1,"DUPLICATE","OK")</f>
        <v>OK</v>
      </c>
      <c r="M1504" t="str">
        <f>IF(COUNTIF(role_data[role_id],role_course_map[[#This Row],[role_id]])=0, "INVALID","VALID")</f>
        <v>VALID</v>
      </c>
      <c r="N1504" t="str">
        <f>IF(COUNTIF(course_data[course_id],role_course_map[[#This Row],[course_id]])=0, "INVALID","VALID")</f>
        <v>VALID</v>
      </c>
    </row>
    <row r="1505" spans="1:14" x14ac:dyDescent="0.35">
      <c r="A1505" t="s">
        <v>318</v>
      </c>
      <c r="B1505" s="5" t="str">
        <f>_xlfn.XLOOKUP(role_course_map[[#This Row],[role_id]], role_data[role_id], role_data[Role],"")</f>
        <v>Senior Transport Charge Nurse</v>
      </c>
      <c r="C1505">
        <v>999011</v>
      </c>
      <c r="D1505" s="5" t="str">
        <f>_xlfn.XLOOKUP(role_course_map[[#This Row],[course_id]],course_data[course_id],course_data[title],"")</f>
        <v>Paediatrics</v>
      </c>
      <c r="E1505" s="5" t="str">
        <f>_xlfn.XLOOKUP(role_course_map[[#This Row],[course_id]],course_data[course_id],course_data[topic],"")</f>
        <v>SAS : Clinical Practice</v>
      </c>
      <c r="F1505" s="5" t="str">
        <f>_xlfn.XLOOKUP(role_course_map[[#This Row],[course_id]],course_data[course_id],course_data[type],"")</f>
        <v>eLearning</v>
      </c>
      <c r="K1505" t="str">
        <f>role_course_map[[#This Row],[role_id]] &amp; "|" &amp; role_course_map[[#This Row],[course_id]]</f>
        <v>R0153|999011</v>
      </c>
      <c r="L1505" t="str">
        <f>IF(COUNTIF(role_course_map[mapping_key],role_course_map[[#This Row],[mapping_key]])&gt;1,"DUPLICATE","OK")</f>
        <v>OK</v>
      </c>
      <c r="M1505" t="str">
        <f>IF(COUNTIF(role_data[role_id],role_course_map[[#This Row],[role_id]])=0, "INVALID","VALID")</f>
        <v>VALID</v>
      </c>
      <c r="N1505" t="str">
        <f>IF(COUNTIF(course_data[course_id],role_course_map[[#This Row],[course_id]])=0, "INVALID","VALID")</f>
        <v>VALID</v>
      </c>
    </row>
    <row r="1506" spans="1:14" x14ac:dyDescent="0.35">
      <c r="A1506" t="s">
        <v>318</v>
      </c>
      <c r="B1506" s="5" t="str">
        <f>_xlfn.XLOOKUP(role_course_map[[#This Row],[role_id]], role_data[role_id], role_data[Role],"")</f>
        <v>Senior Transport Charge Nurse</v>
      </c>
      <c r="C1506">
        <v>999012</v>
      </c>
      <c r="D1506" s="5" t="str">
        <f>_xlfn.XLOOKUP(role_course_map[[#This Row],[course_id]],course_data[course_id],course_data[title],"")</f>
        <v>Trauma</v>
      </c>
      <c r="E1506" s="5" t="str">
        <f>_xlfn.XLOOKUP(role_course_map[[#This Row],[course_id]],course_data[course_id],course_data[topic],"")</f>
        <v>SAS : Clinical Practice</v>
      </c>
      <c r="F1506" s="5" t="str">
        <f>_xlfn.XLOOKUP(role_course_map[[#This Row],[course_id]],course_data[course_id],course_data[type],"")</f>
        <v>Course</v>
      </c>
      <c r="K1506" t="str">
        <f>role_course_map[[#This Row],[role_id]] &amp; "|" &amp; role_course_map[[#This Row],[course_id]]</f>
        <v>R0153|999012</v>
      </c>
      <c r="L1506" t="str">
        <f>IF(COUNTIF(role_course_map[mapping_key],role_course_map[[#This Row],[mapping_key]])&gt;1,"DUPLICATE","OK")</f>
        <v>OK</v>
      </c>
      <c r="M1506" t="str">
        <f>IF(COUNTIF(role_data[role_id],role_course_map[[#This Row],[role_id]])=0, "INVALID","VALID")</f>
        <v>VALID</v>
      </c>
      <c r="N1506" t="str">
        <f>IF(COUNTIF(course_data[course_id],role_course_map[[#This Row],[course_id]])=0, "INVALID","VALID")</f>
        <v>VALID</v>
      </c>
    </row>
    <row r="1507" spans="1:14" x14ac:dyDescent="0.35">
      <c r="A1507" t="s">
        <v>318</v>
      </c>
      <c r="B1507" s="5" t="str">
        <f>_xlfn.XLOOKUP(role_course_map[[#This Row],[role_id]], role_data[role_id], role_data[Role],"")</f>
        <v>Senior Transport Charge Nurse</v>
      </c>
      <c r="C1507">
        <v>999013</v>
      </c>
      <c r="D1507" s="5" t="str">
        <f>_xlfn.XLOOKUP(role_course_map[[#This Row],[course_id]],course_data[course_id],course_data[title],"")</f>
        <v>Trauma</v>
      </c>
      <c r="E1507" s="5" t="str">
        <f>_xlfn.XLOOKUP(role_course_map[[#This Row],[course_id]],course_data[course_id],course_data[topic],"")</f>
        <v>SAS : Clinical Practice</v>
      </c>
      <c r="F1507" s="5" t="str">
        <f>_xlfn.XLOOKUP(role_course_map[[#This Row],[course_id]],course_data[course_id],course_data[type],"")</f>
        <v>eLearning</v>
      </c>
      <c r="K1507" t="str">
        <f>role_course_map[[#This Row],[role_id]] &amp; "|" &amp; role_course_map[[#This Row],[course_id]]</f>
        <v>R0153|999013</v>
      </c>
      <c r="L1507" t="str">
        <f>IF(COUNTIF(role_course_map[mapping_key],role_course_map[[#This Row],[mapping_key]])&gt;1,"DUPLICATE","OK")</f>
        <v>OK</v>
      </c>
      <c r="M1507" t="str">
        <f>IF(COUNTIF(role_data[role_id],role_course_map[[#This Row],[role_id]])=0, "INVALID","VALID")</f>
        <v>VALID</v>
      </c>
      <c r="N1507" t="str">
        <f>IF(COUNTIF(course_data[course_id],role_course_map[[#This Row],[course_id]])=0, "INVALID","VALID")</f>
        <v>VALID</v>
      </c>
    </row>
    <row r="1508" spans="1:14" x14ac:dyDescent="0.35">
      <c r="A1508" t="s">
        <v>318</v>
      </c>
      <c r="B1508" s="5" t="str">
        <f>_xlfn.XLOOKUP(role_course_map[[#This Row],[role_id]], role_data[role_id], role_data[Role],"")</f>
        <v>Senior Transport Charge Nurse</v>
      </c>
      <c r="C1508">
        <v>999014</v>
      </c>
      <c r="D1508" s="5" t="str">
        <f>_xlfn.XLOOKUP(role_course_map[[#This Row],[course_id]],course_data[course_id],course_data[title],"")</f>
        <v>Patient Assessment</v>
      </c>
      <c r="E1508" s="5" t="str">
        <f>_xlfn.XLOOKUP(role_course_map[[#This Row],[course_id]],course_data[course_id],course_data[topic],"")</f>
        <v>SAS : Clinical Practice</v>
      </c>
      <c r="F1508" s="5" t="str">
        <f>_xlfn.XLOOKUP(role_course_map[[#This Row],[course_id]],course_data[course_id],course_data[type],"")</f>
        <v>Course</v>
      </c>
      <c r="K1508" t="str">
        <f>role_course_map[[#This Row],[role_id]] &amp; "|" &amp; role_course_map[[#This Row],[course_id]]</f>
        <v>R0153|999014</v>
      </c>
      <c r="L1508" t="str">
        <f>IF(COUNTIF(role_course_map[mapping_key],role_course_map[[#This Row],[mapping_key]])&gt;1,"DUPLICATE","OK")</f>
        <v>OK</v>
      </c>
      <c r="M1508" t="str">
        <f>IF(COUNTIF(role_data[role_id],role_course_map[[#This Row],[role_id]])=0, "INVALID","VALID")</f>
        <v>VALID</v>
      </c>
      <c r="N1508" t="str">
        <f>IF(COUNTIF(course_data[course_id],role_course_map[[#This Row],[course_id]])=0, "INVALID","VALID")</f>
        <v>VALID</v>
      </c>
    </row>
    <row r="1509" spans="1:14" x14ac:dyDescent="0.35">
      <c r="A1509" t="s">
        <v>318</v>
      </c>
      <c r="B1509" s="5" t="str">
        <f>_xlfn.XLOOKUP(role_course_map[[#This Row],[role_id]], role_data[role_id], role_data[Role],"")</f>
        <v>Senior Transport Charge Nurse</v>
      </c>
      <c r="C1509">
        <v>999015</v>
      </c>
      <c r="D1509" s="5" t="str">
        <f>_xlfn.XLOOKUP(role_course_map[[#This Row],[course_id]],course_data[course_id],course_data[title],"")</f>
        <v>Patient Assessment</v>
      </c>
      <c r="E1509" s="5" t="str">
        <f>_xlfn.XLOOKUP(role_course_map[[#This Row],[course_id]],course_data[course_id],course_data[topic],"")</f>
        <v>SAS : Clinical Practice</v>
      </c>
      <c r="F1509" s="5" t="str">
        <f>_xlfn.XLOOKUP(role_course_map[[#This Row],[course_id]],course_data[course_id],course_data[type],"")</f>
        <v>eLearning</v>
      </c>
      <c r="K1509" t="str">
        <f>role_course_map[[#This Row],[role_id]] &amp; "|" &amp; role_course_map[[#This Row],[course_id]]</f>
        <v>R0153|999015</v>
      </c>
      <c r="L1509" t="str">
        <f>IF(COUNTIF(role_course_map[mapping_key],role_course_map[[#This Row],[mapping_key]])&gt;1,"DUPLICATE","OK")</f>
        <v>OK</v>
      </c>
      <c r="M1509" t="str">
        <f>IF(COUNTIF(role_data[role_id],role_course_map[[#This Row],[role_id]])=0, "INVALID","VALID")</f>
        <v>VALID</v>
      </c>
      <c r="N1509" t="str">
        <f>IF(COUNTIF(course_data[course_id],role_course_map[[#This Row],[course_id]])=0, "INVALID","VALID")</f>
        <v>VALID</v>
      </c>
    </row>
    <row r="1510" spans="1:14" x14ac:dyDescent="0.35">
      <c r="A1510" t="s">
        <v>316</v>
      </c>
      <c r="B1510" s="5" t="str">
        <f>_xlfn.XLOOKUP(role_course_map[[#This Row],[role_id]], role_data[role_id], role_data[Role],"")</f>
        <v>ScotSTAR Driver</v>
      </c>
      <c r="C1510">
        <v>999016</v>
      </c>
      <c r="D1510" s="5" t="str">
        <f>_xlfn.XLOOKUP(role_course_map[[#This Row],[course_id]],course_data[course_id],course_data[title],"")</f>
        <v>Clinical Skills</v>
      </c>
      <c r="E1510" s="5" t="str">
        <f>_xlfn.XLOOKUP(role_course_map[[#This Row],[course_id]],course_data[course_id],course_data[topic],"")</f>
        <v>SAS : Clinical Practice</v>
      </c>
      <c r="F1510" s="5" t="str">
        <f>_xlfn.XLOOKUP(role_course_map[[#This Row],[course_id]],course_data[course_id],course_data[type],"")</f>
        <v>Course</v>
      </c>
      <c r="K1510" t="str">
        <f>role_course_map[[#This Row],[role_id]] &amp; "|" &amp; role_course_map[[#This Row],[course_id]]</f>
        <v>R0152|999016</v>
      </c>
      <c r="L1510" t="str">
        <f>IF(COUNTIF(role_course_map[mapping_key],role_course_map[[#This Row],[mapping_key]])&gt;1,"DUPLICATE","OK")</f>
        <v>OK</v>
      </c>
      <c r="M1510" t="str">
        <f>IF(COUNTIF(role_data[role_id],role_course_map[[#This Row],[role_id]])=0, "INVALID","VALID")</f>
        <v>VALID</v>
      </c>
      <c r="N1510" t="str">
        <f>IF(COUNTIF(course_data[course_id],role_course_map[[#This Row],[course_id]])=0, "INVALID","VALID")</f>
        <v>VALID</v>
      </c>
    </row>
    <row r="1511" spans="1:14" x14ac:dyDescent="0.35">
      <c r="A1511" t="s">
        <v>318</v>
      </c>
      <c r="B1511" s="5" t="str">
        <f>_xlfn.XLOOKUP(role_course_map[[#This Row],[role_id]], role_data[role_id], role_data[Role],"")</f>
        <v>Senior Transport Charge Nurse</v>
      </c>
      <c r="C1511">
        <v>999018</v>
      </c>
      <c r="D1511" s="5" t="str">
        <f>_xlfn.XLOOKUP(role_course_map[[#This Row],[course_id]],course_data[course_id],course_data[title],"")</f>
        <v>Learning from Events</v>
      </c>
      <c r="E1511" s="5" t="str">
        <f>_xlfn.XLOOKUP(role_course_map[[#This Row],[course_id]],course_data[course_id],course_data[topic],"")</f>
        <v>SAS : Clinical Practice</v>
      </c>
      <c r="F1511" s="5" t="str">
        <f>_xlfn.XLOOKUP(role_course_map[[#This Row],[course_id]],course_data[course_id],course_data[type],"")</f>
        <v>eLearning</v>
      </c>
      <c r="K1511" t="str">
        <f>role_course_map[[#This Row],[role_id]] &amp; "|" &amp; role_course_map[[#This Row],[course_id]]</f>
        <v>R0153|999018</v>
      </c>
      <c r="L1511" t="str">
        <f>IF(COUNTIF(role_course_map[mapping_key],role_course_map[[#This Row],[mapping_key]])&gt;1,"DUPLICATE","OK")</f>
        <v>OK</v>
      </c>
      <c r="M1511" t="str">
        <f>IF(COUNTIF(role_data[role_id],role_course_map[[#This Row],[role_id]])=0, "INVALID","VALID")</f>
        <v>VALID</v>
      </c>
      <c r="N1511" t="str">
        <f>IF(COUNTIF(course_data[course_id],role_course_map[[#This Row],[course_id]])=0, "INVALID","VALID")</f>
        <v>VALID</v>
      </c>
    </row>
    <row r="1512" spans="1:14" x14ac:dyDescent="0.35">
      <c r="A1512" t="s">
        <v>318</v>
      </c>
      <c r="B1512" s="5" t="str">
        <f>_xlfn.XLOOKUP(role_course_map[[#This Row],[role_id]], role_data[role_id], role_data[Role],"")</f>
        <v>Senior Transport Charge Nurse</v>
      </c>
      <c r="C1512">
        <v>999019</v>
      </c>
      <c r="D1512" s="5" t="str">
        <f>_xlfn.XLOOKUP(role_course_map[[#This Row],[course_id]],course_data[course_id],course_data[title],"")</f>
        <v>Medicines Management</v>
      </c>
      <c r="E1512" s="5" t="str">
        <f>_xlfn.XLOOKUP(role_course_map[[#This Row],[course_id]],course_data[course_id],course_data[topic],"")</f>
        <v>SAS : Clinical Practice</v>
      </c>
      <c r="F1512" s="5" t="str">
        <f>_xlfn.XLOOKUP(role_course_map[[#This Row],[course_id]],course_data[course_id],course_data[type],"")</f>
        <v>eLearning</v>
      </c>
      <c r="K1512" t="str">
        <f>role_course_map[[#This Row],[role_id]] &amp; "|" &amp; role_course_map[[#This Row],[course_id]]</f>
        <v>R0153|999019</v>
      </c>
      <c r="L1512" t="str">
        <f>IF(COUNTIF(role_course_map[mapping_key],role_course_map[[#This Row],[mapping_key]])&gt;1,"DUPLICATE","OK")</f>
        <v>OK</v>
      </c>
      <c r="M1512" t="str">
        <f>IF(COUNTIF(role_data[role_id],role_course_map[[#This Row],[role_id]])=0, "INVALID","VALID")</f>
        <v>VALID</v>
      </c>
      <c r="N1512" t="str">
        <f>IF(COUNTIF(course_data[course_id],role_course_map[[#This Row],[course_id]])=0, "INVALID","VALID")</f>
        <v>VALID</v>
      </c>
    </row>
    <row r="1513" spans="1:14" x14ac:dyDescent="0.35">
      <c r="A1513" t="s">
        <v>318</v>
      </c>
      <c r="B1513" s="5" t="str">
        <f>_xlfn.XLOOKUP(role_course_map[[#This Row],[role_id]], role_data[role_id], role_data[Role],"")</f>
        <v>Senior Transport Charge Nurse</v>
      </c>
      <c r="C1513">
        <v>999020</v>
      </c>
      <c r="D1513" s="5" t="str">
        <f>_xlfn.XLOOKUP(role_course_map[[#This Row],[course_id]],course_data[course_id],course_data[title],"")</f>
        <v>JRCALC Update</v>
      </c>
      <c r="E1513" s="5" t="str">
        <f>_xlfn.XLOOKUP(role_course_map[[#This Row],[course_id]],course_data[course_id],course_data[topic],"")</f>
        <v>SAS : Clinical Practice</v>
      </c>
      <c r="F1513" s="5" t="str">
        <f>_xlfn.XLOOKUP(role_course_map[[#This Row],[course_id]],course_data[course_id],course_data[type],"")</f>
        <v>eLearning</v>
      </c>
      <c r="K1513" t="str">
        <f>role_course_map[[#This Row],[role_id]] &amp; "|" &amp; role_course_map[[#This Row],[course_id]]</f>
        <v>R0153|999020</v>
      </c>
      <c r="L1513" t="str">
        <f>IF(COUNTIF(role_course_map[mapping_key],role_course_map[[#This Row],[mapping_key]])&gt;1,"DUPLICATE","OK")</f>
        <v>OK</v>
      </c>
      <c r="M1513" t="str">
        <f>IF(COUNTIF(role_data[role_id],role_course_map[[#This Row],[role_id]])=0, "INVALID","VALID")</f>
        <v>VALID</v>
      </c>
      <c r="N1513" t="str">
        <f>IF(COUNTIF(course_data[course_id],role_course_map[[#This Row],[course_id]])=0, "INVALID","VALID")</f>
        <v>VALID</v>
      </c>
    </row>
    <row r="1514" spans="1:14" x14ac:dyDescent="0.35">
      <c r="A1514" t="s">
        <v>318</v>
      </c>
      <c r="B1514" s="5" t="str">
        <f>_xlfn.XLOOKUP(role_course_map[[#This Row],[role_id]], role_data[role_id], role_data[Role],"")</f>
        <v>Senior Transport Charge Nurse</v>
      </c>
      <c r="C1514">
        <v>999021</v>
      </c>
      <c r="D1514" s="5" t="str">
        <f>_xlfn.XLOOKUP(role_course_map[[#This Row],[course_id]],course_data[course_id],course_data[title],"")</f>
        <v>Mental Health</v>
      </c>
      <c r="E1514" s="5" t="str">
        <f>_xlfn.XLOOKUP(role_course_map[[#This Row],[course_id]],course_data[course_id],course_data[topic],"")</f>
        <v>SAS : Clinical Practice</v>
      </c>
      <c r="F1514" s="5" t="str">
        <f>_xlfn.XLOOKUP(role_course_map[[#This Row],[course_id]],course_data[course_id],course_data[type],"")</f>
        <v>eLearning</v>
      </c>
      <c r="K1514" t="str">
        <f>role_course_map[[#This Row],[role_id]] &amp; "|" &amp; role_course_map[[#This Row],[course_id]]</f>
        <v>R0153|999021</v>
      </c>
      <c r="L1514" t="str">
        <f>IF(COUNTIF(role_course_map[mapping_key],role_course_map[[#This Row],[mapping_key]])&gt;1,"DUPLICATE","OK")</f>
        <v>OK</v>
      </c>
      <c r="M1514" t="str">
        <f>IF(COUNTIF(role_data[role_id],role_course_map[[#This Row],[role_id]])=0, "INVALID","VALID")</f>
        <v>VALID</v>
      </c>
      <c r="N1514" t="str">
        <f>IF(COUNTIF(course_data[course_id],role_course_map[[#This Row],[course_id]])=0, "INVALID","VALID")</f>
        <v>VALID</v>
      </c>
    </row>
    <row r="1515" spans="1:14" x14ac:dyDescent="0.35">
      <c r="A1515" t="s">
        <v>318</v>
      </c>
      <c r="B1515" s="5" t="str">
        <f>_xlfn.XLOOKUP(role_course_map[[#This Row],[role_id]], role_data[role_id], role_data[Role],"")</f>
        <v>Senior Transport Charge Nurse</v>
      </c>
      <c r="C1515">
        <v>999022</v>
      </c>
      <c r="D1515" s="5" t="str">
        <f>_xlfn.XLOOKUP(role_course_map[[#This Row],[course_id]],course_data[course_id],course_data[title],"")</f>
        <v>Learning Disabilities</v>
      </c>
      <c r="E1515" s="5" t="str">
        <f>_xlfn.XLOOKUP(role_course_map[[#This Row],[course_id]],course_data[course_id],course_data[topic],"")</f>
        <v>SAS : Clinical Practice</v>
      </c>
      <c r="F1515" s="5" t="str">
        <f>_xlfn.XLOOKUP(role_course_map[[#This Row],[course_id]],course_data[course_id],course_data[type],"")</f>
        <v>eLearning</v>
      </c>
      <c r="K1515" t="str">
        <f>role_course_map[[#This Row],[role_id]] &amp; "|" &amp; role_course_map[[#This Row],[course_id]]</f>
        <v>R0153|999022</v>
      </c>
      <c r="L1515" t="str">
        <f>IF(COUNTIF(role_course_map[mapping_key],role_course_map[[#This Row],[mapping_key]])&gt;1,"DUPLICATE","OK")</f>
        <v>OK</v>
      </c>
      <c r="M1515" t="str">
        <f>IF(COUNTIF(role_data[role_id],role_course_map[[#This Row],[role_id]])=0, "INVALID","VALID")</f>
        <v>VALID</v>
      </c>
      <c r="N1515" t="str">
        <f>IF(COUNTIF(course_data[course_id],role_course_map[[#This Row],[course_id]])=0, "INVALID","VALID")</f>
        <v>VALID</v>
      </c>
    </row>
    <row r="1516" spans="1:14" x14ac:dyDescent="0.35">
      <c r="A1516" t="s">
        <v>318</v>
      </c>
      <c r="B1516" s="5" t="str">
        <f>_xlfn.XLOOKUP(role_course_map[[#This Row],[role_id]], role_data[role_id], role_data[Role],"")</f>
        <v>Senior Transport Charge Nurse</v>
      </c>
      <c r="C1516">
        <v>75202</v>
      </c>
      <c r="D1516" s="5" t="str">
        <f>_xlfn.XLOOKUP(role_course_map[[#This Row],[course_id]],course_data[course_id],course_data[title],"")</f>
        <v>SAS : Clinical Practice</v>
      </c>
      <c r="E1516" s="5" t="str">
        <f>_xlfn.XLOOKUP(role_course_map[[#This Row],[course_id]],course_data[course_id],course_data[topic],"")</f>
        <v>SAS : Clinical Practice</v>
      </c>
      <c r="F1516" s="5" t="str">
        <f>_xlfn.XLOOKUP(role_course_map[[#This Row],[course_id]],course_data[course_id],course_data[type],"")</f>
        <v>Page</v>
      </c>
      <c r="K1516" t="str">
        <f>role_course_map[[#This Row],[role_id]] &amp; "|" &amp; role_course_map[[#This Row],[course_id]]</f>
        <v>R0153|75202</v>
      </c>
      <c r="L1516" t="str">
        <f>IF(COUNTIF(role_course_map[mapping_key],role_course_map[[#This Row],[mapping_key]])&gt;1,"DUPLICATE","OK")</f>
        <v>OK</v>
      </c>
      <c r="M1516" t="str">
        <f>IF(COUNTIF(role_data[role_id],role_course_map[[#This Row],[role_id]])=0, "INVALID","VALID")</f>
        <v>VALID</v>
      </c>
      <c r="N1516" t="str">
        <f>IF(COUNTIF(course_data[course_id],role_course_map[[#This Row],[course_id]])=0, "INVALID","VALID")</f>
        <v>VALID</v>
      </c>
    </row>
    <row r="1517" spans="1:14" x14ac:dyDescent="0.35">
      <c r="A1517" t="s">
        <v>318</v>
      </c>
      <c r="B1517" s="5" t="str">
        <f>_xlfn.XLOOKUP(role_course_map[[#This Row],[role_id]], role_data[role_id], role_data[Role],"")</f>
        <v>Senior Transport Charge Nurse</v>
      </c>
      <c r="C1517">
        <v>999023</v>
      </c>
      <c r="D1517" s="5" t="str">
        <f>_xlfn.XLOOKUP(role_course_map[[#This Row],[course_id]],course_data[course_id],course_data[title],"")</f>
        <v>Dementia</v>
      </c>
      <c r="E1517" s="5" t="str">
        <f>_xlfn.XLOOKUP(role_course_map[[#This Row],[course_id]],course_data[course_id],course_data[topic],"")</f>
        <v>SAS : Clinical Practice</v>
      </c>
      <c r="F1517" s="5" t="str">
        <f>_xlfn.XLOOKUP(role_course_map[[#This Row],[course_id]],course_data[course_id],course_data[type],"")</f>
        <v>eLearning</v>
      </c>
      <c r="K1517" t="str">
        <f>role_course_map[[#This Row],[role_id]] &amp; "|" &amp; role_course_map[[#This Row],[course_id]]</f>
        <v>R0153|999023</v>
      </c>
      <c r="L1517" t="str">
        <f>IF(COUNTIF(role_course_map[mapping_key],role_course_map[[#This Row],[mapping_key]])&gt;1,"DUPLICATE","OK")</f>
        <v>OK</v>
      </c>
      <c r="M1517" t="str">
        <f>IF(COUNTIF(role_data[role_id],role_course_map[[#This Row],[role_id]])=0, "INVALID","VALID")</f>
        <v>VALID</v>
      </c>
      <c r="N1517" t="str">
        <f>IF(COUNTIF(course_data[course_id],role_course_map[[#This Row],[course_id]])=0, "INVALID","VALID")</f>
        <v>VALID</v>
      </c>
    </row>
    <row r="1518" spans="1:14" x14ac:dyDescent="0.35">
      <c r="A1518" t="s">
        <v>316</v>
      </c>
      <c r="B1518" s="5" t="str">
        <f>_xlfn.XLOOKUP(role_course_map[[#This Row],[role_id]], role_data[role_id], role_data[Role],"")</f>
        <v>ScotSTAR Driver</v>
      </c>
      <c r="C1518">
        <v>999024</v>
      </c>
      <c r="D1518" s="5" t="str">
        <f>_xlfn.XLOOKUP(role_course_map[[#This Row],[course_id]],course_data[course_id],course_data[title],"")</f>
        <v>Conditions requiring specific hospital management. I.e. Parkinsons</v>
      </c>
      <c r="E1518" s="5" t="str">
        <f>_xlfn.XLOOKUP(role_course_map[[#This Row],[course_id]],course_data[course_id],course_data[topic],"")</f>
        <v>SAS : Clinical Practice</v>
      </c>
      <c r="F1518" s="5" t="str">
        <f>_xlfn.XLOOKUP(role_course_map[[#This Row],[course_id]],course_data[course_id],course_data[type],"")</f>
        <v>eLearning</v>
      </c>
      <c r="K1518" t="str">
        <f>role_course_map[[#This Row],[role_id]] &amp; "|" &amp; role_course_map[[#This Row],[course_id]]</f>
        <v>R0152|999024</v>
      </c>
      <c r="L1518" t="str">
        <f>IF(COUNTIF(role_course_map[mapping_key],role_course_map[[#This Row],[mapping_key]])&gt;1,"DUPLICATE","OK")</f>
        <v>OK</v>
      </c>
      <c r="M1518" t="str">
        <f>IF(COUNTIF(role_data[role_id],role_course_map[[#This Row],[role_id]])=0, "INVALID","VALID")</f>
        <v>VALID</v>
      </c>
      <c r="N1518" t="str">
        <f>IF(COUNTIF(course_data[course_id],role_course_map[[#This Row],[course_id]])=0, "INVALID","VALID")</f>
        <v>VALID</v>
      </c>
    </row>
    <row r="1519" spans="1:14" x14ac:dyDescent="0.35">
      <c r="A1519" t="s">
        <v>318</v>
      </c>
      <c r="B1519" s="5" t="str">
        <f>_xlfn.XLOOKUP(role_course_map[[#This Row],[role_id]], role_data[role_id], role_data[Role],"")</f>
        <v>Senior Transport Charge Nurse</v>
      </c>
      <c r="C1519">
        <v>999095</v>
      </c>
      <c r="D1519" s="5" t="str">
        <f>_xlfn.XLOOKUP(role_course_map[[#This Row],[course_id]],course_data[course_id],course_data[title],"")</f>
        <v>Mentoring</v>
      </c>
      <c r="E1519" s="5" t="str">
        <f>_xlfn.XLOOKUP(role_course_map[[#This Row],[course_id]],course_data[course_id],course_data[topic],"")</f>
        <v>SAS: Staff development and experience</v>
      </c>
      <c r="F1519" s="5" t="str">
        <f>_xlfn.XLOOKUP(role_course_map[[#This Row],[course_id]],course_data[course_id],course_data[type],"")</f>
        <v>eLearning</v>
      </c>
      <c r="K1519" t="str">
        <f>role_course_map[[#This Row],[role_id]] &amp; "|" &amp; role_course_map[[#This Row],[course_id]]</f>
        <v>R0153|999095</v>
      </c>
      <c r="L1519" t="str">
        <f>IF(COUNTIF(role_course_map[mapping_key],role_course_map[[#This Row],[mapping_key]])&gt;1,"DUPLICATE","OK")</f>
        <v>OK</v>
      </c>
      <c r="M1519" t="str">
        <f>IF(COUNTIF(role_data[role_id],role_course_map[[#This Row],[role_id]])=0, "INVALID","VALID")</f>
        <v>VALID</v>
      </c>
      <c r="N1519" t="str">
        <f>IF(COUNTIF(course_data[course_id],role_course_map[[#This Row],[course_id]])=0, "INVALID","VALID")</f>
        <v>VALID</v>
      </c>
    </row>
    <row r="1520" spans="1:14" x14ac:dyDescent="0.35">
      <c r="A1520" t="s">
        <v>318</v>
      </c>
      <c r="B1520" s="5" t="str">
        <f>_xlfn.XLOOKUP(role_course_map[[#This Row],[role_id]], role_data[role_id], role_data[Role],"")</f>
        <v>Senior Transport Charge Nurse</v>
      </c>
      <c r="C1520">
        <v>999096</v>
      </c>
      <c r="D1520" s="5" t="str">
        <f>_xlfn.XLOOKUP(role_course_map[[#This Row],[course_id]],course_data[course_id],course_data[title],"")</f>
        <v>Supporting others in practice (Supervision)</v>
      </c>
      <c r="E1520" s="5" t="str">
        <f>_xlfn.XLOOKUP(role_course_map[[#This Row],[course_id]],course_data[course_id],course_data[topic],"")</f>
        <v>SAS: Staff development and experience</v>
      </c>
      <c r="F1520" s="5" t="str">
        <f>_xlfn.XLOOKUP(role_course_map[[#This Row],[course_id]],course_data[course_id],course_data[type],"")</f>
        <v>Course</v>
      </c>
      <c r="K1520" t="str">
        <f>role_course_map[[#This Row],[role_id]] &amp; "|" &amp; role_course_map[[#This Row],[course_id]]</f>
        <v>R0153|999096</v>
      </c>
      <c r="L1520" t="str">
        <f>IF(COUNTIF(role_course_map[mapping_key],role_course_map[[#This Row],[mapping_key]])&gt;1,"DUPLICATE","OK")</f>
        <v>OK</v>
      </c>
      <c r="M1520" t="str">
        <f>IF(COUNTIF(role_data[role_id],role_course_map[[#This Row],[role_id]])=0, "INVALID","VALID")</f>
        <v>VALID</v>
      </c>
      <c r="N1520" t="str">
        <f>IF(COUNTIF(course_data[course_id],role_course_map[[#This Row],[course_id]])=0, "INVALID","VALID")</f>
        <v>VALID</v>
      </c>
    </row>
    <row r="1521" spans="1:14" x14ac:dyDescent="0.35">
      <c r="A1521" t="s">
        <v>318</v>
      </c>
      <c r="B1521" s="5" t="str">
        <f>_xlfn.XLOOKUP(role_course_map[[#This Row],[role_id]], role_data[role_id], role_data[Role],"")</f>
        <v>Senior Transport Charge Nurse</v>
      </c>
      <c r="C1521">
        <v>999097</v>
      </c>
      <c r="D1521" s="5" t="str">
        <f>_xlfn.XLOOKUP(role_course_map[[#This Row],[course_id]],course_data[course_id],course_data[title],"")</f>
        <v>Personal Wellbeing</v>
      </c>
      <c r="E1521" s="5" t="str">
        <f>_xlfn.XLOOKUP(role_course_map[[#This Row],[course_id]],course_data[course_id],course_data[topic],"")</f>
        <v>SAS: Staff development and experience</v>
      </c>
      <c r="F1521" s="5" t="str">
        <f>_xlfn.XLOOKUP(role_course_map[[#This Row],[course_id]],course_data[course_id],course_data[type],"")</f>
        <v>eLearning</v>
      </c>
      <c r="K1521" t="str">
        <f>role_course_map[[#This Row],[role_id]] &amp; "|" &amp; role_course_map[[#This Row],[course_id]]</f>
        <v>R0153|999097</v>
      </c>
      <c r="L1521" t="str">
        <f>IF(COUNTIF(role_course_map[mapping_key],role_course_map[[#This Row],[mapping_key]])&gt;1,"DUPLICATE","OK")</f>
        <v>OK</v>
      </c>
      <c r="M1521" t="str">
        <f>IF(COUNTIF(role_data[role_id],role_course_map[[#This Row],[role_id]])=0, "INVALID","VALID")</f>
        <v>VALID</v>
      </c>
      <c r="N1521" t="str">
        <f>IF(COUNTIF(course_data[course_id],role_course_map[[#This Row],[course_id]])=0, "INVALID","VALID")</f>
        <v>VALID</v>
      </c>
    </row>
    <row r="1522" spans="1:14" x14ac:dyDescent="0.35">
      <c r="A1522" t="s">
        <v>318</v>
      </c>
      <c r="B1522" s="5" t="str">
        <f>_xlfn.XLOOKUP(role_course_map[[#This Row],[role_id]], role_data[role_id], role_data[Role],"")</f>
        <v>Senior Transport Charge Nurse</v>
      </c>
      <c r="C1522">
        <v>79147</v>
      </c>
      <c r="D1522" s="5" t="str">
        <f>_xlfn.XLOOKUP(role_course_map[[#This Row],[course_id]],course_data[course_id],course_data[title],"")</f>
        <v>Driving risks at work</v>
      </c>
      <c r="E1522" s="5" t="str">
        <f>_xlfn.XLOOKUP(role_course_map[[#This Row],[course_id]],course_data[course_id],course_data[topic],"")</f>
        <v>SAS : Health and Safety</v>
      </c>
      <c r="F1522" s="5" t="str">
        <f>_xlfn.XLOOKUP(role_course_map[[#This Row],[course_id]],course_data[course_id],course_data[type],"")</f>
        <v>eLearning</v>
      </c>
      <c r="K1522" t="str">
        <f>role_course_map[[#This Row],[role_id]] &amp; "|" &amp; role_course_map[[#This Row],[course_id]]</f>
        <v>R0153|79147</v>
      </c>
      <c r="L1522" t="str">
        <f>IF(COUNTIF(role_course_map[mapping_key],role_course_map[[#This Row],[mapping_key]])&gt;1,"DUPLICATE","OK")</f>
        <v>OK</v>
      </c>
      <c r="M1522" t="str">
        <f>IF(COUNTIF(role_data[role_id],role_course_map[[#This Row],[role_id]])=0, "INVALID","VALID")</f>
        <v>VALID</v>
      </c>
      <c r="N1522" t="str">
        <f>IF(COUNTIF(course_data[course_id],role_course_map[[#This Row],[course_id]])=0, "INVALID","VALID")</f>
        <v>VALID</v>
      </c>
    </row>
    <row r="1523" spans="1:14" x14ac:dyDescent="0.35">
      <c r="A1523" t="s">
        <v>314</v>
      </c>
      <c r="B1523" s="5" t="str">
        <f>_xlfn.XLOOKUP(role_course_map[[#This Row],[role_id]], role_data[role_id], role_data[Role],"")</f>
        <v>ScotSTAR Administrator</v>
      </c>
      <c r="C1523">
        <v>999060</v>
      </c>
      <c r="D1523" s="5" t="str">
        <f>_xlfn.XLOOKUP(role_course_map[[#This Row],[course_id]],course_data[course_id],course_data[title],"")</f>
        <v>COSHH</v>
      </c>
      <c r="E1523" s="5" t="str">
        <f>_xlfn.XLOOKUP(role_course_map[[#This Row],[course_id]],course_data[course_id],course_data[topic],"")</f>
        <v>SAS : Health and Safety</v>
      </c>
      <c r="F1523" s="5" t="str">
        <f>_xlfn.XLOOKUP(role_course_map[[#This Row],[course_id]],course_data[course_id],course_data[type],"")</f>
        <v>eLearning</v>
      </c>
      <c r="K1523" t="str">
        <f>role_course_map[[#This Row],[role_id]] &amp; "|" &amp; role_course_map[[#This Row],[course_id]]</f>
        <v>R0151|999060</v>
      </c>
      <c r="L1523" t="str">
        <f>IF(COUNTIF(role_course_map[mapping_key],role_course_map[[#This Row],[mapping_key]])&gt;1,"DUPLICATE","OK")</f>
        <v>OK</v>
      </c>
      <c r="M1523" t="str">
        <f>IF(COUNTIF(role_data[role_id],role_course_map[[#This Row],[role_id]])=0, "INVALID","VALID")</f>
        <v>VALID</v>
      </c>
      <c r="N1523" t="str">
        <f>IF(COUNTIF(course_data[course_id],role_course_map[[#This Row],[course_id]])=0, "INVALID","VALID")</f>
        <v>VALID</v>
      </c>
    </row>
    <row r="1524" spans="1:14" x14ac:dyDescent="0.35">
      <c r="A1524" t="s">
        <v>318</v>
      </c>
      <c r="B1524" s="5" t="str">
        <f>_xlfn.XLOOKUP(role_course_map[[#This Row],[role_id]], role_data[role_id], role_data[Role],"")</f>
        <v>Senior Transport Charge Nurse</v>
      </c>
      <c r="C1524">
        <v>999066</v>
      </c>
      <c r="D1524" s="5" t="str">
        <f>_xlfn.XLOOKUP(role_course_map[[#This Row],[course_id]],course_data[course_id],course_data[title],"")</f>
        <v>NRRD Update i.e. Major Incidents/Methane/ Multiple Casualities</v>
      </c>
      <c r="E1524" s="5" t="str">
        <f>_xlfn.XLOOKUP(role_course_map[[#This Row],[course_id]],course_data[course_id],course_data[topic],"")</f>
        <v>SAS : National Risk and Resilience Department (NRRD)</v>
      </c>
      <c r="F1524" s="5" t="str">
        <f>_xlfn.XLOOKUP(role_course_map[[#This Row],[course_id]],course_data[course_id],course_data[type],"")</f>
        <v>eLearning</v>
      </c>
      <c r="K1524" t="str">
        <f>role_course_map[[#This Row],[role_id]] &amp; "|" &amp; role_course_map[[#This Row],[course_id]]</f>
        <v>R0153|999066</v>
      </c>
      <c r="L1524" t="str">
        <f>IF(COUNTIF(role_course_map[mapping_key],role_course_map[[#This Row],[mapping_key]])&gt;1,"DUPLICATE","OK")</f>
        <v>OK</v>
      </c>
      <c r="M1524" t="str">
        <f>IF(COUNTIF(role_data[role_id],role_course_map[[#This Row],[role_id]])=0, "INVALID","VALID")</f>
        <v>VALID</v>
      </c>
      <c r="N1524" t="str">
        <f>IF(COUNTIF(course_data[course_id],role_course_map[[#This Row],[course_id]])=0, "INVALID","VALID")</f>
        <v>VALID</v>
      </c>
    </row>
    <row r="1525" spans="1:14" x14ac:dyDescent="0.35">
      <c r="A1525" t="s">
        <v>318</v>
      </c>
      <c r="B1525" s="5" t="str">
        <f>_xlfn.XLOOKUP(role_course_map[[#This Row],[role_id]], role_data[role_id], role_data[Role],"")</f>
        <v>Senior Transport Charge Nurse</v>
      </c>
      <c r="C1525">
        <v>999025</v>
      </c>
      <c r="D1525" s="5" t="str">
        <f>_xlfn.XLOOKUP(role_course_map[[#This Row],[course_id]],course_data[course_id],course_data[title],"")</f>
        <v>Professional Standards</v>
      </c>
      <c r="E1525" s="5" t="str">
        <f>_xlfn.XLOOKUP(role_course_map[[#This Row],[course_id]],course_data[course_id],course_data[topic],"")</f>
        <v>SAS : Clinical Practice</v>
      </c>
      <c r="F1525" s="5" t="str">
        <f>_xlfn.XLOOKUP(role_course_map[[#This Row],[course_id]],course_data[course_id],course_data[type],"")</f>
        <v>eLearning</v>
      </c>
      <c r="K1525" t="str">
        <f>role_course_map[[#This Row],[role_id]] &amp; "|" &amp; role_course_map[[#This Row],[course_id]]</f>
        <v>R0153|999025</v>
      </c>
      <c r="L1525" t="str">
        <f>IF(COUNTIF(role_course_map[mapping_key],role_course_map[[#This Row],[mapping_key]])&gt;1,"DUPLICATE","OK")</f>
        <v>OK</v>
      </c>
      <c r="M1525" t="str">
        <f>IF(COUNTIF(role_data[role_id],role_course_map[[#This Row],[role_id]])=0, "INVALID","VALID")</f>
        <v>VALID</v>
      </c>
      <c r="N1525" t="str">
        <f>IF(COUNTIF(course_data[course_id],role_course_map[[#This Row],[course_id]])=0, "INVALID","VALID")</f>
        <v>VALID</v>
      </c>
    </row>
    <row r="1526" spans="1:14" x14ac:dyDescent="0.35">
      <c r="A1526" t="s">
        <v>314</v>
      </c>
      <c r="B1526" s="5" t="str">
        <f>_xlfn.XLOOKUP(role_course_map[[#This Row],[role_id]], role_data[role_id], role_data[Role],"")</f>
        <v>ScotSTAR Administrator</v>
      </c>
      <c r="C1526">
        <v>999026</v>
      </c>
      <c r="D1526" s="5" t="str">
        <f>_xlfn.XLOOKUP(role_course_map[[#This Row],[course_id]],course_data[course_id],course_data[title],"")</f>
        <v>Communication Standards</v>
      </c>
      <c r="E1526" s="5" t="str">
        <f>_xlfn.XLOOKUP(role_course_map[[#This Row],[course_id]],course_data[course_id],course_data[topic],"")</f>
        <v>SAS : Clinical Practice</v>
      </c>
      <c r="F1526" s="5" t="str">
        <f>_xlfn.XLOOKUP(role_course_map[[#This Row],[course_id]],course_data[course_id],course_data[type],"")</f>
        <v>eLearning</v>
      </c>
      <c r="K1526" t="str">
        <f>role_course_map[[#This Row],[role_id]] &amp; "|" &amp; role_course_map[[#This Row],[course_id]]</f>
        <v>R0151|999026</v>
      </c>
      <c r="L1526" t="str">
        <f>IF(COUNTIF(role_course_map[mapping_key],role_course_map[[#This Row],[mapping_key]])&gt;1,"DUPLICATE","OK")</f>
        <v>OK</v>
      </c>
      <c r="M1526" t="str">
        <f>IF(COUNTIF(role_data[role_id],role_course_map[[#This Row],[role_id]])=0, "INVALID","VALID")</f>
        <v>VALID</v>
      </c>
      <c r="N1526" t="str">
        <f>IF(COUNTIF(course_data[course_id],role_course_map[[#This Row],[course_id]])=0, "INVALID","VALID")</f>
        <v>VALID</v>
      </c>
    </row>
    <row r="1527" spans="1:14" x14ac:dyDescent="0.35">
      <c r="A1527" t="s">
        <v>318</v>
      </c>
      <c r="B1527" s="5" t="str">
        <f>_xlfn.XLOOKUP(role_course_map[[#This Row],[role_id]], role_data[role_id], role_data[Role],"")</f>
        <v>Senior Transport Charge Nurse</v>
      </c>
      <c r="C1527">
        <v>999058</v>
      </c>
      <c r="D1527" s="5" t="str">
        <f>_xlfn.XLOOKUP(role_course_map[[#This Row],[course_id]],course_data[course_id],course_data[title],"")</f>
        <v>Stress Identification &amp; Stress Management</v>
      </c>
      <c r="E1527" s="5" t="str">
        <f>_xlfn.XLOOKUP(role_course_map[[#This Row],[course_id]],course_data[course_id],course_data[topic],"")</f>
        <v>SAS : Health and Safety</v>
      </c>
      <c r="F1527" s="5" t="str">
        <f>_xlfn.XLOOKUP(role_course_map[[#This Row],[course_id]],course_data[course_id],course_data[type],"")</f>
        <v>eLearning</v>
      </c>
      <c r="K1527" t="str">
        <f>role_course_map[[#This Row],[role_id]] &amp; "|" &amp; role_course_map[[#This Row],[course_id]]</f>
        <v>R0153|999058</v>
      </c>
      <c r="L1527" t="str">
        <f>IF(COUNTIF(role_course_map[mapping_key],role_course_map[[#This Row],[mapping_key]])&gt;1,"DUPLICATE","OK")</f>
        <v>OK</v>
      </c>
      <c r="M1527" t="str">
        <f>IF(COUNTIF(role_data[role_id],role_course_map[[#This Row],[role_id]])=0, "INVALID","VALID")</f>
        <v>VALID</v>
      </c>
      <c r="N1527" t="str">
        <f>IF(COUNTIF(course_data[course_id],role_course_map[[#This Row],[course_id]])=0, "INVALID","VALID")</f>
        <v>VALID</v>
      </c>
    </row>
    <row r="1528" spans="1:14" x14ac:dyDescent="0.35">
      <c r="A1528" t="s">
        <v>316</v>
      </c>
      <c r="B1528" s="5" t="str">
        <f>_xlfn.XLOOKUP(role_course_map[[#This Row],[role_id]], role_data[role_id], role_data[Role],"")</f>
        <v>ScotSTAR Driver</v>
      </c>
      <c r="C1528">
        <v>999056</v>
      </c>
      <c r="D1528" s="5" t="str">
        <f>_xlfn.XLOOKUP(role_course_map[[#This Row],[course_id]],course_data[course_id],course_data[title],"")</f>
        <v>Driver Assessment &amp; Training</v>
      </c>
      <c r="E1528" s="5" t="str">
        <f>_xlfn.XLOOKUP(role_course_map[[#This Row],[course_id]],course_data[course_id],course_data[topic],"")</f>
        <v>SAS : Health and Safety</v>
      </c>
      <c r="F1528" s="5" t="str">
        <f>_xlfn.XLOOKUP(role_course_map[[#This Row],[course_id]],course_data[course_id],course_data[type],"")</f>
        <v>eLearning</v>
      </c>
      <c r="K1528" t="str">
        <f>role_course_map[[#This Row],[role_id]] &amp; "|" &amp; role_course_map[[#This Row],[course_id]]</f>
        <v>R0152|999056</v>
      </c>
      <c r="L1528" t="str">
        <f>IF(COUNTIF(role_course_map[mapping_key],role_course_map[[#This Row],[mapping_key]])&gt;1,"DUPLICATE","OK")</f>
        <v>OK</v>
      </c>
      <c r="M1528" t="str">
        <f>IF(COUNTIF(role_data[role_id],role_course_map[[#This Row],[role_id]])=0, "INVALID","VALID")</f>
        <v>VALID</v>
      </c>
      <c r="N1528" t="str">
        <f>IF(COUNTIF(course_data[course_id],role_course_map[[#This Row],[course_id]])=0, "INVALID","VALID")</f>
        <v>VALID</v>
      </c>
    </row>
    <row r="1529" spans="1:14" x14ac:dyDescent="0.35">
      <c r="A1529" t="s">
        <v>318</v>
      </c>
      <c r="B1529" s="5" t="str">
        <f>_xlfn.XLOOKUP(role_course_map[[#This Row],[role_id]], role_data[role_id], role_data[Role],"")</f>
        <v>Senior Transport Charge Nurse</v>
      </c>
      <c r="C1529">
        <v>999061</v>
      </c>
      <c r="D1529" s="5" t="str">
        <f>_xlfn.XLOOKUP(role_course_map[[#This Row],[course_id]],course_data[course_id],course_data[title],"")</f>
        <v>Skin Awareness</v>
      </c>
      <c r="E1529" s="5" t="str">
        <f>_xlfn.XLOOKUP(role_course_map[[#This Row],[course_id]],course_data[course_id],course_data[topic],"")</f>
        <v>SAS : Health and Safety</v>
      </c>
      <c r="F1529" s="5" t="str">
        <f>_xlfn.XLOOKUP(role_course_map[[#This Row],[course_id]],course_data[course_id],course_data[type],"")</f>
        <v>eLearning</v>
      </c>
      <c r="K1529" t="str">
        <f>role_course_map[[#This Row],[role_id]] &amp; "|" &amp; role_course_map[[#This Row],[course_id]]</f>
        <v>R0153|999061</v>
      </c>
      <c r="L1529" t="str">
        <f>IF(COUNTIF(role_course_map[mapping_key],role_course_map[[#This Row],[mapping_key]])&gt;1,"DUPLICATE","OK")</f>
        <v>OK</v>
      </c>
      <c r="M1529" t="str">
        <f>IF(COUNTIF(role_data[role_id],role_course_map[[#This Row],[role_id]])=0, "INVALID","VALID")</f>
        <v>VALID</v>
      </c>
      <c r="N1529" t="str">
        <f>IF(COUNTIF(course_data[course_id],role_course_map[[#This Row],[course_id]])=0, "INVALID","VALID")</f>
        <v>VALID</v>
      </c>
    </row>
    <row r="1530" spans="1:14" x14ac:dyDescent="0.35">
      <c r="A1530" t="s">
        <v>316</v>
      </c>
      <c r="B1530" s="5" t="str">
        <f>_xlfn.XLOOKUP(role_course_map[[#This Row],[role_id]], role_data[role_id], role_data[Role],"")</f>
        <v>ScotSTAR Driver</v>
      </c>
      <c r="C1530">
        <v>999057</v>
      </c>
      <c r="D1530" s="5" t="str">
        <f>_xlfn.XLOOKUP(role_course_map[[#This Row],[course_id]],course_data[course_id],course_data[title],"")</f>
        <v>Fatigue Awareness</v>
      </c>
      <c r="E1530" s="5" t="str">
        <f>_xlfn.XLOOKUP(role_course_map[[#This Row],[course_id]],course_data[course_id],course_data[topic],"")</f>
        <v>SAS : Health and Safety</v>
      </c>
      <c r="F1530" s="5" t="str">
        <f>_xlfn.XLOOKUP(role_course_map[[#This Row],[course_id]],course_data[course_id],course_data[type],"")</f>
        <v>eLearning</v>
      </c>
      <c r="K1530" t="str">
        <f>role_course_map[[#This Row],[role_id]] &amp; "|" &amp; role_course_map[[#This Row],[course_id]]</f>
        <v>R0152|999057</v>
      </c>
      <c r="L1530" t="str">
        <f>IF(COUNTIF(role_course_map[mapping_key],role_course_map[[#This Row],[mapping_key]])&gt;1,"DUPLICATE","OK")</f>
        <v>OK</v>
      </c>
      <c r="M1530" t="str">
        <f>IF(COUNTIF(role_data[role_id],role_course_map[[#This Row],[role_id]])=0, "INVALID","VALID")</f>
        <v>VALID</v>
      </c>
      <c r="N1530" t="str">
        <f>IF(COUNTIF(course_data[course_id],role_course_map[[#This Row],[course_id]])=0, "INVALID","VALID")</f>
        <v>VALID</v>
      </c>
    </row>
    <row r="1531" spans="1:14" x14ac:dyDescent="0.35">
      <c r="A1531" t="s">
        <v>318</v>
      </c>
      <c r="B1531" s="5" t="str">
        <f>_xlfn.XLOOKUP(role_course_map[[#This Row],[role_id]], role_data[role_id], role_data[Role],"")</f>
        <v>Senior Transport Charge Nurse</v>
      </c>
      <c r="C1531">
        <v>999027</v>
      </c>
      <c r="D1531" s="5" t="str">
        <f>_xlfn.XLOOKUP(role_course_map[[#This Row],[course_id]],course_data[course_id],course_data[title],"")</f>
        <v>Manual and Patient Handling Foundation Training - Level 2</v>
      </c>
      <c r="E1531" s="5" t="str">
        <f>_xlfn.XLOOKUP(role_course_map[[#This Row],[course_id]],course_data[course_id],course_data[topic],"")</f>
        <v>SAS : Clinical Practice</v>
      </c>
      <c r="F1531" s="5" t="str">
        <f>_xlfn.XLOOKUP(role_course_map[[#This Row],[course_id]],course_data[course_id],course_data[type],"")</f>
        <v>Course</v>
      </c>
      <c r="K1531" t="str">
        <f>role_course_map[[#This Row],[role_id]] &amp; "|" &amp; role_course_map[[#This Row],[course_id]]</f>
        <v>R0153|999027</v>
      </c>
      <c r="L1531" t="str">
        <f>IF(COUNTIF(role_course_map[mapping_key],role_course_map[[#This Row],[mapping_key]])&gt;1,"DUPLICATE","OK")</f>
        <v>OK</v>
      </c>
      <c r="M1531" t="str">
        <f>IF(COUNTIF(role_data[role_id],role_course_map[[#This Row],[role_id]])=0, "INVALID","VALID")</f>
        <v>VALID</v>
      </c>
      <c r="N1531" t="str">
        <f>IF(COUNTIF(course_data[course_id],role_course_map[[#This Row],[course_id]])=0, "INVALID","VALID")</f>
        <v>VALID</v>
      </c>
    </row>
    <row r="1532" spans="1:14" x14ac:dyDescent="0.35">
      <c r="A1532" t="s">
        <v>318</v>
      </c>
      <c r="B1532" s="5" t="str">
        <f>_xlfn.XLOOKUP(role_course_map[[#This Row],[role_id]], role_data[role_id], role_data[Role],"")</f>
        <v>Senior Transport Charge Nurse</v>
      </c>
      <c r="C1532">
        <v>999028</v>
      </c>
      <c r="D1532" s="5" t="str">
        <f>_xlfn.XLOOKUP(role_course_map[[#This Row],[course_id]],course_data[course_id],course_data[title],"")</f>
        <v>Manual and Patient Handling Competency Assessment - Level 3</v>
      </c>
      <c r="E1532" s="5" t="str">
        <f>_xlfn.XLOOKUP(role_course_map[[#This Row],[course_id]],course_data[course_id],course_data[topic],"")</f>
        <v>SAS : Clinical Practice</v>
      </c>
      <c r="F1532" s="5" t="str">
        <f>_xlfn.XLOOKUP(role_course_map[[#This Row],[course_id]],course_data[course_id],course_data[type],"")</f>
        <v>Course</v>
      </c>
      <c r="K1532" t="str">
        <f>role_course_map[[#This Row],[role_id]] &amp; "|" &amp; role_course_map[[#This Row],[course_id]]</f>
        <v>R0153|999028</v>
      </c>
      <c r="L1532" t="str">
        <f>IF(COUNTIF(role_course_map[mapping_key],role_course_map[[#This Row],[mapping_key]])&gt;1,"DUPLICATE","OK")</f>
        <v>OK</v>
      </c>
      <c r="M1532" t="str">
        <f>IF(COUNTIF(role_data[role_id],role_course_map[[#This Row],[role_id]])=0, "INVALID","VALID")</f>
        <v>VALID</v>
      </c>
      <c r="N1532" t="str">
        <f>IF(COUNTIF(course_data[course_id],role_course_map[[#This Row],[course_id]])=0, "INVALID","VALID")</f>
        <v>VALID</v>
      </c>
    </row>
    <row r="1533" spans="1:14" x14ac:dyDescent="0.35">
      <c r="A1533" t="s">
        <v>318</v>
      </c>
      <c r="B1533" s="5" t="str">
        <f>_xlfn.XLOOKUP(role_course_map[[#This Row],[role_id]], role_data[role_id], role_data[Role],"")</f>
        <v>Senior Transport Charge Nurse</v>
      </c>
      <c r="C1533">
        <v>999029</v>
      </c>
      <c r="D1533" s="5" t="str">
        <f>_xlfn.XLOOKUP(role_course_map[[#This Row],[course_id]],course_data[course_id],course_data[title],"")</f>
        <v>Manual and Patient Handling Competency Assessment Theory - Level 3</v>
      </c>
      <c r="E1533" s="5" t="str">
        <f>_xlfn.XLOOKUP(role_course_map[[#This Row],[course_id]],course_data[course_id],course_data[topic],"")</f>
        <v>SAS : Clinical Practice</v>
      </c>
      <c r="F1533" s="5" t="str">
        <f>_xlfn.XLOOKUP(role_course_map[[#This Row],[course_id]],course_data[course_id],course_data[type],"")</f>
        <v>Course</v>
      </c>
      <c r="K1533" t="str">
        <f>role_course_map[[#This Row],[role_id]] &amp; "|" &amp; role_course_map[[#This Row],[course_id]]</f>
        <v>R0153|999029</v>
      </c>
      <c r="L1533" t="str">
        <f>IF(COUNTIF(role_course_map[mapping_key],role_course_map[[#This Row],[mapping_key]])&gt;1,"DUPLICATE","OK")</f>
        <v>OK</v>
      </c>
      <c r="M1533" t="str">
        <f>IF(COUNTIF(role_data[role_id],role_course_map[[#This Row],[role_id]])=0, "INVALID","VALID")</f>
        <v>VALID</v>
      </c>
      <c r="N1533" t="str">
        <f>IF(COUNTIF(course_data[course_id],role_course_map[[#This Row],[course_id]])=0, "INVALID","VALID")</f>
        <v>VALID</v>
      </c>
    </row>
    <row r="1534" spans="1:14" x14ac:dyDescent="0.35">
      <c r="A1534" t="s">
        <v>318</v>
      </c>
      <c r="B1534" s="5" t="str">
        <f>_xlfn.XLOOKUP(role_course_map[[#This Row],[role_id]], role_data[role_id], role_data[Role],"")</f>
        <v>Senior Transport Charge Nurse</v>
      </c>
      <c r="C1534" t="s">
        <v>659</v>
      </c>
      <c r="D1534" s="5" t="str">
        <f>_xlfn.XLOOKUP(role_course_map[[#This Row],[course_id]],course_data[course_id],course_data[title],"")</f>
        <v>Prevention and Management of Violence and Aggression - Breakaway training Level 2 /Restrictive movement Level 3</v>
      </c>
      <c r="E1534" s="5" t="str">
        <f>_xlfn.XLOOKUP(role_course_map[[#This Row],[course_id]],course_data[course_id],course_data[topic],"")</f>
        <v>SAS : Health and Safety</v>
      </c>
      <c r="F1534" s="5" t="str">
        <f>_xlfn.XLOOKUP(role_course_map[[#This Row],[course_id]],course_data[course_id],course_data[type],"")</f>
        <v>Course</v>
      </c>
      <c r="K1534" t="str">
        <f>role_course_map[[#This Row],[role_id]] &amp; "|" &amp; role_course_map[[#This Row],[course_id]]</f>
        <v>R0153|2025-6 edition</v>
      </c>
      <c r="L1534" t="str">
        <f>IF(COUNTIF(role_course_map[mapping_key],role_course_map[[#This Row],[mapping_key]])&gt;1,"DUPLICATE","OK")</f>
        <v>OK</v>
      </c>
      <c r="M1534" t="str">
        <f>IF(COUNTIF(role_data[role_id],role_course_map[[#This Row],[role_id]])=0, "INVALID","VALID")</f>
        <v>VALID</v>
      </c>
      <c r="N1534" t="str">
        <f>IF(COUNTIF(course_data[course_id],role_course_map[[#This Row],[course_id]])=0, "INVALID","VALID")</f>
        <v>VALID</v>
      </c>
    </row>
    <row r="1535" spans="1:14" x14ac:dyDescent="0.35">
      <c r="A1535" t="s">
        <v>318</v>
      </c>
      <c r="B1535" s="5" t="str">
        <f>_xlfn.XLOOKUP(role_course_map[[#This Row],[role_id]], role_data[role_id], role_data[Role],"")</f>
        <v>Senior Transport Charge Nurse</v>
      </c>
      <c r="C1535">
        <v>999055</v>
      </c>
      <c r="D1535" s="5" t="str">
        <f>_xlfn.XLOOKUP(role_course_map[[#This Row],[course_id]],course_data[course_id],course_data[title],"")</f>
        <v>Prevention and Management of Violence and Aggression - Refresher</v>
      </c>
      <c r="E1535" s="5" t="str">
        <f>_xlfn.XLOOKUP(role_course_map[[#This Row],[course_id]],course_data[course_id],course_data[topic],"")</f>
        <v>SAS : Health and Safety</v>
      </c>
      <c r="F1535" s="5" t="str">
        <f>_xlfn.XLOOKUP(role_course_map[[#This Row],[course_id]],course_data[course_id],course_data[type],"")</f>
        <v>Course</v>
      </c>
      <c r="K1535" t="str">
        <f>role_course_map[[#This Row],[role_id]] &amp; "|" &amp; role_course_map[[#This Row],[course_id]]</f>
        <v>R0153|999055</v>
      </c>
      <c r="L1535" t="str">
        <f>IF(COUNTIF(role_course_map[mapping_key],role_course_map[[#This Row],[mapping_key]])&gt;1,"DUPLICATE","OK")</f>
        <v>OK</v>
      </c>
      <c r="M1535" t="str">
        <f>IF(COUNTIF(role_data[role_id],role_course_map[[#This Row],[role_id]])=0, "INVALID","VALID")</f>
        <v>VALID</v>
      </c>
      <c r="N1535" t="str">
        <f>IF(COUNTIF(course_data[course_id],role_course_map[[#This Row],[course_id]])=0, "INVALID","VALID")</f>
        <v>VALID</v>
      </c>
    </row>
    <row r="1536" spans="1:14" x14ac:dyDescent="0.35">
      <c r="A1536" t="s">
        <v>318</v>
      </c>
      <c r="B1536" s="5" t="str">
        <f>_xlfn.XLOOKUP(role_course_map[[#This Row],[role_id]], role_data[role_id], role_data[Role],"")</f>
        <v>Senior Transport Charge Nurse</v>
      </c>
      <c r="C1536">
        <v>64322</v>
      </c>
      <c r="D1536" s="5" t="str">
        <f>_xlfn.XLOOKUP(role_course_map[[#This Row],[course_id]],course_data[course_id],course_data[title],"")</f>
        <v>Adult support and protection: practice level 2 [skilled]</v>
      </c>
      <c r="E1536" s="5" t="str">
        <f>_xlfn.XLOOKUP(role_course_map[[#This Row],[course_id]],course_data[course_id],course_data[topic],"")</f>
        <v>SAS : Public Protection</v>
      </c>
      <c r="F1536" s="5" t="str">
        <f>_xlfn.XLOOKUP(role_course_map[[#This Row],[course_id]],course_data[course_id],course_data[type],"")</f>
        <v>eLearning</v>
      </c>
      <c r="K1536" t="str">
        <f>role_course_map[[#This Row],[role_id]] &amp; "|" &amp; role_course_map[[#This Row],[course_id]]</f>
        <v>R0153|64322</v>
      </c>
      <c r="L1536" t="str">
        <f>IF(COUNTIF(role_course_map[mapping_key],role_course_map[[#This Row],[mapping_key]])&gt;1,"DUPLICATE","OK")</f>
        <v>OK</v>
      </c>
      <c r="M1536" t="str">
        <f>IF(COUNTIF(role_data[role_id],role_course_map[[#This Row],[role_id]])=0, "INVALID","VALID")</f>
        <v>VALID</v>
      </c>
      <c r="N1536" t="str">
        <f>IF(COUNTIF(course_data[course_id],role_course_map[[#This Row],[course_id]])=0, "INVALID","VALID")</f>
        <v>VALID</v>
      </c>
    </row>
    <row r="1537" spans="1:14" x14ac:dyDescent="0.35">
      <c r="A1537" t="s">
        <v>318</v>
      </c>
      <c r="B1537" s="5" t="str">
        <f>_xlfn.XLOOKUP(role_course_map[[#This Row],[role_id]], role_data[role_id], role_data[Role],"")</f>
        <v>Senior Transport Charge Nurse</v>
      </c>
      <c r="C1537">
        <v>64324</v>
      </c>
      <c r="D1537" s="5" t="str">
        <f>_xlfn.XLOOKUP(role_course_map[[#This Row],[course_id]],course_data[course_id],course_data[title],"")</f>
        <v>Child protection: practice level 2 [skilled]</v>
      </c>
      <c r="E1537" s="5" t="str">
        <f>_xlfn.XLOOKUP(role_course_map[[#This Row],[course_id]],course_data[course_id],course_data[topic],"")</f>
        <v>SAS : Public Protection</v>
      </c>
      <c r="F1537" s="5" t="str">
        <f>_xlfn.XLOOKUP(role_course_map[[#This Row],[course_id]],course_data[course_id],course_data[type],"")</f>
        <v>eLearning</v>
      </c>
      <c r="K1537" t="str">
        <f>role_course_map[[#This Row],[role_id]] &amp; "|" &amp; role_course_map[[#This Row],[course_id]]</f>
        <v>R0153|64324</v>
      </c>
      <c r="L1537" t="str">
        <f>IF(COUNTIF(role_course_map[mapping_key],role_course_map[[#This Row],[mapping_key]])&gt;1,"DUPLICATE","OK")</f>
        <v>OK</v>
      </c>
      <c r="M1537" t="str">
        <f>IF(COUNTIF(role_data[role_id],role_course_map[[#This Row],[role_id]])=0, "INVALID","VALID")</f>
        <v>VALID</v>
      </c>
      <c r="N1537" t="str">
        <f>IF(COUNTIF(course_data[course_id],role_course_map[[#This Row],[course_id]])=0, "INVALID","VALID")</f>
        <v>VALID</v>
      </c>
    </row>
    <row r="1538" spans="1:14" x14ac:dyDescent="0.35">
      <c r="A1538" t="s">
        <v>316</v>
      </c>
      <c r="B1538" s="5" t="str">
        <f>_xlfn.XLOOKUP(role_course_map[[#This Row],[role_id]], role_data[role_id], role_data[Role],"")</f>
        <v>ScotSTAR Driver</v>
      </c>
      <c r="C1538">
        <v>76716</v>
      </c>
      <c r="D1538" s="5" t="str">
        <f>_xlfn.XLOOKUP(role_course_map[[#This Row],[course_id]],course_data[course_id],course_data[title],"")</f>
        <v>Domestic abuse awareness training tool (DAART)</v>
      </c>
      <c r="E1538" s="5" t="str">
        <f>_xlfn.XLOOKUP(role_course_map[[#This Row],[course_id]],course_data[course_id],course_data[topic],"")</f>
        <v>SAS : Public Protection</v>
      </c>
      <c r="F1538" s="5" t="str">
        <f>_xlfn.XLOOKUP(role_course_map[[#This Row],[course_id]],course_data[course_id],course_data[type],"")</f>
        <v>eLearning</v>
      </c>
      <c r="K1538" t="str">
        <f>role_course_map[[#This Row],[role_id]] &amp; "|" &amp; role_course_map[[#This Row],[course_id]]</f>
        <v>R0152|76716</v>
      </c>
      <c r="L1538" t="str">
        <f>IF(COUNTIF(role_course_map[mapping_key],role_course_map[[#This Row],[mapping_key]])&gt;1,"DUPLICATE","OK")</f>
        <v>OK</v>
      </c>
      <c r="M1538" t="str">
        <f>IF(COUNTIF(role_data[role_id],role_course_map[[#This Row],[role_id]])=0, "INVALID","VALID")</f>
        <v>VALID</v>
      </c>
      <c r="N1538" t="str">
        <f>IF(COUNTIF(course_data[course_id],role_course_map[[#This Row],[course_id]])=0, "INVALID","VALID")</f>
        <v>VALID</v>
      </c>
    </row>
    <row r="1539" spans="1:14" x14ac:dyDescent="0.35">
      <c r="A1539" t="s">
        <v>318</v>
      </c>
      <c r="B1539" s="5" t="str">
        <f>_xlfn.XLOOKUP(role_course_map[[#This Row],[role_id]], role_data[role_id], role_data[Role],"")</f>
        <v>Senior Transport Charge Nurse</v>
      </c>
      <c r="C1539">
        <v>79666</v>
      </c>
      <c r="D1539" s="5" t="str">
        <f>_xlfn.XLOOKUP(role_course_map[[#This Row],[course_id]],course_data[course_id],course_data[title],"")</f>
        <v>Getting it right for every child (GIRFEC): informed level</v>
      </c>
      <c r="E1539" s="5" t="str">
        <f>_xlfn.XLOOKUP(role_course_map[[#This Row],[course_id]],course_data[course_id],course_data[topic],"")</f>
        <v>SAS : Public Protection</v>
      </c>
      <c r="F1539" s="5" t="str">
        <f>_xlfn.XLOOKUP(role_course_map[[#This Row],[course_id]],course_data[course_id],course_data[type],"")</f>
        <v>eLearning</v>
      </c>
      <c r="K1539" t="str">
        <f>role_course_map[[#This Row],[role_id]] &amp; "|" &amp; role_course_map[[#This Row],[course_id]]</f>
        <v>R0153|79666</v>
      </c>
      <c r="L1539" t="str">
        <f>IF(COUNTIF(role_course_map[mapping_key],role_course_map[[#This Row],[mapping_key]])&gt;1,"DUPLICATE","OK")</f>
        <v>OK</v>
      </c>
      <c r="M1539" t="str">
        <f>IF(COUNTIF(role_data[role_id],role_course_map[[#This Row],[role_id]])=0, "INVALID","VALID")</f>
        <v>VALID</v>
      </c>
      <c r="N1539" t="str">
        <f>IF(COUNTIF(course_data[course_id],role_course_map[[#This Row],[course_id]])=0, "INVALID","VALID")</f>
        <v>VALID</v>
      </c>
    </row>
    <row r="1540" spans="1:14" x14ac:dyDescent="0.35">
      <c r="A1540" t="s">
        <v>318</v>
      </c>
      <c r="B1540" s="5" t="str">
        <f>_xlfn.XLOOKUP(role_course_map[[#This Row],[role_id]], role_data[role_id], role_data[Role],"")</f>
        <v>Senior Transport Charge Nurse</v>
      </c>
      <c r="C1540">
        <v>999074</v>
      </c>
      <c r="D1540" s="5" t="str">
        <f>_xlfn.XLOOKUP(role_course_map[[#This Row],[course_id]],course_data[course_id],course_data[title],"")</f>
        <v>SAS-specific Children’s rights</v>
      </c>
      <c r="E1540" s="5" t="str">
        <f>_xlfn.XLOOKUP(role_course_map[[#This Row],[course_id]],course_data[course_id],course_data[topic],"")</f>
        <v>SAS : Public Protection</v>
      </c>
      <c r="F1540" s="5" t="str">
        <f>_xlfn.XLOOKUP(role_course_map[[#This Row],[course_id]],course_data[course_id],course_data[type],"")</f>
        <v>eLearning</v>
      </c>
      <c r="K1540" t="str">
        <f>role_course_map[[#This Row],[role_id]] &amp; "|" &amp; role_course_map[[#This Row],[course_id]]</f>
        <v>R0153|999074</v>
      </c>
      <c r="L1540" t="str">
        <f>IF(COUNTIF(role_course_map[mapping_key],role_course_map[[#This Row],[mapping_key]])&gt;1,"DUPLICATE","OK")</f>
        <v>OK</v>
      </c>
      <c r="M1540" t="str">
        <f>IF(COUNTIF(role_data[role_id],role_course_map[[#This Row],[role_id]])=0, "INVALID","VALID")</f>
        <v>VALID</v>
      </c>
      <c r="N1540" t="str">
        <f>IF(COUNTIF(course_data[course_id],role_course_map[[#This Row],[course_id]])=0, "INVALID","VALID")</f>
        <v>VALID</v>
      </c>
    </row>
    <row r="1541" spans="1:14" x14ac:dyDescent="0.35">
      <c r="A1541" t="s">
        <v>318</v>
      </c>
      <c r="B1541" s="5" t="str">
        <f>_xlfn.XLOOKUP(role_course_map[[#This Row],[role_id]], role_data[role_id], role_data[Role],"")</f>
        <v>Senior Transport Charge Nurse</v>
      </c>
      <c r="C1541">
        <v>999075</v>
      </c>
      <c r="D1541" s="5" t="str">
        <f>_xlfn.XLOOKUP(role_course_map[[#This Row],[course_id]],course_data[course_id],course_data[title],"")</f>
        <v>Multiagency local or bespoke Level 3 delivery training</v>
      </c>
      <c r="E1541" s="5" t="str">
        <f>_xlfn.XLOOKUP(role_course_map[[#This Row],[course_id]],course_data[course_id],course_data[topic],"")</f>
        <v>SAS : Public Protection</v>
      </c>
      <c r="F1541" s="5" t="str">
        <f>_xlfn.XLOOKUP(role_course_map[[#This Row],[course_id]],course_data[course_id],course_data[type],"")</f>
        <v>eLearning</v>
      </c>
      <c r="K1541" t="str">
        <f>role_course_map[[#This Row],[role_id]] &amp; "|" &amp; role_course_map[[#This Row],[course_id]]</f>
        <v>R0153|999075</v>
      </c>
      <c r="L1541" t="str">
        <f>IF(COUNTIF(role_course_map[mapping_key],role_course_map[[#This Row],[mapping_key]])&gt;1,"DUPLICATE","OK")</f>
        <v>OK</v>
      </c>
      <c r="M1541" t="str">
        <f>IF(COUNTIF(role_data[role_id],role_course_map[[#This Row],[role_id]])=0, "INVALID","VALID")</f>
        <v>VALID</v>
      </c>
      <c r="N1541" t="str">
        <f>IF(COUNTIF(course_data[course_id],role_course_map[[#This Row],[course_id]])=0, "INVALID","VALID")</f>
        <v>VALID</v>
      </c>
    </row>
    <row r="1542" spans="1:14" x14ac:dyDescent="0.35">
      <c r="A1542" t="s">
        <v>318</v>
      </c>
      <c r="B1542" s="5" t="str">
        <f>_xlfn.XLOOKUP(role_course_map[[#This Row],[role_id]], role_data[role_id], role_data[Role],"")</f>
        <v>Senior Transport Charge Nurse</v>
      </c>
      <c r="C1542">
        <v>15249</v>
      </c>
      <c r="D1542" s="5" t="str">
        <f>_xlfn.XLOOKUP(role_course_map[[#This Row],[course_id]],course_data[course_id],course_data[title],"")</f>
        <v>Human trafficking</v>
      </c>
      <c r="E1542" s="5" t="str">
        <f>_xlfn.XLOOKUP(role_course_map[[#This Row],[course_id]],course_data[course_id],course_data[topic],"")</f>
        <v>SAS : Public Protection</v>
      </c>
      <c r="F1542" s="5" t="str">
        <f>_xlfn.XLOOKUP(role_course_map[[#This Row],[course_id]],course_data[course_id],course_data[type],"")</f>
        <v>eLearning</v>
      </c>
      <c r="K1542" t="str">
        <f>role_course_map[[#This Row],[role_id]] &amp; "|" &amp; role_course_map[[#This Row],[course_id]]</f>
        <v>R0153|15249</v>
      </c>
      <c r="L1542" t="str">
        <f>IF(COUNTIF(role_course_map[mapping_key],role_course_map[[#This Row],[mapping_key]])&gt;1,"DUPLICATE","OK")</f>
        <v>OK</v>
      </c>
      <c r="M1542" t="str">
        <f>IF(COUNTIF(role_data[role_id],role_course_map[[#This Row],[role_id]])=0, "INVALID","VALID")</f>
        <v>VALID</v>
      </c>
      <c r="N1542" t="str">
        <f>IF(COUNTIF(course_data[course_id],role_course_map[[#This Row],[course_id]])=0, "INVALID","VALID")</f>
        <v>VALID</v>
      </c>
    </row>
    <row r="1543" spans="1:14" x14ac:dyDescent="0.35">
      <c r="A1543" t="s">
        <v>318</v>
      </c>
      <c r="B1543" s="5" t="str">
        <f>_xlfn.XLOOKUP(role_course_map[[#This Row],[role_id]], role_data[role_id], role_data[Role],"")</f>
        <v>Senior Transport Charge Nurse</v>
      </c>
      <c r="C1543">
        <v>89161</v>
      </c>
      <c r="D1543" s="5" t="str">
        <f>_xlfn.XLOOKUP(role_course_map[[#This Row],[course_id]],course_data[course_id],course_data[title],"")</f>
        <v>Personal Protective Equipment</v>
      </c>
      <c r="E1543" s="5" t="str">
        <f>_xlfn.XLOOKUP(role_course_map[[#This Row],[course_id]],course_data[course_id],course_data[topic],"")</f>
        <v>SAS : Infection Prevention and Control (IPC)</v>
      </c>
      <c r="F1543" s="5" t="str">
        <f>_xlfn.XLOOKUP(role_course_map[[#This Row],[course_id]],course_data[course_id],course_data[type],"")</f>
        <v>eLearning</v>
      </c>
      <c r="K1543" t="str">
        <f>role_course_map[[#This Row],[role_id]] &amp; "|" &amp; role_course_map[[#This Row],[course_id]]</f>
        <v>R0153|89161</v>
      </c>
      <c r="L1543" t="str">
        <f>IF(COUNTIF(role_course_map[mapping_key],role_course_map[[#This Row],[mapping_key]])&gt;1,"DUPLICATE","OK")</f>
        <v>OK</v>
      </c>
      <c r="M1543" t="str">
        <f>IF(COUNTIF(role_data[role_id],role_course_map[[#This Row],[role_id]])=0, "INVALID","VALID")</f>
        <v>VALID</v>
      </c>
      <c r="N1543" t="str">
        <f>IF(COUNTIF(course_data[course_id],role_course_map[[#This Row],[course_id]])=0, "INVALID","VALID")</f>
        <v>VALID</v>
      </c>
    </row>
    <row r="1544" spans="1:14" x14ac:dyDescent="0.35">
      <c r="A1544" t="s">
        <v>318</v>
      </c>
      <c r="B1544" s="5" t="str">
        <f>_xlfn.XLOOKUP(role_course_map[[#This Row],[role_id]], role_data[role_id], role_data[Role],"")</f>
        <v>Senior Transport Charge Nurse</v>
      </c>
      <c r="C1544">
        <v>89157</v>
      </c>
      <c r="D1544" s="5" t="str">
        <f>_xlfn.XLOOKUP(role_course_map[[#This Row],[course_id]],course_data[course_id],course_data[title],"")</f>
        <v>Safe Management of Care Equipment</v>
      </c>
      <c r="E1544" s="5" t="str">
        <f>_xlfn.XLOOKUP(role_course_map[[#This Row],[course_id]],course_data[course_id],course_data[topic],"")</f>
        <v>SAS : Infection Prevention and Control (IPC)</v>
      </c>
      <c r="F1544" s="5" t="str">
        <f>_xlfn.XLOOKUP(role_course_map[[#This Row],[course_id]],course_data[course_id],course_data[type],"")</f>
        <v>eLearning</v>
      </c>
      <c r="K1544" t="str">
        <f>role_course_map[[#This Row],[role_id]] &amp; "|" &amp; role_course_map[[#This Row],[course_id]]</f>
        <v>R0153|89157</v>
      </c>
      <c r="L1544" t="str">
        <f>IF(COUNTIF(role_course_map[mapping_key],role_course_map[[#This Row],[mapping_key]])&gt;1,"DUPLICATE","OK")</f>
        <v>OK</v>
      </c>
      <c r="M1544" t="str">
        <f>IF(COUNTIF(role_data[role_id],role_course_map[[#This Row],[role_id]])=0, "INVALID","VALID")</f>
        <v>VALID</v>
      </c>
      <c r="N1544" t="str">
        <f>IF(COUNTIF(course_data[course_id],role_course_map[[#This Row],[course_id]])=0, "INVALID","VALID")</f>
        <v>VALID</v>
      </c>
    </row>
    <row r="1545" spans="1:14" x14ac:dyDescent="0.35">
      <c r="A1545" t="s">
        <v>318</v>
      </c>
      <c r="B1545" s="5" t="str">
        <f>_xlfn.XLOOKUP(role_course_map[[#This Row],[role_id]], role_data[role_id], role_data[Role],"")</f>
        <v>Senior Transport Charge Nurse</v>
      </c>
      <c r="C1545">
        <v>89158</v>
      </c>
      <c r="D1545" s="5" t="str">
        <f>_xlfn.XLOOKUP(role_course_map[[#This Row],[course_id]],course_data[course_id],course_data[title],"")</f>
        <v>Safe Management of Care Environment</v>
      </c>
      <c r="E1545" s="5" t="str">
        <f>_xlfn.XLOOKUP(role_course_map[[#This Row],[course_id]],course_data[course_id],course_data[topic],"")</f>
        <v>SAS : Infection Prevention and Control (IPC)</v>
      </c>
      <c r="F1545" s="5" t="str">
        <f>_xlfn.XLOOKUP(role_course_map[[#This Row],[course_id]],course_data[course_id],course_data[type],"")</f>
        <v>eLearning</v>
      </c>
      <c r="K1545" t="str">
        <f>role_course_map[[#This Row],[role_id]] &amp; "|" &amp; role_course_map[[#This Row],[course_id]]</f>
        <v>R0153|89158</v>
      </c>
      <c r="L1545" t="str">
        <f>IF(COUNTIF(role_course_map[mapping_key],role_course_map[[#This Row],[mapping_key]])&gt;1,"DUPLICATE","OK")</f>
        <v>OK</v>
      </c>
      <c r="M1545" t="str">
        <f>IF(COUNTIF(role_data[role_id],role_course_map[[#This Row],[role_id]])=0, "INVALID","VALID")</f>
        <v>VALID</v>
      </c>
      <c r="N1545" t="str">
        <f>IF(COUNTIF(course_data[course_id],role_course_map[[#This Row],[course_id]])=0, "INVALID","VALID")</f>
        <v>VALID</v>
      </c>
    </row>
    <row r="1546" spans="1:14" x14ac:dyDescent="0.35">
      <c r="A1546" t="s">
        <v>318</v>
      </c>
      <c r="B1546" s="5" t="str">
        <f>_xlfn.XLOOKUP(role_course_map[[#This Row],[role_id]], role_data[role_id], role_data[Role],"")</f>
        <v>Senior Transport Charge Nurse</v>
      </c>
      <c r="C1546">
        <v>89159</v>
      </c>
      <c r="D1546" s="5" t="str">
        <f>_xlfn.XLOOKUP(role_course_map[[#This Row],[course_id]],course_data[course_id],course_data[title],"")</f>
        <v>Safe Management of Linen</v>
      </c>
      <c r="E1546" s="5" t="str">
        <f>_xlfn.XLOOKUP(role_course_map[[#This Row],[course_id]],course_data[course_id],course_data[topic],"")</f>
        <v>SAS : Infection Prevention and Control (IPC)</v>
      </c>
      <c r="F1546" s="5" t="str">
        <f>_xlfn.XLOOKUP(role_course_map[[#This Row],[course_id]],course_data[course_id],course_data[type],"")</f>
        <v>eLearning</v>
      </c>
      <c r="K1546" t="str">
        <f>role_course_map[[#This Row],[role_id]] &amp; "|" &amp; role_course_map[[#This Row],[course_id]]</f>
        <v>R0153|89159</v>
      </c>
      <c r="L1546" t="str">
        <f>IF(COUNTIF(role_course_map[mapping_key],role_course_map[[#This Row],[mapping_key]])&gt;1,"DUPLICATE","OK")</f>
        <v>OK</v>
      </c>
      <c r="M1546" t="str">
        <f>IF(COUNTIF(role_data[role_id],role_course_map[[#This Row],[role_id]])=0, "INVALID","VALID")</f>
        <v>VALID</v>
      </c>
      <c r="N1546" t="str">
        <f>IF(COUNTIF(course_data[course_id],role_course_map[[#This Row],[course_id]])=0, "INVALID","VALID")</f>
        <v>VALID</v>
      </c>
    </row>
    <row r="1547" spans="1:14" x14ac:dyDescent="0.35">
      <c r="A1547" t="s">
        <v>318</v>
      </c>
      <c r="B1547" s="5" t="str">
        <f>_xlfn.XLOOKUP(role_course_map[[#This Row],[role_id]], role_data[role_id], role_data[Role],"")</f>
        <v>Senior Transport Charge Nurse</v>
      </c>
      <c r="C1547">
        <v>89160</v>
      </c>
      <c r="D1547" s="5" t="str">
        <f>_xlfn.XLOOKUP(role_course_map[[#This Row],[course_id]],course_data[course_id],course_data[title],"")</f>
        <v>Safe Management of blood and body fluids</v>
      </c>
      <c r="E1547" s="5" t="str">
        <f>_xlfn.XLOOKUP(role_course_map[[#This Row],[course_id]],course_data[course_id],course_data[topic],"")</f>
        <v>SAS : Infection Prevention and Control (IPC)</v>
      </c>
      <c r="F1547" s="5" t="str">
        <f>_xlfn.XLOOKUP(role_course_map[[#This Row],[course_id]],course_data[course_id],course_data[type],"")</f>
        <v>eLearning</v>
      </c>
      <c r="K1547" t="str">
        <f>role_course_map[[#This Row],[role_id]] &amp; "|" &amp; role_course_map[[#This Row],[course_id]]</f>
        <v>R0153|89160</v>
      </c>
      <c r="L1547" t="str">
        <f>IF(COUNTIF(role_course_map[mapping_key],role_course_map[[#This Row],[mapping_key]])&gt;1,"DUPLICATE","OK")</f>
        <v>OK</v>
      </c>
      <c r="M1547" t="str">
        <f>IF(COUNTIF(role_data[role_id],role_course_map[[#This Row],[role_id]])=0, "INVALID","VALID")</f>
        <v>VALID</v>
      </c>
      <c r="N1547" t="str">
        <f>IF(COUNTIF(course_data[course_id],role_course_map[[#This Row],[course_id]])=0, "INVALID","VALID")</f>
        <v>VALID</v>
      </c>
    </row>
    <row r="1548" spans="1:14" x14ac:dyDescent="0.35">
      <c r="A1548" t="s">
        <v>318</v>
      </c>
      <c r="B1548" s="5" t="str">
        <f>_xlfn.XLOOKUP(role_course_map[[#This Row],[role_id]], role_data[role_id], role_data[Role],"")</f>
        <v>Senior Transport Charge Nurse</v>
      </c>
      <c r="C1548">
        <v>89154</v>
      </c>
      <c r="D1548" s="5" t="str">
        <f>_xlfn.XLOOKUP(role_course_map[[#This Row],[course_id]],course_data[course_id],course_data[title],"")</f>
        <v>Safe disposal of waste</v>
      </c>
      <c r="E1548" s="5" t="str">
        <f>_xlfn.XLOOKUP(role_course_map[[#This Row],[course_id]],course_data[course_id],course_data[topic],"")</f>
        <v>SAS : Infection Prevention and Control (IPC)</v>
      </c>
      <c r="F1548" s="5" t="str">
        <f>_xlfn.XLOOKUP(role_course_map[[#This Row],[course_id]],course_data[course_id],course_data[type],"")</f>
        <v>eLearning</v>
      </c>
      <c r="K1548" t="str">
        <f>role_course_map[[#This Row],[role_id]] &amp; "|" &amp; role_course_map[[#This Row],[course_id]]</f>
        <v>R0153|89154</v>
      </c>
      <c r="L1548" t="str">
        <f>IF(COUNTIF(role_course_map[mapping_key],role_course_map[[#This Row],[mapping_key]])&gt;1,"DUPLICATE","OK")</f>
        <v>OK</v>
      </c>
      <c r="M1548" t="str">
        <f>IF(COUNTIF(role_data[role_id],role_course_map[[#This Row],[role_id]])=0, "INVALID","VALID")</f>
        <v>VALID</v>
      </c>
      <c r="N1548" t="str">
        <f>IF(COUNTIF(course_data[course_id],role_course_map[[#This Row],[course_id]])=0, "INVALID","VALID")</f>
        <v>VALID</v>
      </c>
    </row>
    <row r="1549" spans="1:14" x14ac:dyDescent="0.35">
      <c r="A1549" t="s">
        <v>318</v>
      </c>
      <c r="B1549" s="5" t="str">
        <f>_xlfn.XLOOKUP(role_course_map[[#This Row],[role_id]], role_data[role_id], role_data[Role],"")</f>
        <v>Senior Transport Charge Nurse</v>
      </c>
      <c r="C1549">
        <v>89155</v>
      </c>
      <c r="D1549" s="5" t="str">
        <f>_xlfn.XLOOKUP(role_course_map[[#This Row],[course_id]],course_data[course_id],course_data[title],"")</f>
        <v>Prevention &amp; management of occupational exposure</v>
      </c>
      <c r="E1549" s="5" t="str">
        <f>_xlfn.XLOOKUP(role_course_map[[#This Row],[course_id]],course_data[course_id],course_data[topic],"")</f>
        <v>SAS : Infection Prevention and Control (IPC)</v>
      </c>
      <c r="F1549" s="5" t="str">
        <f>_xlfn.XLOOKUP(role_course_map[[#This Row],[course_id]],course_data[course_id],course_data[type],"")</f>
        <v>eLearning</v>
      </c>
      <c r="K1549" t="str">
        <f>role_course_map[[#This Row],[role_id]] &amp; "|" &amp; role_course_map[[#This Row],[course_id]]</f>
        <v>R0153|89155</v>
      </c>
      <c r="L1549" t="str">
        <f>IF(COUNTIF(role_course_map[mapping_key],role_course_map[[#This Row],[mapping_key]])&gt;1,"DUPLICATE","OK")</f>
        <v>OK</v>
      </c>
      <c r="M1549" t="str">
        <f>IF(COUNTIF(role_data[role_id],role_course_map[[#This Row],[role_id]])=0, "INVALID","VALID")</f>
        <v>VALID</v>
      </c>
      <c r="N1549" t="str">
        <f>IF(COUNTIF(course_data[course_id],role_course_map[[#This Row],[course_id]])=0, "INVALID","VALID")</f>
        <v>VALID</v>
      </c>
    </row>
    <row r="1550" spans="1:14" x14ac:dyDescent="0.35">
      <c r="A1550" t="s">
        <v>318</v>
      </c>
      <c r="B1550" s="5" t="str">
        <f>_xlfn.XLOOKUP(role_course_map[[#This Row],[role_id]], role_data[role_id], role_data[Role],"")</f>
        <v>Senior Transport Charge Nurse</v>
      </c>
      <c r="C1550">
        <v>999064</v>
      </c>
      <c r="D1550" s="5" t="str">
        <f>_xlfn.XLOOKUP(role_course_map[[#This Row],[course_id]],course_data[course_id],course_data[title],"")</f>
        <v>Infection prevention and control: Clostridioides difficile infection</v>
      </c>
      <c r="E1550" s="5" t="str">
        <f>_xlfn.XLOOKUP(role_course_map[[#This Row],[course_id]],course_data[course_id],course_data[topic],"")</f>
        <v>SAS : Infection Prevention and Control (IPC)</v>
      </c>
      <c r="F1550" s="5" t="str">
        <f>_xlfn.XLOOKUP(role_course_map[[#This Row],[course_id]],course_data[course_id],course_data[type],"")</f>
        <v>eLearning</v>
      </c>
      <c r="K1550" t="str">
        <f>role_course_map[[#This Row],[role_id]] &amp; "|" &amp; role_course_map[[#This Row],[course_id]]</f>
        <v>R0153|999064</v>
      </c>
      <c r="L1550" t="str">
        <f>IF(COUNTIF(role_course_map[mapping_key],role_course_map[[#This Row],[mapping_key]])&gt;1,"DUPLICATE","OK")</f>
        <v>OK</v>
      </c>
      <c r="M1550" t="str">
        <f>IF(COUNTIF(role_data[role_id],role_course_map[[#This Row],[role_id]])=0, "INVALID","VALID")</f>
        <v>VALID</v>
      </c>
      <c r="N1550" t="str">
        <f>IF(COUNTIF(course_data[course_id],role_course_map[[#This Row],[course_id]])=0, "INVALID","VALID")</f>
        <v>VALID</v>
      </c>
    </row>
    <row r="1551" spans="1:14" x14ac:dyDescent="0.35">
      <c r="A1551" t="s">
        <v>318</v>
      </c>
      <c r="B1551" s="5" t="str">
        <f>_xlfn.XLOOKUP(role_course_map[[#This Row],[role_id]], role_data[role_id], role_data[Role],"")</f>
        <v>Senior Transport Charge Nurse</v>
      </c>
      <c r="C1551">
        <v>3886</v>
      </c>
      <c r="D1551" s="5" t="str">
        <f>_xlfn.XLOOKUP(role_course_map[[#This Row],[course_id]],course_data[course_id],course_data[title],"")</f>
        <v>Prevention and management of pressure ulcers</v>
      </c>
      <c r="E1551" s="5" t="str">
        <f>_xlfn.XLOOKUP(role_course_map[[#This Row],[course_id]],course_data[course_id],course_data[topic],"")</f>
        <v>SAS : Clinical Practice</v>
      </c>
      <c r="F1551" s="5" t="str">
        <f>_xlfn.XLOOKUP(role_course_map[[#This Row],[course_id]],course_data[course_id],course_data[type],"")</f>
        <v>Page</v>
      </c>
      <c r="K1551" t="str">
        <f>role_course_map[[#This Row],[role_id]] &amp; "|" &amp; role_course_map[[#This Row],[course_id]]</f>
        <v>R0153|3886</v>
      </c>
      <c r="L1551" t="str">
        <f>IF(COUNTIF(role_course_map[mapping_key],role_course_map[[#This Row],[mapping_key]])&gt;1,"DUPLICATE","OK")</f>
        <v>OK</v>
      </c>
      <c r="M1551" t="str">
        <f>IF(COUNTIF(role_data[role_id],role_course_map[[#This Row],[role_id]])=0, "INVALID","VALID")</f>
        <v>VALID</v>
      </c>
      <c r="N1551" t="str">
        <f>IF(COUNTIF(course_data[course_id],role_course_map[[#This Row],[course_id]])=0, "INVALID","VALID")</f>
        <v>VALID</v>
      </c>
    </row>
    <row r="1552" spans="1:14" x14ac:dyDescent="0.35">
      <c r="A1552" t="s">
        <v>316</v>
      </c>
      <c r="B1552" s="5" t="str">
        <f>_xlfn.XLOOKUP(role_course_map[[#This Row],[role_id]], role_data[role_id], role_data[Role],"")</f>
        <v>ScotSTAR Driver</v>
      </c>
      <c r="C1552">
        <v>999094</v>
      </c>
      <c r="D1552" s="5" t="str">
        <f>_xlfn.XLOOKUP(role_course_map[[#This Row],[course_id]],course_data[course_id],course_data[title],"")</f>
        <v>Being well, Mind, Body &amp; Workplace</v>
      </c>
      <c r="E1552" s="5" t="str">
        <f>_xlfn.XLOOKUP(role_course_map[[#This Row],[course_id]],course_data[course_id],course_data[topic],"")</f>
        <v>SAS: Staff development and experience</v>
      </c>
      <c r="F1552" s="5" t="str">
        <f>_xlfn.XLOOKUP(role_course_map[[#This Row],[course_id]],course_data[course_id],course_data[type],"")</f>
        <v>eLearning</v>
      </c>
      <c r="K1552" t="str">
        <f>role_course_map[[#This Row],[role_id]] &amp; "|" &amp; role_course_map[[#This Row],[course_id]]</f>
        <v>R0152|999094</v>
      </c>
      <c r="L1552" t="str">
        <f>IF(COUNTIF(role_course_map[mapping_key],role_course_map[[#This Row],[mapping_key]])&gt;1,"DUPLICATE","OK")</f>
        <v>OK</v>
      </c>
      <c r="M1552" t="str">
        <f>IF(COUNTIF(role_data[role_id],role_course_map[[#This Row],[role_id]])=0, "INVALID","VALID")</f>
        <v>VALID</v>
      </c>
      <c r="N1552" t="str">
        <f>IF(COUNTIF(course_data[course_id],role_course_map[[#This Row],[course_id]])=0, "INVALID","VALID")</f>
        <v>VALID</v>
      </c>
    </row>
    <row r="1553" spans="1:14" x14ac:dyDescent="0.35">
      <c r="A1553" t="s">
        <v>320</v>
      </c>
      <c r="B1553" s="5" t="str">
        <f>_xlfn.XLOOKUP(role_course_map[[#This Row],[role_id]], role_data[role_id], role_data[Role],"")</f>
        <v>Transport Nurse</v>
      </c>
      <c r="C1553">
        <v>999009</v>
      </c>
      <c r="D1553" s="5" t="str">
        <f>_xlfn.XLOOKUP(role_course_map[[#This Row],[course_id]],course_data[course_id],course_data[title],"")</f>
        <v>Life Support</v>
      </c>
      <c r="E1553" s="5" t="str">
        <f>_xlfn.XLOOKUP(role_course_map[[#This Row],[course_id]],course_data[course_id],course_data[topic],"")</f>
        <v>SAS : Clinical Practice</v>
      </c>
      <c r="F1553" s="5" t="str">
        <f>_xlfn.XLOOKUP(role_course_map[[#This Row],[course_id]],course_data[course_id],course_data[type],"")</f>
        <v>Course</v>
      </c>
      <c r="K1553" t="str">
        <f>role_course_map[[#This Row],[role_id]] &amp; "|" &amp; role_course_map[[#This Row],[course_id]]</f>
        <v>R0154|999009</v>
      </c>
      <c r="L1553" t="str">
        <f>IF(COUNTIF(role_course_map[mapping_key],role_course_map[[#This Row],[mapping_key]])&gt;1,"DUPLICATE","OK")</f>
        <v>OK</v>
      </c>
      <c r="M1553" t="str">
        <f>IF(COUNTIF(role_data[role_id],role_course_map[[#This Row],[role_id]])=0, "INVALID","VALID")</f>
        <v>VALID</v>
      </c>
      <c r="N1553" t="str">
        <f>IF(COUNTIF(course_data[course_id],role_course_map[[#This Row],[course_id]])=0, "INVALID","VALID")</f>
        <v>VALID</v>
      </c>
    </row>
    <row r="1554" spans="1:14" x14ac:dyDescent="0.35">
      <c r="A1554" t="s">
        <v>320</v>
      </c>
      <c r="B1554" s="5" t="str">
        <f>_xlfn.XLOOKUP(role_course_map[[#This Row],[role_id]], role_data[role_id], role_data[Role],"")</f>
        <v>Transport Nurse</v>
      </c>
      <c r="C1554">
        <v>999007</v>
      </c>
      <c r="D1554" s="5" t="str">
        <f>_xlfn.XLOOKUP(role_course_map[[#This Row],[course_id]],course_data[course_id],course_data[title],"")</f>
        <v>Obstetrics</v>
      </c>
      <c r="E1554" s="5" t="str">
        <f>_xlfn.XLOOKUP(role_course_map[[#This Row],[course_id]],course_data[course_id],course_data[topic],"")</f>
        <v>SAS : Clinical Practice</v>
      </c>
      <c r="F1554" s="5" t="str">
        <f>_xlfn.XLOOKUP(role_course_map[[#This Row],[course_id]],course_data[course_id],course_data[type],"")</f>
        <v>Course</v>
      </c>
      <c r="K1554" t="str">
        <f>role_course_map[[#This Row],[role_id]] &amp; "|" &amp; role_course_map[[#This Row],[course_id]]</f>
        <v>R0154|999007</v>
      </c>
      <c r="L1554" t="str">
        <f>IF(COUNTIF(role_course_map[mapping_key],role_course_map[[#This Row],[mapping_key]])&gt;1,"DUPLICATE","OK")</f>
        <v>OK</v>
      </c>
      <c r="M1554" t="str">
        <f>IF(COUNTIF(role_data[role_id],role_course_map[[#This Row],[role_id]])=0, "INVALID","VALID")</f>
        <v>VALID</v>
      </c>
      <c r="N1554" t="str">
        <f>IF(COUNTIF(course_data[course_id],role_course_map[[#This Row],[course_id]])=0, "INVALID","VALID")</f>
        <v>VALID</v>
      </c>
    </row>
    <row r="1555" spans="1:14" x14ac:dyDescent="0.35">
      <c r="A1555" t="s">
        <v>320</v>
      </c>
      <c r="B1555" s="5" t="str">
        <f>_xlfn.XLOOKUP(role_course_map[[#This Row],[role_id]], role_data[role_id], role_data[Role],"")</f>
        <v>Transport Nurse</v>
      </c>
      <c r="C1555">
        <v>999008</v>
      </c>
      <c r="D1555" s="5" t="str">
        <f>_xlfn.XLOOKUP(role_course_map[[#This Row],[course_id]],course_data[course_id],course_data[title],"")</f>
        <v>Obstetrics</v>
      </c>
      <c r="E1555" s="5" t="str">
        <f>_xlfn.XLOOKUP(role_course_map[[#This Row],[course_id]],course_data[course_id],course_data[topic],"")</f>
        <v>SAS : Clinical Practice</v>
      </c>
      <c r="F1555" s="5" t="str">
        <f>_xlfn.XLOOKUP(role_course_map[[#This Row],[course_id]],course_data[course_id],course_data[type],"")</f>
        <v>eLearning</v>
      </c>
      <c r="K1555" t="str">
        <f>role_course_map[[#This Row],[role_id]] &amp; "|" &amp; role_course_map[[#This Row],[course_id]]</f>
        <v>R0154|999008</v>
      </c>
      <c r="L1555" t="str">
        <f>IF(COUNTIF(role_course_map[mapping_key],role_course_map[[#This Row],[mapping_key]])&gt;1,"DUPLICATE","OK")</f>
        <v>OK</v>
      </c>
      <c r="M1555" t="str">
        <f>IF(COUNTIF(role_data[role_id],role_course_map[[#This Row],[role_id]])=0, "INVALID","VALID")</f>
        <v>VALID</v>
      </c>
      <c r="N1555" t="str">
        <f>IF(COUNTIF(course_data[course_id],role_course_map[[#This Row],[course_id]])=0, "INVALID","VALID")</f>
        <v>VALID</v>
      </c>
    </row>
    <row r="1556" spans="1:14" x14ac:dyDescent="0.35">
      <c r="A1556" t="s">
        <v>320</v>
      </c>
      <c r="B1556" s="5" t="str">
        <f>_xlfn.XLOOKUP(role_course_map[[#This Row],[role_id]], role_data[role_id], role_data[Role],"")</f>
        <v>Transport Nurse</v>
      </c>
      <c r="C1556">
        <v>999010</v>
      </c>
      <c r="D1556" s="5" t="str">
        <f>_xlfn.XLOOKUP(role_course_map[[#This Row],[course_id]],course_data[course_id],course_data[title],"")</f>
        <v>Paediatrics</v>
      </c>
      <c r="E1556" s="5" t="str">
        <f>_xlfn.XLOOKUP(role_course_map[[#This Row],[course_id]],course_data[course_id],course_data[topic],"")</f>
        <v>SAS : Clinical Practice</v>
      </c>
      <c r="F1556" s="5" t="str">
        <f>_xlfn.XLOOKUP(role_course_map[[#This Row],[course_id]],course_data[course_id],course_data[type],"")</f>
        <v>Course</v>
      </c>
      <c r="K1556" t="str">
        <f>role_course_map[[#This Row],[role_id]] &amp; "|" &amp; role_course_map[[#This Row],[course_id]]</f>
        <v>R0154|999010</v>
      </c>
      <c r="L1556" t="str">
        <f>IF(COUNTIF(role_course_map[mapping_key],role_course_map[[#This Row],[mapping_key]])&gt;1,"DUPLICATE","OK")</f>
        <v>OK</v>
      </c>
      <c r="M1556" t="str">
        <f>IF(COUNTIF(role_data[role_id],role_course_map[[#This Row],[role_id]])=0, "INVALID","VALID")</f>
        <v>VALID</v>
      </c>
      <c r="N1556" t="str">
        <f>IF(COUNTIF(course_data[course_id],role_course_map[[#This Row],[course_id]])=0, "INVALID","VALID")</f>
        <v>VALID</v>
      </c>
    </row>
    <row r="1557" spans="1:14" x14ac:dyDescent="0.35">
      <c r="A1557" t="s">
        <v>320</v>
      </c>
      <c r="B1557" s="5" t="str">
        <f>_xlfn.XLOOKUP(role_course_map[[#This Row],[role_id]], role_data[role_id], role_data[Role],"")</f>
        <v>Transport Nurse</v>
      </c>
      <c r="C1557">
        <v>999011</v>
      </c>
      <c r="D1557" s="5" t="str">
        <f>_xlfn.XLOOKUP(role_course_map[[#This Row],[course_id]],course_data[course_id],course_data[title],"")</f>
        <v>Paediatrics</v>
      </c>
      <c r="E1557" s="5" t="str">
        <f>_xlfn.XLOOKUP(role_course_map[[#This Row],[course_id]],course_data[course_id],course_data[topic],"")</f>
        <v>SAS : Clinical Practice</v>
      </c>
      <c r="F1557" s="5" t="str">
        <f>_xlfn.XLOOKUP(role_course_map[[#This Row],[course_id]],course_data[course_id],course_data[type],"")</f>
        <v>eLearning</v>
      </c>
      <c r="K1557" t="str">
        <f>role_course_map[[#This Row],[role_id]] &amp; "|" &amp; role_course_map[[#This Row],[course_id]]</f>
        <v>R0154|999011</v>
      </c>
      <c r="L1557" t="str">
        <f>IF(COUNTIF(role_course_map[mapping_key],role_course_map[[#This Row],[mapping_key]])&gt;1,"DUPLICATE","OK")</f>
        <v>OK</v>
      </c>
      <c r="M1557" t="str">
        <f>IF(COUNTIF(role_data[role_id],role_course_map[[#This Row],[role_id]])=0, "INVALID","VALID")</f>
        <v>VALID</v>
      </c>
      <c r="N1557" t="str">
        <f>IF(COUNTIF(course_data[course_id],role_course_map[[#This Row],[course_id]])=0, "INVALID","VALID")</f>
        <v>VALID</v>
      </c>
    </row>
    <row r="1558" spans="1:14" x14ac:dyDescent="0.35">
      <c r="A1558" t="s">
        <v>320</v>
      </c>
      <c r="B1558" s="5" t="str">
        <f>_xlfn.XLOOKUP(role_course_map[[#This Row],[role_id]], role_data[role_id], role_data[Role],"")</f>
        <v>Transport Nurse</v>
      </c>
      <c r="C1558">
        <v>999012</v>
      </c>
      <c r="D1558" s="5" t="str">
        <f>_xlfn.XLOOKUP(role_course_map[[#This Row],[course_id]],course_data[course_id],course_data[title],"")</f>
        <v>Trauma</v>
      </c>
      <c r="E1558" s="5" t="str">
        <f>_xlfn.XLOOKUP(role_course_map[[#This Row],[course_id]],course_data[course_id],course_data[topic],"")</f>
        <v>SAS : Clinical Practice</v>
      </c>
      <c r="F1558" s="5" t="str">
        <f>_xlfn.XLOOKUP(role_course_map[[#This Row],[course_id]],course_data[course_id],course_data[type],"")</f>
        <v>Course</v>
      </c>
      <c r="K1558" t="str">
        <f>role_course_map[[#This Row],[role_id]] &amp; "|" &amp; role_course_map[[#This Row],[course_id]]</f>
        <v>R0154|999012</v>
      </c>
      <c r="L1558" t="str">
        <f>IF(COUNTIF(role_course_map[mapping_key],role_course_map[[#This Row],[mapping_key]])&gt;1,"DUPLICATE","OK")</f>
        <v>OK</v>
      </c>
      <c r="M1558" t="str">
        <f>IF(COUNTIF(role_data[role_id],role_course_map[[#This Row],[role_id]])=0, "INVALID","VALID")</f>
        <v>VALID</v>
      </c>
      <c r="N1558" t="str">
        <f>IF(COUNTIF(course_data[course_id],role_course_map[[#This Row],[course_id]])=0, "INVALID","VALID")</f>
        <v>VALID</v>
      </c>
    </row>
    <row r="1559" spans="1:14" x14ac:dyDescent="0.35">
      <c r="A1559" t="s">
        <v>320</v>
      </c>
      <c r="B1559" s="5" t="str">
        <f>_xlfn.XLOOKUP(role_course_map[[#This Row],[role_id]], role_data[role_id], role_data[Role],"")</f>
        <v>Transport Nurse</v>
      </c>
      <c r="C1559">
        <v>999013</v>
      </c>
      <c r="D1559" s="5" t="str">
        <f>_xlfn.XLOOKUP(role_course_map[[#This Row],[course_id]],course_data[course_id],course_data[title],"")</f>
        <v>Trauma</v>
      </c>
      <c r="E1559" s="5" t="str">
        <f>_xlfn.XLOOKUP(role_course_map[[#This Row],[course_id]],course_data[course_id],course_data[topic],"")</f>
        <v>SAS : Clinical Practice</v>
      </c>
      <c r="F1559" s="5" t="str">
        <f>_xlfn.XLOOKUP(role_course_map[[#This Row],[course_id]],course_data[course_id],course_data[type],"")</f>
        <v>eLearning</v>
      </c>
      <c r="K1559" t="str">
        <f>role_course_map[[#This Row],[role_id]] &amp; "|" &amp; role_course_map[[#This Row],[course_id]]</f>
        <v>R0154|999013</v>
      </c>
      <c r="L1559" t="str">
        <f>IF(COUNTIF(role_course_map[mapping_key],role_course_map[[#This Row],[mapping_key]])&gt;1,"DUPLICATE","OK")</f>
        <v>OK</v>
      </c>
      <c r="M1559" t="str">
        <f>IF(COUNTIF(role_data[role_id],role_course_map[[#This Row],[role_id]])=0, "INVALID","VALID")</f>
        <v>VALID</v>
      </c>
      <c r="N1559" t="str">
        <f>IF(COUNTIF(course_data[course_id],role_course_map[[#This Row],[course_id]])=0, "INVALID","VALID")</f>
        <v>VALID</v>
      </c>
    </row>
    <row r="1560" spans="1:14" x14ac:dyDescent="0.35">
      <c r="A1560" t="s">
        <v>320</v>
      </c>
      <c r="B1560" s="5" t="str">
        <f>_xlfn.XLOOKUP(role_course_map[[#This Row],[role_id]], role_data[role_id], role_data[Role],"")</f>
        <v>Transport Nurse</v>
      </c>
      <c r="C1560">
        <v>999014</v>
      </c>
      <c r="D1560" s="5" t="str">
        <f>_xlfn.XLOOKUP(role_course_map[[#This Row],[course_id]],course_data[course_id],course_data[title],"")</f>
        <v>Patient Assessment</v>
      </c>
      <c r="E1560" s="5" t="str">
        <f>_xlfn.XLOOKUP(role_course_map[[#This Row],[course_id]],course_data[course_id],course_data[topic],"")</f>
        <v>SAS : Clinical Practice</v>
      </c>
      <c r="F1560" s="5" t="str">
        <f>_xlfn.XLOOKUP(role_course_map[[#This Row],[course_id]],course_data[course_id],course_data[type],"")</f>
        <v>Course</v>
      </c>
      <c r="K1560" t="str">
        <f>role_course_map[[#This Row],[role_id]] &amp; "|" &amp; role_course_map[[#This Row],[course_id]]</f>
        <v>R0154|999014</v>
      </c>
      <c r="L1560" t="str">
        <f>IF(COUNTIF(role_course_map[mapping_key],role_course_map[[#This Row],[mapping_key]])&gt;1,"DUPLICATE","OK")</f>
        <v>OK</v>
      </c>
      <c r="M1560" t="str">
        <f>IF(COUNTIF(role_data[role_id],role_course_map[[#This Row],[role_id]])=0, "INVALID","VALID")</f>
        <v>VALID</v>
      </c>
      <c r="N1560" t="str">
        <f>IF(COUNTIF(course_data[course_id],role_course_map[[#This Row],[course_id]])=0, "INVALID","VALID")</f>
        <v>VALID</v>
      </c>
    </row>
    <row r="1561" spans="1:14" x14ac:dyDescent="0.35">
      <c r="A1561" t="s">
        <v>320</v>
      </c>
      <c r="B1561" s="5" t="str">
        <f>_xlfn.XLOOKUP(role_course_map[[#This Row],[role_id]], role_data[role_id], role_data[Role],"")</f>
        <v>Transport Nurse</v>
      </c>
      <c r="C1561">
        <v>999015</v>
      </c>
      <c r="D1561" s="5" t="str">
        <f>_xlfn.XLOOKUP(role_course_map[[#This Row],[course_id]],course_data[course_id],course_data[title],"")</f>
        <v>Patient Assessment</v>
      </c>
      <c r="E1561" s="5" t="str">
        <f>_xlfn.XLOOKUP(role_course_map[[#This Row],[course_id]],course_data[course_id],course_data[topic],"")</f>
        <v>SAS : Clinical Practice</v>
      </c>
      <c r="F1561" s="5" t="str">
        <f>_xlfn.XLOOKUP(role_course_map[[#This Row],[course_id]],course_data[course_id],course_data[type],"")</f>
        <v>eLearning</v>
      </c>
      <c r="K1561" t="str">
        <f>role_course_map[[#This Row],[role_id]] &amp; "|" &amp; role_course_map[[#This Row],[course_id]]</f>
        <v>R0154|999015</v>
      </c>
      <c r="L1561" t="str">
        <f>IF(COUNTIF(role_course_map[mapping_key],role_course_map[[#This Row],[mapping_key]])&gt;1,"DUPLICATE","OK")</f>
        <v>OK</v>
      </c>
      <c r="M1561" t="str">
        <f>IF(COUNTIF(role_data[role_id],role_course_map[[#This Row],[role_id]])=0, "INVALID","VALID")</f>
        <v>VALID</v>
      </c>
      <c r="N1561" t="str">
        <f>IF(COUNTIF(course_data[course_id],role_course_map[[#This Row],[course_id]])=0, "INVALID","VALID")</f>
        <v>VALID</v>
      </c>
    </row>
    <row r="1562" spans="1:14" x14ac:dyDescent="0.35">
      <c r="A1562" t="s">
        <v>318</v>
      </c>
      <c r="B1562" s="5" t="str">
        <f>_xlfn.XLOOKUP(role_course_map[[#This Row],[role_id]], role_data[role_id], role_data[Role],"")</f>
        <v>Senior Transport Charge Nurse</v>
      </c>
      <c r="C1562">
        <v>999016</v>
      </c>
      <c r="D1562" s="5" t="str">
        <f>_xlfn.XLOOKUP(role_course_map[[#This Row],[course_id]],course_data[course_id],course_data[title],"")</f>
        <v>Clinical Skills</v>
      </c>
      <c r="E1562" s="5" t="str">
        <f>_xlfn.XLOOKUP(role_course_map[[#This Row],[course_id]],course_data[course_id],course_data[topic],"")</f>
        <v>SAS : Clinical Practice</v>
      </c>
      <c r="F1562" s="5" t="str">
        <f>_xlfn.XLOOKUP(role_course_map[[#This Row],[course_id]],course_data[course_id],course_data[type],"")</f>
        <v>Course</v>
      </c>
      <c r="K1562" t="str">
        <f>role_course_map[[#This Row],[role_id]] &amp; "|" &amp; role_course_map[[#This Row],[course_id]]</f>
        <v>R0153|999016</v>
      </c>
      <c r="L1562" t="str">
        <f>IF(COUNTIF(role_course_map[mapping_key],role_course_map[[#This Row],[mapping_key]])&gt;1,"DUPLICATE","OK")</f>
        <v>OK</v>
      </c>
      <c r="M1562" t="str">
        <f>IF(COUNTIF(role_data[role_id],role_course_map[[#This Row],[role_id]])=0, "INVALID","VALID")</f>
        <v>VALID</v>
      </c>
      <c r="N1562" t="str">
        <f>IF(COUNTIF(course_data[course_id],role_course_map[[#This Row],[course_id]])=0, "INVALID","VALID")</f>
        <v>VALID</v>
      </c>
    </row>
    <row r="1563" spans="1:14" x14ac:dyDescent="0.35">
      <c r="A1563" t="s">
        <v>320</v>
      </c>
      <c r="B1563" s="5" t="str">
        <f>_xlfn.XLOOKUP(role_course_map[[#This Row],[role_id]], role_data[role_id], role_data[Role],"")</f>
        <v>Transport Nurse</v>
      </c>
      <c r="C1563">
        <v>999016</v>
      </c>
      <c r="D1563" s="5" t="str">
        <f>_xlfn.XLOOKUP(role_course_map[[#This Row],[course_id]],course_data[course_id],course_data[title],"")</f>
        <v>Clinical Skills</v>
      </c>
      <c r="E1563" s="5" t="str">
        <f>_xlfn.XLOOKUP(role_course_map[[#This Row],[course_id]],course_data[course_id],course_data[topic],"")</f>
        <v>SAS : Clinical Practice</v>
      </c>
      <c r="F1563" s="5" t="str">
        <f>_xlfn.XLOOKUP(role_course_map[[#This Row],[course_id]],course_data[course_id],course_data[type],"")</f>
        <v>Course</v>
      </c>
      <c r="K1563" t="str">
        <f>role_course_map[[#This Row],[role_id]] &amp; "|" &amp; role_course_map[[#This Row],[course_id]]</f>
        <v>R0154|999016</v>
      </c>
      <c r="L1563" t="str">
        <f>IF(COUNTIF(role_course_map[mapping_key],role_course_map[[#This Row],[mapping_key]])&gt;1,"DUPLICATE","OK")</f>
        <v>OK</v>
      </c>
      <c r="M1563" t="str">
        <f>IF(COUNTIF(role_data[role_id],role_course_map[[#This Row],[role_id]])=0, "INVALID","VALID")</f>
        <v>VALID</v>
      </c>
      <c r="N1563" t="str">
        <f>IF(COUNTIF(course_data[course_id],role_course_map[[#This Row],[course_id]])=0, "INVALID","VALID")</f>
        <v>VALID</v>
      </c>
    </row>
    <row r="1564" spans="1:14" x14ac:dyDescent="0.35">
      <c r="A1564" t="s">
        <v>320</v>
      </c>
      <c r="B1564" s="5" t="str">
        <f>_xlfn.XLOOKUP(role_course_map[[#This Row],[role_id]], role_data[role_id], role_data[Role],"")</f>
        <v>Transport Nurse</v>
      </c>
      <c r="C1564">
        <v>999017</v>
      </c>
      <c r="D1564" s="5" t="str">
        <f>_xlfn.XLOOKUP(role_course_map[[#This Row],[course_id]],course_data[course_id],course_data[title],"")</f>
        <v>Clinical Skills</v>
      </c>
      <c r="E1564" s="5" t="str">
        <f>_xlfn.XLOOKUP(role_course_map[[#This Row],[course_id]],course_data[course_id],course_data[topic],"")</f>
        <v>SAS : Clinical Practice</v>
      </c>
      <c r="F1564" s="5" t="str">
        <f>_xlfn.XLOOKUP(role_course_map[[#This Row],[course_id]],course_data[course_id],course_data[type],"")</f>
        <v>eLearning</v>
      </c>
      <c r="K1564" t="str">
        <f>role_course_map[[#This Row],[role_id]] &amp; "|" &amp; role_course_map[[#This Row],[course_id]]</f>
        <v>R0154|999017</v>
      </c>
      <c r="L1564" t="str">
        <f>IF(COUNTIF(role_course_map[mapping_key],role_course_map[[#This Row],[mapping_key]])&gt;1,"DUPLICATE","OK")</f>
        <v>OK</v>
      </c>
      <c r="M1564" t="str">
        <f>IF(COUNTIF(role_data[role_id],role_course_map[[#This Row],[role_id]])=0, "INVALID","VALID")</f>
        <v>VALID</v>
      </c>
      <c r="N1564" t="str">
        <f>IF(COUNTIF(course_data[course_id],role_course_map[[#This Row],[course_id]])=0, "INVALID","VALID")</f>
        <v>VALID</v>
      </c>
    </row>
    <row r="1565" spans="1:14" x14ac:dyDescent="0.35">
      <c r="A1565" t="s">
        <v>320</v>
      </c>
      <c r="B1565" s="5" t="str">
        <f>_xlfn.XLOOKUP(role_course_map[[#This Row],[role_id]], role_data[role_id], role_data[Role],"")</f>
        <v>Transport Nurse</v>
      </c>
      <c r="C1565">
        <v>999018</v>
      </c>
      <c r="D1565" s="5" t="str">
        <f>_xlfn.XLOOKUP(role_course_map[[#This Row],[course_id]],course_data[course_id],course_data[title],"")</f>
        <v>Learning from Events</v>
      </c>
      <c r="E1565" s="5" t="str">
        <f>_xlfn.XLOOKUP(role_course_map[[#This Row],[course_id]],course_data[course_id],course_data[topic],"")</f>
        <v>SAS : Clinical Practice</v>
      </c>
      <c r="F1565" s="5" t="str">
        <f>_xlfn.XLOOKUP(role_course_map[[#This Row],[course_id]],course_data[course_id],course_data[type],"")</f>
        <v>eLearning</v>
      </c>
      <c r="K1565" t="str">
        <f>role_course_map[[#This Row],[role_id]] &amp; "|" &amp; role_course_map[[#This Row],[course_id]]</f>
        <v>R0154|999018</v>
      </c>
      <c r="L1565" t="str">
        <f>IF(COUNTIF(role_course_map[mapping_key],role_course_map[[#This Row],[mapping_key]])&gt;1,"DUPLICATE","OK")</f>
        <v>OK</v>
      </c>
      <c r="M1565" t="str">
        <f>IF(COUNTIF(role_data[role_id],role_course_map[[#This Row],[role_id]])=0, "INVALID","VALID")</f>
        <v>VALID</v>
      </c>
      <c r="N1565" t="str">
        <f>IF(COUNTIF(course_data[course_id],role_course_map[[#This Row],[course_id]])=0, "INVALID","VALID")</f>
        <v>VALID</v>
      </c>
    </row>
    <row r="1566" spans="1:14" x14ac:dyDescent="0.35">
      <c r="A1566" t="s">
        <v>320</v>
      </c>
      <c r="B1566" s="5" t="str">
        <f>_xlfn.XLOOKUP(role_course_map[[#This Row],[role_id]], role_data[role_id], role_data[Role],"")</f>
        <v>Transport Nurse</v>
      </c>
      <c r="C1566">
        <v>999019</v>
      </c>
      <c r="D1566" s="5" t="str">
        <f>_xlfn.XLOOKUP(role_course_map[[#This Row],[course_id]],course_data[course_id],course_data[title],"")</f>
        <v>Medicines Management</v>
      </c>
      <c r="E1566" s="5" t="str">
        <f>_xlfn.XLOOKUP(role_course_map[[#This Row],[course_id]],course_data[course_id],course_data[topic],"")</f>
        <v>SAS : Clinical Practice</v>
      </c>
      <c r="F1566" s="5" t="str">
        <f>_xlfn.XLOOKUP(role_course_map[[#This Row],[course_id]],course_data[course_id],course_data[type],"")</f>
        <v>eLearning</v>
      </c>
      <c r="K1566" t="str">
        <f>role_course_map[[#This Row],[role_id]] &amp; "|" &amp; role_course_map[[#This Row],[course_id]]</f>
        <v>R0154|999019</v>
      </c>
      <c r="L1566" t="str">
        <f>IF(COUNTIF(role_course_map[mapping_key],role_course_map[[#This Row],[mapping_key]])&gt;1,"DUPLICATE","OK")</f>
        <v>OK</v>
      </c>
      <c r="M1566" t="str">
        <f>IF(COUNTIF(role_data[role_id],role_course_map[[#This Row],[role_id]])=0, "INVALID","VALID")</f>
        <v>VALID</v>
      </c>
      <c r="N1566" t="str">
        <f>IF(COUNTIF(course_data[course_id],role_course_map[[#This Row],[course_id]])=0, "INVALID","VALID")</f>
        <v>VALID</v>
      </c>
    </row>
    <row r="1567" spans="1:14" x14ac:dyDescent="0.35">
      <c r="A1567" t="s">
        <v>320</v>
      </c>
      <c r="B1567" s="5" t="str">
        <f>_xlfn.XLOOKUP(role_course_map[[#This Row],[role_id]], role_data[role_id], role_data[Role],"")</f>
        <v>Transport Nurse</v>
      </c>
      <c r="C1567">
        <v>999020</v>
      </c>
      <c r="D1567" s="5" t="str">
        <f>_xlfn.XLOOKUP(role_course_map[[#This Row],[course_id]],course_data[course_id],course_data[title],"")</f>
        <v>JRCALC Update</v>
      </c>
      <c r="E1567" s="5" t="str">
        <f>_xlfn.XLOOKUP(role_course_map[[#This Row],[course_id]],course_data[course_id],course_data[topic],"")</f>
        <v>SAS : Clinical Practice</v>
      </c>
      <c r="F1567" s="5" t="str">
        <f>_xlfn.XLOOKUP(role_course_map[[#This Row],[course_id]],course_data[course_id],course_data[type],"")</f>
        <v>eLearning</v>
      </c>
      <c r="K1567" t="str">
        <f>role_course_map[[#This Row],[role_id]] &amp; "|" &amp; role_course_map[[#This Row],[course_id]]</f>
        <v>R0154|999020</v>
      </c>
      <c r="L1567" t="str">
        <f>IF(COUNTIF(role_course_map[mapping_key],role_course_map[[#This Row],[mapping_key]])&gt;1,"DUPLICATE","OK")</f>
        <v>OK</v>
      </c>
      <c r="M1567" t="str">
        <f>IF(COUNTIF(role_data[role_id],role_course_map[[#This Row],[role_id]])=0, "INVALID","VALID")</f>
        <v>VALID</v>
      </c>
      <c r="N1567" t="str">
        <f>IF(COUNTIF(course_data[course_id],role_course_map[[#This Row],[course_id]])=0, "INVALID","VALID")</f>
        <v>VALID</v>
      </c>
    </row>
    <row r="1568" spans="1:14" x14ac:dyDescent="0.35">
      <c r="A1568" t="s">
        <v>320</v>
      </c>
      <c r="B1568" s="5" t="str">
        <f>_xlfn.XLOOKUP(role_course_map[[#This Row],[role_id]], role_data[role_id], role_data[Role],"")</f>
        <v>Transport Nurse</v>
      </c>
      <c r="C1568">
        <v>999021</v>
      </c>
      <c r="D1568" s="5" t="str">
        <f>_xlfn.XLOOKUP(role_course_map[[#This Row],[course_id]],course_data[course_id],course_data[title],"")</f>
        <v>Mental Health</v>
      </c>
      <c r="E1568" s="5" t="str">
        <f>_xlfn.XLOOKUP(role_course_map[[#This Row],[course_id]],course_data[course_id],course_data[topic],"")</f>
        <v>SAS : Clinical Practice</v>
      </c>
      <c r="F1568" s="5" t="str">
        <f>_xlfn.XLOOKUP(role_course_map[[#This Row],[course_id]],course_data[course_id],course_data[type],"")</f>
        <v>eLearning</v>
      </c>
      <c r="K1568" t="str">
        <f>role_course_map[[#This Row],[role_id]] &amp; "|" &amp; role_course_map[[#This Row],[course_id]]</f>
        <v>R0154|999021</v>
      </c>
      <c r="L1568" t="str">
        <f>IF(COUNTIF(role_course_map[mapping_key],role_course_map[[#This Row],[mapping_key]])&gt;1,"DUPLICATE","OK")</f>
        <v>OK</v>
      </c>
      <c r="M1568" t="str">
        <f>IF(COUNTIF(role_data[role_id],role_course_map[[#This Row],[role_id]])=0, "INVALID","VALID")</f>
        <v>VALID</v>
      </c>
      <c r="N1568" t="str">
        <f>IF(COUNTIF(course_data[course_id],role_course_map[[#This Row],[course_id]])=0, "INVALID","VALID")</f>
        <v>VALID</v>
      </c>
    </row>
    <row r="1569" spans="1:14" x14ac:dyDescent="0.35">
      <c r="A1569" t="s">
        <v>320</v>
      </c>
      <c r="B1569" s="5" t="str">
        <f>_xlfn.XLOOKUP(role_course_map[[#This Row],[role_id]], role_data[role_id], role_data[Role],"")</f>
        <v>Transport Nurse</v>
      </c>
      <c r="C1569">
        <v>999022</v>
      </c>
      <c r="D1569" s="5" t="str">
        <f>_xlfn.XLOOKUP(role_course_map[[#This Row],[course_id]],course_data[course_id],course_data[title],"")</f>
        <v>Learning Disabilities</v>
      </c>
      <c r="E1569" s="5" t="str">
        <f>_xlfn.XLOOKUP(role_course_map[[#This Row],[course_id]],course_data[course_id],course_data[topic],"")</f>
        <v>SAS : Clinical Practice</v>
      </c>
      <c r="F1569" s="5" t="str">
        <f>_xlfn.XLOOKUP(role_course_map[[#This Row],[course_id]],course_data[course_id],course_data[type],"")</f>
        <v>eLearning</v>
      </c>
      <c r="K1569" t="str">
        <f>role_course_map[[#This Row],[role_id]] &amp; "|" &amp; role_course_map[[#This Row],[course_id]]</f>
        <v>R0154|999022</v>
      </c>
      <c r="L1569" t="str">
        <f>IF(COUNTIF(role_course_map[mapping_key],role_course_map[[#This Row],[mapping_key]])&gt;1,"DUPLICATE","OK")</f>
        <v>OK</v>
      </c>
      <c r="M1569" t="str">
        <f>IF(COUNTIF(role_data[role_id],role_course_map[[#This Row],[role_id]])=0, "INVALID","VALID")</f>
        <v>VALID</v>
      </c>
      <c r="N1569" t="str">
        <f>IF(COUNTIF(course_data[course_id],role_course_map[[#This Row],[course_id]])=0, "INVALID","VALID")</f>
        <v>VALID</v>
      </c>
    </row>
    <row r="1570" spans="1:14" x14ac:dyDescent="0.35">
      <c r="A1570" t="s">
        <v>320</v>
      </c>
      <c r="B1570" s="5" t="str">
        <f>_xlfn.XLOOKUP(role_course_map[[#This Row],[role_id]], role_data[role_id], role_data[Role],"")</f>
        <v>Transport Nurse</v>
      </c>
      <c r="C1570">
        <v>75202</v>
      </c>
      <c r="D1570" s="5" t="str">
        <f>_xlfn.XLOOKUP(role_course_map[[#This Row],[course_id]],course_data[course_id],course_data[title],"")</f>
        <v>SAS : Clinical Practice</v>
      </c>
      <c r="E1570" s="5" t="str">
        <f>_xlfn.XLOOKUP(role_course_map[[#This Row],[course_id]],course_data[course_id],course_data[topic],"")</f>
        <v>SAS : Clinical Practice</v>
      </c>
      <c r="F1570" s="5" t="str">
        <f>_xlfn.XLOOKUP(role_course_map[[#This Row],[course_id]],course_data[course_id],course_data[type],"")</f>
        <v>Page</v>
      </c>
      <c r="K1570" t="str">
        <f>role_course_map[[#This Row],[role_id]] &amp; "|" &amp; role_course_map[[#This Row],[course_id]]</f>
        <v>R0154|75202</v>
      </c>
      <c r="L1570" t="str">
        <f>IF(COUNTIF(role_course_map[mapping_key],role_course_map[[#This Row],[mapping_key]])&gt;1,"DUPLICATE","OK")</f>
        <v>OK</v>
      </c>
      <c r="M1570" t="str">
        <f>IF(COUNTIF(role_data[role_id],role_course_map[[#This Row],[role_id]])=0, "INVALID","VALID")</f>
        <v>VALID</v>
      </c>
      <c r="N1570" t="str">
        <f>IF(COUNTIF(course_data[course_id],role_course_map[[#This Row],[course_id]])=0, "INVALID","VALID")</f>
        <v>VALID</v>
      </c>
    </row>
    <row r="1571" spans="1:14" x14ac:dyDescent="0.35">
      <c r="A1571" t="s">
        <v>320</v>
      </c>
      <c r="B1571" s="5" t="str">
        <f>_xlfn.XLOOKUP(role_course_map[[#This Row],[role_id]], role_data[role_id], role_data[Role],"")</f>
        <v>Transport Nurse</v>
      </c>
      <c r="C1571">
        <v>999023</v>
      </c>
      <c r="D1571" s="5" t="str">
        <f>_xlfn.XLOOKUP(role_course_map[[#This Row],[course_id]],course_data[course_id],course_data[title],"")</f>
        <v>Dementia</v>
      </c>
      <c r="E1571" s="5" t="str">
        <f>_xlfn.XLOOKUP(role_course_map[[#This Row],[course_id]],course_data[course_id],course_data[topic],"")</f>
        <v>SAS : Clinical Practice</v>
      </c>
      <c r="F1571" s="5" t="str">
        <f>_xlfn.XLOOKUP(role_course_map[[#This Row],[course_id]],course_data[course_id],course_data[type],"")</f>
        <v>eLearning</v>
      </c>
      <c r="K1571" t="str">
        <f>role_course_map[[#This Row],[role_id]] &amp; "|" &amp; role_course_map[[#This Row],[course_id]]</f>
        <v>R0154|999023</v>
      </c>
      <c r="L1571" t="str">
        <f>IF(COUNTIF(role_course_map[mapping_key],role_course_map[[#This Row],[mapping_key]])&gt;1,"DUPLICATE","OK")</f>
        <v>OK</v>
      </c>
      <c r="M1571" t="str">
        <f>IF(COUNTIF(role_data[role_id],role_course_map[[#This Row],[role_id]])=0, "INVALID","VALID")</f>
        <v>VALID</v>
      </c>
      <c r="N1571" t="str">
        <f>IF(COUNTIF(course_data[course_id],role_course_map[[#This Row],[course_id]])=0, "INVALID","VALID")</f>
        <v>VALID</v>
      </c>
    </row>
    <row r="1572" spans="1:14" x14ac:dyDescent="0.35">
      <c r="A1572" t="s">
        <v>318</v>
      </c>
      <c r="B1572" s="5" t="str">
        <f>_xlfn.XLOOKUP(role_course_map[[#This Row],[role_id]], role_data[role_id], role_data[Role],"")</f>
        <v>Senior Transport Charge Nurse</v>
      </c>
      <c r="C1572">
        <v>999024</v>
      </c>
      <c r="D1572" s="5" t="str">
        <f>_xlfn.XLOOKUP(role_course_map[[#This Row],[course_id]],course_data[course_id],course_data[title],"")</f>
        <v>Conditions requiring specific hospital management. I.e. Parkinsons</v>
      </c>
      <c r="E1572" s="5" t="str">
        <f>_xlfn.XLOOKUP(role_course_map[[#This Row],[course_id]],course_data[course_id],course_data[topic],"")</f>
        <v>SAS : Clinical Practice</v>
      </c>
      <c r="F1572" s="5" t="str">
        <f>_xlfn.XLOOKUP(role_course_map[[#This Row],[course_id]],course_data[course_id],course_data[type],"")</f>
        <v>eLearning</v>
      </c>
      <c r="K1572" t="str">
        <f>role_course_map[[#This Row],[role_id]] &amp; "|" &amp; role_course_map[[#This Row],[course_id]]</f>
        <v>R0153|999024</v>
      </c>
      <c r="L1572" t="str">
        <f>IF(COUNTIF(role_course_map[mapping_key],role_course_map[[#This Row],[mapping_key]])&gt;1,"DUPLICATE","OK")</f>
        <v>OK</v>
      </c>
      <c r="M1572" t="str">
        <f>IF(COUNTIF(role_data[role_id],role_course_map[[#This Row],[role_id]])=0, "INVALID","VALID")</f>
        <v>VALID</v>
      </c>
      <c r="N1572" t="str">
        <f>IF(COUNTIF(course_data[course_id],role_course_map[[#This Row],[course_id]])=0, "INVALID","VALID")</f>
        <v>VALID</v>
      </c>
    </row>
    <row r="1573" spans="1:14" x14ac:dyDescent="0.35">
      <c r="A1573" t="s">
        <v>320</v>
      </c>
      <c r="B1573" s="5" t="str">
        <f>_xlfn.XLOOKUP(role_course_map[[#This Row],[role_id]], role_data[role_id], role_data[Role],"")</f>
        <v>Transport Nurse</v>
      </c>
      <c r="C1573">
        <v>999024</v>
      </c>
      <c r="D1573" s="5" t="str">
        <f>_xlfn.XLOOKUP(role_course_map[[#This Row],[course_id]],course_data[course_id],course_data[title],"")</f>
        <v>Conditions requiring specific hospital management. I.e. Parkinsons</v>
      </c>
      <c r="E1573" s="5" t="str">
        <f>_xlfn.XLOOKUP(role_course_map[[#This Row],[course_id]],course_data[course_id],course_data[topic],"")</f>
        <v>SAS : Clinical Practice</v>
      </c>
      <c r="F1573" s="5" t="str">
        <f>_xlfn.XLOOKUP(role_course_map[[#This Row],[course_id]],course_data[course_id],course_data[type],"")</f>
        <v>eLearning</v>
      </c>
      <c r="K1573" t="str">
        <f>role_course_map[[#This Row],[role_id]] &amp; "|" &amp; role_course_map[[#This Row],[course_id]]</f>
        <v>R0154|999024</v>
      </c>
      <c r="L1573" t="str">
        <f>IF(COUNTIF(role_course_map[mapping_key],role_course_map[[#This Row],[mapping_key]])&gt;1,"DUPLICATE","OK")</f>
        <v>OK</v>
      </c>
      <c r="M1573" t="str">
        <f>IF(COUNTIF(role_data[role_id],role_course_map[[#This Row],[role_id]])=0, "INVALID","VALID")</f>
        <v>VALID</v>
      </c>
      <c r="N1573" t="str">
        <f>IF(COUNTIF(course_data[course_id],role_course_map[[#This Row],[course_id]])=0, "INVALID","VALID")</f>
        <v>VALID</v>
      </c>
    </row>
    <row r="1574" spans="1:14" x14ac:dyDescent="0.35">
      <c r="A1574" t="s">
        <v>320</v>
      </c>
      <c r="B1574" s="5" t="str">
        <f>_xlfn.XLOOKUP(role_course_map[[#This Row],[role_id]], role_data[role_id], role_data[Role],"")</f>
        <v>Transport Nurse</v>
      </c>
      <c r="C1574">
        <v>999095</v>
      </c>
      <c r="D1574" s="5" t="str">
        <f>_xlfn.XLOOKUP(role_course_map[[#This Row],[course_id]],course_data[course_id],course_data[title],"")</f>
        <v>Mentoring</v>
      </c>
      <c r="E1574" s="5" t="str">
        <f>_xlfn.XLOOKUP(role_course_map[[#This Row],[course_id]],course_data[course_id],course_data[topic],"")</f>
        <v>SAS: Staff development and experience</v>
      </c>
      <c r="F1574" s="5" t="str">
        <f>_xlfn.XLOOKUP(role_course_map[[#This Row],[course_id]],course_data[course_id],course_data[type],"")</f>
        <v>eLearning</v>
      </c>
      <c r="K1574" t="str">
        <f>role_course_map[[#This Row],[role_id]] &amp; "|" &amp; role_course_map[[#This Row],[course_id]]</f>
        <v>R0154|999095</v>
      </c>
      <c r="L1574" t="str">
        <f>IF(COUNTIF(role_course_map[mapping_key],role_course_map[[#This Row],[mapping_key]])&gt;1,"DUPLICATE","OK")</f>
        <v>OK</v>
      </c>
      <c r="M1574" t="str">
        <f>IF(COUNTIF(role_data[role_id],role_course_map[[#This Row],[role_id]])=0, "INVALID","VALID")</f>
        <v>VALID</v>
      </c>
      <c r="N1574" t="str">
        <f>IF(COUNTIF(course_data[course_id],role_course_map[[#This Row],[course_id]])=0, "INVALID","VALID")</f>
        <v>VALID</v>
      </c>
    </row>
    <row r="1575" spans="1:14" x14ac:dyDescent="0.35">
      <c r="A1575" t="s">
        <v>320</v>
      </c>
      <c r="B1575" s="5" t="str">
        <f>_xlfn.XLOOKUP(role_course_map[[#This Row],[role_id]], role_data[role_id], role_data[Role],"")</f>
        <v>Transport Nurse</v>
      </c>
      <c r="C1575">
        <v>999096</v>
      </c>
      <c r="D1575" s="5" t="str">
        <f>_xlfn.XLOOKUP(role_course_map[[#This Row],[course_id]],course_data[course_id],course_data[title],"")</f>
        <v>Supporting others in practice (Supervision)</v>
      </c>
      <c r="E1575" s="5" t="str">
        <f>_xlfn.XLOOKUP(role_course_map[[#This Row],[course_id]],course_data[course_id],course_data[topic],"")</f>
        <v>SAS: Staff development and experience</v>
      </c>
      <c r="F1575" s="5" t="str">
        <f>_xlfn.XLOOKUP(role_course_map[[#This Row],[course_id]],course_data[course_id],course_data[type],"")</f>
        <v>Course</v>
      </c>
      <c r="K1575" t="str">
        <f>role_course_map[[#This Row],[role_id]] &amp; "|" &amp; role_course_map[[#This Row],[course_id]]</f>
        <v>R0154|999096</v>
      </c>
      <c r="L1575" t="str">
        <f>IF(COUNTIF(role_course_map[mapping_key],role_course_map[[#This Row],[mapping_key]])&gt;1,"DUPLICATE","OK")</f>
        <v>OK</v>
      </c>
      <c r="M1575" t="str">
        <f>IF(COUNTIF(role_data[role_id],role_course_map[[#This Row],[role_id]])=0, "INVALID","VALID")</f>
        <v>VALID</v>
      </c>
      <c r="N1575" t="str">
        <f>IF(COUNTIF(course_data[course_id],role_course_map[[#This Row],[course_id]])=0, "INVALID","VALID")</f>
        <v>VALID</v>
      </c>
    </row>
    <row r="1576" spans="1:14" x14ac:dyDescent="0.35">
      <c r="A1576" t="s">
        <v>320</v>
      </c>
      <c r="B1576" s="5" t="str">
        <f>_xlfn.XLOOKUP(role_course_map[[#This Row],[role_id]], role_data[role_id], role_data[Role],"")</f>
        <v>Transport Nurse</v>
      </c>
      <c r="C1576">
        <v>999097</v>
      </c>
      <c r="D1576" s="5" t="str">
        <f>_xlfn.XLOOKUP(role_course_map[[#This Row],[course_id]],course_data[course_id],course_data[title],"")</f>
        <v>Personal Wellbeing</v>
      </c>
      <c r="E1576" s="5" t="str">
        <f>_xlfn.XLOOKUP(role_course_map[[#This Row],[course_id]],course_data[course_id],course_data[topic],"")</f>
        <v>SAS: Staff development and experience</v>
      </c>
      <c r="F1576" s="5" t="str">
        <f>_xlfn.XLOOKUP(role_course_map[[#This Row],[course_id]],course_data[course_id],course_data[type],"")</f>
        <v>eLearning</v>
      </c>
      <c r="K1576" t="str">
        <f>role_course_map[[#This Row],[role_id]] &amp; "|" &amp; role_course_map[[#This Row],[course_id]]</f>
        <v>R0154|999097</v>
      </c>
      <c r="L1576" t="str">
        <f>IF(COUNTIF(role_course_map[mapping_key],role_course_map[[#This Row],[mapping_key]])&gt;1,"DUPLICATE","OK")</f>
        <v>OK</v>
      </c>
      <c r="M1576" t="str">
        <f>IF(COUNTIF(role_data[role_id],role_course_map[[#This Row],[role_id]])=0, "INVALID","VALID")</f>
        <v>VALID</v>
      </c>
      <c r="N1576" t="str">
        <f>IF(COUNTIF(course_data[course_id],role_course_map[[#This Row],[course_id]])=0, "INVALID","VALID")</f>
        <v>VALID</v>
      </c>
    </row>
    <row r="1577" spans="1:14" x14ac:dyDescent="0.35">
      <c r="A1577" t="s">
        <v>320</v>
      </c>
      <c r="B1577" s="5" t="str">
        <f>_xlfn.XLOOKUP(role_course_map[[#This Row],[role_id]], role_data[role_id], role_data[Role],"")</f>
        <v>Transport Nurse</v>
      </c>
      <c r="C1577">
        <v>999059</v>
      </c>
      <c r="D1577" s="5" t="str">
        <f>_xlfn.XLOOKUP(role_course_map[[#This Row],[course_id]],course_data[course_id],course_data[title],"")</f>
        <v>Driving update (practical)</v>
      </c>
      <c r="E1577" s="5" t="str">
        <f>_xlfn.XLOOKUP(role_course_map[[#This Row],[course_id]],course_data[course_id],course_data[topic],"")</f>
        <v>SAS : Health and Safety</v>
      </c>
      <c r="F1577" s="5" t="str">
        <f>_xlfn.XLOOKUP(role_course_map[[#This Row],[course_id]],course_data[course_id],course_data[type],"")</f>
        <v>Course</v>
      </c>
      <c r="K1577" t="str">
        <f>role_course_map[[#This Row],[role_id]] &amp; "|" &amp; role_course_map[[#This Row],[course_id]]</f>
        <v>R0154|999059</v>
      </c>
      <c r="L1577" t="str">
        <f>IF(COUNTIF(role_course_map[mapping_key],role_course_map[[#This Row],[mapping_key]])&gt;1,"DUPLICATE","OK")</f>
        <v>OK</v>
      </c>
      <c r="M1577" t="str">
        <f>IF(COUNTIF(role_data[role_id],role_course_map[[#This Row],[role_id]])=0, "INVALID","VALID")</f>
        <v>VALID</v>
      </c>
      <c r="N1577" t="str">
        <f>IF(COUNTIF(course_data[course_id],role_course_map[[#This Row],[course_id]])=0, "INVALID","VALID")</f>
        <v>VALID</v>
      </c>
    </row>
    <row r="1578" spans="1:14" x14ac:dyDescent="0.35">
      <c r="A1578" t="s">
        <v>318</v>
      </c>
      <c r="B1578" s="5" t="str">
        <f>_xlfn.XLOOKUP(role_course_map[[#This Row],[role_id]], role_data[role_id], role_data[Role],"")</f>
        <v>Senior Transport Charge Nurse</v>
      </c>
      <c r="C1578">
        <v>999060</v>
      </c>
      <c r="D1578" s="5" t="str">
        <f>_xlfn.XLOOKUP(role_course_map[[#This Row],[course_id]],course_data[course_id],course_data[title],"")</f>
        <v>COSHH</v>
      </c>
      <c r="E1578" s="5" t="str">
        <f>_xlfn.XLOOKUP(role_course_map[[#This Row],[course_id]],course_data[course_id],course_data[topic],"")</f>
        <v>SAS : Health and Safety</v>
      </c>
      <c r="F1578" s="5" t="str">
        <f>_xlfn.XLOOKUP(role_course_map[[#This Row],[course_id]],course_data[course_id],course_data[type],"")</f>
        <v>eLearning</v>
      </c>
      <c r="K1578" t="str">
        <f>role_course_map[[#This Row],[role_id]] &amp; "|" &amp; role_course_map[[#This Row],[course_id]]</f>
        <v>R0153|999060</v>
      </c>
      <c r="L1578" t="str">
        <f>IF(COUNTIF(role_course_map[mapping_key],role_course_map[[#This Row],[mapping_key]])&gt;1,"DUPLICATE","OK")</f>
        <v>OK</v>
      </c>
      <c r="M1578" t="str">
        <f>IF(COUNTIF(role_data[role_id],role_course_map[[#This Row],[role_id]])=0, "INVALID","VALID")</f>
        <v>VALID</v>
      </c>
      <c r="N1578" t="str">
        <f>IF(COUNTIF(course_data[course_id],role_course_map[[#This Row],[course_id]])=0, "INVALID","VALID")</f>
        <v>VALID</v>
      </c>
    </row>
    <row r="1579" spans="1:14" x14ac:dyDescent="0.35">
      <c r="A1579" t="s">
        <v>320</v>
      </c>
      <c r="B1579" s="5" t="str">
        <f>_xlfn.XLOOKUP(role_course_map[[#This Row],[role_id]], role_data[role_id], role_data[Role],"")</f>
        <v>Transport Nurse</v>
      </c>
      <c r="C1579">
        <v>999060</v>
      </c>
      <c r="D1579" s="5" t="str">
        <f>_xlfn.XLOOKUP(role_course_map[[#This Row],[course_id]],course_data[course_id],course_data[title],"")</f>
        <v>COSHH</v>
      </c>
      <c r="E1579" s="5" t="str">
        <f>_xlfn.XLOOKUP(role_course_map[[#This Row],[course_id]],course_data[course_id],course_data[topic],"")</f>
        <v>SAS : Health and Safety</v>
      </c>
      <c r="F1579" s="5" t="str">
        <f>_xlfn.XLOOKUP(role_course_map[[#This Row],[course_id]],course_data[course_id],course_data[type],"")</f>
        <v>eLearning</v>
      </c>
      <c r="K1579" t="str">
        <f>role_course_map[[#This Row],[role_id]] &amp; "|" &amp; role_course_map[[#This Row],[course_id]]</f>
        <v>R0154|999060</v>
      </c>
      <c r="L1579" t="str">
        <f>IF(COUNTIF(role_course_map[mapping_key],role_course_map[[#This Row],[mapping_key]])&gt;1,"DUPLICATE","OK")</f>
        <v>OK</v>
      </c>
      <c r="M1579" t="str">
        <f>IF(COUNTIF(role_data[role_id],role_course_map[[#This Row],[role_id]])=0, "INVALID","VALID")</f>
        <v>VALID</v>
      </c>
      <c r="N1579" t="str">
        <f>IF(COUNTIF(course_data[course_id],role_course_map[[#This Row],[course_id]])=0, "INVALID","VALID")</f>
        <v>VALID</v>
      </c>
    </row>
    <row r="1580" spans="1:14" x14ac:dyDescent="0.35">
      <c r="A1580" t="s">
        <v>320</v>
      </c>
      <c r="B1580" s="5" t="str">
        <f>_xlfn.XLOOKUP(role_course_map[[#This Row],[role_id]], role_data[role_id], role_data[Role],"")</f>
        <v>Transport Nurse</v>
      </c>
      <c r="C1580">
        <v>999066</v>
      </c>
      <c r="D1580" s="5" t="str">
        <f>_xlfn.XLOOKUP(role_course_map[[#This Row],[course_id]],course_data[course_id],course_data[title],"")</f>
        <v>NRRD Update i.e. Major Incidents/Methane/ Multiple Casualities</v>
      </c>
      <c r="E1580" s="5" t="str">
        <f>_xlfn.XLOOKUP(role_course_map[[#This Row],[course_id]],course_data[course_id],course_data[topic],"")</f>
        <v>SAS : National Risk and Resilience Department (NRRD)</v>
      </c>
      <c r="F1580" s="5" t="str">
        <f>_xlfn.XLOOKUP(role_course_map[[#This Row],[course_id]],course_data[course_id],course_data[type],"")</f>
        <v>eLearning</v>
      </c>
      <c r="K1580" t="str">
        <f>role_course_map[[#This Row],[role_id]] &amp; "|" &amp; role_course_map[[#This Row],[course_id]]</f>
        <v>R0154|999066</v>
      </c>
      <c r="L1580" t="str">
        <f>IF(COUNTIF(role_course_map[mapping_key],role_course_map[[#This Row],[mapping_key]])&gt;1,"DUPLICATE","OK")</f>
        <v>OK</v>
      </c>
      <c r="M1580" t="str">
        <f>IF(COUNTIF(role_data[role_id],role_course_map[[#This Row],[role_id]])=0, "INVALID","VALID")</f>
        <v>VALID</v>
      </c>
      <c r="N1580" t="str">
        <f>IF(COUNTIF(course_data[course_id],role_course_map[[#This Row],[course_id]])=0, "INVALID","VALID")</f>
        <v>VALID</v>
      </c>
    </row>
    <row r="1581" spans="1:14" x14ac:dyDescent="0.35">
      <c r="A1581" t="s">
        <v>320</v>
      </c>
      <c r="B1581" s="5" t="str">
        <f>_xlfn.XLOOKUP(role_course_map[[#This Row],[role_id]], role_data[role_id], role_data[Role],"")</f>
        <v>Transport Nurse</v>
      </c>
      <c r="C1581">
        <v>999025</v>
      </c>
      <c r="D1581" s="5" t="str">
        <f>_xlfn.XLOOKUP(role_course_map[[#This Row],[course_id]],course_data[course_id],course_data[title],"")</f>
        <v>Professional Standards</v>
      </c>
      <c r="E1581" s="5" t="str">
        <f>_xlfn.XLOOKUP(role_course_map[[#This Row],[course_id]],course_data[course_id],course_data[topic],"")</f>
        <v>SAS : Clinical Practice</v>
      </c>
      <c r="F1581" s="5" t="str">
        <f>_xlfn.XLOOKUP(role_course_map[[#This Row],[course_id]],course_data[course_id],course_data[type],"")</f>
        <v>eLearning</v>
      </c>
      <c r="K1581" t="str">
        <f>role_course_map[[#This Row],[role_id]] &amp; "|" &amp; role_course_map[[#This Row],[course_id]]</f>
        <v>R0154|999025</v>
      </c>
      <c r="L1581" t="str">
        <f>IF(COUNTIF(role_course_map[mapping_key],role_course_map[[#This Row],[mapping_key]])&gt;1,"DUPLICATE","OK")</f>
        <v>OK</v>
      </c>
      <c r="M1581" t="str">
        <f>IF(COUNTIF(role_data[role_id],role_course_map[[#This Row],[role_id]])=0, "INVALID","VALID")</f>
        <v>VALID</v>
      </c>
      <c r="N1581" t="str">
        <f>IF(COUNTIF(course_data[course_id],role_course_map[[#This Row],[course_id]])=0, "INVALID","VALID")</f>
        <v>VALID</v>
      </c>
    </row>
    <row r="1582" spans="1:14" x14ac:dyDescent="0.35">
      <c r="A1582" t="s">
        <v>318</v>
      </c>
      <c r="B1582" s="5" t="str">
        <f>_xlfn.XLOOKUP(role_course_map[[#This Row],[role_id]], role_data[role_id], role_data[Role],"")</f>
        <v>Senior Transport Charge Nurse</v>
      </c>
      <c r="C1582">
        <v>999026</v>
      </c>
      <c r="D1582" s="5" t="str">
        <f>_xlfn.XLOOKUP(role_course_map[[#This Row],[course_id]],course_data[course_id],course_data[title],"")</f>
        <v>Communication Standards</v>
      </c>
      <c r="E1582" s="5" t="str">
        <f>_xlfn.XLOOKUP(role_course_map[[#This Row],[course_id]],course_data[course_id],course_data[topic],"")</f>
        <v>SAS : Clinical Practice</v>
      </c>
      <c r="F1582" s="5" t="str">
        <f>_xlfn.XLOOKUP(role_course_map[[#This Row],[course_id]],course_data[course_id],course_data[type],"")</f>
        <v>eLearning</v>
      </c>
      <c r="K1582" t="str">
        <f>role_course_map[[#This Row],[role_id]] &amp; "|" &amp; role_course_map[[#This Row],[course_id]]</f>
        <v>R0153|999026</v>
      </c>
      <c r="L1582" t="str">
        <f>IF(COUNTIF(role_course_map[mapping_key],role_course_map[[#This Row],[mapping_key]])&gt;1,"DUPLICATE","OK")</f>
        <v>OK</v>
      </c>
      <c r="M1582" t="str">
        <f>IF(COUNTIF(role_data[role_id],role_course_map[[#This Row],[role_id]])=0, "INVALID","VALID")</f>
        <v>VALID</v>
      </c>
      <c r="N1582" t="str">
        <f>IF(COUNTIF(course_data[course_id],role_course_map[[#This Row],[course_id]])=0, "INVALID","VALID")</f>
        <v>VALID</v>
      </c>
    </row>
    <row r="1583" spans="1:14" x14ac:dyDescent="0.35">
      <c r="A1583" t="s">
        <v>320</v>
      </c>
      <c r="B1583" s="5" t="str">
        <f>_xlfn.XLOOKUP(role_course_map[[#This Row],[role_id]], role_data[role_id], role_data[Role],"")</f>
        <v>Transport Nurse</v>
      </c>
      <c r="C1583">
        <v>999026</v>
      </c>
      <c r="D1583" s="5" t="str">
        <f>_xlfn.XLOOKUP(role_course_map[[#This Row],[course_id]],course_data[course_id],course_data[title],"")</f>
        <v>Communication Standards</v>
      </c>
      <c r="E1583" s="5" t="str">
        <f>_xlfn.XLOOKUP(role_course_map[[#This Row],[course_id]],course_data[course_id],course_data[topic],"")</f>
        <v>SAS : Clinical Practice</v>
      </c>
      <c r="F1583" s="5" t="str">
        <f>_xlfn.XLOOKUP(role_course_map[[#This Row],[course_id]],course_data[course_id],course_data[type],"")</f>
        <v>eLearning</v>
      </c>
      <c r="K1583" t="str">
        <f>role_course_map[[#This Row],[role_id]] &amp; "|" &amp; role_course_map[[#This Row],[course_id]]</f>
        <v>R0154|999026</v>
      </c>
      <c r="L1583" t="str">
        <f>IF(COUNTIF(role_course_map[mapping_key],role_course_map[[#This Row],[mapping_key]])&gt;1,"DUPLICATE","OK")</f>
        <v>OK</v>
      </c>
      <c r="M1583" t="str">
        <f>IF(COUNTIF(role_data[role_id],role_course_map[[#This Row],[role_id]])=0, "INVALID","VALID")</f>
        <v>VALID</v>
      </c>
      <c r="N1583" t="str">
        <f>IF(COUNTIF(course_data[course_id],role_course_map[[#This Row],[course_id]])=0, "INVALID","VALID")</f>
        <v>VALID</v>
      </c>
    </row>
    <row r="1584" spans="1:14" x14ac:dyDescent="0.35">
      <c r="A1584" t="s">
        <v>320</v>
      </c>
      <c r="B1584" s="5" t="str">
        <f>_xlfn.XLOOKUP(role_course_map[[#This Row],[role_id]], role_data[role_id], role_data[Role],"")</f>
        <v>Transport Nurse</v>
      </c>
      <c r="C1584">
        <v>999058</v>
      </c>
      <c r="D1584" s="5" t="str">
        <f>_xlfn.XLOOKUP(role_course_map[[#This Row],[course_id]],course_data[course_id],course_data[title],"")</f>
        <v>Stress Identification &amp; Stress Management</v>
      </c>
      <c r="E1584" s="5" t="str">
        <f>_xlfn.XLOOKUP(role_course_map[[#This Row],[course_id]],course_data[course_id],course_data[topic],"")</f>
        <v>SAS : Health and Safety</v>
      </c>
      <c r="F1584" s="5" t="str">
        <f>_xlfn.XLOOKUP(role_course_map[[#This Row],[course_id]],course_data[course_id],course_data[type],"")</f>
        <v>eLearning</v>
      </c>
      <c r="K1584" t="str">
        <f>role_course_map[[#This Row],[role_id]] &amp; "|" &amp; role_course_map[[#This Row],[course_id]]</f>
        <v>R0154|999058</v>
      </c>
      <c r="L1584" t="str">
        <f>IF(COUNTIF(role_course_map[mapping_key],role_course_map[[#This Row],[mapping_key]])&gt;1,"DUPLICATE","OK")</f>
        <v>OK</v>
      </c>
      <c r="M1584" t="str">
        <f>IF(COUNTIF(role_data[role_id],role_course_map[[#This Row],[role_id]])=0, "INVALID","VALID")</f>
        <v>VALID</v>
      </c>
      <c r="N1584" t="str">
        <f>IF(COUNTIF(course_data[course_id],role_course_map[[#This Row],[course_id]])=0, "INVALID","VALID")</f>
        <v>VALID</v>
      </c>
    </row>
    <row r="1585" spans="1:14" x14ac:dyDescent="0.35">
      <c r="A1585" t="s">
        <v>318</v>
      </c>
      <c r="B1585" s="5" t="str">
        <f>_xlfn.XLOOKUP(role_course_map[[#This Row],[role_id]], role_data[role_id], role_data[Role],"")</f>
        <v>Senior Transport Charge Nurse</v>
      </c>
      <c r="C1585">
        <v>999056</v>
      </c>
      <c r="D1585" s="5" t="str">
        <f>_xlfn.XLOOKUP(role_course_map[[#This Row],[course_id]],course_data[course_id],course_data[title],"")</f>
        <v>Driver Assessment &amp; Training</v>
      </c>
      <c r="E1585" s="5" t="str">
        <f>_xlfn.XLOOKUP(role_course_map[[#This Row],[course_id]],course_data[course_id],course_data[topic],"")</f>
        <v>SAS : Health and Safety</v>
      </c>
      <c r="F1585" s="5" t="str">
        <f>_xlfn.XLOOKUP(role_course_map[[#This Row],[course_id]],course_data[course_id],course_data[type],"")</f>
        <v>eLearning</v>
      </c>
      <c r="K1585" t="str">
        <f>role_course_map[[#This Row],[role_id]] &amp; "|" &amp; role_course_map[[#This Row],[course_id]]</f>
        <v>R0153|999056</v>
      </c>
      <c r="L1585" t="str">
        <f>IF(COUNTIF(role_course_map[mapping_key],role_course_map[[#This Row],[mapping_key]])&gt;1,"DUPLICATE","OK")</f>
        <v>OK</v>
      </c>
      <c r="M1585" t="str">
        <f>IF(COUNTIF(role_data[role_id],role_course_map[[#This Row],[role_id]])=0, "INVALID","VALID")</f>
        <v>VALID</v>
      </c>
      <c r="N1585" t="str">
        <f>IF(COUNTIF(course_data[course_id],role_course_map[[#This Row],[course_id]])=0, "INVALID","VALID")</f>
        <v>VALID</v>
      </c>
    </row>
    <row r="1586" spans="1:14" x14ac:dyDescent="0.35">
      <c r="A1586" t="s">
        <v>320</v>
      </c>
      <c r="B1586" s="5" t="str">
        <f>_xlfn.XLOOKUP(role_course_map[[#This Row],[role_id]], role_data[role_id], role_data[Role],"")</f>
        <v>Transport Nurse</v>
      </c>
      <c r="C1586">
        <v>999056</v>
      </c>
      <c r="D1586" s="5" t="str">
        <f>_xlfn.XLOOKUP(role_course_map[[#This Row],[course_id]],course_data[course_id],course_data[title],"")</f>
        <v>Driver Assessment &amp; Training</v>
      </c>
      <c r="E1586" s="5" t="str">
        <f>_xlfn.XLOOKUP(role_course_map[[#This Row],[course_id]],course_data[course_id],course_data[topic],"")</f>
        <v>SAS : Health and Safety</v>
      </c>
      <c r="F1586" s="5" t="str">
        <f>_xlfn.XLOOKUP(role_course_map[[#This Row],[course_id]],course_data[course_id],course_data[type],"")</f>
        <v>eLearning</v>
      </c>
      <c r="K1586" t="str">
        <f>role_course_map[[#This Row],[role_id]] &amp; "|" &amp; role_course_map[[#This Row],[course_id]]</f>
        <v>R0154|999056</v>
      </c>
      <c r="L1586" t="str">
        <f>IF(COUNTIF(role_course_map[mapping_key],role_course_map[[#This Row],[mapping_key]])&gt;1,"DUPLICATE","OK")</f>
        <v>OK</v>
      </c>
      <c r="M1586" t="str">
        <f>IF(COUNTIF(role_data[role_id],role_course_map[[#This Row],[role_id]])=0, "INVALID","VALID")</f>
        <v>VALID</v>
      </c>
      <c r="N1586" t="str">
        <f>IF(COUNTIF(course_data[course_id],role_course_map[[#This Row],[course_id]])=0, "INVALID","VALID")</f>
        <v>VALID</v>
      </c>
    </row>
    <row r="1587" spans="1:14" x14ac:dyDescent="0.35">
      <c r="A1587" t="s">
        <v>320</v>
      </c>
      <c r="B1587" s="5" t="str">
        <f>_xlfn.XLOOKUP(role_course_map[[#This Row],[role_id]], role_data[role_id], role_data[Role],"")</f>
        <v>Transport Nurse</v>
      </c>
      <c r="C1587">
        <v>999061</v>
      </c>
      <c r="D1587" s="5" t="str">
        <f>_xlfn.XLOOKUP(role_course_map[[#This Row],[course_id]],course_data[course_id],course_data[title],"")</f>
        <v>Skin Awareness</v>
      </c>
      <c r="E1587" s="5" t="str">
        <f>_xlfn.XLOOKUP(role_course_map[[#This Row],[course_id]],course_data[course_id],course_data[topic],"")</f>
        <v>SAS : Health and Safety</v>
      </c>
      <c r="F1587" s="5" t="str">
        <f>_xlfn.XLOOKUP(role_course_map[[#This Row],[course_id]],course_data[course_id],course_data[type],"")</f>
        <v>eLearning</v>
      </c>
      <c r="K1587" t="str">
        <f>role_course_map[[#This Row],[role_id]] &amp; "|" &amp; role_course_map[[#This Row],[course_id]]</f>
        <v>R0154|999061</v>
      </c>
      <c r="L1587" t="str">
        <f>IF(COUNTIF(role_course_map[mapping_key],role_course_map[[#This Row],[mapping_key]])&gt;1,"DUPLICATE","OK")</f>
        <v>OK</v>
      </c>
      <c r="M1587" t="str">
        <f>IF(COUNTIF(role_data[role_id],role_course_map[[#This Row],[role_id]])=0, "INVALID","VALID")</f>
        <v>VALID</v>
      </c>
      <c r="N1587" t="str">
        <f>IF(COUNTIF(course_data[course_id],role_course_map[[#This Row],[course_id]])=0, "INVALID","VALID")</f>
        <v>VALID</v>
      </c>
    </row>
    <row r="1588" spans="1:14" x14ac:dyDescent="0.35">
      <c r="A1588" t="s">
        <v>318</v>
      </c>
      <c r="B1588" s="5" t="str">
        <f>_xlfn.XLOOKUP(role_course_map[[#This Row],[role_id]], role_data[role_id], role_data[Role],"")</f>
        <v>Senior Transport Charge Nurse</v>
      </c>
      <c r="C1588">
        <v>999057</v>
      </c>
      <c r="D1588" s="5" t="str">
        <f>_xlfn.XLOOKUP(role_course_map[[#This Row],[course_id]],course_data[course_id],course_data[title],"")</f>
        <v>Fatigue Awareness</v>
      </c>
      <c r="E1588" s="5" t="str">
        <f>_xlfn.XLOOKUP(role_course_map[[#This Row],[course_id]],course_data[course_id],course_data[topic],"")</f>
        <v>SAS : Health and Safety</v>
      </c>
      <c r="F1588" s="5" t="str">
        <f>_xlfn.XLOOKUP(role_course_map[[#This Row],[course_id]],course_data[course_id],course_data[type],"")</f>
        <v>eLearning</v>
      </c>
      <c r="K1588" t="str">
        <f>role_course_map[[#This Row],[role_id]] &amp; "|" &amp; role_course_map[[#This Row],[course_id]]</f>
        <v>R0153|999057</v>
      </c>
      <c r="L1588" t="str">
        <f>IF(COUNTIF(role_course_map[mapping_key],role_course_map[[#This Row],[mapping_key]])&gt;1,"DUPLICATE","OK")</f>
        <v>OK</v>
      </c>
      <c r="M1588" t="str">
        <f>IF(COUNTIF(role_data[role_id],role_course_map[[#This Row],[role_id]])=0, "INVALID","VALID")</f>
        <v>VALID</v>
      </c>
      <c r="N1588" t="str">
        <f>IF(COUNTIF(course_data[course_id],role_course_map[[#This Row],[course_id]])=0, "INVALID","VALID")</f>
        <v>VALID</v>
      </c>
    </row>
    <row r="1589" spans="1:14" x14ac:dyDescent="0.35">
      <c r="A1589" t="s">
        <v>320</v>
      </c>
      <c r="B1589" s="5" t="str">
        <f>_xlfn.XLOOKUP(role_course_map[[#This Row],[role_id]], role_data[role_id], role_data[Role],"")</f>
        <v>Transport Nurse</v>
      </c>
      <c r="C1589">
        <v>999057</v>
      </c>
      <c r="D1589" s="5" t="str">
        <f>_xlfn.XLOOKUP(role_course_map[[#This Row],[course_id]],course_data[course_id],course_data[title],"")</f>
        <v>Fatigue Awareness</v>
      </c>
      <c r="E1589" s="5" t="str">
        <f>_xlfn.XLOOKUP(role_course_map[[#This Row],[course_id]],course_data[course_id],course_data[topic],"")</f>
        <v>SAS : Health and Safety</v>
      </c>
      <c r="F1589" s="5" t="str">
        <f>_xlfn.XLOOKUP(role_course_map[[#This Row],[course_id]],course_data[course_id],course_data[type],"")</f>
        <v>eLearning</v>
      </c>
      <c r="K1589" t="str">
        <f>role_course_map[[#This Row],[role_id]] &amp; "|" &amp; role_course_map[[#This Row],[course_id]]</f>
        <v>R0154|999057</v>
      </c>
      <c r="L1589" t="str">
        <f>IF(COUNTIF(role_course_map[mapping_key],role_course_map[[#This Row],[mapping_key]])&gt;1,"DUPLICATE","OK")</f>
        <v>OK</v>
      </c>
      <c r="M1589" t="str">
        <f>IF(COUNTIF(role_data[role_id],role_course_map[[#This Row],[role_id]])=0, "INVALID","VALID")</f>
        <v>VALID</v>
      </c>
      <c r="N1589" t="str">
        <f>IF(COUNTIF(course_data[course_id],role_course_map[[#This Row],[course_id]])=0, "INVALID","VALID")</f>
        <v>VALID</v>
      </c>
    </row>
    <row r="1590" spans="1:14" x14ac:dyDescent="0.35">
      <c r="A1590" t="s">
        <v>320</v>
      </c>
      <c r="B1590" s="5" t="str">
        <f>_xlfn.XLOOKUP(role_course_map[[#This Row],[role_id]], role_data[role_id], role_data[Role],"")</f>
        <v>Transport Nurse</v>
      </c>
      <c r="C1590">
        <v>999027</v>
      </c>
      <c r="D1590" s="5" t="str">
        <f>_xlfn.XLOOKUP(role_course_map[[#This Row],[course_id]],course_data[course_id],course_data[title],"")</f>
        <v>Manual and Patient Handling Foundation Training - Level 2</v>
      </c>
      <c r="E1590" s="5" t="str">
        <f>_xlfn.XLOOKUP(role_course_map[[#This Row],[course_id]],course_data[course_id],course_data[topic],"")</f>
        <v>SAS : Clinical Practice</v>
      </c>
      <c r="F1590" s="5" t="str">
        <f>_xlfn.XLOOKUP(role_course_map[[#This Row],[course_id]],course_data[course_id],course_data[type],"")</f>
        <v>Course</v>
      </c>
      <c r="K1590" t="str">
        <f>role_course_map[[#This Row],[role_id]] &amp; "|" &amp; role_course_map[[#This Row],[course_id]]</f>
        <v>R0154|999027</v>
      </c>
      <c r="L1590" t="str">
        <f>IF(COUNTIF(role_course_map[mapping_key],role_course_map[[#This Row],[mapping_key]])&gt;1,"DUPLICATE","OK")</f>
        <v>OK</v>
      </c>
      <c r="M1590" t="str">
        <f>IF(COUNTIF(role_data[role_id],role_course_map[[#This Row],[role_id]])=0, "INVALID","VALID")</f>
        <v>VALID</v>
      </c>
      <c r="N1590" t="str">
        <f>IF(COUNTIF(course_data[course_id],role_course_map[[#This Row],[course_id]])=0, "INVALID","VALID")</f>
        <v>VALID</v>
      </c>
    </row>
    <row r="1591" spans="1:14" x14ac:dyDescent="0.35">
      <c r="A1591" t="s">
        <v>320</v>
      </c>
      <c r="B1591" s="5" t="str">
        <f>_xlfn.XLOOKUP(role_course_map[[#This Row],[role_id]], role_data[role_id], role_data[Role],"")</f>
        <v>Transport Nurse</v>
      </c>
      <c r="C1591">
        <v>999028</v>
      </c>
      <c r="D1591" s="5" t="str">
        <f>_xlfn.XLOOKUP(role_course_map[[#This Row],[course_id]],course_data[course_id],course_data[title],"")</f>
        <v>Manual and Patient Handling Competency Assessment - Level 3</v>
      </c>
      <c r="E1591" s="5" t="str">
        <f>_xlfn.XLOOKUP(role_course_map[[#This Row],[course_id]],course_data[course_id],course_data[topic],"")</f>
        <v>SAS : Clinical Practice</v>
      </c>
      <c r="F1591" s="5" t="str">
        <f>_xlfn.XLOOKUP(role_course_map[[#This Row],[course_id]],course_data[course_id],course_data[type],"")</f>
        <v>Course</v>
      </c>
      <c r="K1591" t="str">
        <f>role_course_map[[#This Row],[role_id]] &amp; "|" &amp; role_course_map[[#This Row],[course_id]]</f>
        <v>R0154|999028</v>
      </c>
      <c r="L1591" t="str">
        <f>IF(COUNTIF(role_course_map[mapping_key],role_course_map[[#This Row],[mapping_key]])&gt;1,"DUPLICATE","OK")</f>
        <v>OK</v>
      </c>
      <c r="M1591" t="str">
        <f>IF(COUNTIF(role_data[role_id],role_course_map[[#This Row],[role_id]])=0, "INVALID","VALID")</f>
        <v>VALID</v>
      </c>
      <c r="N1591" t="str">
        <f>IF(COUNTIF(course_data[course_id],role_course_map[[#This Row],[course_id]])=0, "INVALID","VALID")</f>
        <v>VALID</v>
      </c>
    </row>
    <row r="1592" spans="1:14" x14ac:dyDescent="0.35">
      <c r="A1592" t="s">
        <v>320</v>
      </c>
      <c r="B1592" s="5" t="str">
        <f>_xlfn.XLOOKUP(role_course_map[[#This Row],[role_id]], role_data[role_id], role_data[Role],"")</f>
        <v>Transport Nurse</v>
      </c>
      <c r="C1592">
        <v>999029</v>
      </c>
      <c r="D1592" s="5" t="str">
        <f>_xlfn.XLOOKUP(role_course_map[[#This Row],[course_id]],course_data[course_id],course_data[title],"")</f>
        <v>Manual and Patient Handling Competency Assessment Theory - Level 3</v>
      </c>
      <c r="E1592" s="5" t="str">
        <f>_xlfn.XLOOKUP(role_course_map[[#This Row],[course_id]],course_data[course_id],course_data[topic],"")</f>
        <v>SAS : Clinical Practice</v>
      </c>
      <c r="F1592" s="5" t="str">
        <f>_xlfn.XLOOKUP(role_course_map[[#This Row],[course_id]],course_data[course_id],course_data[type],"")</f>
        <v>Course</v>
      </c>
      <c r="K1592" t="str">
        <f>role_course_map[[#This Row],[role_id]] &amp; "|" &amp; role_course_map[[#This Row],[course_id]]</f>
        <v>R0154|999029</v>
      </c>
      <c r="L1592" t="str">
        <f>IF(COUNTIF(role_course_map[mapping_key],role_course_map[[#This Row],[mapping_key]])&gt;1,"DUPLICATE","OK")</f>
        <v>OK</v>
      </c>
      <c r="M1592" t="str">
        <f>IF(COUNTIF(role_data[role_id],role_course_map[[#This Row],[role_id]])=0, "INVALID","VALID")</f>
        <v>VALID</v>
      </c>
      <c r="N1592" t="str">
        <f>IF(COUNTIF(course_data[course_id],role_course_map[[#This Row],[course_id]])=0, "INVALID","VALID")</f>
        <v>VALID</v>
      </c>
    </row>
    <row r="1593" spans="1:14" x14ac:dyDescent="0.35">
      <c r="A1593" t="s">
        <v>320</v>
      </c>
      <c r="B1593" s="5" t="str">
        <f>_xlfn.XLOOKUP(role_course_map[[#This Row],[role_id]], role_data[role_id], role_data[Role],"")</f>
        <v>Transport Nurse</v>
      </c>
      <c r="C1593" t="s">
        <v>659</v>
      </c>
      <c r="D1593" s="5" t="str">
        <f>_xlfn.XLOOKUP(role_course_map[[#This Row],[course_id]],course_data[course_id],course_data[title],"")</f>
        <v>Prevention and Management of Violence and Aggression - Breakaway training Level 2 /Restrictive movement Level 3</v>
      </c>
      <c r="E1593" s="5" t="str">
        <f>_xlfn.XLOOKUP(role_course_map[[#This Row],[course_id]],course_data[course_id],course_data[topic],"")</f>
        <v>SAS : Health and Safety</v>
      </c>
      <c r="F1593" s="5" t="str">
        <f>_xlfn.XLOOKUP(role_course_map[[#This Row],[course_id]],course_data[course_id],course_data[type],"")</f>
        <v>Course</v>
      </c>
      <c r="K1593" t="str">
        <f>role_course_map[[#This Row],[role_id]] &amp; "|" &amp; role_course_map[[#This Row],[course_id]]</f>
        <v>R0154|2025-6 edition</v>
      </c>
      <c r="L1593" t="str">
        <f>IF(COUNTIF(role_course_map[mapping_key],role_course_map[[#This Row],[mapping_key]])&gt;1,"DUPLICATE","OK")</f>
        <v>OK</v>
      </c>
      <c r="M1593" t="str">
        <f>IF(COUNTIF(role_data[role_id],role_course_map[[#This Row],[role_id]])=0, "INVALID","VALID")</f>
        <v>VALID</v>
      </c>
      <c r="N1593" t="str">
        <f>IF(COUNTIF(course_data[course_id],role_course_map[[#This Row],[course_id]])=0, "INVALID","VALID")</f>
        <v>VALID</v>
      </c>
    </row>
    <row r="1594" spans="1:14" x14ac:dyDescent="0.35">
      <c r="A1594" t="s">
        <v>320</v>
      </c>
      <c r="B1594" s="5" t="str">
        <f>_xlfn.XLOOKUP(role_course_map[[#This Row],[role_id]], role_data[role_id], role_data[Role],"")</f>
        <v>Transport Nurse</v>
      </c>
      <c r="C1594">
        <v>999055</v>
      </c>
      <c r="D1594" s="5" t="str">
        <f>_xlfn.XLOOKUP(role_course_map[[#This Row],[course_id]],course_data[course_id],course_data[title],"")</f>
        <v>Prevention and Management of Violence and Aggression - Refresher</v>
      </c>
      <c r="E1594" s="5" t="str">
        <f>_xlfn.XLOOKUP(role_course_map[[#This Row],[course_id]],course_data[course_id],course_data[topic],"")</f>
        <v>SAS : Health and Safety</v>
      </c>
      <c r="F1594" s="5" t="str">
        <f>_xlfn.XLOOKUP(role_course_map[[#This Row],[course_id]],course_data[course_id],course_data[type],"")</f>
        <v>Course</v>
      </c>
      <c r="K1594" t="str">
        <f>role_course_map[[#This Row],[role_id]] &amp; "|" &amp; role_course_map[[#This Row],[course_id]]</f>
        <v>R0154|999055</v>
      </c>
      <c r="L1594" t="str">
        <f>IF(COUNTIF(role_course_map[mapping_key],role_course_map[[#This Row],[mapping_key]])&gt;1,"DUPLICATE","OK")</f>
        <v>OK</v>
      </c>
      <c r="M1594" t="str">
        <f>IF(COUNTIF(role_data[role_id],role_course_map[[#This Row],[role_id]])=0, "INVALID","VALID")</f>
        <v>VALID</v>
      </c>
      <c r="N1594" t="str">
        <f>IF(COUNTIF(course_data[course_id],role_course_map[[#This Row],[course_id]])=0, "INVALID","VALID")</f>
        <v>VALID</v>
      </c>
    </row>
    <row r="1595" spans="1:14" x14ac:dyDescent="0.35">
      <c r="A1595" t="s">
        <v>320</v>
      </c>
      <c r="B1595" s="5" t="str">
        <f>_xlfn.XLOOKUP(role_course_map[[#This Row],[role_id]], role_data[role_id], role_data[Role],"")</f>
        <v>Transport Nurse</v>
      </c>
      <c r="C1595">
        <v>64322</v>
      </c>
      <c r="D1595" s="5" t="str">
        <f>_xlfn.XLOOKUP(role_course_map[[#This Row],[course_id]],course_data[course_id],course_data[title],"")</f>
        <v>Adult support and protection: practice level 2 [skilled]</v>
      </c>
      <c r="E1595" s="5" t="str">
        <f>_xlfn.XLOOKUP(role_course_map[[#This Row],[course_id]],course_data[course_id],course_data[topic],"")</f>
        <v>SAS : Public Protection</v>
      </c>
      <c r="F1595" s="5" t="str">
        <f>_xlfn.XLOOKUP(role_course_map[[#This Row],[course_id]],course_data[course_id],course_data[type],"")</f>
        <v>eLearning</v>
      </c>
      <c r="K1595" t="str">
        <f>role_course_map[[#This Row],[role_id]] &amp; "|" &amp; role_course_map[[#This Row],[course_id]]</f>
        <v>R0154|64322</v>
      </c>
      <c r="L1595" t="str">
        <f>IF(COUNTIF(role_course_map[mapping_key],role_course_map[[#This Row],[mapping_key]])&gt;1,"DUPLICATE","OK")</f>
        <v>OK</v>
      </c>
      <c r="M1595" t="str">
        <f>IF(COUNTIF(role_data[role_id],role_course_map[[#This Row],[role_id]])=0, "INVALID","VALID")</f>
        <v>VALID</v>
      </c>
      <c r="N1595" t="str">
        <f>IF(COUNTIF(course_data[course_id],role_course_map[[#This Row],[course_id]])=0, "INVALID","VALID")</f>
        <v>VALID</v>
      </c>
    </row>
    <row r="1596" spans="1:14" x14ac:dyDescent="0.35">
      <c r="A1596" t="s">
        <v>320</v>
      </c>
      <c r="B1596" s="5" t="str">
        <f>_xlfn.XLOOKUP(role_course_map[[#This Row],[role_id]], role_data[role_id], role_data[Role],"")</f>
        <v>Transport Nurse</v>
      </c>
      <c r="C1596">
        <v>64324</v>
      </c>
      <c r="D1596" s="5" t="str">
        <f>_xlfn.XLOOKUP(role_course_map[[#This Row],[course_id]],course_data[course_id],course_data[title],"")</f>
        <v>Child protection: practice level 2 [skilled]</v>
      </c>
      <c r="E1596" s="5" t="str">
        <f>_xlfn.XLOOKUP(role_course_map[[#This Row],[course_id]],course_data[course_id],course_data[topic],"")</f>
        <v>SAS : Public Protection</v>
      </c>
      <c r="F1596" s="5" t="str">
        <f>_xlfn.XLOOKUP(role_course_map[[#This Row],[course_id]],course_data[course_id],course_data[type],"")</f>
        <v>eLearning</v>
      </c>
      <c r="K1596" t="str">
        <f>role_course_map[[#This Row],[role_id]] &amp; "|" &amp; role_course_map[[#This Row],[course_id]]</f>
        <v>R0154|64324</v>
      </c>
      <c r="L1596" t="str">
        <f>IF(COUNTIF(role_course_map[mapping_key],role_course_map[[#This Row],[mapping_key]])&gt;1,"DUPLICATE","OK")</f>
        <v>OK</v>
      </c>
      <c r="M1596" t="str">
        <f>IF(COUNTIF(role_data[role_id],role_course_map[[#This Row],[role_id]])=0, "INVALID","VALID")</f>
        <v>VALID</v>
      </c>
      <c r="N1596" t="str">
        <f>IF(COUNTIF(course_data[course_id],role_course_map[[#This Row],[course_id]])=0, "INVALID","VALID")</f>
        <v>VALID</v>
      </c>
    </row>
    <row r="1597" spans="1:14" x14ac:dyDescent="0.35">
      <c r="A1597" t="s">
        <v>318</v>
      </c>
      <c r="B1597" s="5" t="str">
        <f>_xlfn.XLOOKUP(role_course_map[[#This Row],[role_id]], role_data[role_id], role_data[Role],"")</f>
        <v>Senior Transport Charge Nurse</v>
      </c>
      <c r="C1597">
        <v>76716</v>
      </c>
      <c r="D1597" s="5" t="str">
        <f>_xlfn.XLOOKUP(role_course_map[[#This Row],[course_id]],course_data[course_id],course_data[title],"")</f>
        <v>Domestic abuse awareness training tool (DAART)</v>
      </c>
      <c r="E1597" s="5" t="str">
        <f>_xlfn.XLOOKUP(role_course_map[[#This Row],[course_id]],course_data[course_id],course_data[topic],"")</f>
        <v>SAS : Public Protection</v>
      </c>
      <c r="F1597" s="5" t="str">
        <f>_xlfn.XLOOKUP(role_course_map[[#This Row],[course_id]],course_data[course_id],course_data[type],"")</f>
        <v>eLearning</v>
      </c>
      <c r="K1597" t="str">
        <f>role_course_map[[#This Row],[role_id]] &amp; "|" &amp; role_course_map[[#This Row],[course_id]]</f>
        <v>R0153|76716</v>
      </c>
      <c r="L1597" t="str">
        <f>IF(COUNTIF(role_course_map[mapping_key],role_course_map[[#This Row],[mapping_key]])&gt;1,"DUPLICATE","OK")</f>
        <v>OK</v>
      </c>
      <c r="M1597" t="str">
        <f>IF(COUNTIF(role_data[role_id],role_course_map[[#This Row],[role_id]])=0, "INVALID","VALID")</f>
        <v>VALID</v>
      </c>
      <c r="N1597" t="str">
        <f>IF(COUNTIF(course_data[course_id],role_course_map[[#This Row],[course_id]])=0, "INVALID","VALID")</f>
        <v>VALID</v>
      </c>
    </row>
    <row r="1598" spans="1:14" x14ac:dyDescent="0.35">
      <c r="A1598" t="s">
        <v>320</v>
      </c>
      <c r="B1598" s="5" t="str">
        <f>_xlfn.XLOOKUP(role_course_map[[#This Row],[role_id]], role_data[role_id], role_data[Role],"")</f>
        <v>Transport Nurse</v>
      </c>
      <c r="C1598">
        <v>76716</v>
      </c>
      <c r="D1598" s="5" t="str">
        <f>_xlfn.XLOOKUP(role_course_map[[#This Row],[course_id]],course_data[course_id],course_data[title],"")</f>
        <v>Domestic abuse awareness training tool (DAART)</v>
      </c>
      <c r="E1598" s="5" t="str">
        <f>_xlfn.XLOOKUP(role_course_map[[#This Row],[course_id]],course_data[course_id],course_data[topic],"")</f>
        <v>SAS : Public Protection</v>
      </c>
      <c r="F1598" s="5" t="str">
        <f>_xlfn.XLOOKUP(role_course_map[[#This Row],[course_id]],course_data[course_id],course_data[type],"")</f>
        <v>eLearning</v>
      </c>
      <c r="K1598" t="str">
        <f>role_course_map[[#This Row],[role_id]] &amp; "|" &amp; role_course_map[[#This Row],[course_id]]</f>
        <v>R0154|76716</v>
      </c>
      <c r="L1598" t="str">
        <f>IF(COUNTIF(role_course_map[mapping_key],role_course_map[[#This Row],[mapping_key]])&gt;1,"DUPLICATE","OK")</f>
        <v>OK</v>
      </c>
      <c r="M1598" t="str">
        <f>IF(COUNTIF(role_data[role_id],role_course_map[[#This Row],[role_id]])=0, "INVALID","VALID")</f>
        <v>VALID</v>
      </c>
      <c r="N1598" t="str">
        <f>IF(COUNTIF(course_data[course_id],role_course_map[[#This Row],[course_id]])=0, "INVALID","VALID")</f>
        <v>VALID</v>
      </c>
    </row>
    <row r="1599" spans="1:14" x14ac:dyDescent="0.35">
      <c r="A1599" t="s">
        <v>320</v>
      </c>
      <c r="B1599" s="5" t="str">
        <f>_xlfn.XLOOKUP(role_course_map[[#This Row],[role_id]], role_data[role_id], role_data[Role],"")</f>
        <v>Transport Nurse</v>
      </c>
      <c r="C1599">
        <v>79666</v>
      </c>
      <c r="D1599" s="5" t="str">
        <f>_xlfn.XLOOKUP(role_course_map[[#This Row],[course_id]],course_data[course_id],course_data[title],"")</f>
        <v>Getting it right for every child (GIRFEC): informed level</v>
      </c>
      <c r="E1599" s="5" t="str">
        <f>_xlfn.XLOOKUP(role_course_map[[#This Row],[course_id]],course_data[course_id],course_data[topic],"")</f>
        <v>SAS : Public Protection</v>
      </c>
      <c r="F1599" s="5" t="str">
        <f>_xlfn.XLOOKUP(role_course_map[[#This Row],[course_id]],course_data[course_id],course_data[type],"")</f>
        <v>eLearning</v>
      </c>
      <c r="K1599" t="str">
        <f>role_course_map[[#This Row],[role_id]] &amp; "|" &amp; role_course_map[[#This Row],[course_id]]</f>
        <v>R0154|79666</v>
      </c>
      <c r="L1599" t="str">
        <f>IF(COUNTIF(role_course_map[mapping_key],role_course_map[[#This Row],[mapping_key]])&gt;1,"DUPLICATE","OK")</f>
        <v>OK</v>
      </c>
      <c r="M1599" t="str">
        <f>IF(COUNTIF(role_data[role_id],role_course_map[[#This Row],[role_id]])=0, "INVALID","VALID")</f>
        <v>VALID</v>
      </c>
      <c r="N1599" t="str">
        <f>IF(COUNTIF(course_data[course_id],role_course_map[[#This Row],[course_id]])=0, "INVALID","VALID")</f>
        <v>VALID</v>
      </c>
    </row>
    <row r="1600" spans="1:14" x14ac:dyDescent="0.35">
      <c r="A1600" t="s">
        <v>320</v>
      </c>
      <c r="B1600" s="5" t="str">
        <f>_xlfn.XLOOKUP(role_course_map[[#This Row],[role_id]], role_data[role_id], role_data[Role],"")</f>
        <v>Transport Nurse</v>
      </c>
      <c r="C1600">
        <v>999074</v>
      </c>
      <c r="D1600" s="5" t="str">
        <f>_xlfn.XLOOKUP(role_course_map[[#This Row],[course_id]],course_data[course_id],course_data[title],"")</f>
        <v>SAS-specific Children’s rights</v>
      </c>
      <c r="E1600" s="5" t="str">
        <f>_xlfn.XLOOKUP(role_course_map[[#This Row],[course_id]],course_data[course_id],course_data[topic],"")</f>
        <v>SAS : Public Protection</v>
      </c>
      <c r="F1600" s="5" t="str">
        <f>_xlfn.XLOOKUP(role_course_map[[#This Row],[course_id]],course_data[course_id],course_data[type],"")</f>
        <v>eLearning</v>
      </c>
      <c r="K1600" t="str">
        <f>role_course_map[[#This Row],[role_id]] &amp; "|" &amp; role_course_map[[#This Row],[course_id]]</f>
        <v>R0154|999074</v>
      </c>
      <c r="L1600" t="str">
        <f>IF(COUNTIF(role_course_map[mapping_key],role_course_map[[#This Row],[mapping_key]])&gt;1,"DUPLICATE","OK")</f>
        <v>OK</v>
      </c>
      <c r="M1600" t="str">
        <f>IF(COUNTIF(role_data[role_id],role_course_map[[#This Row],[role_id]])=0, "INVALID","VALID")</f>
        <v>VALID</v>
      </c>
      <c r="N1600" t="str">
        <f>IF(COUNTIF(course_data[course_id],role_course_map[[#This Row],[course_id]])=0, "INVALID","VALID")</f>
        <v>VALID</v>
      </c>
    </row>
    <row r="1601" spans="1:14" x14ac:dyDescent="0.35">
      <c r="A1601" t="s">
        <v>320</v>
      </c>
      <c r="B1601" s="5" t="str">
        <f>_xlfn.XLOOKUP(role_course_map[[#This Row],[role_id]], role_data[role_id], role_data[Role],"")</f>
        <v>Transport Nurse</v>
      </c>
      <c r="C1601">
        <v>999075</v>
      </c>
      <c r="D1601" s="5" t="str">
        <f>_xlfn.XLOOKUP(role_course_map[[#This Row],[course_id]],course_data[course_id],course_data[title],"")</f>
        <v>Multiagency local or bespoke Level 3 delivery training</v>
      </c>
      <c r="E1601" s="5" t="str">
        <f>_xlfn.XLOOKUP(role_course_map[[#This Row],[course_id]],course_data[course_id],course_data[topic],"")</f>
        <v>SAS : Public Protection</v>
      </c>
      <c r="F1601" s="5" t="str">
        <f>_xlfn.XLOOKUP(role_course_map[[#This Row],[course_id]],course_data[course_id],course_data[type],"")</f>
        <v>eLearning</v>
      </c>
      <c r="K1601" t="str">
        <f>role_course_map[[#This Row],[role_id]] &amp; "|" &amp; role_course_map[[#This Row],[course_id]]</f>
        <v>R0154|999075</v>
      </c>
      <c r="L1601" t="str">
        <f>IF(COUNTIF(role_course_map[mapping_key],role_course_map[[#This Row],[mapping_key]])&gt;1,"DUPLICATE","OK")</f>
        <v>OK</v>
      </c>
      <c r="M1601" t="str">
        <f>IF(COUNTIF(role_data[role_id],role_course_map[[#This Row],[role_id]])=0, "INVALID","VALID")</f>
        <v>VALID</v>
      </c>
      <c r="N1601" t="str">
        <f>IF(COUNTIF(course_data[course_id],role_course_map[[#This Row],[course_id]])=0, "INVALID","VALID")</f>
        <v>VALID</v>
      </c>
    </row>
    <row r="1602" spans="1:14" x14ac:dyDescent="0.35">
      <c r="A1602" t="s">
        <v>320</v>
      </c>
      <c r="B1602" s="5" t="str">
        <f>_xlfn.XLOOKUP(role_course_map[[#This Row],[role_id]], role_data[role_id], role_data[Role],"")</f>
        <v>Transport Nurse</v>
      </c>
      <c r="C1602">
        <v>15249</v>
      </c>
      <c r="D1602" s="5" t="str">
        <f>_xlfn.XLOOKUP(role_course_map[[#This Row],[course_id]],course_data[course_id],course_data[title],"")</f>
        <v>Human trafficking</v>
      </c>
      <c r="E1602" s="5" t="str">
        <f>_xlfn.XLOOKUP(role_course_map[[#This Row],[course_id]],course_data[course_id],course_data[topic],"")</f>
        <v>SAS : Public Protection</v>
      </c>
      <c r="F1602" s="5" t="str">
        <f>_xlfn.XLOOKUP(role_course_map[[#This Row],[course_id]],course_data[course_id],course_data[type],"")</f>
        <v>eLearning</v>
      </c>
      <c r="K1602" t="str">
        <f>role_course_map[[#This Row],[role_id]] &amp; "|" &amp; role_course_map[[#This Row],[course_id]]</f>
        <v>R0154|15249</v>
      </c>
      <c r="L1602" t="str">
        <f>IF(COUNTIF(role_course_map[mapping_key],role_course_map[[#This Row],[mapping_key]])&gt;1,"DUPLICATE","OK")</f>
        <v>OK</v>
      </c>
      <c r="M1602" t="str">
        <f>IF(COUNTIF(role_data[role_id],role_course_map[[#This Row],[role_id]])=0, "INVALID","VALID")</f>
        <v>VALID</v>
      </c>
      <c r="N1602" t="str">
        <f>IF(COUNTIF(course_data[course_id],role_course_map[[#This Row],[course_id]])=0, "INVALID","VALID")</f>
        <v>VALID</v>
      </c>
    </row>
    <row r="1603" spans="1:14" x14ac:dyDescent="0.35">
      <c r="A1603" t="s">
        <v>320</v>
      </c>
      <c r="B1603" s="5" t="str">
        <f>_xlfn.XLOOKUP(role_course_map[[#This Row],[role_id]], role_data[role_id], role_data[Role],"")</f>
        <v>Transport Nurse</v>
      </c>
      <c r="C1603">
        <v>89161</v>
      </c>
      <c r="D1603" s="5" t="str">
        <f>_xlfn.XLOOKUP(role_course_map[[#This Row],[course_id]],course_data[course_id],course_data[title],"")</f>
        <v>Personal Protective Equipment</v>
      </c>
      <c r="E1603" s="5" t="str">
        <f>_xlfn.XLOOKUP(role_course_map[[#This Row],[course_id]],course_data[course_id],course_data[topic],"")</f>
        <v>SAS : Infection Prevention and Control (IPC)</v>
      </c>
      <c r="F1603" s="5" t="str">
        <f>_xlfn.XLOOKUP(role_course_map[[#This Row],[course_id]],course_data[course_id],course_data[type],"")</f>
        <v>eLearning</v>
      </c>
      <c r="K1603" t="str">
        <f>role_course_map[[#This Row],[role_id]] &amp; "|" &amp; role_course_map[[#This Row],[course_id]]</f>
        <v>R0154|89161</v>
      </c>
      <c r="L1603" t="str">
        <f>IF(COUNTIF(role_course_map[mapping_key],role_course_map[[#This Row],[mapping_key]])&gt;1,"DUPLICATE","OK")</f>
        <v>OK</v>
      </c>
      <c r="M1603" t="str">
        <f>IF(COUNTIF(role_data[role_id],role_course_map[[#This Row],[role_id]])=0, "INVALID","VALID")</f>
        <v>VALID</v>
      </c>
      <c r="N1603" t="str">
        <f>IF(COUNTIF(course_data[course_id],role_course_map[[#This Row],[course_id]])=0, "INVALID","VALID")</f>
        <v>VALID</v>
      </c>
    </row>
    <row r="1604" spans="1:14" x14ac:dyDescent="0.35">
      <c r="A1604" t="s">
        <v>320</v>
      </c>
      <c r="B1604" s="5" t="str">
        <f>_xlfn.XLOOKUP(role_course_map[[#This Row],[role_id]], role_data[role_id], role_data[Role],"")</f>
        <v>Transport Nurse</v>
      </c>
      <c r="C1604">
        <v>89157</v>
      </c>
      <c r="D1604" s="5" t="str">
        <f>_xlfn.XLOOKUP(role_course_map[[#This Row],[course_id]],course_data[course_id],course_data[title],"")</f>
        <v>Safe Management of Care Equipment</v>
      </c>
      <c r="E1604" s="5" t="str">
        <f>_xlfn.XLOOKUP(role_course_map[[#This Row],[course_id]],course_data[course_id],course_data[topic],"")</f>
        <v>SAS : Infection Prevention and Control (IPC)</v>
      </c>
      <c r="F1604" s="5" t="str">
        <f>_xlfn.XLOOKUP(role_course_map[[#This Row],[course_id]],course_data[course_id],course_data[type],"")</f>
        <v>eLearning</v>
      </c>
      <c r="K1604" t="str">
        <f>role_course_map[[#This Row],[role_id]] &amp; "|" &amp; role_course_map[[#This Row],[course_id]]</f>
        <v>R0154|89157</v>
      </c>
      <c r="L1604" t="str">
        <f>IF(COUNTIF(role_course_map[mapping_key],role_course_map[[#This Row],[mapping_key]])&gt;1,"DUPLICATE","OK")</f>
        <v>OK</v>
      </c>
      <c r="M1604" t="str">
        <f>IF(COUNTIF(role_data[role_id],role_course_map[[#This Row],[role_id]])=0, "INVALID","VALID")</f>
        <v>VALID</v>
      </c>
      <c r="N1604" t="str">
        <f>IF(COUNTIF(course_data[course_id],role_course_map[[#This Row],[course_id]])=0, "INVALID","VALID")</f>
        <v>VALID</v>
      </c>
    </row>
    <row r="1605" spans="1:14" x14ac:dyDescent="0.35">
      <c r="A1605" t="s">
        <v>320</v>
      </c>
      <c r="B1605" s="5" t="str">
        <f>_xlfn.XLOOKUP(role_course_map[[#This Row],[role_id]], role_data[role_id], role_data[Role],"")</f>
        <v>Transport Nurse</v>
      </c>
      <c r="C1605">
        <v>89158</v>
      </c>
      <c r="D1605" s="5" t="str">
        <f>_xlfn.XLOOKUP(role_course_map[[#This Row],[course_id]],course_data[course_id],course_data[title],"")</f>
        <v>Safe Management of Care Environment</v>
      </c>
      <c r="E1605" s="5" t="str">
        <f>_xlfn.XLOOKUP(role_course_map[[#This Row],[course_id]],course_data[course_id],course_data[topic],"")</f>
        <v>SAS : Infection Prevention and Control (IPC)</v>
      </c>
      <c r="F1605" s="5" t="str">
        <f>_xlfn.XLOOKUP(role_course_map[[#This Row],[course_id]],course_data[course_id],course_data[type],"")</f>
        <v>eLearning</v>
      </c>
      <c r="K1605" t="str">
        <f>role_course_map[[#This Row],[role_id]] &amp; "|" &amp; role_course_map[[#This Row],[course_id]]</f>
        <v>R0154|89158</v>
      </c>
      <c r="L1605" t="str">
        <f>IF(COUNTIF(role_course_map[mapping_key],role_course_map[[#This Row],[mapping_key]])&gt;1,"DUPLICATE","OK")</f>
        <v>OK</v>
      </c>
      <c r="M1605" t="str">
        <f>IF(COUNTIF(role_data[role_id],role_course_map[[#This Row],[role_id]])=0, "INVALID","VALID")</f>
        <v>VALID</v>
      </c>
      <c r="N1605" t="str">
        <f>IF(COUNTIF(course_data[course_id],role_course_map[[#This Row],[course_id]])=0, "INVALID","VALID")</f>
        <v>VALID</v>
      </c>
    </row>
    <row r="1606" spans="1:14" x14ac:dyDescent="0.35">
      <c r="A1606" t="s">
        <v>320</v>
      </c>
      <c r="B1606" s="5" t="str">
        <f>_xlfn.XLOOKUP(role_course_map[[#This Row],[role_id]], role_data[role_id], role_data[Role],"")</f>
        <v>Transport Nurse</v>
      </c>
      <c r="C1606">
        <v>89159</v>
      </c>
      <c r="D1606" s="5" t="str">
        <f>_xlfn.XLOOKUP(role_course_map[[#This Row],[course_id]],course_data[course_id],course_data[title],"")</f>
        <v>Safe Management of Linen</v>
      </c>
      <c r="E1606" s="5" t="str">
        <f>_xlfn.XLOOKUP(role_course_map[[#This Row],[course_id]],course_data[course_id],course_data[topic],"")</f>
        <v>SAS : Infection Prevention and Control (IPC)</v>
      </c>
      <c r="F1606" s="5" t="str">
        <f>_xlfn.XLOOKUP(role_course_map[[#This Row],[course_id]],course_data[course_id],course_data[type],"")</f>
        <v>eLearning</v>
      </c>
      <c r="K1606" t="str">
        <f>role_course_map[[#This Row],[role_id]] &amp; "|" &amp; role_course_map[[#This Row],[course_id]]</f>
        <v>R0154|89159</v>
      </c>
      <c r="L1606" t="str">
        <f>IF(COUNTIF(role_course_map[mapping_key],role_course_map[[#This Row],[mapping_key]])&gt;1,"DUPLICATE","OK")</f>
        <v>OK</v>
      </c>
      <c r="M1606" t="str">
        <f>IF(COUNTIF(role_data[role_id],role_course_map[[#This Row],[role_id]])=0, "INVALID","VALID")</f>
        <v>VALID</v>
      </c>
      <c r="N1606" t="str">
        <f>IF(COUNTIF(course_data[course_id],role_course_map[[#This Row],[course_id]])=0, "INVALID","VALID")</f>
        <v>VALID</v>
      </c>
    </row>
    <row r="1607" spans="1:14" x14ac:dyDescent="0.35">
      <c r="A1607" t="s">
        <v>320</v>
      </c>
      <c r="B1607" s="5" t="str">
        <f>_xlfn.XLOOKUP(role_course_map[[#This Row],[role_id]], role_data[role_id], role_data[Role],"")</f>
        <v>Transport Nurse</v>
      </c>
      <c r="C1607">
        <v>89160</v>
      </c>
      <c r="D1607" s="5" t="str">
        <f>_xlfn.XLOOKUP(role_course_map[[#This Row],[course_id]],course_data[course_id],course_data[title],"")</f>
        <v>Safe Management of blood and body fluids</v>
      </c>
      <c r="E1607" s="5" t="str">
        <f>_xlfn.XLOOKUP(role_course_map[[#This Row],[course_id]],course_data[course_id],course_data[topic],"")</f>
        <v>SAS : Infection Prevention and Control (IPC)</v>
      </c>
      <c r="F1607" s="5" t="str">
        <f>_xlfn.XLOOKUP(role_course_map[[#This Row],[course_id]],course_data[course_id],course_data[type],"")</f>
        <v>eLearning</v>
      </c>
      <c r="K1607" t="str">
        <f>role_course_map[[#This Row],[role_id]] &amp; "|" &amp; role_course_map[[#This Row],[course_id]]</f>
        <v>R0154|89160</v>
      </c>
      <c r="L1607" t="str">
        <f>IF(COUNTIF(role_course_map[mapping_key],role_course_map[[#This Row],[mapping_key]])&gt;1,"DUPLICATE","OK")</f>
        <v>OK</v>
      </c>
      <c r="M1607" t="str">
        <f>IF(COUNTIF(role_data[role_id],role_course_map[[#This Row],[role_id]])=0, "INVALID","VALID")</f>
        <v>VALID</v>
      </c>
      <c r="N1607" t="str">
        <f>IF(COUNTIF(course_data[course_id],role_course_map[[#This Row],[course_id]])=0, "INVALID","VALID")</f>
        <v>VALID</v>
      </c>
    </row>
    <row r="1608" spans="1:14" x14ac:dyDescent="0.35">
      <c r="A1608" t="s">
        <v>320</v>
      </c>
      <c r="B1608" s="5" t="str">
        <f>_xlfn.XLOOKUP(role_course_map[[#This Row],[role_id]], role_data[role_id], role_data[Role],"")</f>
        <v>Transport Nurse</v>
      </c>
      <c r="C1608">
        <v>89154</v>
      </c>
      <c r="D1608" s="5" t="str">
        <f>_xlfn.XLOOKUP(role_course_map[[#This Row],[course_id]],course_data[course_id],course_data[title],"")</f>
        <v>Safe disposal of waste</v>
      </c>
      <c r="E1608" s="5" t="str">
        <f>_xlfn.XLOOKUP(role_course_map[[#This Row],[course_id]],course_data[course_id],course_data[topic],"")</f>
        <v>SAS : Infection Prevention and Control (IPC)</v>
      </c>
      <c r="F1608" s="5" t="str">
        <f>_xlfn.XLOOKUP(role_course_map[[#This Row],[course_id]],course_data[course_id],course_data[type],"")</f>
        <v>eLearning</v>
      </c>
      <c r="K1608" t="str">
        <f>role_course_map[[#This Row],[role_id]] &amp; "|" &amp; role_course_map[[#This Row],[course_id]]</f>
        <v>R0154|89154</v>
      </c>
      <c r="L1608" t="str">
        <f>IF(COUNTIF(role_course_map[mapping_key],role_course_map[[#This Row],[mapping_key]])&gt;1,"DUPLICATE","OK")</f>
        <v>OK</v>
      </c>
      <c r="M1608" t="str">
        <f>IF(COUNTIF(role_data[role_id],role_course_map[[#This Row],[role_id]])=0, "INVALID","VALID")</f>
        <v>VALID</v>
      </c>
      <c r="N1608" t="str">
        <f>IF(COUNTIF(course_data[course_id],role_course_map[[#This Row],[course_id]])=0, "INVALID","VALID")</f>
        <v>VALID</v>
      </c>
    </row>
    <row r="1609" spans="1:14" x14ac:dyDescent="0.35">
      <c r="A1609" t="s">
        <v>320</v>
      </c>
      <c r="B1609" s="5" t="str">
        <f>_xlfn.XLOOKUP(role_course_map[[#This Row],[role_id]], role_data[role_id], role_data[Role],"")</f>
        <v>Transport Nurse</v>
      </c>
      <c r="C1609">
        <v>89155</v>
      </c>
      <c r="D1609" s="5" t="str">
        <f>_xlfn.XLOOKUP(role_course_map[[#This Row],[course_id]],course_data[course_id],course_data[title],"")</f>
        <v>Prevention &amp; management of occupational exposure</v>
      </c>
      <c r="E1609" s="5" t="str">
        <f>_xlfn.XLOOKUP(role_course_map[[#This Row],[course_id]],course_data[course_id],course_data[topic],"")</f>
        <v>SAS : Infection Prevention and Control (IPC)</v>
      </c>
      <c r="F1609" s="5" t="str">
        <f>_xlfn.XLOOKUP(role_course_map[[#This Row],[course_id]],course_data[course_id],course_data[type],"")</f>
        <v>eLearning</v>
      </c>
      <c r="K1609" t="str">
        <f>role_course_map[[#This Row],[role_id]] &amp; "|" &amp; role_course_map[[#This Row],[course_id]]</f>
        <v>R0154|89155</v>
      </c>
      <c r="L1609" t="str">
        <f>IF(COUNTIF(role_course_map[mapping_key],role_course_map[[#This Row],[mapping_key]])&gt;1,"DUPLICATE","OK")</f>
        <v>OK</v>
      </c>
      <c r="M1609" t="str">
        <f>IF(COUNTIF(role_data[role_id],role_course_map[[#This Row],[role_id]])=0, "INVALID","VALID")</f>
        <v>VALID</v>
      </c>
      <c r="N1609" t="str">
        <f>IF(COUNTIF(course_data[course_id],role_course_map[[#This Row],[course_id]])=0, "INVALID","VALID")</f>
        <v>VALID</v>
      </c>
    </row>
    <row r="1610" spans="1:14" x14ac:dyDescent="0.35">
      <c r="A1610" t="s">
        <v>320</v>
      </c>
      <c r="B1610" s="5" t="str">
        <f>_xlfn.XLOOKUP(role_course_map[[#This Row],[role_id]], role_data[role_id], role_data[Role],"")</f>
        <v>Transport Nurse</v>
      </c>
      <c r="C1610">
        <v>999064</v>
      </c>
      <c r="D1610" s="5" t="str">
        <f>_xlfn.XLOOKUP(role_course_map[[#This Row],[course_id]],course_data[course_id],course_data[title],"")</f>
        <v>Infection prevention and control: Clostridioides difficile infection</v>
      </c>
      <c r="E1610" s="5" t="str">
        <f>_xlfn.XLOOKUP(role_course_map[[#This Row],[course_id]],course_data[course_id],course_data[topic],"")</f>
        <v>SAS : Infection Prevention and Control (IPC)</v>
      </c>
      <c r="F1610" s="5" t="str">
        <f>_xlfn.XLOOKUP(role_course_map[[#This Row],[course_id]],course_data[course_id],course_data[type],"")</f>
        <v>eLearning</v>
      </c>
      <c r="K1610" t="str">
        <f>role_course_map[[#This Row],[role_id]] &amp; "|" &amp; role_course_map[[#This Row],[course_id]]</f>
        <v>R0154|999064</v>
      </c>
      <c r="L1610" t="str">
        <f>IF(COUNTIF(role_course_map[mapping_key],role_course_map[[#This Row],[mapping_key]])&gt;1,"DUPLICATE","OK")</f>
        <v>OK</v>
      </c>
      <c r="M1610" t="str">
        <f>IF(COUNTIF(role_data[role_id],role_course_map[[#This Row],[role_id]])=0, "INVALID","VALID")</f>
        <v>VALID</v>
      </c>
      <c r="N1610" t="str">
        <f>IF(COUNTIF(course_data[course_id],role_course_map[[#This Row],[course_id]])=0, "INVALID","VALID")</f>
        <v>VALID</v>
      </c>
    </row>
    <row r="1611" spans="1:14" x14ac:dyDescent="0.35">
      <c r="A1611" t="s">
        <v>320</v>
      </c>
      <c r="B1611" s="5" t="str">
        <f>_xlfn.XLOOKUP(role_course_map[[#This Row],[role_id]], role_data[role_id], role_data[Role],"")</f>
        <v>Transport Nurse</v>
      </c>
      <c r="C1611">
        <v>3256</v>
      </c>
      <c r="D1611" s="5" t="str">
        <f>_xlfn.XLOOKUP(role_course_map[[#This Row],[course_id]],course_data[course_id],course_data[title],"")</f>
        <v>Antibiotic Management CHECK THIS IS THE RIGHT ONE</v>
      </c>
      <c r="E1611" s="5" t="str">
        <f>_xlfn.XLOOKUP(role_course_map[[#This Row],[course_id]],course_data[course_id],course_data[topic],"")</f>
        <v>SAS : Infection Prevention and Control (IPC)</v>
      </c>
      <c r="F1611" s="5" t="str">
        <f>_xlfn.XLOOKUP(role_course_map[[#This Row],[course_id]],course_data[course_id],course_data[type],"")</f>
        <v>eLearning</v>
      </c>
      <c r="K1611" t="str">
        <f>role_course_map[[#This Row],[role_id]] &amp; "|" &amp; role_course_map[[#This Row],[course_id]]</f>
        <v>R0154|3256</v>
      </c>
      <c r="L1611" t="str">
        <f>IF(COUNTIF(role_course_map[mapping_key],role_course_map[[#This Row],[mapping_key]])&gt;1,"DUPLICATE","OK")</f>
        <v>OK</v>
      </c>
      <c r="M1611" t="str">
        <f>IF(COUNTIF(role_data[role_id],role_course_map[[#This Row],[role_id]])=0, "INVALID","VALID")</f>
        <v>VALID</v>
      </c>
      <c r="N1611" t="str">
        <f>IF(COUNTIF(course_data[course_id],role_course_map[[#This Row],[course_id]])=0, "INVALID","VALID")</f>
        <v>VALID</v>
      </c>
    </row>
    <row r="1612" spans="1:14" x14ac:dyDescent="0.35">
      <c r="A1612" t="s">
        <v>320</v>
      </c>
      <c r="B1612" s="5" t="str">
        <f>_xlfn.XLOOKUP(role_course_map[[#This Row],[role_id]], role_data[role_id], role_data[Role],"")</f>
        <v>Transport Nurse</v>
      </c>
      <c r="C1612">
        <v>82383</v>
      </c>
      <c r="D1612" s="5" t="str">
        <f>_xlfn.XLOOKUP(role_course_map[[#This Row],[course_id]],course_data[course_id],course_data[title],"")</f>
        <v>Aseptic technique</v>
      </c>
      <c r="E1612" s="5" t="str">
        <f>_xlfn.XLOOKUP(role_course_map[[#This Row],[course_id]],course_data[course_id],course_data[topic],"")</f>
        <v>SAS : Infection Prevention and Control (IPC)</v>
      </c>
      <c r="F1612" s="5" t="str">
        <f>_xlfn.XLOOKUP(role_course_map[[#This Row],[course_id]],course_data[course_id],course_data[type],"")</f>
        <v>eLearning</v>
      </c>
      <c r="K1612" t="str">
        <f>role_course_map[[#This Row],[role_id]] &amp; "|" &amp; role_course_map[[#This Row],[course_id]]</f>
        <v>R0154|82383</v>
      </c>
      <c r="L1612" t="str">
        <f>IF(COUNTIF(role_course_map[mapping_key],role_course_map[[#This Row],[mapping_key]])&gt;1,"DUPLICATE","OK")</f>
        <v>OK</v>
      </c>
      <c r="M1612" t="str">
        <f>IF(COUNTIF(role_data[role_id],role_course_map[[#This Row],[role_id]])=0, "INVALID","VALID")</f>
        <v>VALID</v>
      </c>
      <c r="N1612" t="str">
        <f>IF(COUNTIF(course_data[course_id],role_course_map[[#This Row],[course_id]])=0, "INVALID","VALID")</f>
        <v>VALID</v>
      </c>
    </row>
    <row r="1613" spans="1:14" x14ac:dyDescent="0.35">
      <c r="A1613" t="s">
        <v>320</v>
      </c>
      <c r="B1613" s="5" t="str">
        <f>_xlfn.XLOOKUP(role_course_map[[#This Row],[role_id]], role_data[role_id], role_data[Role],"")</f>
        <v>Transport Nurse</v>
      </c>
      <c r="C1613">
        <v>3886</v>
      </c>
      <c r="D1613" s="5" t="str">
        <f>_xlfn.XLOOKUP(role_course_map[[#This Row],[course_id]],course_data[course_id],course_data[title],"")</f>
        <v>Prevention and management of pressure ulcers</v>
      </c>
      <c r="E1613" s="5" t="str">
        <f>_xlfn.XLOOKUP(role_course_map[[#This Row],[course_id]],course_data[course_id],course_data[topic],"")</f>
        <v>SAS : Clinical Practice</v>
      </c>
      <c r="F1613" s="5" t="str">
        <f>_xlfn.XLOOKUP(role_course_map[[#This Row],[course_id]],course_data[course_id],course_data[type],"")</f>
        <v>Page</v>
      </c>
      <c r="K1613" t="str">
        <f>role_course_map[[#This Row],[role_id]] &amp; "|" &amp; role_course_map[[#This Row],[course_id]]</f>
        <v>R0154|3886</v>
      </c>
      <c r="L1613" t="str">
        <f>IF(COUNTIF(role_course_map[mapping_key],role_course_map[[#This Row],[mapping_key]])&gt;1,"DUPLICATE","OK")</f>
        <v>OK</v>
      </c>
      <c r="M1613" t="str">
        <f>IF(COUNTIF(role_data[role_id],role_course_map[[#This Row],[role_id]])=0, "INVALID","VALID")</f>
        <v>VALID</v>
      </c>
      <c r="N1613" t="str">
        <f>IF(COUNTIF(course_data[course_id],role_course_map[[#This Row],[course_id]])=0, "INVALID","VALID")</f>
        <v>VALID</v>
      </c>
    </row>
    <row r="1614" spans="1:14" x14ac:dyDescent="0.35">
      <c r="A1614" t="s">
        <v>318</v>
      </c>
      <c r="B1614" s="5" t="str">
        <f>_xlfn.XLOOKUP(role_course_map[[#This Row],[role_id]], role_data[role_id], role_data[Role],"")</f>
        <v>Senior Transport Charge Nurse</v>
      </c>
      <c r="C1614">
        <v>999094</v>
      </c>
      <c r="D1614" s="5" t="str">
        <f>_xlfn.XLOOKUP(role_course_map[[#This Row],[course_id]],course_data[course_id],course_data[title],"")</f>
        <v>Being well, Mind, Body &amp; Workplace</v>
      </c>
      <c r="E1614" s="5" t="str">
        <f>_xlfn.XLOOKUP(role_course_map[[#This Row],[course_id]],course_data[course_id],course_data[topic],"")</f>
        <v>SAS: Staff development and experience</v>
      </c>
      <c r="F1614" s="5" t="str">
        <f>_xlfn.XLOOKUP(role_course_map[[#This Row],[course_id]],course_data[course_id],course_data[type],"")</f>
        <v>eLearning</v>
      </c>
      <c r="K1614" t="str">
        <f>role_course_map[[#This Row],[role_id]] &amp; "|" &amp; role_course_map[[#This Row],[course_id]]</f>
        <v>R0153|999094</v>
      </c>
      <c r="L1614" t="str">
        <f>IF(COUNTIF(role_course_map[mapping_key],role_course_map[[#This Row],[mapping_key]])&gt;1,"DUPLICATE","OK")</f>
        <v>OK</v>
      </c>
      <c r="M1614" t="str">
        <f>IF(COUNTIF(role_data[role_id],role_course_map[[#This Row],[role_id]])=0, "INVALID","VALID")</f>
        <v>VALID</v>
      </c>
      <c r="N1614" t="str">
        <f>IF(COUNTIF(course_data[course_id],role_course_map[[#This Row],[course_id]])=0, "INVALID","VALID")</f>
        <v>VALID</v>
      </c>
    </row>
    <row r="1615" spans="1:14" x14ac:dyDescent="0.35">
      <c r="A1615" t="s">
        <v>146</v>
      </c>
      <c r="B1615" s="5" t="str">
        <f>_xlfn.XLOOKUP(role_course_map[[#This Row],[role_id]], role_data[role_id], role_data[Role],"")</f>
        <v>Head of Ambulance Control Services</v>
      </c>
      <c r="C1615">
        <v>999058</v>
      </c>
      <c r="D1615" s="5" t="str">
        <f>_xlfn.XLOOKUP(role_course_map[[#This Row],[course_id]],course_data[course_id],course_data[title],"")</f>
        <v>Stress Identification &amp; Stress Management</v>
      </c>
      <c r="E1615" s="5" t="str">
        <f>_xlfn.XLOOKUP(role_course_map[[#This Row],[course_id]],course_data[course_id],course_data[topic],"")</f>
        <v>SAS : Health and Safety</v>
      </c>
      <c r="F1615" s="5" t="str">
        <f>_xlfn.XLOOKUP(role_course_map[[#This Row],[course_id]],course_data[course_id],course_data[type],"")</f>
        <v>eLearning</v>
      </c>
      <c r="K1615" t="str">
        <f>role_course_map[[#This Row],[role_id]] &amp; "|" &amp; role_course_map[[#This Row],[course_id]]</f>
        <v>R0067|999058</v>
      </c>
      <c r="L1615" t="str">
        <f>IF(COUNTIF(role_course_map[mapping_key],role_course_map[[#This Row],[mapping_key]])&gt;1,"DUPLICATE","OK")</f>
        <v>OK</v>
      </c>
      <c r="M1615" t="str">
        <f>IF(COUNTIF(role_data[role_id],role_course_map[[#This Row],[role_id]])=0, "INVALID","VALID")</f>
        <v>VALID</v>
      </c>
      <c r="N1615" t="str">
        <f>IF(COUNTIF(course_data[course_id],role_course_map[[#This Row],[course_id]])=0, "INVALID","VALID")</f>
        <v>VALID</v>
      </c>
    </row>
    <row r="1616" spans="1:14" x14ac:dyDescent="0.35">
      <c r="A1616" t="s">
        <v>146</v>
      </c>
      <c r="B1616" s="5" t="str">
        <f>_xlfn.XLOOKUP(role_course_map[[#This Row],[role_id]], role_data[role_id], role_data[Role],"")</f>
        <v>Head of Ambulance Control Services</v>
      </c>
      <c r="C1616">
        <v>79147</v>
      </c>
      <c r="D1616" s="5" t="str">
        <f>_xlfn.XLOOKUP(role_course_map[[#This Row],[course_id]],course_data[course_id],course_data[title],"")</f>
        <v>Driving risks at work</v>
      </c>
      <c r="E1616" s="5" t="str">
        <f>_xlfn.XLOOKUP(role_course_map[[#This Row],[course_id]],course_data[course_id],course_data[topic],"")</f>
        <v>SAS : Health and Safety</v>
      </c>
      <c r="F1616" s="5" t="str">
        <f>_xlfn.XLOOKUP(role_course_map[[#This Row],[course_id]],course_data[course_id],course_data[type],"")</f>
        <v>eLearning</v>
      </c>
      <c r="K1616" t="str">
        <f>role_course_map[[#This Row],[role_id]] &amp; "|" &amp; role_course_map[[#This Row],[course_id]]</f>
        <v>R0067|79147</v>
      </c>
      <c r="L1616" t="str">
        <f>IF(COUNTIF(role_course_map[mapping_key],role_course_map[[#This Row],[mapping_key]])&gt;1,"DUPLICATE","OK")</f>
        <v>OK</v>
      </c>
      <c r="M1616" t="str">
        <f>IF(COUNTIF(role_data[role_id],role_course_map[[#This Row],[role_id]])=0, "INVALID","VALID")</f>
        <v>VALID</v>
      </c>
      <c r="N1616" t="str">
        <f>IF(COUNTIF(course_data[course_id],role_course_map[[#This Row],[course_id]])=0, "INVALID","VALID")</f>
        <v>VALID</v>
      </c>
    </row>
    <row r="1617" spans="1:14" x14ac:dyDescent="0.35">
      <c r="A1617" t="s">
        <v>146</v>
      </c>
      <c r="B1617" s="5" t="str">
        <f>_xlfn.XLOOKUP(role_course_map[[#This Row],[role_id]], role_data[role_id], role_data[Role],"")</f>
        <v>Head of Ambulance Control Services</v>
      </c>
      <c r="C1617">
        <v>999091</v>
      </c>
      <c r="D1617" s="5" t="str">
        <f>_xlfn.XLOOKUP(role_course_map[[#This Row],[course_id]],course_data[course_id],course_data[title],"")</f>
        <v>Intermediate Leadership Development Programme</v>
      </c>
      <c r="E1617" s="5" t="str">
        <f>_xlfn.XLOOKUP(role_course_map[[#This Row],[course_id]],course_data[course_id],course_data[topic],"")</f>
        <v>SAS: Staff development and experience</v>
      </c>
      <c r="F1617" s="5">
        <f>_xlfn.XLOOKUP(role_course_map[[#This Row],[course_id]],course_data[course_id],course_data[type],"")</f>
        <v>0</v>
      </c>
      <c r="K1617" t="str">
        <f>role_course_map[[#This Row],[role_id]] &amp; "|" &amp; role_course_map[[#This Row],[course_id]]</f>
        <v>R0067|999091</v>
      </c>
      <c r="L1617" t="str">
        <f>IF(COUNTIF(role_course_map[mapping_key],role_course_map[[#This Row],[mapping_key]])&gt;1,"DUPLICATE","OK")</f>
        <v>OK</v>
      </c>
      <c r="M1617" t="str">
        <f>IF(COUNTIF(role_data[role_id],role_course_map[[#This Row],[role_id]])=0, "INVALID","VALID")</f>
        <v>VALID</v>
      </c>
      <c r="N1617" t="str">
        <f>IF(COUNTIF(course_data[course_id],role_course_map[[#This Row],[course_id]])=0, "INVALID","VALID")</f>
        <v>VALID</v>
      </c>
    </row>
    <row r="1618" spans="1:14" x14ac:dyDescent="0.35">
      <c r="A1618" t="s">
        <v>146</v>
      </c>
      <c r="B1618" s="5" t="str">
        <f>_xlfn.XLOOKUP(role_course_map[[#This Row],[role_id]], role_data[role_id], role_data[Role],"")</f>
        <v>Head of Ambulance Control Services</v>
      </c>
      <c r="C1618">
        <v>999090</v>
      </c>
      <c r="D1618" s="5" t="str">
        <f>_xlfn.XLOOKUP(role_course_map[[#This Row],[course_id]],course_data[course_id],course_data[title],"")</f>
        <v>Leading for the Future</v>
      </c>
      <c r="E1618" s="5" t="str">
        <f>_xlfn.XLOOKUP(role_course_map[[#This Row],[course_id]],course_data[course_id],course_data[topic],"")</f>
        <v>SAS: Staff development and experience</v>
      </c>
      <c r="F1618" s="5">
        <f>_xlfn.XLOOKUP(role_course_map[[#This Row],[course_id]],course_data[course_id],course_data[type],"")</f>
        <v>0</v>
      </c>
      <c r="K1618" t="str">
        <f>role_course_map[[#This Row],[role_id]] &amp; "|" &amp; role_course_map[[#This Row],[course_id]]</f>
        <v>R0067|999090</v>
      </c>
      <c r="L1618" t="str">
        <f>IF(COUNTIF(role_course_map[mapping_key],role_course_map[[#This Row],[mapping_key]])&gt;1,"DUPLICATE","OK")</f>
        <v>OK</v>
      </c>
      <c r="M1618" t="str">
        <f>IF(COUNTIF(role_data[role_id],role_course_map[[#This Row],[role_id]])=0, "INVALID","VALID")</f>
        <v>VALID</v>
      </c>
      <c r="N1618" t="str">
        <f>IF(COUNTIF(course_data[course_id],role_course_map[[#This Row],[course_id]])=0, "INVALID","VALID")</f>
        <v>VALID</v>
      </c>
    </row>
    <row r="1619" spans="1:14" x14ac:dyDescent="0.35">
      <c r="A1619" t="s">
        <v>146</v>
      </c>
      <c r="B1619" s="5" t="str">
        <f>_xlfn.XLOOKUP(role_course_map[[#This Row],[role_id]], role_data[role_id], role_data[Role],"")</f>
        <v>Head of Ambulance Control Services</v>
      </c>
      <c r="C1619">
        <v>999093</v>
      </c>
      <c r="D1619" s="5" t="str">
        <f>_xlfn.XLOOKUP(role_course_map[[#This Row],[course_id]],course_data[course_id],course_data[title],"")</f>
        <v>Managing Wellbeing Refresher for Managers</v>
      </c>
      <c r="E1619" s="5" t="str">
        <f>_xlfn.XLOOKUP(role_course_map[[#This Row],[course_id]],course_data[course_id],course_data[topic],"")</f>
        <v>SAS: Staff development and experience</v>
      </c>
      <c r="F1619" s="5" t="str">
        <f>_xlfn.XLOOKUP(role_course_map[[#This Row],[course_id]],course_data[course_id],course_data[type],"")</f>
        <v>eLearning</v>
      </c>
      <c r="K1619" t="str">
        <f>role_course_map[[#This Row],[role_id]] &amp; "|" &amp; role_course_map[[#This Row],[course_id]]</f>
        <v>R0067|999093</v>
      </c>
      <c r="L1619" t="str">
        <f>IF(COUNTIF(role_course_map[mapping_key],role_course_map[[#This Row],[mapping_key]])&gt;1,"DUPLICATE","OK")</f>
        <v>OK</v>
      </c>
      <c r="M1619" t="str">
        <f>IF(COUNTIF(role_data[role_id],role_course_map[[#This Row],[role_id]])=0, "INVALID","VALID")</f>
        <v>VALID</v>
      </c>
      <c r="N1619" t="str">
        <f>IF(COUNTIF(course_data[course_id],role_course_map[[#This Row],[course_id]])=0, "INVALID","VALID")</f>
        <v>VALID</v>
      </c>
    </row>
    <row r="1620" spans="1:14" x14ac:dyDescent="0.35">
      <c r="A1620" t="s">
        <v>320</v>
      </c>
      <c r="B1620" s="5" t="str">
        <f>_xlfn.XLOOKUP(role_course_map[[#This Row],[role_id]], role_data[role_id], role_data[Role],"")</f>
        <v>Transport Nurse</v>
      </c>
      <c r="C1620">
        <v>999094</v>
      </c>
      <c r="D1620" s="5" t="str">
        <f>_xlfn.XLOOKUP(role_course_map[[#This Row],[course_id]],course_data[course_id],course_data[title],"")</f>
        <v>Being well, Mind, Body &amp; Workplace</v>
      </c>
      <c r="E1620" s="5" t="str">
        <f>_xlfn.XLOOKUP(role_course_map[[#This Row],[course_id]],course_data[course_id],course_data[topic],"")</f>
        <v>SAS: Staff development and experience</v>
      </c>
      <c r="F1620" s="5" t="str">
        <f>_xlfn.XLOOKUP(role_course_map[[#This Row],[course_id]],course_data[course_id],course_data[type],"")</f>
        <v>eLearning</v>
      </c>
      <c r="K1620" t="str">
        <f>role_course_map[[#This Row],[role_id]] &amp; "|" &amp; role_course_map[[#This Row],[course_id]]</f>
        <v>R0154|999094</v>
      </c>
      <c r="L1620" t="str">
        <f>IF(COUNTIF(role_course_map[mapping_key],role_course_map[[#This Row],[mapping_key]])&gt;1,"DUPLICATE","OK")</f>
        <v>OK</v>
      </c>
      <c r="M1620" t="str">
        <f>IF(COUNTIF(role_data[role_id],role_course_map[[#This Row],[role_id]])=0, "INVALID","VALID")</f>
        <v>VALID</v>
      </c>
      <c r="N1620" t="str">
        <f>IF(COUNTIF(course_data[course_id],role_course_map[[#This Row],[course_id]])=0, "INVALID","VALID")</f>
        <v>VALID</v>
      </c>
    </row>
    <row r="1621" spans="1:14" x14ac:dyDescent="0.35">
      <c r="A1621" t="s">
        <v>146</v>
      </c>
      <c r="B1621" s="5" t="str">
        <f>_xlfn.XLOOKUP(role_course_map[[#This Row],[role_id]], role_data[role_id], role_data[Role],"")</f>
        <v>Head of Ambulance Control Services</v>
      </c>
      <c r="C1621">
        <v>999062</v>
      </c>
      <c r="D1621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1621" s="5" t="str">
        <f>_xlfn.XLOOKUP(role_course_map[[#This Row],[course_id]],course_data[course_id],course_data[topic],"")</f>
        <v>SAS : Health and Safety</v>
      </c>
      <c r="F1621" s="5" t="str">
        <f>_xlfn.XLOOKUP(role_course_map[[#This Row],[course_id]],course_data[course_id],course_data[type],"")</f>
        <v>Course</v>
      </c>
      <c r="K1621" t="str">
        <f>role_course_map[[#This Row],[role_id]] &amp; "|" &amp; role_course_map[[#This Row],[course_id]]</f>
        <v>R0067|999062</v>
      </c>
      <c r="L1621" t="str">
        <f>IF(COUNTIF(role_course_map[mapping_key],role_course_map[[#This Row],[mapping_key]])&gt;1,"DUPLICATE","OK")</f>
        <v>OK</v>
      </c>
      <c r="M1621" t="str">
        <f>IF(COUNTIF(role_data[role_id],role_course_map[[#This Row],[role_id]])=0, "INVALID","VALID")</f>
        <v>VALID</v>
      </c>
      <c r="N1621" t="str">
        <f>IF(COUNTIF(course_data[course_id],role_course_map[[#This Row],[course_id]])=0, "INVALID","VALID")</f>
        <v>VALID</v>
      </c>
    </row>
    <row r="1622" spans="1:14" x14ac:dyDescent="0.35">
      <c r="A1622" t="s">
        <v>148</v>
      </c>
      <c r="B1622" s="5" t="str">
        <f>_xlfn.XLOOKUP(role_course_map[[#This Row],[role_id]], role_data[role_id], role_data[Role],"")</f>
        <v>Head of Operational Delivery</v>
      </c>
      <c r="C1622">
        <v>999058</v>
      </c>
      <c r="D1622" s="5" t="str">
        <f>_xlfn.XLOOKUP(role_course_map[[#This Row],[course_id]],course_data[course_id],course_data[title],"")</f>
        <v>Stress Identification &amp; Stress Management</v>
      </c>
      <c r="E1622" s="5" t="str">
        <f>_xlfn.XLOOKUP(role_course_map[[#This Row],[course_id]],course_data[course_id],course_data[topic],"")</f>
        <v>SAS : Health and Safety</v>
      </c>
      <c r="F1622" s="5" t="str">
        <f>_xlfn.XLOOKUP(role_course_map[[#This Row],[course_id]],course_data[course_id],course_data[type],"")</f>
        <v>eLearning</v>
      </c>
      <c r="K1622" t="str">
        <f>role_course_map[[#This Row],[role_id]] &amp; "|" &amp; role_course_map[[#This Row],[course_id]]</f>
        <v>R0068|999058</v>
      </c>
      <c r="L1622" t="str">
        <f>IF(COUNTIF(role_course_map[mapping_key],role_course_map[[#This Row],[mapping_key]])&gt;1,"DUPLICATE","OK")</f>
        <v>OK</v>
      </c>
      <c r="M1622" t="str">
        <f>IF(COUNTIF(role_data[role_id],role_course_map[[#This Row],[role_id]])=0, "INVALID","VALID")</f>
        <v>VALID</v>
      </c>
      <c r="N1622" t="str">
        <f>IF(COUNTIF(course_data[course_id],role_course_map[[#This Row],[course_id]])=0, "INVALID","VALID")</f>
        <v>VALID</v>
      </c>
    </row>
    <row r="1623" spans="1:14" x14ac:dyDescent="0.35">
      <c r="A1623" t="s">
        <v>148</v>
      </c>
      <c r="B1623" s="5" t="str">
        <f>_xlfn.XLOOKUP(role_course_map[[#This Row],[role_id]], role_data[role_id], role_data[Role],"")</f>
        <v>Head of Operational Delivery</v>
      </c>
      <c r="C1623">
        <v>79147</v>
      </c>
      <c r="D1623" s="5" t="str">
        <f>_xlfn.XLOOKUP(role_course_map[[#This Row],[course_id]],course_data[course_id],course_data[title],"")</f>
        <v>Driving risks at work</v>
      </c>
      <c r="E1623" s="5" t="str">
        <f>_xlfn.XLOOKUP(role_course_map[[#This Row],[course_id]],course_data[course_id],course_data[topic],"")</f>
        <v>SAS : Health and Safety</v>
      </c>
      <c r="F1623" s="5" t="str">
        <f>_xlfn.XLOOKUP(role_course_map[[#This Row],[course_id]],course_data[course_id],course_data[type],"")</f>
        <v>eLearning</v>
      </c>
      <c r="K1623" t="str">
        <f>role_course_map[[#This Row],[role_id]] &amp; "|" &amp; role_course_map[[#This Row],[course_id]]</f>
        <v>R0068|79147</v>
      </c>
      <c r="L1623" t="str">
        <f>IF(COUNTIF(role_course_map[mapping_key],role_course_map[[#This Row],[mapping_key]])&gt;1,"DUPLICATE","OK")</f>
        <v>OK</v>
      </c>
      <c r="M1623" t="str">
        <f>IF(COUNTIF(role_data[role_id],role_course_map[[#This Row],[role_id]])=0, "INVALID","VALID")</f>
        <v>VALID</v>
      </c>
      <c r="N1623" t="str">
        <f>IF(COUNTIF(course_data[course_id],role_course_map[[#This Row],[course_id]])=0, "INVALID","VALID")</f>
        <v>VALID</v>
      </c>
    </row>
    <row r="1624" spans="1:14" x14ac:dyDescent="0.35">
      <c r="A1624" t="s">
        <v>146</v>
      </c>
      <c r="B1624" s="5" t="str">
        <f>_xlfn.XLOOKUP(role_course_map[[#This Row],[role_id]], role_data[role_id], role_data[Role],"")</f>
        <v>Head of Ambulance Control Services</v>
      </c>
      <c r="C1624">
        <v>999057</v>
      </c>
      <c r="D1624" s="5" t="str">
        <f>_xlfn.XLOOKUP(role_course_map[[#This Row],[course_id]],course_data[course_id],course_data[title],"")</f>
        <v>Fatigue Awareness</v>
      </c>
      <c r="E1624" s="5" t="str">
        <f>_xlfn.XLOOKUP(role_course_map[[#This Row],[course_id]],course_data[course_id],course_data[topic],"")</f>
        <v>SAS : Health and Safety</v>
      </c>
      <c r="F1624" s="5" t="str">
        <f>_xlfn.XLOOKUP(role_course_map[[#This Row],[course_id]],course_data[course_id],course_data[type],"")</f>
        <v>eLearning</v>
      </c>
      <c r="K1624" t="str">
        <f>role_course_map[[#This Row],[role_id]] &amp; "|" &amp; role_course_map[[#This Row],[course_id]]</f>
        <v>R0067|999057</v>
      </c>
      <c r="L1624" t="str">
        <f>IF(COUNTIF(role_course_map[mapping_key],role_course_map[[#This Row],[mapping_key]])&gt;1,"DUPLICATE","OK")</f>
        <v>OK</v>
      </c>
      <c r="M1624" t="str">
        <f>IF(COUNTIF(role_data[role_id],role_course_map[[#This Row],[role_id]])=0, "INVALID","VALID")</f>
        <v>VALID</v>
      </c>
      <c r="N1624" t="str">
        <f>IF(COUNTIF(course_data[course_id],role_course_map[[#This Row],[course_id]])=0, "INVALID","VALID")</f>
        <v>VALID</v>
      </c>
    </row>
    <row r="1625" spans="1:14" x14ac:dyDescent="0.35">
      <c r="A1625" t="s">
        <v>148</v>
      </c>
      <c r="B1625" s="5" t="str">
        <f>_xlfn.XLOOKUP(role_course_map[[#This Row],[role_id]], role_data[role_id], role_data[Role],"")</f>
        <v>Head of Operational Delivery</v>
      </c>
      <c r="C1625">
        <v>999091</v>
      </c>
      <c r="D1625" s="5" t="str">
        <f>_xlfn.XLOOKUP(role_course_map[[#This Row],[course_id]],course_data[course_id],course_data[title],"")</f>
        <v>Intermediate Leadership Development Programme</v>
      </c>
      <c r="E1625" s="5" t="str">
        <f>_xlfn.XLOOKUP(role_course_map[[#This Row],[course_id]],course_data[course_id],course_data[topic],"")</f>
        <v>SAS: Staff development and experience</v>
      </c>
      <c r="F1625" s="5">
        <f>_xlfn.XLOOKUP(role_course_map[[#This Row],[course_id]],course_data[course_id],course_data[type],"")</f>
        <v>0</v>
      </c>
      <c r="K1625" t="str">
        <f>role_course_map[[#This Row],[role_id]] &amp; "|" &amp; role_course_map[[#This Row],[course_id]]</f>
        <v>R0068|999091</v>
      </c>
      <c r="L1625" t="str">
        <f>IF(COUNTIF(role_course_map[mapping_key],role_course_map[[#This Row],[mapping_key]])&gt;1,"DUPLICATE","OK")</f>
        <v>OK</v>
      </c>
      <c r="M1625" t="str">
        <f>IF(COUNTIF(role_data[role_id],role_course_map[[#This Row],[role_id]])=0, "INVALID","VALID")</f>
        <v>VALID</v>
      </c>
      <c r="N1625" t="str">
        <f>IF(COUNTIF(course_data[course_id],role_course_map[[#This Row],[course_id]])=0, "INVALID","VALID")</f>
        <v>VALID</v>
      </c>
    </row>
    <row r="1626" spans="1:14" x14ac:dyDescent="0.35">
      <c r="A1626" t="s">
        <v>148</v>
      </c>
      <c r="B1626" s="5" t="str">
        <f>_xlfn.XLOOKUP(role_course_map[[#This Row],[role_id]], role_data[role_id], role_data[Role],"")</f>
        <v>Head of Operational Delivery</v>
      </c>
      <c r="C1626">
        <v>999090</v>
      </c>
      <c r="D1626" s="5" t="str">
        <f>_xlfn.XLOOKUP(role_course_map[[#This Row],[course_id]],course_data[course_id],course_data[title],"")</f>
        <v>Leading for the Future</v>
      </c>
      <c r="E1626" s="5" t="str">
        <f>_xlfn.XLOOKUP(role_course_map[[#This Row],[course_id]],course_data[course_id],course_data[topic],"")</f>
        <v>SAS: Staff development and experience</v>
      </c>
      <c r="F1626" s="5">
        <f>_xlfn.XLOOKUP(role_course_map[[#This Row],[course_id]],course_data[course_id],course_data[type],"")</f>
        <v>0</v>
      </c>
      <c r="K1626" t="str">
        <f>role_course_map[[#This Row],[role_id]] &amp; "|" &amp; role_course_map[[#This Row],[course_id]]</f>
        <v>R0068|999090</v>
      </c>
      <c r="L1626" t="str">
        <f>IF(COUNTIF(role_course_map[mapping_key],role_course_map[[#This Row],[mapping_key]])&gt;1,"DUPLICATE","OK")</f>
        <v>OK</v>
      </c>
      <c r="M1626" t="str">
        <f>IF(COUNTIF(role_data[role_id],role_course_map[[#This Row],[role_id]])=0, "INVALID","VALID")</f>
        <v>VALID</v>
      </c>
      <c r="N1626" t="str">
        <f>IF(COUNTIF(course_data[course_id],role_course_map[[#This Row],[course_id]])=0, "INVALID","VALID")</f>
        <v>VALID</v>
      </c>
    </row>
    <row r="1627" spans="1:14" x14ac:dyDescent="0.35">
      <c r="A1627" t="s">
        <v>146</v>
      </c>
      <c r="B1627" s="5" t="str">
        <f>_xlfn.XLOOKUP(role_course_map[[#This Row],[role_id]], role_data[role_id], role_data[Role],"")</f>
        <v>Head of Ambulance Control Services</v>
      </c>
      <c r="C1627">
        <v>999092</v>
      </c>
      <c r="D1627" s="5" t="str">
        <f>_xlfn.XLOOKUP(role_course_map[[#This Row],[course_id]],course_data[course_id],course_data[title],"")</f>
        <v>Health &amp; Wellbeing Awareness for Managers</v>
      </c>
      <c r="E1627" s="5" t="str">
        <f>_xlfn.XLOOKUP(role_course_map[[#This Row],[course_id]],course_data[course_id],course_data[topic],"")</f>
        <v>SAS: Staff development and experience</v>
      </c>
      <c r="F1627" s="5" t="str">
        <f>_xlfn.XLOOKUP(role_course_map[[#This Row],[course_id]],course_data[course_id],course_data[type],"")</f>
        <v>eLearning</v>
      </c>
      <c r="K1627" t="str">
        <f>role_course_map[[#This Row],[role_id]] &amp; "|" &amp; role_course_map[[#This Row],[course_id]]</f>
        <v>R0067|999092</v>
      </c>
      <c r="L1627" t="str">
        <f>IF(COUNTIF(role_course_map[mapping_key],role_course_map[[#This Row],[mapping_key]])&gt;1,"DUPLICATE","OK")</f>
        <v>OK</v>
      </c>
      <c r="M1627" t="str">
        <f>IF(COUNTIF(role_data[role_id],role_course_map[[#This Row],[role_id]])=0, "INVALID","VALID")</f>
        <v>VALID</v>
      </c>
      <c r="N1627" t="str">
        <f>IF(COUNTIF(course_data[course_id],role_course_map[[#This Row],[course_id]])=0, "INVALID","VALID")</f>
        <v>VALID</v>
      </c>
    </row>
    <row r="1628" spans="1:14" x14ac:dyDescent="0.35">
      <c r="A1628" t="s">
        <v>148</v>
      </c>
      <c r="B1628" s="5" t="str">
        <f>_xlfn.XLOOKUP(role_course_map[[#This Row],[role_id]], role_data[role_id], role_data[Role],"")</f>
        <v>Head of Operational Delivery</v>
      </c>
      <c r="C1628">
        <v>999093</v>
      </c>
      <c r="D1628" s="5" t="str">
        <f>_xlfn.XLOOKUP(role_course_map[[#This Row],[course_id]],course_data[course_id],course_data[title],"")</f>
        <v>Managing Wellbeing Refresher for Managers</v>
      </c>
      <c r="E1628" s="5" t="str">
        <f>_xlfn.XLOOKUP(role_course_map[[#This Row],[course_id]],course_data[course_id],course_data[topic],"")</f>
        <v>SAS: Staff development and experience</v>
      </c>
      <c r="F1628" s="5" t="str">
        <f>_xlfn.XLOOKUP(role_course_map[[#This Row],[course_id]],course_data[course_id],course_data[type],"")</f>
        <v>eLearning</v>
      </c>
      <c r="K1628" t="str">
        <f>role_course_map[[#This Row],[role_id]] &amp; "|" &amp; role_course_map[[#This Row],[course_id]]</f>
        <v>R0068|999093</v>
      </c>
      <c r="L1628" t="str">
        <f>IF(COUNTIF(role_course_map[mapping_key],role_course_map[[#This Row],[mapping_key]])&gt;1,"DUPLICATE","OK")</f>
        <v>OK</v>
      </c>
      <c r="M1628" t="str">
        <f>IF(COUNTIF(role_data[role_id],role_course_map[[#This Row],[role_id]])=0, "INVALID","VALID")</f>
        <v>VALID</v>
      </c>
      <c r="N1628" t="str">
        <f>IF(COUNTIF(course_data[course_id],role_course_map[[#This Row],[course_id]])=0, "INVALID","VALID")</f>
        <v>VALID</v>
      </c>
    </row>
    <row r="1629" spans="1:14" x14ac:dyDescent="0.35">
      <c r="A1629" t="s">
        <v>146</v>
      </c>
      <c r="B1629" s="5" t="str">
        <f>_xlfn.XLOOKUP(role_course_map[[#This Row],[role_id]], role_data[role_id], role_data[Role],"")</f>
        <v>Head of Ambulance Control Services</v>
      </c>
      <c r="C1629">
        <v>999094</v>
      </c>
      <c r="D1629" s="5" t="str">
        <f>_xlfn.XLOOKUP(role_course_map[[#This Row],[course_id]],course_data[course_id],course_data[title],"")</f>
        <v>Being well, Mind, Body &amp; Workplace</v>
      </c>
      <c r="E1629" s="5" t="str">
        <f>_xlfn.XLOOKUP(role_course_map[[#This Row],[course_id]],course_data[course_id],course_data[topic],"")</f>
        <v>SAS: Staff development and experience</v>
      </c>
      <c r="F1629" s="5" t="str">
        <f>_xlfn.XLOOKUP(role_course_map[[#This Row],[course_id]],course_data[course_id],course_data[type],"")</f>
        <v>eLearning</v>
      </c>
      <c r="K1629" t="str">
        <f>role_course_map[[#This Row],[role_id]] &amp; "|" &amp; role_course_map[[#This Row],[course_id]]</f>
        <v>R0067|999094</v>
      </c>
      <c r="L1629" t="str">
        <f>IF(COUNTIF(role_course_map[mapping_key],role_course_map[[#This Row],[mapping_key]])&gt;1,"DUPLICATE","OK")</f>
        <v>OK</v>
      </c>
      <c r="M1629" t="str">
        <f>IF(COUNTIF(role_data[role_id],role_course_map[[#This Row],[role_id]])=0, "INVALID","VALID")</f>
        <v>VALID</v>
      </c>
      <c r="N1629" t="str">
        <f>IF(COUNTIF(course_data[course_id],role_course_map[[#This Row],[course_id]])=0, "INVALID","VALID")</f>
        <v>VALID</v>
      </c>
    </row>
    <row r="1630" spans="1:14" x14ac:dyDescent="0.35">
      <c r="A1630" t="s">
        <v>148</v>
      </c>
      <c r="B1630" s="5" t="str">
        <f>_xlfn.XLOOKUP(role_course_map[[#This Row],[role_id]], role_data[role_id], role_data[Role],"")</f>
        <v>Head of Operational Delivery</v>
      </c>
      <c r="C1630">
        <v>999062</v>
      </c>
      <c r="D1630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1630" s="5" t="str">
        <f>_xlfn.XLOOKUP(role_course_map[[#This Row],[course_id]],course_data[course_id],course_data[topic],"")</f>
        <v>SAS : Health and Safety</v>
      </c>
      <c r="F1630" s="5" t="str">
        <f>_xlfn.XLOOKUP(role_course_map[[#This Row],[course_id]],course_data[course_id],course_data[type],"")</f>
        <v>Course</v>
      </c>
      <c r="K1630" t="str">
        <f>role_course_map[[#This Row],[role_id]] &amp; "|" &amp; role_course_map[[#This Row],[course_id]]</f>
        <v>R0068|999062</v>
      </c>
      <c r="L1630" t="str">
        <f>IF(COUNTIF(role_course_map[mapping_key],role_course_map[[#This Row],[mapping_key]])&gt;1,"DUPLICATE","OK")</f>
        <v>OK</v>
      </c>
      <c r="M1630" t="str">
        <f>IF(COUNTIF(role_data[role_id],role_course_map[[#This Row],[role_id]])=0, "INVALID","VALID")</f>
        <v>VALID</v>
      </c>
      <c r="N1630" t="str">
        <f>IF(COUNTIF(course_data[course_id],role_course_map[[#This Row],[course_id]])=0, "INVALID","VALID")</f>
        <v>VALID</v>
      </c>
    </row>
    <row r="1631" spans="1:14" x14ac:dyDescent="0.35">
      <c r="A1631" t="s">
        <v>150</v>
      </c>
      <c r="B1631" s="5" t="str">
        <f>_xlfn.XLOOKUP(role_course_map[[#This Row],[role_id]], role_data[role_id], role_data[Role],"")</f>
        <v>Head of Performance Planning and Information</v>
      </c>
      <c r="C1631">
        <v>999058</v>
      </c>
      <c r="D1631" s="5" t="str">
        <f>_xlfn.XLOOKUP(role_course_map[[#This Row],[course_id]],course_data[course_id],course_data[title],"")</f>
        <v>Stress Identification &amp; Stress Management</v>
      </c>
      <c r="E1631" s="5" t="str">
        <f>_xlfn.XLOOKUP(role_course_map[[#This Row],[course_id]],course_data[course_id],course_data[topic],"")</f>
        <v>SAS : Health and Safety</v>
      </c>
      <c r="F1631" s="5" t="str">
        <f>_xlfn.XLOOKUP(role_course_map[[#This Row],[course_id]],course_data[course_id],course_data[type],"")</f>
        <v>eLearning</v>
      </c>
      <c r="K1631" t="str">
        <f>role_course_map[[#This Row],[role_id]] &amp; "|" &amp; role_course_map[[#This Row],[course_id]]</f>
        <v>R0069|999058</v>
      </c>
      <c r="L1631" t="str">
        <f>IF(COUNTIF(role_course_map[mapping_key],role_course_map[[#This Row],[mapping_key]])&gt;1,"DUPLICATE","OK")</f>
        <v>OK</v>
      </c>
      <c r="M1631" t="str">
        <f>IF(COUNTIF(role_data[role_id],role_course_map[[#This Row],[role_id]])=0, "INVALID","VALID")</f>
        <v>VALID</v>
      </c>
      <c r="N1631" t="str">
        <f>IF(COUNTIF(course_data[course_id],role_course_map[[#This Row],[course_id]])=0, "INVALID","VALID")</f>
        <v>VALID</v>
      </c>
    </row>
    <row r="1632" spans="1:14" x14ac:dyDescent="0.35">
      <c r="A1632" t="s">
        <v>150</v>
      </c>
      <c r="B1632" s="5" t="str">
        <f>_xlfn.XLOOKUP(role_course_map[[#This Row],[role_id]], role_data[role_id], role_data[Role],"")</f>
        <v>Head of Performance Planning and Information</v>
      </c>
      <c r="C1632">
        <v>79147</v>
      </c>
      <c r="D1632" s="5" t="str">
        <f>_xlfn.XLOOKUP(role_course_map[[#This Row],[course_id]],course_data[course_id],course_data[title],"")</f>
        <v>Driving risks at work</v>
      </c>
      <c r="E1632" s="5" t="str">
        <f>_xlfn.XLOOKUP(role_course_map[[#This Row],[course_id]],course_data[course_id],course_data[topic],"")</f>
        <v>SAS : Health and Safety</v>
      </c>
      <c r="F1632" s="5" t="str">
        <f>_xlfn.XLOOKUP(role_course_map[[#This Row],[course_id]],course_data[course_id],course_data[type],"")</f>
        <v>eLearning</v>
      </c>
      <c r="K1632" t="str">
        <f>role_course_map[[#This Row],[role_id]] &amp; "|" &amp; role_course_map[[#This Row],[course_id]]</f>
        <v>R0069|79147</v>
      </c>
      <c r="L1632" t="str">
        <f>IF(COUNTIF(role_course_map[mapping_key],role_course_map[[#This Row],[mapping_key]])&gt;1,"DUPLICATE","OK")</f>
        <v>OK</v>
      </c>
      <c r="M1632" t="str">
        <f>IF(COUNTIF(role_data[role_id],role_course_map[[#This Row],[role_id]])=0, "INVALID","VALID")</f>
        <v>VALID</v>
      </c>
      <c r="N1632" t="str">
        <f>IF(COUNTIF(course_data[course_id],role_course_map[[#This Row],[course_id]])=0, "INVALID","VALID")</f>
        <v>VALID</v>
      </c>
    </row>
    <row r="1633" spans="1:14" x14ac:dyDescent="0.35">
      <c r="A1633" t="s">
        <v>148</v>
      </c>
      <c r="B1633" s="5" t="str">
        <f>_xlfn.XLOOKUP(role_course_map[[#This Row],[role_id]], role_data[role_id], role_data[Role],"")</f>
        <v>Head of Operational Delivery</v>
      </c>
      <c r="C1633">
        <v>999057</v>
      </c>
      <c r="D1633" s="5" t="str">
        <f>_xlfn.XLOOKUP(role_course_map[[#This Row],[course_id]],course_data[course_id],course_data[title],"")</f>
        <v>Fatigue Awareness</v>
      </c>
      <c r="E1633" s="5" t="str">
        <f>_xlfn.XLOOKUP(role_course_map[[#This Row],[course_id]],course_data[course_id],course_data[topic],"")</f>
        <v>SAS : Health and Safety</v>
      </c>
      <c r="F1633" s="5" t="str">
        <f>_xlfn.XLOOKUP(role_course_map[[#This Row],[course_id]],course_data[course_id],course_data[type],"")</f>
        <v>eLearning</v>
      </c>
      <c r="K1633" t="str">
        <f>role_course_map[[#This Row],[role_id]] &amp; "|" &amp; role_course_map[[#This Row],[course_id]]</f>
        <v>R0068|999057</v>
      </c>
      <c r="L1633" t="str">
        <f>IF(COUNTIF(role_course_map[mapping_key],role_course_map[[#This Row],[mapping_key]])&gt;1,"DUPLICATE","OK")</f>
        <v>OK</v>
      </c>
      <c r="M1633" t="str">
        <f>IF(COUNTIF(role_data[role_id],role_course_map[[#This Row],[role_id]])=0, "INVALID","VALID")</f>
        <v>VALID</v>
      </c>
      <c r="N1633" t="str">
        <f>IF(COUNTIF(course_data[course_id],role_course_map[[#This Row],[course_id]])=0, "INVALID","VALID")</f>
        <v>VALID</v>
      </c>
    </row>
    <row r="1634" spans="1:14" x14ac:dyDescent="0.35">
      <c r="A1634" t="s">
        <v>150</v>
      </c>
      <c r="B1634" s="5" t="str">
        <f>_xlfn.XLOOKUP(role_course_map[[#This Row],[role_id]], role_data[role_id], role_data[Role],"")</f>
        <v>Head of Performance Planning and Information</v>
      </c>
      <c r="C1634">
        <v>999091</v>
      </c>
      <c r="D1634" s="5" t="str">
        <f>_xlfn.XLOOKUP(role_course_map[[#This Row],[course_id]],course_data[course_id],course_data[title],"")</f>
        <v>Intermediate Leadership Development Programme</v>
      </c>
      <c r="E1634" s="5" t="str">
        <f>_xlfn.XLOOKUP(role_course_map[[#This Row],[course_id]],course_data[course_id],course_data[topic],"")</f>
        <v>SAS: Staff development and experience</v>
      </c>
      <c r="F1634" s="5">
        <f>_xlfn.XLOOKUP(role_course_map[[#This Row],[course_id]],course_data[course_id],course_data[type],"")</f>
        <v>0</v>
      </c>
      <c r="K1634" t="str">
        <f>role_course_map[[#This Row],[role_id]] &amp; "|" &amp; role_course_map[[#This Row],[course_id]]</f>
        <v>R0069|999091</v>
      </c>
      <c r="L1634" t="str">
        <f>IF(COUNTIF(role_course_map[mapping_key],role_course_map[[#This Row],[mapping_key]])&gt;1,"DUPLICATE","OK")</f>
        <v>OK</v>
      </c>
      <c r="M1634" t="str">
        <f>IF(COUNTIF(role_data[role_id],role_course_map[[#This Row],[role_id]])=0, "INVALID","VALID")</f>
        <v>VALID</v>
      </c>
      <c r="N1634" t="str">
        <f>IF(COUNTIF(course_data[course_id],role_course_map[[#This Row],[course_id]])=0, "INVALID","VALID")</f>
        <v>VALID</v>
      </c>
    </row>
    <row r="1635" spans="1:14" x14ac:dyDescent="0.35">
      <c r="A1635" t="s">
        <v>150</v>
      </c>
      <c r="B1635" s="5" t="str">
        <f>_xlfn.XLOOKUP(role_course_map[[#This Row],[role_id]], role_data[role_id], role_data[Role],"")</f>
        <v>Head of Performance Planning and Information</v>
      </c>
      <c r="C1635">
        <v>999090</v>
      </c>
      <c r="D1635" s="5" t="str">
        <f>_xlfn.XLOOKUP(role_course_map[[#This Row],[course_id]],course_data[course_id],course_data[title],"")</f>
        <v>Leading for the Future</v>
      </c>
      <c r="E1635" s="5" t="str">
        <f>_xlfn.XLOOKUP(role_course_map[[#This Row],[course_id]],course_data[course_id],course_data[topic],"")</f>
        <v>SAS: Staff development and experience</v>
      </c>
      <c r="F1635" s="5">
        <f>_xlfn.XLOOKUP(role_course_map[[#This Row],[course_id]],course_data[course_id],course_data[type],"")</f>
        <v>0</v>
      </c>
      <c r="K1635" t="str">
        <f>role_course_map[[#This Row],[role_id]] &amp; "|" &amp; role_course_map[[#This Row],[course_id]]</f>
        <v>R0069|999090</v>
      </c>
      <c r="L1635" t="str">
        <f>IF(COUNTIF(role_course_map[mapping_key],role_course_map[[#This Row],[mapping_key]])&gt;1,"DUPLICATE","OK")</f>
        <v>OK</v>
      </c>
      <c r="M1635" t="str">
        <f>IF(COUNTIF(role_data[role_id],role_course_map[[#This Row],[role_id]])=0, "INVALID","VALID")</f>
        <v>VALID</v>
      </c>
      <c r="N1635" t="str">
        <f>IF(COUNTIF(course_data[course_id],role_course_map[[#This Row],[course_id]])=0, "INVALID","VALID")</f>
        <v>VALID</v>
      </c>
    </row>
    <row r="1636" spans="1:14" x14ac:dyDescent="0.35">
      <c r="A1636" t="s">
        <v>148</v>
      </c>
      <c r="B1636" s="5" t="str">
        <f>_xlfn.XLOOKUP(role_course_map[[#This Row],[role_id]], role_data[role_id], role_data[Role],"")</f>
        <v>Head of Operational Delivery</v>
      </c>
      <c r="C1636">
        <v>999092</v>
      </c>
      <c r="D1636" s="5" t="str">
        <f>_xlfn.XLOOKUP(role_course_map[[#This Row],[course_id]],course_data[course_id],course_data[title],"")</f>
        <v>Health &amp; Wellbeing Awareness for Managers</v>
      </c>
      <c r="E1636" s="5" t="str">
        <f>_xlfn.XLOOKUP(role_course_map[[#This Row],[course_id]],course_data[course_id],course_data[topic],"")</f>
        <v>SAS: Staff development and experience</v>
      </c>
      <c r="F1636" s="5" t="str">
        <f>_xlfn.XLOOKUP(role_course_map[[#This Row],[course_id]],course_data[course_id],course_data[type],"")</f>
        <v>eLearning</v>
      </c>
      <c r="K1636" t="str">
        <f>role_course_map[[#This Row],[role_id]] &amp; "|" &amp; role_course_map[[#This Row],[course_id]]</f>
        <v>R0068|999092</v>
      </c>
      <c r="L1636" t="str">
        <f>IF(COUNTIF(role_course_map[mapping_key],role_course_map[[#This Row],[mapping_key]])&gt;1,"DUPLICATE","OK")</f>
        <v>OK</v>
      </c>
      <c r="M1636" t="str">
        <f>IF(COUNTIF(role_data[role_id],role_course_map[[#This Row],[role_id]])=0, "INVALID","VALID")</f>
        <v>VALID</v>
      </c>
      <c r="N1636" t="str">
        <f>IF(COUNTIF(course_data[course_id],role_course_map[[#This Row],[course_id]])=0, "INVALID","VALID")</f>
        <v>VALID</v>
      </c>
    </row>
    <row r="1637" spans="1:14" x14ac:dyDescent="0.35">
      <c r="A1637" t="s">
        <v>150</v>
      </c>
      <c r="B1637" s="5" t="str">
        <f>_xlfn.XLOOKUP(role_course_map[[#This Row],[role_id]], role_data[role_id], role_data[Role],"")</f>
        <v>Head of Performance Planning and Information</v>
      </c>
      <c r="C1637">
        <v>999093</v>
      </c>
      <c r="D1637" s="5" t="str">
        <f>_xlfn.XLOOKUP(role_course_map[[#This Row],[course_id]],course_data[course_id],course_data[title],"")</f>
        <v>Managing Wellbeing Refresher for Managers</v>
      </c>
      <c r="E1637" s="5" t="str">
        <f>_xlfn.XLOOKUP(role_course_map[[#This Row],[course_id]],course_data[course_id],course_data[topic],"")</f>
        <v>SAS: Staff development and experience</v>
      </c>
      <c r="F1637" s="5" t="str">
        <f>_xlfn.XLOOKUP(role_course_map[[#This Row],[course_id]],course_data[course_id],course_data[type],"")</f>
        <v>eLearning</v>
      </c>
      <c r="K1637" t="str">
        <f>role_course_map[[#This Row],[role_id]] &amp; "|" &amp; role_course_map[[#This Row],[course_id]]</f>
        <v>R0069|999093</v>
      </c>
      <c r="L1637" t="str">
        <f>IF(COUNTIF(role_course_map[mapping_key],role_course_map[[#This Row],[mapping_key]])&gt;1,"DUPLICATE","OK")</f>
        <v>OK</v>
      </c>
      <c r="M1637" t="str">
        <f>IF(COUNTIF(role_data[role_id],role_course_map[[#This Row],[role_id]])=0, "INVALID","VALID")</f>
        <v>VALID</v>
      </c>
      <c r="N1637" t="str">
        <f>IF(COUNTIF(course_data[course_id],role_course_map[[#This Row],[course_id]])=0, "INVALID","VALID")</f>
        <v>VALID</v>
      </c>
    </row>
    <row r="1638" spans="1:14" x14ac:dyDescent="0.35">
      <c r="A1638" t="s">
        <v>148</v>
      </c>
      <c r="B1638" s="5" t="str">
        <f>_xlfn.XLOOKUP(role_course_map[[#This Row],[role_id]], role_data[role_id], role_data[Role],"")</f>
        <v>Head of Operational Delivery</v>
      </c>
      <c r="C1638">
        <v>999094</v>
      </c>
      <c r="D1638" s="5" t="str">
        <f>_xlfn.XLOOKUP(role_course_map[[#This Row],[course_id]],course_data[course_id],course_data[title],"")</f>
        <v>Being well, Mind, Body &amp; Workplace</v>
      </c>
      <c r="E1638" s="5" t="str">
        <f>_xlfn.XLOOKUP(role_course_map[[#This Row],[course_id]],course_data[course_id],course_data[topic],"")</f>
        <v>SAS: Staff development and experience</v>
      </c>
      <c r="F1638" s="5" t="str">
        <f>_xlfn.XLOOKUP(role_course_map[[#This Row],[course_id]],course_data[course_id],course_data[type],"")</f>
        <v>eLearning</v>
      </c>
      <c r="K1638" t="str">
        <f>role_course_map[[#This Row],[role_id]] &amp; "|" &amp; role_course_map[[#This Row],[course_id]]</f>
        <v>R0068|999094</v>
      </c>
      <c r="L1638" t="str">
        <f>IF(COUNTIF(role_course_map[mapping_key],role_course_map[[#This Row],[mapping_key]])&gt;1,"DUPLICATE","OK")</f>
        <v>OK</v>
      </c>
      <c r="M1638" t="str">
        <f>IF(COUNTIF(role_data[role_id],role_course_map[[#This Row],[role_id]])=0, "INVALID","VALID")</f>
        <v>VALID</v>
      </c>
      <c r="N1638" t="str">
        <f>IF(COUNTIF(course_data[course_id],role_course_map[[#This Row],[course_id]])=0, "INVALID","VALID")</f>
        <v>VALID</v>
      </c>
    </row>
    <row r="1639" spans="1:14" x14ac:dyDescent="0.35">
      <c r="A1639" t="s">
        <v>150</v>
      </c>
      <c r="B1639" s="5" t="str">
        <f>_xlfn.XLOOKUP(role_course_map[[#This Row],[role_id]], role_data[role_id], role_data[Role],"")</f>
        <v>Head of Performance Planning and Information</v>
      </c>
      <c r="C1639">
        <v>999062</v>
      </c>
      <c r="D1639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1639" s="5" t="str">
        <f>_xlfn.XLOOKUP(role_course_map[[#This Row],[course_id]],course_data[course_id],course_data[topic],"")</f>
        <v>SAS : Health and Safety</v>
      </c>
      <c r="F1639" s="5" t="str">
        <f>_xlfn.XLOOKUP(role_course_map[[#This Row],[course_id]],course_data[course_id],course_data[type],"")</f>
        <v>Course</v>
      </c>
      <c r="K1639" t="str">
        <f>role_course_map[[#This Row],[role_id]] &amp; "|" &amp; role_course_map[[#This Row],[course_id]]</f>
        <v>R0069|999062</v>
      </c>
      <c r="L1639" t="str">
        <f>IF(COUNTIF(role_course_map[mapping_key],role_course_map[[#This Row],[mapping_key]])&gt;1,"DUPLICATE","OK")</f>
        <v>OK</v>
      </c>
      <c r="M1639" t="str">
        <f>IF(COUNTIF(role_data[role_id],role_course_map[[#This Row],[role_id]])=0, "INVALID","VALID")</f>
        <v>VALID</v>
      </c>
      <c r="N1639" t="str">
        <f>IF(COUNTIF(course_data[course_id],role_course_map[[#This Row],[course_id]])=0, "INVALID","VALID")</f>
        <v>VALID</v>
      </c>
    </row>
    <row r="1640" spans="1:14" x14ac:dyDescent="0.35">
      <c r="A1640" t="s">
        <v>152</v>
      </c>
      <c r="B1640" s="5" t="str">
        <f>_xlfn.XLOOKUP(role_course_map[[#This Row],[role_id]], role_data[role_id], role_data[Role],"")</f>
        <v>Head of Scheduled Care</v>
      </c>
      <c r="C1640">
        <v>999058</v>
      </c>
      <c r="D1640" s="5" t="str">
        <f>_xlfn.XLOOKUP(role_course_map[[#This Row],[course_id]],course_data[course_id],course_data[title],"")</f>
        <v>Stress Identification &amp; Stress Management</v>
      </c>
      <c r="E1640" s="5" t="str">
        <f>_xlfn.XLOOKUP(role_course_map[[#This Row],[course_id]],course_data[course_id],course_data[topic],"")</f>
        <v>SAS : Health and Safety</v>
      </c>
      <c r="F1640" s="5" t="str">
        <f>_xlfn.XLOOKUP(role_course_map[[#This Row],[course_id]],course_data[course_id],course_data[type],"")</f>
        <v>eLearning</v>
      </c>
      <c r="K1640" t="str">
        <f>role_course_map[[#This Row],[role_id]] &amp; "|" &amp; role_course_map[[#This Row],[course_id]]</f>
        <v>R0070|999058</v>
      </c>
      <c r="L1640" t="str">
        <f>IF(COUNTIF(role_course_map[mapping_key],role_course_map[[#This Row],[mapping_key]])&gt;1,"DUPLICATE","OK")</f>
        <v>OK</v>
      </c>
      <c r="M1640" t="str">
        <f>IF(COUNTIF(role_data[role_id],role_course_map[[#This Row],[role_id]])=0, "INVALID","VALID")</f>
        <v>VALID</v>
      </c>
      <c r="N1640" t="str">
        <f>IF(COUNTIF(course_data[course_id],role_course_map[[#This Row],[course_id]])=0, "INVALID","VALID")</f>
        <v>VALID</v>
      </c>
    </row>
    <row r="1641" spans="1:14" x14ac:dyDescent="0.35">
      <c r="A1641" t="s">
        <v>152</v>
      </c>
      <c r="B1641" s="5" t="str">
        <f>_xlfn.XLOOKUP(role_course_map[[#This Row],[role_id]], role_data[role_id], role_data[Role],"")</f>
        <v>Head of Scheduled Care</v>
      </c>
      <c r="C1641">
        <v>79147</v>
      </c>
      <c r="D1641" s="5" t="str">
        <f>_xlfn.XLOOKUP(role_course_map[[#This Row],[course_id]],course_data[course_id],course_data[title],"")</f>
        <v>Driving risks at work</v>
      </c>
      <c r="E1641" s="5" t="str">
        <f>_xlfn.XLOOKUP(role_course_map[[#This Row],[course_id]],course_data[course_id],course_data[topic],"")</f>
        <v>SAS : Health and Safety</v>
      </c>
      <c r="F1641" s="5" t="str">
        <f>_xlfn.XLOOKUP(role_course_map[[#This Row],[course_id]],course_data[course_id],course_data[type],"")</f>
        <v>eLearning</v>
      </c>
      <c r="K1641" t="str">
        <f>role_course_map[[#This Row],[role_id]] &amp; "|" &amp; role_course_map[[#This Row],[course_id]]</f>
        <v>R0070|79147</v>
      </c>
      <c r="L1641" t="str">
        <f>IF(COUNTIF(role_course_map[mapping_key],role_course_map[[#This Row],[mapping_key]])&gt;1,"DUPLICATE","OK")</f>
        <v>OK</v>
      </c>
      <c r="M1641" t="str">
        <f>IF(COUNTIF(role_data[role_id],role_course_map[[#This Row],[role_id]])=0, "INVALID","VALID")</f>
        <v>VALID</v>
      </c>
      <c r="N1641" t="str">
        <f>IF(COUNTIF(course_data[course_id],role_course_map[[#This Row],[course_id]])=0, "INVALID","VALID")</f>
        <v>VALID</v>
      </c>
    </row>
    <row r="1642" spans="1:14" x14ac:dyDescent="0.35">
      <c r="A1642" t="s">
        <v>150</v>
      </c>
      <c r="B1642" s="5" t="str">
        <f>_xlfn.XLOOKUP(role_course_map[[#This Row],[role_id]], role_data[role_id], role_data[Role],"")</f>
        <v>Head of Performance Planning and Information</v>
      </c>
      <c r="C1642">
        <v>999057</v>
      </c>
      <c r="D1642" s="5" t="str">
        <f>_xlfn.XLOOKUP(role_course_map[[#This Row],[course_id]],course_data[course_id],course_data[title],"")</f>
        <v>Fatigue Awareness</v>
      </c>
      <c r="E1642" s="5" t="str">
        <f>_xlfn.XLOOKUP(role_course_map[[#This Row],[course_id]],course_data[course_id],course_data[topic],"")</f>
        <v>SAS : Health and Safety</v>
      </c>
      <c r="F1642" s="5" t="str">
        <f>_xlfn.XLOOKUP(role_course_map[[#This Row],[course_id]],course_data[course_id],course_data[type],"")</f>
        <v>eLearning</v>
      </c>
      <c r="K1642" t="str">
        <f>role_course_map[[#This Row],[role_id]] &amp; "|" &amp; role_course_map[[#This Row],[course_id]]</f>
        <v>R0069|999057</v>
      </c>
      <c r="L1642" t="str">
        <f>IF(COUNTIF(role_course_map[mapping_key],role_course_map[[#This Row],[mapping_key]])&gt;1,"DUPLICATE","OK")</f>
        <v>OK</v>
      </c>
      <c r="M1642" t="str">
        <f>IF(COUNTIF(role_data[role_id],role_course_map[[#This Row],[role_id]])=0, "INVALID","VALID")</f>
        <v>VALID</v>
      </c>
      <c r="N1642" t="str">
        <f>IF(COUNTIF(course_data[course_id],role_course_map[[#This Row],[course_id]])=0, "INVALID","VALID")</f>
        <v>VALID</v>
      </c>
    </row>
    <row r="1643" spans="1:14" x14ac:dyDescent="0.35">
      <c r="A1643" t="s">
        <v>152</v>
      </c>
      <c r="B1643" s="5" t="str">
        <f>_xlfn.XLOOKUP(role_course_map[[#This Row],[role_id]], role_data[role_id], role_data[Role],"")</f>
        <v>Head of Scheduled Care</v>
      </c>
      <c r="C1643">
        <v>999091</v>
      </c>
      <c r="D1643" s="5" t="str">
        <f>_xlfn.XLOOKUP(role_course_map[[#This Row],[course_id]],course_data[course_id],course_data[title],"")</f>
        <v>Intermediate Leadership Development Programme</v>
      </c>
      <c r="E1643" s="5" t="str">
        <f>_xlfn.XLOOKUP(role_course_map[[#This Row],[course_id]],course_data[course_id],course_data[topic],"")</f>
        <v>SAS: Staff development and experience</v>
      </c>
      <c r="F1643" s="5">
        <f>_xlfn.XLOOKUP(role_course_map[[#This Row],[course_id]],course_data[course_id],course_data[type],"")</f>
        <v>0</v>
      </c>
      <c r="K1643" t="str">
        <f>role_course_map[[#This Row],[role_id]] &amp; "|" &amp; role_course_map[[#This Row],[course_id]]</f>
        <v>R0070|999091</v>
      </c>
      <c r="L1643" t="str">
        <f>IF(COUNTIF(role_course_map[mapping_key],role_course_map[[#This Row],[mapping_key]])&gt;1,"DUPLICATE","OK")</f>
        <v>OK</v>
      </c>
      <c r="M1643" t="str">
        <f>IF(COUNTIF(role_data[role_id],role_course_map[[#This Row],[role_id]])=0, "INVALID","VALID")</f>
        <v>VALID</v>
      </c>
      <c r="N1643" t="str">
        <f>IF(COUNTIF(course_data[course_id],role_course_map[[#This Row],[course_id]])=0, "INVALID","VALID")</f>
        <v>VALID</v>
      </c>
    </row>
    <row r="1644" spans="1:14" x14ac:dyDescent="0.35">
      <c r="A1644" t="s">
        <v>152</v>
      </c>
      <c r="B1644" s="5" t="str">
        <f>_xlfn.XLOOKUP(role_course_map[[#This Row],[role_id]], role_data[role_id], role_data[Role],"")</f>
        <v>Head of Scheduled Care</v>
      </c>
      <c r="C1644">
        <v>999090</v>
      </c>
      <c r="D1644" s="5" t="str">
        <f>_xlfn.XLOOKUP(role_course_map[[#This Row],[course_id]],course_data[course_id],course_data[title],"")</f>
        <v>Leading for the Future</v>
      </c>
      <c r="E1644" s="5" t="str">
        <f>_xlfn.XLOOKUP(role_course_map[[#This Row],[course_id]],course_data[course_id],course_data[topic],"")</f>
        <v>SAS: Staff development and experience</v>
      </c>
      <c r="F1644" s="5">
        <f>_xlfn.XLOOKUP(role_course_map[[#This Row],[course_id]],course_data[course_id],course_data[type],"")</f>
        <v>0</v>
      </c>
      <c r="K1644" t="str">
        <f>role_course_map[[#This Row],[role_id]] &amp; "|" &amp; role_course_map[[#This Row],[course_id]]</f>
        <v>R0070|999090</v>
      </c>
      <c r="L1644" t="str">
        <f>IF(COUNTIF(role_course_map[mapping_key],role_course_map[[#This Row],[mapping_key]])&gt;1,"DUPLICATE","OK")</f>
        <v>OK</v>
      </c>
      <c r="M1644" t="str">
        <f>IF(COUNTIF(role_data[role_id],role_course_map[[#This Row],[role_id]])=0, "INVALID","VALID")</f>
        <v>VALID</v>
      </c>
      <c r="N1644" t="str">
        <f>IF(COUNTIF(course_data[course_id],role_course_map[[#This Row],[course_id]])=0, "INVALID","VALID")</f>
        <v>VALID</v>
      </c>
    </row>
    <row r="1645" spans="1:14" x14ac:dyDescent="0.35">
      <c r="A1645" t="s">
        <v>150</v>
      </c>
      <c r="B1645" s="5" t="str">
        <f>_xlfn.XLOOKUP(role_course_map[[#This Row],[role_id]], role_data[role_id], role_data[Role],"")</f>
        <v>Head of Performance Planning and Information</v>
      </c>
      <c r="C1645">
        <v>999092</v>
      </c>
      <c r="D1645" s="5" t="str">
        <f>_xlfn.XLOOKUP(role_course_map[[#This Row],[course_id]],course_data[course_id],course_data[title],"")</f>
        <v>Health &amp; Wellbeing Awareness for Managers</v>
      </c>
      <c r="E1645" s="5" t="str">
        <f>_xlfn.XLOOKUP(role_course_map[[#This Row],[course_id]],course_data[course_id],course_data[topic],"")</f>
        <v>SAS: Staff development and experience</v>
      </c>
      <c r="F1645" s="5" t="str">
        <f>_xlfn.XLOOKUP(role_course_map[[#This Row],[course_id]],course_data[course_id],course_data[type],"")</f>
        <v>eLearning</v>
      </c>
      <c r="K1645" t="str">
        <f>role_course_map[[#This Row],[role_id]] &amp; "|" &amp; role_course_map[[#This Row],[course_id]]</f>
        <v>R0069|999092</v>
      </c>
      <c r="L1645" t="str">
        <f>IF(COUNTIF(role_course_map[mapping_key],role_course_map[[#This Row],[mapping_key]])&gt;1,"DUPLICATE","OK")</f>
        <v>OK</v>
      </c>
      <c r="M1645" t="str">
        <f>IF(COUNTIF(role_data[role_id],role_course_map[[#This Row],[role_id]])=0, "INVALID","VALID")</f>
        <v>VALID</v>
      </c>
      <c r="N1645" t="str">
        <f>IF(COUNTIF(course_data[course_id],role_course_map[[#This Row],[course_id]])=0, "INVALID","VALID")</f>
        <v>VALID</v>
      </c>
    </row>
    <row r="1646" spans="1:14" x14ac:dyDescent="0.35">
      <c r="A1646" t="s">
        <v>152</v>
      </c>
      <c r="B1646" s="5" t="str">
        <f>_xlfn.XLOOKUP(role_course_map[[#This Row],[role_id]], role_data[role_id], role_data[Role],"")</f>
        <v>Head of Scheduled Care</v>
      </c>
      <c r="C1646">
        <v>999093</v>
      </c>
      <c r="D1646" s="5" t="str">
        <f>_xlfn.XLOOKUP(role_course_map[[#This Row],[course_id]],course_data[course_id],course_data[title],"")</f>
        <v>Managing Wellbeing Refresher for Managers</v>
      </c>
      <c r="E1646" s="5" t="str">
        <f>_xlfn.XLOOKUP(role_course_map[[#This Row],[course_id]],course_data[course_id],course_data[topic],"")</f>
        <v>SAS: Staff development and experience</v>
      </c>
      <c r="F1646" s="5" t="str">
        <f>_xlfn.XLOOKUP(role_course_map[[#This Row],[course_id]],course_data[course_id],course_data[type],"")</f>
        <v>eLearning</v>
      </c>
      <c r="K1646" t="str">
        <f>role_course_map[[#This Row],[role_id]] &amp; "|" &amp; role_course_map[[#This Row],[course_id]]</f>
        <v>R0070|999093</v>
      </c>
      <c r="L1646" t="str">
        <f>IF(COUNTIF(role_course_map[mapping_key],role_course_map[[#This Row],[mapping_key]])&gt;1,"DUPLICATE","OK")</f>
        <v>OK</v>
      </c>
      <c r="M1646" t="str">
        <f>IF(COUNTIF(role_data[role_id],role_course_map[[#This Row],[role_id]])=0, "INVALID","VALID")</f>
        <v>VALID</v>
      </c>
      <c r="N1646" t="str">
        <f>IF(COUNTIF(course_data[course_id],role_course_map[[#This Row],[course_id]])=0, "INVALID","VALID")</f>
        <v>VALID</v>
      </c>
    </row>
    <row r="1647" spans="1:14" x14ac:dyDescent="0.35">
      <c r="A1647" t="s">
        <v>150</v>
      </c>
      <c r="B1647" s="5" t="str">
        <f>_xlfn.XLOOKUP(role_course_map[[#This Row],[role_id]], role_data[role_id], role_data[Role],"")</f>
        <v>Head of Performance Planning and Information</v>
      </c>
      <c r="C1647">
        <v>999094</v>
      </c>
      <c r="D1647" s="5" t="str">
        <f>_xlfn.XLOOKUP(role_course_map[[#This Row],[course_id]],course_data[course_id],course_data[title],"")</f>
        <v>Being well, Mind, Body &amp; Workplace</v>
      </c>
      <c r="E1647" s="5" t="str">
        <f>_xlfn.XLOOKUP(role_course_map[[#This Row],[course_id]],course_data[course_id],course_data[topic],"")</f>
        <v>SAS: Staff development and experience</v>
      </c>
      <c r="F1647" s="5" t="str">
        <f>_xlfn.XLOOKUP(role_course_map[[#This Row],[course_id]],course_data[course_id],course_data[type],"")</f>
        <v>eLearning</v>
      </c>
      <c r="K1647" t="str">
        <f>role_course_map[[#This Row],[role_id]] &amp; "|" &amp; role_course_map[[#This Row],[course_id]]</f>
        <v>R0069|999094</v>
      </c>
      <c r="L1647" t="str">
        <f>IF(COUNTIF(role_course_map[mapping_key],role_course_map[[#This Row],[mapping_key]])&gt;1,"DUPLICATE","OK")</f>
        <v>OK</v>
      </c>
      <c r="M1647" t="str">
        <f>IF(COUNTIF(role_data[role_id],role_course_map[[#This Row],[role_id]])=0, "INVALID","VALID")</f>
        <v>VALID</v>
      </c>
      <c r="N1647" t="str">
        <f>IF(COUNTIF(course_data[course_id],role_course_map[[#This Row],[course_id]])=0, "INVALID","VALID")</f>
        <v>VALID</v>
      </c>
    </row>
    <row r="1648" spans="1:14" x14ac:dyDescent="0.35">
      <c r="A1648" t="s">
        <v>152</v>
      </c>
      <c r="B1648" s="5" t="str">
        <f>_xlfn.XLOOKUP(role_course_map[[#This Row],[role_id]], role_data[role_id], role_data[Role],"")</f>
        <v>Head of Scheduled Care</v>
      </c>
      <c r="C1648">
        <v>999062</v>
      </c>
      <c r="D1648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1648" s="5" t="str">
        <f>_xlfn.XLOOKUP(role_course_map[[#This Row],[course_id]],course_data[course_id],course_data[topic],"")</f>
        <v>SAS : Health and Safety</v>
      </c>
      <c r="F1648" s="5" t="str">
        <f>_xlfn.XLOOKUP(role_course_map[[#This Row],[course_id]],course_data[course_id],course_data[type],"")</f>
        <v>Course</v>
      </c>
      <c r="K1648" t="str">
        <f>role_course_map[[#This Row],[role_id]] &amp; "|" &amp; role_course_map[[#This Row],[course_id]]</f>
        <v>R0070|999062</v>
      </c>
      <c r="L1648" t="str">
        <f>IF(COUNTIF(role_course_map[mapping_key],role_course_map[[#This Row],[mapping_key]])&gt;1,"DUPLICATE","OK")</f>
        <v>OK</v>
      </c>
      <c r="M1648" t="str">
        <f>IF(COUNTIF(role_data[role_id],role_course_map[[#This Row],[role_id]])=0, "INVALID","VALID")</f>
        <v>VALID</v>
      </c>
      <c r="N1648" t="str">
        <f>IF(COUNTIF(course_data[course_id],role_course_map[[#This Row],[course_id]])=0, "INVALID","VALID")</f>
        <v>VALID</v>
      </c>
    </row>
    <row r="1649" spans="1:14" x14ac:dyDescent="0.35">
      <c r="A1649" t="s">
        <v>282</v>
      </c>
      <c r="B1649" s="5" t="str">
        <f>_xlfn.XLOOKUP(role_course_map[[#This Row],[role_id]], role_data[role_id], role_data[Role],"")</f>
        <v>Head of Air Ambulance Service</v>
      </c>
      <c r="C1649">
        <v>999058</v>
      </c>
      <c r="D1649" s="5" t="str">
        <f>_xlfn.XLOOKUP(role_course_map[[#This Row],[course_id]],course_data[course_id],course_data[title],"")</f>
        <v>Stress Identification &amp; Stress Management</v>
      </c>
      <c r="E1649" s="5" t="str">
        <f>_xlfn.XLOOKUP(role_course_map[[#This Row],[course_id]],course_data[course_id],course_data[topic],"")</f>
        <v>SAS : Health and Safety</v>
      </c>
      <c r="F1649" s="5" t="str">
        <f>_xlfn.XLOOKUP(role_course_map[[#This Row],[course_id]],course_data[course_id],course_data[type],"")</f>
        <v>eLearning</v>
      </c>
      <c r="K1649" t="str">
        <f>role_course_map[[#This Row],[role_id]] &amp; "|" &amp; role_course_map[[#This Row],[course_id]]</f>
        <v>R0135|999058</v>
      </c>
      <c r="L1649" t="str">
        <f>IF(COUNTIF(role_course_map[mapping_key],role_course_map[[#This Row],[mapping_key]])&gt;1,"DUPLICATE","OK")</f>
        <v>OK</v>
      </c>
      <c r="M1649" t="str">
        <f>IF(COUNTIF(role_data[role_id],role_course_map[[#This Row],[role_id]])=0, "INVALID","VALID")</f>
        <v>VALID</v>
      </c>
      <c r="N1649" t="str">
        <f>IF(COUNTIF(course_data[course_id],role_course_map[[#This Row],[course_id]])=0, "INVALID","VALID")</f>
        <v>VALID</v>
      </c>
    </row>
    <row r="1650" spans="1:14" x14ac:dyDescent="0.35">
      <c r="A1650" t="s">
        <v>282</v>
      </c>
      <c r="B1650" s="5" t="str">
        <f>_xlfn.XLOOKUP(role_course_map[[#This Row],[role_id]], role_data[role_id], role_data[Role],"")</f>
        <v>Head of Air Ambulance Service</v>
      </c>
      <c r="C1650">
        <v>79147</v>
      </c>
      <c r="D1650" s="5" t="str">
        <f>_xlfn.XLOOKUP(role_course_map[[#This Row],[course_id]],course_data[course_id],course_data[title],"")</f>
        <v>Driving risks at work</v>
      </c>
      <c r="E1650" s="5" t="str">
        <f>_xlfn.XLOOKUP(role_course_map[[#This Row],[course_id]],course_data[course_id],course_data[topic],"")</f>
        <v>SAS : Health and Safety</v>
      </c>
      <c r="F1650" s="5" t="str">
        <f>_xlfn.XLOOKUP(role_course_map[[#This Row],[course_id]],course_data[course_id],course_data[type],"")</f>
        <v>eLearning</v>
      </c>
      <c r="K1650" t="str">
        <f>role_course_map[[#This Row],[role_id]] &amp; "|" &amp; role_course_map[[#This Row],[course_id]]</f>
        <v>R0135|79147</v>
      </c>
      <c r="L1650" t="str">
        <f>IF(COUNTIF(role_course_map[mapping_key],role_course_map[[#This Row],[mapping_key]])&gt;1,"DUPLICATE","OK")</f>
        <v>OK</v>
      </c>
      <c r="M1650" t="str">
        <f>IF(COUNTIF(role_data[role_id],role_course_map[[#This Row],[role_id]])=0, "INVALID","VALID")</f>
        <v>VALID</v>
      </c>
      <c r="N1650" t="str">
        <f>IF(COUNTIF(course_data[course_id],role_course_map[[#This Row],[course_id]])=0, "INVALID","VALID")</f>
        <v>VALID</v>
      </c>
    </row>
    <row r="1651" spans="1:14" x14ac:dyDescent="0.35">
      <c r="A1651" t="s">
        <v>152</v>
      </c>
      <c r="B1651" s="5" t="str">
        <f>_xlfn.XLOOKUP(role_course_map[[#This Row],[role_id]], role_data[role_id], role_data[Role],"")</f>
        <v>Head of Scheduled Care</v>
      </c>
      <c r="C1651">
        <v>999057</v>
      </c>
      <c r="D1651" s="5" t="str">
        <f>_xlfn.XLOOKUP(role_course_map[[#This Row],[course_id]],course_data[course_id],course_data[title],"")</f>
        <v>Fatigue Awareness</v>
      </c>
      <c r="E1651" s="5" t="str">
        <f>_xlfn.XLOOKUP(role_course_map[[#This Row],[course_id]],course_data[course_id],course_data[topic],"")</f>
        <v>SAS : Health and Safety</v>
      </c>
      <c r="F1651" s="5" t="str">
        <f>_xlfn.XLOOKUP(role_course_map[[#This Row],[course_id]],course_data[course_id],course_data[type],"")</f>
        <v>eLearning</v>
      </c>
      <c r="K1651" t="str">
        <f>role_course_map[[#This Row],[role_id]] &amp; "|" &amp; role_course_map[[#This Row],[course_id]]</f>
        <v>R0070|999057</v>
      </c>
      <c r="L1651" t="str">
        <f>IF(COUNTIF(role_course_map[mapping_key],role_course_map[[#This Row],[mapping_key]])&gt;1,"DUPLICATE","OK")</f>
        <v>OK</v>
      </c>
      <c r="M1651" t="str">
        <f>IF(COUNTIF(role_data[role_id],role_course_map[[#This Row],[role_id]])=0, "INVALID","VALID")</f>
        <v>VALID</v>
      </c>
      <c r="N1651" t="str">
        <f>IF(COUNTIF(course_data[course_id],role_course_map[[#This Row],[course_id]])=0, "INVALID","VALID")</f>
        <v>VALID</v>
      </c>
    </row>
    <row r="1652" spans="1:14" x14ac:dyDescent="0.35">
      <c r="A1652" t="s">
        <v>282</v>
      </c>
      <c r="B1652" s="5" t="str">
        <f>_xlfn.XLOOKUP(role_course_map[[#This Row],[role_id]], role_data[role_id], role_data[Role],"")</f>
        <v>Head of Air Ambulance Service</v>
      </c>
      <c r="C1652">
        <v>999091</v>
      </c>
      <c r="D1652" s="5" t="str">
        <f>_xlfn.XLOOKUP(role_course_map[[#This Row],[course_id]],course_data[course_id],course_data[title],"")</f>
        <v>Intermediate Leadership Development Programme</v>
      </c>
      <c r="E1652" s="5" t="str">
        <f>_xlfn.XLOOKUP(role_course_map[[#This Row],[course_id]],course_data[course_id],course_data[topic],"")</f>
        <v>SAS: Staff development and experience</v>
      </c>
      <c r="F1652" s="5">
        <f>_xlfn.XLOOKUP(role_course_map[[#This Row],[course_id]],course_data[course_id],course_data[type],"")</f>
        <v>0</v>
      </c>
      <c r="K1652" t="str">
        <f>role_course_map[[#This Row],[role_id]] &amp; "|" &amp; role_course_map[[#This Row],[course_id]]</f>
        <v>R0135|999091</v>
      </c>
      <c r="L1652" t="str">
        <f>IF(COUNTIF(role_course_map[mapping_key],role_course_map[[#This Row],[mapping_key]])&gt;1,"DUPLICATE","OK")</f>
        <v>OK</v>
      </c>
      <c r="M1652" t="str">
        <f>IF(COUNTIF(role_data[role_id],role_course_map[[#This Row],[role_id]])=0, "INVALID","VALID")</f>
        <v>VALID</v>
      </c>
      <c r="N1652" t="str">
        <f>IF(COUNTIF(course_data[course_id],role_course_map[[#This Row],[course_id]])=0, "INVALID","VALID")</f>
        <v>VALID</v>
      </c>
    </row>
    <row r="1653" spans="1:14" x14ac:dyDescent="0.35">
      <c r="A1653" t="s">
        <v>282</v>
      </c>
      <c r="B1653" s="5" t="str">
        <f>_xlfn.XLOOKUP(role_course_map[[#This Row],[role_id]], role_data[role_id], role_data[Role],"")</f>
        <v>Head of Air Ambulance Service</v>
      </c>
      <c r="C1653">
        <v>999090</v>
      </c>
      <c r="D1653" s="5" t="str">
        <f>_xlfn.XLOOKUP(role_course_map[[#This Row],[course_id]],course_data[course_id],course_data[title],"")</f>
        <v>Leading for the Future</v>
      </c>
      <c r="E1653" s="5" t="str">
        <f>_xlfn.XLOOKUP(role_course_map[[#This Row],[course_id]],course_data[course_id],course_data[topic],"")</f>
        <v>SAS: Staff development and experience</v>
      </c>
      <c r="F1653" s="5">
        <f>_xlfn.XLOOKUP(role_course_map[[#This Row],[course_id]],course_data[course_id],course_data[type],"")</f>
        <v>0</v>
      </c>
      <c r="K1653" t="str">
        <f>role_course_map[[#This Row],[role_id]] &amp; "|" &amp; role_course_map[[#This Row],[course_id]]</f>
        <v>R0135|999090</v>
      </c>
      <c r="L1653" t="str">
        <f>IF(COUNTIF(role_course_map[mapping_key],role_course_map[[#This Row],[mapping_key]])&gt;1,"DUPLICATE","OK")</f>
        <v>OK</v>
      </c>
      <c r="M1653" t="str">
        <f>IF(COUNTIF(role_data[role_id],role_course_map[[#This Row],[role_id]])=0, "INVALID","VALID")</f>
        <v>VALID</v>
      </c>
      <c r="N1653" t="str">
        <f>IF(COUNTIF(course_data[course_id],role_course_map[[#This Row],[course_id]])=0, "INVALID","VALID")</f>
        <v>VALID</v>
      </c>
    </row>
    <row r="1654" spans="1:14" x14ac:dyDescent="0.35">
      <c r="A1654" t="s">
        <v>152</v>
      </c>
      <c r="B1654" s="5" t="str">
        <f>_xlfn.XLOOKUP(role_course_map[[#This Row],[role_id]], role_data[role_id], role_data[Role],"")</f>
        <v>Head of Scheduled Care</v>
      </c>
      <c r="C1654">
        <v>999092</v>
      </c>
      <c r="D1654" s="5" t="str">
        <f>_xlfn.XLOOKUP(role_course_map[[#This Row],[course_id]],course_data[course_id],course_data[title],"")</f>
        <v>Health &amp; Wellbeing Awareness for Managers</v>
      </c>
      <c r="E1654" s="5" t="str">
        <f>_xlfn.XLOOKUP(role_course_map[[#This Row],[course_id]],course_data[course_id],course_data[topic],"")</f>
        <v>SAS: Staff development and experience</v>
      </c>
      <c r="F1654" s="5" t="str">
        <f>_xlfn.XLOOKUP(role_course_map[[#This Row],[course_id]],course_data[course_id],course_data[type],"")</f>
        <v>eLearning</v>
      </c>
      <c r="K1654" t="str">
        <f>role_course_map[[#This Row],[role_id]] &amp; "|" &amp; role_course_map[[#This Row],[course_id]]</f>
        <v>R0070|999092</v>
      </c>
      <c r="L1654" t="str">
        <f>IF(COUNTIF(role_course_map[mapping_key],role_course_map[[#This Row],[mapping_key]])&gt;1,"DUPLICATE","OK")</f>
        <v>OK</v>
      </c>
      <c r="M1654" t="str">
        <f>IF(COUNTIF(role_data[role_id],role_course_map[[#This Row],[role_id]])=0, "INVALID","VALID")</f>
        <v>VALID</v>
      </c>
      <c r="N1654" t="str">
        <f>IF(COUNTIF(course_data[course_id],role_course_map[[#This Row],[course_id]])=0, "INVALID","VALID")</f>
        <v>VALID</v>
      </c>
    </row>
    <row r="1655" spans="1:14" x14ac:dyDescent="0.35">
      <c r="A1655" t="s">
        <v>282</v>
      </c>
      <c r="B1655" s="5" t="str">
        <f>_xlfn.XLOOKUP(role_course_map[[#This Row],[role_id]], role_data[role_id], role_data[Role],"")</f>
        <v>Head of Air Ambulance Service</v>
      </c>
      <c r="C1655">
        <v>999093</v>
      </c>
      <c r="D1655" s="5" t="str">
        <f>_xlfn.XLOOKUP(role_course_map[[#This Row],[course_id]],course_data[course_id],course_data[title],"")</f>
        <v>Managing Wellbeing Refresher for Managers</v>
      </c>
      <c r="E1655" s="5" t="str">
        <f>_xlfn.XLOOKUP(role_course_map[[#This Row],[course_id]],course_data[course_id],course_data[topic],"")</f>
        <v>SAS: Staff development and experience</v>
      </c>
      <c r="F1655" s="5" t="str">
        <f>_xlfn.XLOOKUP(role_course_map[[#This Row],[course_id]],course_data[course_id],course_data[type],"")</f>
        <v>eLearning</v>
      </c>
      <c r="K1655" t="str">
        <f>role_course_map[[#This Row],[role_id]] &amp; "|" &amp; role_course_map[[#This Row],[course_id]]</f>
        <v>R0135|999093</v>
      </c>
      <c r="L1655" t="str">
        <f>IF(COUNTIF(role_course_map[mapping_key],role_course_map[[#This Row],[mapping_key]])&gt;1,"DUPLICATE","OK")</f>
        <v>OK</v>
      </c>
      <c r="M1655" t="str">
        <f>IF(COUNTIF(role_data[role_id],role_course_map[[#This Row],[role_id]])=0, "INVALID","VALID")</f>
        <v>VALID</v>
      </c>
      <c r="N1655" t="str">
        <f>IF(COUNTIF(course_data[course_id],role_course_map[[#This Row],[course_id]])=0, "INVALID","VALID")</f>
        <v>VALID</v>
      </c>
    </row>
    <row r="1656" spans="1:14" x14ac:dyDescent="0.35">
      <c r="A1656" t="s">
        <v>152</v>
      </c>
      <c r="B1656" s="5" t="str">
        <f>_xlfn.XLOOKUP(role_course_map[[#This Row],[role_id]], role_data[role_id], role_data[Role],"")</f>
        <v>Head of Scheduled Care</v>
      </c>
      <c r="C1656">
        <v>999094</v>
      </c>
      <c r="D1656" s="5" t="str">
        <f>_xlfn.XLOOKUP(role_course_map[[#This Row],[course_id]],course_data[course_id],course_data[title],"")</f>
        <v>Being well, Mind, Body &amp; Workplace</v>
      </c>
      <c r="E1656" s="5" t="str">
        <f>_xlfn.XLOOKUP(role_course_map[[#This Row],[course_id]],course_data[course_id],course_data[topic],"")</f>
        <v>SAS: Staff development and experience</v>
      </c>
      <c r="F1656" s="5" t="str">
        <f>_xlfn.XLOOKUP(role_course_map[[#This Row],[course_id]],course_data[course_id],course_data[type],"")</f>
        <v>eLearning</v>
      </c>
      <c r="K1656" t="str">
        <f>role_course_map[[#This Row],[role_id]] &amp; "|" &amp; role_course_map[[#This Row],[course_id]]</f>
        <v>R0070|999094</v>
      </c>
      <c r="L1656" t="str">
        <f>IF(COUNTIF(role_course_map[mapping_key],role_course_map[[#This Row],[mapping_key]])&gt;1,"DUPLICATE","OK")</f>
        <v>OK</v>
      </c>
      <c r="M1656" t="str">
        <f>IF(COUNTIF(role_data[role_id],role_course_map[[#This Row],[role_id]])=0, "INVALID","VALID")</f>
        <v>VALID</v>
      </c>
      <c r="N1656" t="str">
        <f>IF(COUNTIF(course_data[course_id],role_course_map[[#This Row],[course_id]])=0, "INVALID","VALID")</f>
        <v>VALID</v>
      </c>
    </row>
    <row r="1657" spans="1:14" x14ac:dyDescent="0.35">
      <c r="A1657" t="s">
        <v>282</v>
      </c>
      <c r="B1657" s="5" t="str">
        <f>_xlfn.XLOOKUP(role_course_map[[#This Row],[role_id]], role_data[role_id], role_data[Role],"")</f>
        <v>Head of Air Ambulance Service</v>
      </c>
      <c r="C1657">
        <v>999062</v>
      </c>
      <c r="D1657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1657" s="5" t="str">
        <f>_xlfn.XLOOKUP(role_course_map[[#This Row],[course_id]],course_data[course_id],course_data[topic],"")</f>
        <v>SAS : Health and Safety</v>
      </c>
      <c r="F1657" s="5" t="str">
        <f>_xlfn.XLOOKUP(role_course_map[[#This Row],[course_id]],course_data[course_id],course_data[type],"")</f>
        <v>Course</v>
      </c>
      <c r="K1657" t="str">
        <f>role_course_map[[#This Row],[role_id]] &amp; "|" &amp; role_course_map[[#This Row],[course_id]]</f>
        <v>R0135|999062</v>
      </c>
      <c r="L1657" t="str">
        <f>IF(COUNTIF(role_course_map[mapping_key],role_course_map[[#This Row],[mapping_key]])&gt;1,"DUPLICATE","OK")</f>
        <v>OK</v>
      </c>
      <c r="M1657" t="str">
        <f>IF(COUNTIF(role_data[role_id],role_course_map[[#This Row],[role_id]])=0, "INVALID","VALID")</f>
        <v>VALID</v>
      </c>
      <c r="N1657" t="str">
        <f>IF(COUNTIF(course_data[course_id],role_course_map[[#This Row],[course_id]])=0, "INVALID","VALID")</f>
        <v>VALID</v>
      </c>
    </row>
    <row r="1658" spans="1:14" x14ac:dyDescent="0.35">
      <c r="A1658" t="s">
        <v>284</v>
      </c>
      <c r="B1658" s="5" t="str">
        <f>_xlfn.XLOOKUP(role_course_map[[#This Row],[role_id]], role_data[role_id], role_data[Role],"")</f>
        <v>Head of ScotSTAR EMRS</v>
      </c>
      <c r="C1658">
        <v>999058</v>
      </c>
      <c r="D1658" s="5" t="str">
        <f>_xlfn.XLOOKUP(role_course_map[[#This Row],[course_id]],course_data[course_id],course_data[title],"")</f>
        <v>Stress Identification &amp; Stress Management</v>
      </c>
      <c r="E1658" s="5" t="str">
        <f>_xlfn.XLOOKUP(role_course_map[[#This Row],[course_id]],course_data[course_id],course_data[topic],"")</f>
        <v>SAS : Health and Safety</v>
      </c>
      <c r="F1658" s="5" t="str">
        <f>_xlfn.XLOOKUP(role_course_map[[#This Row],[course_id]],course_data[course_id],course_data[type],"")</f>
        <v>eLearning</v>
      </c>
      <c r="K1658" t="str">
        <f>role_course_map[[#This Row],[role_id]] &amp; "|" &amp; role_course_map[[#This Row],[course_id]]</f>
        <v>R0136|999058</v>
      </c>
      <c r="L1658" t="str">
        <f>IF(COUNTIF(role_course_map[mapping_key],role_course_map[[#This Row],[mapping_key]])&gt;1,"DUPLICATE","OK")</f>
        <v>OK</v>
      </c>
      <c r="M1658" t="str">
        <f>IF(COUNTIF(role_data[role_id],role_course_map[[#This Row],[role_id]])=0, "INVALID","VALID")</f>
        <v>VALID</v>
      </c>
      <c r="N1658" t="str">
        <f>IF(COUNTIF(course_data[course_id],role_course_map[[#This Row],[course_id]])=0, "INVALID","VALID")</f>
        <v>VALID</v>
      </c>
    </row>
    <row r="1659" spans="1:14" x14ac:dyDescent="0.35">
      <c r="A1659" t="s">
        <v>284</v>
      </c>
      <c r="B1659" s="5" t="str">
        <f>_xlfn.XLOOKUP(role_course_map[[#This Row],[role_id]], role_data[role_id], role_data[Role],"")</f>
        <v>Head of ScotSTAR EMRS</v>
      </c>
      <c r="C1659">
        <v>79147</v>
      </c>
      <c r="D1659" s="5" t="str">
        <f>_xlfn.XLOOKUP(role_course_map[[#This Row],[course_id]],course_data[course_id],course_data[title],"")</f>
        <v>Driving risks at work</v>
      </c>
      <c r="E1659" s="5" t="str">
        <f>_xlfn.XLOOKUP(role_course_map[[#This Row],[course_id]],course_data[course_id],course_data[topic],"")</f>
        <v>SAS : Health and Safety</v>
      </c>
      <c r="F1659" s="5" t="str">
        <f>_xlfn.XLOOKUP(role_course_map[[#This Row],[course_id]],course_data[course_id],course_data[type],"")</f>
        <v>eLearning</v>
      </c>
      <c r="K1659" t="str">
        <f>role_course_map[[#This Row],[role_id]] &amp; "|" &amp; role_course_map[[#This Row],[course_id]]</f>
        <v>R0136|79147</v>
      </c>
      <c r="L1659" t="str">
        <f>IF(COUNTIF(role_course_map[mapping_key],role_course_map[[#This Row],[mapping_key]])&gt;1,"DUPLICATE","OK")</f>
        <v>OK</v>
      </c>
      <c r="M1659" t="str">
        <f>IF(COUNTIF(role_data[role_id],role_course_map[[#This Row],[role_id]])=0, "INVALID","VALID")</f>
        <v>VALID</v>
      </c>
      <c r="N1659" t="str">
        <f>IF(COUNTIF(course_data[course_id],role_course_map[[#This Row],[course_id]])=0, "INVALID","VALID")</f>
        <v>VALID</v>
      </c>
    </row>
    <row r="1660" spans="1:14" x14ac:dyDescent="0.35">
      <c r="A1660" t="s">
        <v>282</v>
      </c>
      <c r="B1660" s="5" t="str">
        <f>_xlfn.XLOOKUP(role_course_map[[#This Row],[role_id]], role_data[role_id], role_data[Role],"")</f>
        <v>Head of Air Ambulance Service</v>
      </c>
      <c r="C1660">
        <v>999057</v>
      </c>
      <c r="D1660" s="5" t="str">
        <f>_xlfn.XLOOKUP(role_course_map[[#This Row],[course_id]],course_data[course_id],course_data[title],"")</f>
        <v>Fatigue Awareness</v>
      </c>
      <c r="E1660" s="5" t="str">
        <f>_xlfn.XLOOKUP(role_course_map[[#This Row],[course_id]],course_data[course_id],course_data[topic],"")</f>
        <v>SAS : Health and Safety</v>
      </c>
      <c r="F1660" s="5" t="str">
        <f>_xlfn.XLOOKUP(role_course_map[[#This Row],[course_id]],course_data[course_id],course_data[type],"")</f>
        <v>eLearning</v>
      </c>
      <c r="K1660" t="str">
        <f>role_course_map[[#This Row],[role_id]] &amp; "|" &amp; role_course_map[[#This Row],[course_id]]</f>
        <v>R0135|999057</v>
      </c>
      <c r="L1660" t="str">
        <f>IF(COUNTIF(role_course_map[mapping_key],role_course_map[[#This Row],[mapping_key]])&gt;1,"DUPLICATE","OK")</f>
        <v>OK</v>
      </c>
      <c r="M1660" t="str">
        <f>IF(COUNTIF(role_data[role_id],role_course_map[[#This Row],[role_id]])=0, "INVALID","VALID")</f>
        <v>VALID</v>
      </c>
      <c r="N1660" t="str">
        <f>IF(COUNTIF(course_data[course_id],role_course_map[[#This Row],[course_id]])=0, "INVALID","VALID")</f>
        <v>VALID</v>
      </c>
    </row>
    <row r="1661" spans="1:14" x14ac:dyDescent="0.35">
      <c r="A1661" t="s">
        <v>284</v>
      </c>
      <c r="B1661" s="5" t="str">
        <f>_xlfn.XLOOKUP(role_course_map[[#This Row],[role_id]], role_data[role_id], role_data[Role],"")</f>
        <v>Head of ScotSTAR EMRS</v>
      </c>
      <c r="C1661">
        <v>999091</v>
      </c>
      <c r="D1661" s="5" t="str">
        <f>_xlfn.XLOOKUP(role_course_map[[#This Row],[course_id]],course_data[course_id],course_data[title],"")</f>
        <v>Intermediate Leadership Development Programme</v>
      </c>
      <c r="E1661" s="5" t="str">
        <f>_xlfn.XLOOKUP(role_course_map[[#This Row],[course_id]],course_data[course_id],course_data[topic],"")</f>
        <v>SAS: Staff development and experience</v>
      </c>
      <c r="F1661" s="5">
        <f>_xlfn.XLOOKUP(role_course_map[[#This Row],[course_id]],course_data[course_id],course_data[type],"")</f>
        <v>0</v>
      </c>
      <c r="K1661" t="str">
        <f>role_course_map[[#This Row],[role_id]] &amp; "|" &amp; role_course_map[[#This Row],[course_id]]</f>
        <v>R0136|999091</v>
      </c>
      <c r="L1661" t="str">
        <f>IF(COUNTIF(role_course_map[mapping_key],role_course_map[[#This Row],[mapping_key]])&gt;1,"DUPLICATE","OK")</f>
        <v>OK</v>
      </c>
      <c r="M1661" t="str">
        <f>IF(COUNTIF(role_data[role_id],role_course_map[[#This Row],[role_id]])=0, "INVALID","VALID")</f>
        <v>VALID</v>
      </c>
      <c r="N1661" t="str">
        <f>IF(COUNTIF(course_data[course_id],role_course_map[[#This Row],[course_id]])=0, "INVALID","VALID")</f>
        <v>VALID</v>
      </c>
    </row>
    <row r="1662" spans="1:14" x14ac:dyDescent="0.35">
      <c r="A1662" t="s">
        <v>284</v>
      </c>
      <c r="B1662" s="5" t="str">
        <f>_xlfn.XLOOKUP(role_course_map[[#This Row],[role_id]], role_data[role_id], role_data[Role],"")</f>
        <v>Head of ScotSTAR EMRS</v>
      </c>
      <c r="C1662">
        <v>999090</v>
      </c>
      <c r="D1662" s="5" t="str">
        <f>_xlfn.XLOOKUP(role_course_map[[#This Row],[course_id]],course_data[course_id],course_data[title],"")</f>
        <v>Leading for the Future</v>
      </c>
      <c r="E1662" s="5" t="str">
        <f>_xlfn.XLOOKUP(role_course_map[[#This Row],[course_id]],course_data[course_id],course_data[topic],"")</f>
        <v>SAS: Staff development and experience</v>
      </c>
      <c r="F1662" s="5">
        <f>_xlfn.XLOOKUP(role_course_map[[#This Row],[course_id]],course_data[course_id],course_data[type],"")</f>
        <v>0</v>
      </c>
      <c r="K1662" t="str">
        <f>role_course_map[[#This Row],[role_id]] &amp; "|" &amp; role_course_map[[#This Row],[course_id]]</f>
        <v>R0136|999090</v>
      </c>
      <c r="L1662" t="str">
        <f>IF(COUNTIF(role_course_map[mapping_key],role_course_map[[#This Row],[mapping_key]])&gt;1,"DUPLICATE","OK")</f>
        <v>OK</v>
      </c>
      <c r="M1662" t="str">
        <f>IF(COUNTIF(role_data[role_id],role_course_map[[#This Row],[role_id]])=0, "INVALID","VALID")</f>
        <v>VALID</v>
      </c>
      <c r="N1662" t="str">
        <f>IF(COUNTIF(course_data[course_id],role_course_map[[#This Row],[course_id]])=0, "INVALID","VALID")</f>
        <v>VALID</v>
      </c>
    </row>
    <row r="1663" spans="1:14" x14ac:dyDescent="0.35">
      <c r="A1663" t="s">
        <v>282</v>
      </c>
      <c r="B1663" s="5" t="str">
        <f>_xlfn.XLOOKUP(role_course_map[[#This Row],[role_id]], role_data[role_id], role_data[Role],"")</f>
        <v>Head of Air Ambulance Service</v>
      </c>
      <c r="C1663">
        <v>999092</v>
      </c>
      <c r="D1663" s="5" t="str">
        <f>_xlfn.XLOOKUP(role_course_map[[#This Row],[course_id]],course_data[course_id],course_data[title],"")</f>
        <v>Health &amp; Wellbeing Awareness for Managers</v>
      </c>
      <c r="E1663" s="5" t="str">
        <f>_xlfn.XLOOKUP(role_course_map[[#This Row],[course_id]],course_data[course_id],course_data[topic],"")</f>
        <v>SAS: Staff development and experience</v>
      </c>
      <c r="F1663" s="5" t="str">
        <f>_xlfn.XLOOKUP(role_course_map[[#This Row],[course_id]],course_data[course_id],course_data[type],"")</f>
        <v>eLearning</v>
      </c>
      <c r="K1663" t="str">
        <f>role_course_map[[#This Row],[role_id]] &amp; "|" &amp; role_course_map[[#This Row],[course_id]]</f>
        <v>R0135|999092</v>
      </c>
      <c r="L1663" t="str">
        <f>IF(COUNTIF(role_course_map[mapping_key],role_course_map[[#This Row],[mapping_key]])&gt;1,"DUPLICATE","OK")</f>
        <v>OK</v>
      </c>
      <c r="M1663" t="str">
        <f>IF(COUNTIF(role_data[role_id],role_course_map[[#This Row],[role_id]])=0, "INVALID","VALID")</f>
        <v>VALID</v>
      </c>
      <c r="N1663" t="str">
        <f>IF(COUNTIF(course_data[course_id],role_course_map[[#This Row],[course_id]])=0, "INVALID","VALID")</f>
        <v>VALID</v>
      </c>
    </row>
    <row r="1664" spans="1:14" x14ac:dyDescent="0.35">
      <c r="A1664" t="s">
        <v>284</v>
      </c>
      <c r="B1664" s="5" t="str">
        <f>_xlfn.XLOOKUP(role_course_map[[#This Row],[role_id]], role_data[role_id], role_data[Role],"")</f>
        <v>Head of ScotSTAR EMRS</v>
      </c>
      <c r="C1664">
        <v>999093</v>
      </c>
      <c r="D1664" s="5" t="str">
        <f>_xlfn.XLOOKUP(role_course_map[[#This Row],[course_id]],course_data[course_id],course_data[title],"")</f>
        <v>Managing Wellbeing Refresher for Managers</v>
      </c>
      <c r="E1664" s="5" t="str">
        <f>_xlfn.XLOOKUP(role_course_map[[#This Row],[course_id]],course_data[course_id],course_data[topic],"")</f>
        <v>SAS: Staff development and experience</v>
      </c>
      <c r="F1664" s="5" t="str">
        <f>_xlfn.XLOOKUP(role_course_map[[#This Row],[course_id]],course_data[course_id],course_data[type],"")</f>
        <v>eLearning</v>
      </c>
      <c r="K1664" t="str">
        <f>role_course_map[[#This Row],[role_id]] &amp; "|" &amp; role_course_map[[#This Row],[course_id]]</f>
        <v>R0136|999093</v>
      </c>
      <c r="L1664" t="str">
        <f>IF(COUNTIF(role_course_map[mapping_key],role_course_map[[#This Row],[mapping_key]])&gt;1,"DUPLICATE","OK")</f>
        <v>OK</v>
      </c>
      <c r="M1664" t="str">
        <f>IF(COUNTIF(role_data[role_id],role_course_map[[#This Row],[role_id]])=0, "INVALID","VALID")</f>
        <v>VALID</v>
      </c>
      <c r="N1664" t="str">
        <f>IF(COUNTIF(course_data[course_id],role_course_map[[#This Row],[course_id]])=0, "INVALID","VALID")</f>
        <v>VALID</v>
      </c>
    </row>
    <row r="1665" spans="1:14" x14ac:dyDescent="0.35">
      <c r="A1665" t="s">
        <v>282</v>
      </c>
      <c r="B1665" s="5" t="str">
        <f>_xlfn.XLOOKUP(role_course_map[[#This Row],[role_id]], role_data[role_id], role_data[Role],"")</f>
        <v>Head of Air Ambulance Service</v>
      </c>
      <c r="C1665">
        <v>999094</v>
      </c>
      <c r="D1665" s="5" t="str">
        <f>_xlfn.XLOOKUP(role_course_map[[#This Row],[course_id]],course_data[course_id],course_data[title],"")</f>
        <v>Being well, Mind, Body &amp; Workplace</v>
      </c>
      <c r="E1665" s="5" t="str">
        <f>_xlfn.XLOOKUP(role_course_map[[#This Row],[course_id]],course_data[course_id],course_data[topic],"")</f>
        <v>SAS: Staff development and experience</v>
      </c>
      <c r="F1665" s="5" t="str">
        <f>_xlfn.XLOOKUP(role_course_map[[#This Row],[course_id]],course_data[course_id],course_data[type],"")</f>
        <v>eLearning</v>
      </c>
      <c r="K1665" t="str">
        <f>role_course_map[[#This Row],[role_id]] &amp; "|" &amp; role_course_map[[#This Row],[course_id]]</f>
        <v>R0135|999094</v>
      </c>
      <c r="L1665" t="str">
        <f>IF(COUNTIF(role_course_map[mapping_key],role_course_map[[#This Row],[mapping_key]])&gt;1,"DUPLICATE","OK")</f>
        <v>OK</v>
      </c>
      <c r="M1665" t="str">
        <f>IF(COUNTIF(role_data[role_id],role_course_map[[#This Row],[role_id]])=0, "INVALID","VALID")</f>
        <v>VALID</v>
      </c>
      <c r="N1665" t="str">
        <f>IF(COUNTIF(course_data[course_id],role_course_map[[#This Row],[course_id]])=0, "INVALID","VALID")</f>
        <v>VALID</v>
      </c>
    </row>
    <row r="1666" spans="1:14" x14ac:dyDescent="0.35">
      <c r="A1666" t="s">
        <v>284</v>
      </c>
      <c r="B1666" s="5" t="str">
        <f>_xlfn.XLOOKUP(role_course_map[[#This Row],[role_id]], role_data[role_id], role_data[Role],"")</f>
        <v>Head of ScotSTAR EMRS</v>
      </c>
      <c r="C1666">
        <v>999062</v>
      </c>
      <c r="D1666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1666" s="5" t="str">
        <f>_xlfn.XLOOKUP(role_course_map[[#This Row],[course_id]],course_data[course_id],course_data[topic],"")</f>
        <v>SAS : Health and Safety</v>
      </c>
      <c r="F1666" s="5" t="str">
        <f>_xlfn.XLOOKUP(role_course_map[[#This Row],[course_id]],course_data[course_id],course_data[type],"")</f>
        <v>Course</v>
      </c>
      <c r="K1666" t="str">
        <f>role_course_map[[#This Row],[role_id]] &amp; "|" &amp; role_course_map[[#This Row],[course_id]]</f>
        <v>R0136|999062</v>
      </c>
      <c r="L1666" t="str">
        <f>IF(COUNTIF(role_course_map[mapping_key],role_course_map[[#This Row],[mapping_key]])&gt;1,"DUPLICATE","OK")</f>
        <v>OK</v>
      </c>
      <c r="M1666" t="str">
        <f>IF(COUNTIF(role_data[role_id],role_course_map[[#This Row],[role_id]])=0, "INVALID","VALID")</f>
        <v>VALID</v>
      </c>
      <c r="N1666" t="str">
        <f>IF(COUNTIF(course_data[course_id],role_course_map[[#This Row],[course_id]])=0, "INVALID","VALID")</f>
        <v>VALID</v>
      </c>
    </row>
    <row r="1667" spans="1:14" x14ac:dyDescent="0.35">
      <c r="A1667" t="s">
        <v>286</v>
      </c>
      <c r="B1667" s="5" t="str">
        <f>_xlfn.XLOOKUP(role_course_map[[#This Row],[role_id]], role_data[role_id], role_data[Role],"")</f>
        <v>Head of ScotSTAR Paediatrics</v>
      </c>
      <c r="C1667">
        <v>999058</v>
      </c>
      <c r="D1667" s="5" t="str">
        <f>_xlfn.XLOOKUP(role_course_map[[#This Row],[course_id]],course_data[course_id],course_data[title],"")</f>
        <v>Stress Identification &amp; Stress Management</v>
      </c>
      <c r="E1667" s="5" t="str">
        <f>_xlfn.XLOOKUP(role_course_map[[#This Row],[course_id]],course_data[course_id],course_data[topic],"")</f>
        <v>SAS : Health and Safety</v>
      </c>
      <c r="F1667" s="5" t="str">
        <f>_xlfn.XLOOKUP(role_course_map[[#This Row],[course_id]],course_data[course_id],course_data[type],"")</f>
        <v>eLearning</v>
      </c>
      <c r="K1667" t="str">
        <f>role_course_map[[#This Row],[role_id]] &amp; "|" &amp; role_course_map[[#This Row],[course_id]]</f>
        <v>R0137|999058</v>
      </c>
      <c r="L1667" t="str">
        <f>IF(COUNTIF(role_course_map[mapping_key],role_course_map[[#This Row],[mapping_key]])&gt;1,"DUPLICATE","OK")</f>
        <v>OK</v>
      </c>
      <c r="M1667" t="str">
        <f>IF(COUNTIF(role_data[role_id],role_course_map[[#This Row],[role_id]])=0, "INVALID","VALID")</f>
        <v>VALID</v>
      </c>
      <c r="N1667" t="str">
        <f>IF(COUNTIF(course_data[course_id],role_course_map[[#This Row],[course_id]])=0, "INVALID","VALID")</f>
        <v>VALID</v>
      </c>
    </row>
    <row r="1668" spans="1:14" x14ac:dyDescent="0.35">
      <c r="A1668" t="s">
        <v>286</v>
      </c>
      <c r="B1668" s="5" t="str">
        <f>_xlfn.XLOOKUP(role_course_map[[#This Row],[role_id]], role_data[role_id], role_data[Role],"")</f>
        <v>Head of ScotSTAR Paediatrics</v>
      </c>
      <c r="C1668">
        <v>79147</v>
      </c>
      <c r="D1668" s="5" t="str">
        <f>_xlfn.XLOOKUP(role_course_map[[#This Row],[course_id]],course_data[course_id],course_data[title],"")</f>
        <v>Driving risks at work</v>
      </c>
      <c r="E1668" s="5" t="str">
        <f>_xlfn.XLOOKUP(role_course_map[[#This Row],[course_id]],course_data[course_id],course_data[topic],"")</f>
        <v>SAS : Health and Safety</v>
      </c>
      <c r="F1668" s="5" t="str">
        <f>_xlfn.XLOOKUP(role_course_map[[#This Row],[course_id]],course_data[course_id],course_data[type],"")</f>
        <v>eLearning</v>
      </c>
      <c r="K1668" t="str">
        <f>role_course_map[[#This Row],[role_id]] &amp; "|" &amp; role_course_map[[#This Row],[course_id]]</f>
        <v>R0137|79147</v>
      </c>
      <c r="L1668" t="str">
        <f>IF(COUNTIF(role_course_map[mapping_key],role_course_map[[#This Row],[mapping_key]])&gt;1,"DUPLICATE","OK")</f>
        <v>OK</v>
      </c>
      <c r="M1668" t="str">
        <f>IF(COUNTIF(role_data[role_id],role_course_map[[#This Row],[role_id]])=0, "INVALID","VALID")</f>
        <v>VALID</v>
      </c>
      <c r="N1668" t="str">
        <f>IF(COUNTIF(course_data[course_id],role_course_map[[#This Row],[course_id]])=0, "INVALID","VALID")</f>
        <v>VALID</v>
      </c>
    </row>
    <row r="1669" spans="1:14" x14ac:dyDescent="0.35">
      <c r="A1669" t="s">
        <v>284</v>
      </c>
      <c r="B1669" s="5" t="str">
        <f>_xlfn.XLOOKUP(role_course_map[[#This Row],[role_id]], role_data[role_id], role_data[Role],"")</f>
        <v>Head of ScotSTAR EMRS</v>
      </c>
      <c r="C1669">
        <v>999057</v>
      </c>
      <c r="D1669" s="5" t="str">
        <f>_xlfn.XLOOKUP(role_course_map[[#This Row],[course_id]],course_data[course_id],course_data[title],"")</f>
        <v>Fatigue Awareness</v>
      </c>
      <c r="E1669" s="5" t="str">
        <f>_xlfn.XLOOKUP(role_course_map[[#This Row],[course_id]],course_data[course_id],course_data[topic],"")</f>
        <v>SAS : Health and Safety</v>
      </c>
      <c r="F1669" s="5" t="str">
        <f>_xlfn.XLOOKUP(role_course_map[[#This Row],[course_id]],course_data[course_id],course_data[type],"")</f>
        <v>eLearning</v>
      </c>
      <c r="K1669" t="str">
        <f>role_course_map[[#This Row],[role_id]] &amp; "|" &amp; role_course_map[[#This Row],[course_id]]</f>
        <v>R0136|999057</v>
      </c>
      <c r="L1669" t="str">
        <f>IF(COUNTIF(role_course_map[mapping_key],role_course_map[[#This Row],[mapping_key]])&gt;1,"DUPLICATE","OK")</f>
        <v>OK</v>
      </c>
      <c r="M1669" t="str">
        <f>IF(COUNTIF(role_data[role_id],role_course_map[[#This Row],[role_id]])=0, "INVALID","VALID")</f>
        <v>VALID</v>
      </c>
      <c r="N1669" t="str">
        <f>IF(COUNTIF(course_data[course_id],role_course_map[[#This Row],[course_id]])=0, "INVALID","VALID")</f>
        <v>VALID</v>
      </c>
    </row>
    <row r="1670" spans="1:14" x14ac:dyDescent="0.35">
      <c r="A1670" t="s">
        <v>286</v>
      </c>
      <c r="B1670" s="5" t="str">
        <f>_xlfn.XLOOKUP(role_course_map[[#This Row],[role_id]], role_data[role_id], role_data[Role],"")</f>
        <v>Head of ScotSTAR Paediatrics</v>
      </c>
      <c r="C1670">
        <v>999091</v>
      </c>
      <c r="D1670" s="5" t="str">
        <f>_xlfn.XLOOKUP(role_course_map[[#This Row],[course_id]],course_data[course_id],course_data[title],"")</f>
        <v>Intermediate Leadership Development Programme</v>
      </c>
      <c r="E1670" s="5" t="str">
        <f>_xlfn.XLOOKUP(role_course_map[[#This Row],[course_id]],course_data[course_id],course_data[topic],"")</f>
        <v>SAS: Staff development and experience</v>
      </c>
      <c r="F1670" s="5">
        <f>_xlfn.XLOOKUP(role_course_map[[#This Row],[course_id]],course_data[course_id],course_data[type],"")</f>
        <v>0</v>
      </c>
      <c r="K1670" t="str">
        <f>role_course_map[[#This Row],[role_id]] &amp; "|" &amp; role_course_map[[#This Row],[course_id]]</f>
        <v>R0137|999091</v>
      </c>
      <c r="L1670" t="str">
        <f>IF(COUNTIF(role_course_map[mapping_key],role_course_map[[#This Row],[mapping_key]])&gt;1,"DUPLICATE","OK")</f>
        <v>OK</v>
      </c>
      <c r="M1670" t="str">
        <f>IF(COUNTIF(role_data[role_id],role_course_map[[#This Row],[role_id]])=0, "INVALID","VALID")</f>
        <v>VALID</v>
      </c>
      <c r="N1670" t="str">
        <f>IF(COUNTIF(course_data[course_id],role_course_map[[#This Row],[course_id]])=0, "INVALID","VALID")</f>
        <v>VALID</v>
      </c>
    </row>
    <row r="1671" spans="1:14" x14ac:dyDescent="0.35">
      <c r="A1671" t="s">
        <v>286</v>
      </c>
      <c r="B1671" s="5" t="str">
        <f>_xlfn.XLOOKUP(role_course_map[[#This Row],[role_id]], role_data[role_id], role_data[Role],"")</f>
        <v>Head of ScotSTAR Paediatrics</v>
      </c>
      <c r="C1671">
        <v>999090</v>
      </c>
      <c r="D1671" s="5" t="str">
        <f>_xlfn.XLOOKUP(role_course_map[[#This Row],[course_id]],course_data[course_id],course_data[title],"")</f>
        <v>Leading for the Future</v>
      </c>
      <c r="E1671" s="5" t="str">
        <f>_xlfn.XLOOKUP(role_course_map[[#This Row],[course_id]],course_data[course_id],course_data[topic],"")</f>
        <v>SAS: Staff development and experience</v>
      </c>
      <c r="F1671" s="5">
        <f>_xlfn.XLOOKUP(role_course_map[[#This Row],[course_id]],course_data[course_id],course_data[type],"")</f>
        <v>0</v>
      </c>
      <c r="K1671" t="str">
        <f>role_course_map[[#This Row],[role_id]] &amp; "|" &amp; role_course_map[[#This Row],[course_id]]</f>
        <v>R0137|999090</v>
      </c>
      <c r="L1671" t="str">
        <f>IF(COUNTIF(role_course_map[mapping_key],role_course_map[[#This Row],[mapping_key]])&gt;1,"DUPLICATE","OK")</f>
        <v>OK</v>
      </c>
      <c r="M1671" t="str">
        <f>IF(COUNTIF(role_data[role_id],role_course_map[[#This Row],[role_id]])=0, "INVALID","VALID")</f>
        <v>VALID</v>
      </c>
      <c r="N1671" t="str">
        <f>IF(COUNTIF(course_data[course_id],role_course_map[[#This Row],[course_id]])=0, "INVALID","VALID")</f>
        <v>VALID</v>
      </c>
    </row>
    <row r="1672" spans="1:14" x14ac:dyDescent="0.35">
      <c r="A1672" t="s">
        <v>284</v>
      </c>
      <c r="B1672" s="5" t="str">
        <f>_xlfn.XLOOKUP(role_course_map[[#This Row],[role_id]], role_data[role_id], role_data[Role],"")</f>
        <v>Head of ScotSTAR EMRS</v>
      </c>
      <c r="C1672">
        <v>999092</v>
      </c>
      <c r="D1672" s="5" t="str">
        <f>_xlfn.XLOOKUP(role_course_map[[#This Row],[course_id]],course_data[course_id],course_data[title],"")</f>
        <v>Health &amp; Wellbeing Awareness for Managers</v>
      </c>
      <c r="E1672" s="5" t="str">
        <f>_xlfn.XLOOKUP(role_course_map[[#This Row],[course_id]],course_data[course_id],course_data[topic],"")</f>
        <v>SAS: Staff development and experience</v>
      </c>
      <c r="F1672" s="5" t="str">
        <f>_xlfn.XLOOKUP(role_course_map[[#This Row],[course_id]],course_data[course_id],course_data[type],"")</f>
        <v>eLearning</v>
      </c>
      <c r="K1672" t="str">
        <f>role_course_map[[#This Row],[role_id]] &amp; "|" &amp; role_course_map[[#This Row],[course_id]]</f>
        <v>R0136|999092</v>
      </c>
      <c r="L1672" t="str">
        <f>IF(COUNTIF(role_course_map[mapping_key],role_course_map[[#This Row],[mapping_key]])&gt;1,"DUPLICATE","OK")</f>
        <v>OK</v>
      </c>
      <c r="M1672" t="str">
        <f>IF(COUNTIF(role_data[role_id],role_course_map[[#This Row],[role_id]])=0, "INVALID","VALID")</f>
        <v>VALID</v>
      </c>
      <c r="N1672" t="str">
        <f>IF(COUNTIF(course_data[course_id],role_course_map[[#This Row],[course_id]])=0, "INVALID","VALID")</f>
        <v>VALID</v>
      </c>
    </row>
    <row r="1673" spans="1:14" x14ac:dyDescent="0.35">
      <c r="A1673" t="s">
        <v>286</v>
      </c>
      <c r="B1673" s="5" t="str">
        <f>_xlfn.XLOOKUP(role_course_map[[#This Row],[role_id]], role_data[role_id], role_data[Role],"")</f>
        <v>Head of ScotSTAR Paediatrics</v>
      </c>
      <c r="C1673">
        <v>999093</v>
      </c>
      <c r="D1673" s="5" t="str">
        <f>_xlfn.XLOOKUP(role_course_map[[#This Row],[course_id]],course_data[course_id],course_data[title],"")</f>
        <v>Managing Wellbeing Refresher for Managers</v>
      </c>
      <c r="E1673" s="5" t="str">
        <f>_xlfn.XLOOKUP(role_course_map[[#This Row],[course_id]],course_data[course_id],course_data[topic],"")</f>
        <v>SAS: Staff development and experience</v>
      </c>
      <c r="F1673" s="5" t="str">
        <f>_xlfn.XLOOKUP(role_course_map[[#This Row],[course_id]],course_data[course_id],course_data[type],"")</f>
        <v>eLearning</v>
      </c>
      <c r="K1673" t="str">
        <f>role_course_map[[#This Row],[role_id]] &amp; "|" &amp; role_course_map[[#This Row],[course_id]]</f>
        <v>R0137|999093</v>
      </c>
      <c r="L1673" t="str">
        <f>IF(COUNTIF(role_course_map[mapping_key],role_course_map[[#This Row],[mapping_key]])&gt;1,"DUPLICATE","OK")</f>
        <v>OK</v>
      </c>
      <c r="M1673" t="str">
        <f>IF(COUNTIF(role_data[role_id],role_course_map[[#This Row],[role_id]])=0, "INVALID","VALID")</f>
        <v>VALID</v>
      </c>
      <c r="N1673" t="str">
        <f>IF(COUNTIF(course_data[course_id],role_course_map[[#This Row],[course_id]])=0, "INVALID","VALID")</f>
        <v>VALID</v>
      </c>
    </row>
    <row r="1674" spans="1:14" x14ac:dyDescent="0.35">
      <c r="A1674" t="s">
        <v>284</v>
      </c>
      <c r="B1674" s="5" t="str">
        <f>_xlfn.XLOOKUP(role_course_map[[#This Row],[role_id]], role_data[role_id], role_data[Role],"")</f>
        <v>Head of ScotSTAR EMRS</v>
      </c>
      <c r="C1674">
        <v>999094</v>
      </c>
      <c r="D1674" s="5" t="str">
        <f>_xlfn.XLOOKUP(role_course_map[[#This Row],[course_id]],course_data[course_id],course_data[title],"")</f>
        <v>Being well, Mind, Body &amp; Workplace</v>
      </c>
      <c r="E1674" s="5" t="str">
        <f>_xlfn.XLOOKUP(role_course_map[[#This Row],[course_id]],course_data[course_id],course_data[topic],"")</f>
        <v>SAS: Staff development and experience</v>
      </c>
      <c r="F1674" s="5" t="str">
        <f>_xlfn.XLOOKUP(role_course_map[[#This Row],[course_id]],course_data[course_id],course_data[type],"")</f>
        <v>eLearning</v>
      </c>
      <c r="K1674" t="str">
        <f>role_course_map[[#This Row],[role_id]] &amp; "|" &amp; role_course_map[[#This Row],[course_id]]</f>
        <v>R0136|999094</v>
      </c>
      <c r="L1674" t="str">
        <f>IF(COUNTIF(role_course_map[mapping_key],role_course_map[[#This Row],[mapping_key]])&gt;1,"DUPLICATE","OK")</f>
        <v>OK</v>
      </c>
      <c r="M1674" t="str">
        <f>IF(COUNTIF(role_data[role_id],role_course_map[[#This Row],[role_id]])=0, "INVALID","VALID")</f>
        <v>VALID</v>
      </c>
      <c r="N1674" t="str">
        <f>IF(COUNTIF(course_data[course_id],role_course_map[[#This Row],[course_id]])=0, "INVALID","VALID")</f>
        <v>VALID</v>
      </c>
    </row>
    <row r="1675" spans="1:14" x14ac:dyDescent="0.35">
      <c r="A1675" t="s">
        <v>286</v>
      </c>
      <c r="B1675" s="5" t="str">
        <f>_xlfn.XLOOKUP(role_course_map[[#This Row],[role_id]], role_data[role_id], role_data[Role],"")</f>
        <v>Head of ScotSTAR Paediatrics</v>
      </c>
      <c r="C1675">
        <v>999062</v>
      </c>
      <c r="D1675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1675" s="5" t="str">
        <f>_xlfn.XLOOKUP(role_course_map[[#This Row],[course_id]],course_data[course_id],course_data[topic],"")</f>
        <v>SAS : Health and Safety</v>
      </c>
      <c r="F1675" s="5" t="str">
        <f>_xlfn.XLOOKUP(role_course_map[[#This Row],[course_id]],course_data[course_id],course_data[type],"")</f>
        <v>Course</v>
      </c>
      <c r="K1675" t="str">
        <f>role_course_map[[#This Row],[role_id]] &amp; "|" &amp; role_course_map[[#This Row],[course_id]]</f>
        <v>R0137|999062</v>
      </c>
      <c r="L1675" t="str">
        <f>IF(COUNTIF(role_course_map[mapping_key],role_course_map[[#This Row],[mapping_key]])&gt;1,"DUPLICATE","OK")</f>
        <v>OK</v>
      </c>
      <c r="M1675" t="str">
        <f>IF(COUNTIF(role_data[role_id],role_course_map[[#This Row],[role_id]])=0, "INVALID","VALID")</f>
        <v>VALID</v>
      </c>
      <c r="N1675" t="str">
        <f>IF(COUNTIF(course_data[course_id],role_course_map[[#This Row],[course_id]])=0, "INVALID","VALID")</f>
        <v>VALID</v>
      </c>
    </row>
    <row r="1676" spans="1:14" x14ac:dyDescent="0.35">
      <c r="A1676" t="s">
        <v>398</v>
      </c>
      <c r="B1676" s="5" t="str">
        <f>_xlfn.XLOOKUP(role_course_map[[#This Row],[role_id]], role_data[role_id], role_data[Role],"")</f>
        <v>Head of Programmes</v>
      </c>
      <c r="C1676">
        <v>999058</v>
      </c>
      <c r="D1676" s="5" t="str">
        <f>_xlfn.XLOOKUP(role_course_map[[#This Row],[course_id]],course_data[course_id],course_data[title],"")</f>
        <v>Stress Identification &amp; Stress Management</v>
      </c>
      <c r="E1676" s="5" t="str">
        <f>_xlfn.XLOOKUP(role_course_map[[#This Row],[course_id]],course_data[course_id],course_data[topic],"")</f>
        <v>SAS : Health and Safety</v>
      </c>
      <c r="F1676" s="5" t="str">
        <f>_xlfn.XLOOKUP(role_course_map[[#This Row],[course_id]],course_data[course_id],course_data[type],"")</f>
        <v>eLearning</v>
      </c>
      <c r="K1676" t="str">
        <f>role_course_map[[#This Row],[role_id]] &amp; "|" &amp; role_course_map[[#This Row],[course_id]]</f>
        <v>R0189|999058</v>
      </c>
      <c r="L1676" t="str">
        <f>IF(COUNTIF(role_course_map[mapping_key],role_course_map[[#This Row],[mapping_key]])&gt;1,"DUPLICATE","OK")</f>
        <v>OK</v>
      </c>
      <c r="M1676" t="str">
        <f>IF(COUNTIF(role_data[role_id],role_course_map[[#This Row],[role_id]])=0, "INVALID","VALID")</f>
        <v>VALID</v>
      </c>
      <c r="N1676" t="str">
        <f>IF(COUNTIF(course_data[course_id],role_course_map[[#This Row],[course_id]])=0, "INVALID","VALID")</f>
        <v>VALID</v>
      </c>
    </row>
    <row r="1677" spans="1:14" x14ac:dyDescent="0.35">
      <c r="A1677" t="s">
        <v>398</v>
      </c>
      <c r="B1677" s="5" t="str">
        <f>_xlfn.XLOOKUP(role_course_map[[#This Row],[role_id]], role_data[role_id], role_data[Role],"")</f>
        <v>Head of Programmes</v>
      </c>
      <c r="C1677">
        <v>79147</v>
      </c>
      <c r="D1677" s="5" t="str">
        <f>_xlfn.XLOOKUP(role_course_map[[#This Row],[course_id]],course_data[course_id],course_data[title],"")</f>
        <v>Driving risks at work</v>
      </c>
      <c r="E1677" s="5" t="str">
        <f>_xlfn.XLOOKUP(role_course_map[[#This Row],[course_id]],course_data[course_id],course_data[topic],"")</f>
        <v>SAS : Health and Safety</v>
      </c>
      <c r="F1677" s="5" t="str">
        <f>_xlfn.XLOOKUP(role_course_map[[#This Row],[course_id]],course_data[course_id],course_data[type],"")</f>
        <v>eLearning</v>
      </c>
      <c r="K1677" t="str">
        <f>role_course_map[[#This Row],[role_id]] &amp; "|" &amp; role_course_map[[#This Row],[course_id]]</f>
        <v>R0189|79147</v>
      </c>
      <c r="L1677" t="str">
        <f>IF(COUNTIF(role_course_map[mapping_key],role_course_map[[#This Row],[mapping_key]])&gt;1,"DUPLICATE","OK")</f>
        <v>OK</v>
      </c>
      <c r="M1677" t="str">
        <f>IF(COUNTIF(role_data[role_id],role_course_map[[#This Row],[role_id]])=0, "INVALID","VALID")</f>
        <v>VALID</v>
      </c>
      <c r="N1677" t="str">
        <f>IF(COUNTIF(course_data[course_id],role_course_map[[#This Row],[course_id]])=0, "INVALID","VALID")</f>
        <v>VALID</v>
      </c>
    </row>
    <row r="1678" spans="1:14" x14ac:dyDescent="0.35">
      <c r="A1678" t="s">
        <v>286</v>
      </c>
      <c r="B1678" s="5" t="str">
        <f>_xlfn.XLOOKUP(role_course_map[[#This Row],[role_id]], role_data[role_id], role_data[Role],"")</f>
        <v>Head of ScotSTAR Paediatrics</v>
      </c>
      <c r="C1678">
        <v>999057</v>
      </c>
      <c r="D1678" s="5" t="str">
        <f>_xlfn.XLOOKUP(role_course_map[[#This Row],[course_id]],course_data[course_id],course_data[title],"")</f>
        <v>Fatigue Awareness</v>
      </c>
      <c r="E1678" s="5" t="str">
        <f>_xlfn.XLOOKUP(role_course_map[[#This Row],[course_id]],course_data[course_id],course_data[topic],"")</f>
        <v>SAS : Health and Safety</v>
      </c>
      <c r="F1678" s="5" t="str">
        <f>_xlfn.XLOOKUP(role_course_map[[#This Row],[course_id]],course_data[course_id],course_data[type],"")</f>
        <v>eLearning</v>
      </c>
      <c r="K1678" t="str">
        <f>role_course_map[[#This Row],[role_id]] &amp; "|" &amp; role_course_map[[#This Row],[course_id]]</f>
        <v>R0137|999057</v>
      </c>
      <c r="L1678" t="str">
        <f>IF(COUNTIF(role_course_map[mapping_key],role_course_map[[#This Row],[mapping_key]])&gt;1,"DUPLICATE","OK")</f>
        <v>OK</v>
      </c>
      <c r="M1678" t="str">
        <f>IF(COUNTIF(role_data[role_id],role_course_map[[#This Row],[role_id]])=0, "INVALID","VALID")</f>
        <v>VALID</v>
      </c>
      <c r="N1678" t="str">
        <f>IF(COUNTIF(course_data[course_id],role_course_map[[#This Row],[course_id]])=0, "INVALID","VALID")</f>
        <v>VALID</v>
      </c>
    </row>
    <row r="1679" spans="1:14" x14ac:dyDescent="0.35">
      <c r="A1679" t="s">
        <v>398</v>
      </c>
      <c r="B1679" s="5" t="str">
        <f>_xlfn.XLOOKUP(role_course_map[[#This Row],[role_id]], role_data[role_id], role_data[Role],"")</f>
        <v>Head of Programmes</v>
      </c>
      <c r="C1679">
        <v>999091</v>
      </c>
      <c r="D1679" s="5" t="str">
        <f>_xlfn.XLOOKUP(role_course_map[[#This Row],[course_id]],course_data[course_id],course_data[title],"")</f>
        <v>Intermediate Leadership Development Programme</v>
      </c>
      <c r="E1679" s="5" t="str">
        <f>_xlfn.XLOOKUP(role_course_map[[#This Row],[course_id]],course_data[course_id],course_data[topic],"")</f>
        <v>SAS: Staff development and experience</v>
      </c>
      <c r="F1679" s="5">
        <f>_xlfn.XLOOKUP(role_course_map[[#This Row],[course_id]],course_data[course_id],course_data[type],"")</f>
        <v>0</v>
      </c>
      <c r="K1679" t="str">
        <f>role_course_map[[#This Row],[role_id]] &amp; "|" &amp; role_course_map[[#This Row],[course_id]]</f>
        <v>R0189|999091</v>
      </c>
      <c r="L1679" t="str">
        <f>IF(COUNTIF(role_course_map[mapping_key],role_course_map[[#This Row],[mapping_key]])&gt;1,"DUPLICATE","OK")</f>
        <v>OK</v>
      </c>
      <c r="M1679" t="str">
        <f>IF(COUNTIF(role_data[role_id],role_course_map[[#This Row],[role_id]])=0, "INVALID","VALID")</f>
        <v>VALID</v>
      </c>
      <c r="N1679" t="str">
        <f>IF(COUNTIF(course_data[course_id],role_course_map[[#This Row],[course_id]])=0, "INVALID","VALID")</f>
        <v>VALID</v>
      </c>
    </row>
    <row r="1680" spans="1:14" x14ac:dyDescent="0.35">
      <c r="A1680" t="s">
        <v>398</v>
      </c>
      <c r="B1680" s="5" t="str">
        <f>_xlfn.XLOOKUP(role_course_map[[#This Row],[role_id]], role_data[role_id], role_data[Role],"")</f>
        <v>Head of Programmes</v>
      </c>
      <c r="C1680">
        <v>999090</v>
      </c>
      <c r="D1680" s="5" t="str">
        <f>_xlfn.XLOOKUP(role_course_map[[#This Row],[course_id]],course_data[course_id],course_data[title],"")</f>
        <v>Leading for the Future</v>
      </c>
      <c r="E1680" s="5" t="str">
        <f>_xlfn.XLOOKUP(role_course_map[[#This Row],[course_id]],course_data[course_id],course_data[topic],"")</f>
        <v>SAS: Staff development and experience</v>
      </c>
      <c r="F1680" s="5">
        <f>_xlfn.XLOOKUP(role_course_map[[#This Row],[course_id]],course_data[course_id],course_data[type],"")</f>
        <v>0</v>
      </c>
      <c r="K1680" t="str">
        <f>role_course_map[[#This Row],[role_id]] &amp; "|" &amp; role_course_map[[#This Row],[course_id]]</f>
        <v>R0189|999090</v>
      </c>
      <c r="L1680" t="str">
        <f>IF(COUNTIF(role_course_map[mapping_key],role_course_map[[#This Row],[mapping_key]])&gt;1,"DUPLICATE","OK")</f>
        <v>OK</v>
      </c>
      <c r="M1680" t="str">
        <f>IF(COUNTIF(role_data[role_id],role_course_map[[#This Row],[role_id]])=0, "INVALID","VALID")</f>
        <v>VALID</v>
      </c>
      <c r="N1680" t="str">
        <f>IF(COUNTIF(course_data[course_id],role_course_map[[#This Row],[course_id]])=0, "INVALID","VALID")</f>
        <v>VALID</v>
      </c>
    </row>
    <row r="1681" spans="1:14" x14ac:dyDescent="0.35">
      <c r="A1681" t="s">
        <v>286</v>
      </c>
      <c r="B1681" s="5" t="str">
        <f>_xlfn.XLOOKUP(role_course_map[[#This Row],[role_id]], role_data[role_id], role_data[Role],"")</f>
        <v>Head of ScotSTAR Paediatrics</v>
      </c>
      <c r="C1681">
        <v>999092</v>
      </c>
      <c r="D1681" s="5" t="str">
        <f>_xlfn.XLOOKUP(role_course_map[[#This Row],[course_id]],course_data[course_id],course_data[title],"")</f>
        <v>Health &amp; Wellbeing Awareness for Managers</v>
      </c>
      <c r="E1681" s="5" t="str">
        <f>_xlfn.XLOOKUP(role_course_map[[#This Row],[course_id]],course_data[course_id],course_data[topic],"")</f>
        <v>SAS: Staff development and experience</v>
      </c>
      <c r="F1681" s="5" t="str">
        <f>_xlfn.XLOOKUP(role_course_map[[#This Row],[course_id]],course_data[course_id],course_data[type],"")</f>
        <v>eLearning</v>
      </c>
      <c r="K1681" t="str">
        <f>role_course_map[[#This Row],[role_id]] &amp; "|" &amp; role_course_map[[#This Row],[course_id]]</f>
        <v>R0137|999092</v>
      </c>
      <c r="L1681" t="str">
        <f>IF(COUNTIF(role_course_map[mapping_key],role_course_map[[#This Row],[mapping_key]])&gt;1,"DUPLICATE","OK")</f>
        <v>OK</v>
      </c>
      <c r="M1681" t="str">
        <f>IF(COUNTIF(role_data[role_id],role_course_map[[#This Row],[role_id]])=0, "INVALID","VALID")</f>
        <v>VALID</v>
      </c>
      <c r="N1681" t="str">
        <f>IF(COUNTIF(course_data[course_id],role_course_map[[#This Row],[course_id]])=0, "INVALID","VALID")</f>
        <v>VALID</v>
      </c>
    </row>
    <row r="1682" spans="1:14" x14ac:dyDescent="0.35">
      <c r="A1682" t="s">
        <v>398</v>
      </c>
      <c r="B1682" s="5" t="str">
        <f>_xlfn.XLOOKUP(role_course_map[[#This Row],[role_id]], role_data[role_id], role_data[Role],"")</f>
        <v>Head of Programmes</v>
      </c>
      <c r="C1682">
        <v>999093</v>
      </c>
      <c r="D1682" s="5" t="str">
        <f>_xlfn.XLOOKUP(role_course_map[[#This Row],[course_id]],course_data[course_id],course_data[title],"")</f>
        <v>Managing Wellbeing Refresher for Managers</v>
      </c>
      <c r="E1682" s="5" t="str">
        <f>_xlfn.XLOOKUP(role_course_map[[#This Row],[course_id]],course_data[course_id],course_data[topic],"")</f>
        <v>SAS: Staff development and experience</v>
      </c>
      <c r="F1682" s="5" t="str">
        <f>_xlfn.XLOOKUP(role_course_map[[#This Row],[course_id]],course_data[course_id],course_data[type],"")</f>
        <v>eLearning</v>
      </c>
      <c r="K1682" t="str">
        <f>role_course_map[[#This Row],[role_id]] &amp; "|" &amp; role_course_map[[#This Row],[course_id]]</f>
        <v>R0189|999093</v>
      </c>
      <c r="L1682" t="str">
        <f>IF(COUNTIF(role_course_map[mapping_key],role_course_map[[#This Row],[mapping_key]])&gt;1,"DUPLICATE","OK")</f>
        <v>OK</v>
      </c>
      <c r="M1682" t="str">
        <f>IF(COUNTIF(role_data[role_id],role_course_map[[#This Row],[role_id]])=0, "INVALID","VALID")</f>
        <v>VALID</v>
      </c>
      <c r="N1682" t="str">
        <f>IF(COUNTIF(course_data[course_id],role_course_map[[#This Row],[course_id]])=0, "INVALID","VALID")</f>
        <v>VALID</v>
      </c>
    </row>
    <row r="1683" spans="1:14" x14ac:dyDescent="0.35">
      <c r="A1683" t="s">
        <v>286</v>
      </c>
      <c r="B1683" s="5" t="str">
        <f>_xlfn.XLOOKUP(role_course_map[[#This Row],[role_id]], role_data[role_id], role_data[Role],"")</f>
        <v>Head of ScotSTAR Paediatrics</v>
      </c>
      <c r="C1683">
        <v>999094</v>
      </c>
      <c r="D1683" s="5" t="str">
        <f>_xlfn.XLOOKUP(role_course_map[[#This Row],[course_id]],course_data[course_id],course_data[title],"")</f>
        <v>Being well, Mind, Body &amp; Workplace</v>
      </c>
      <c r="E1683" s="5" t="str">
        <f>_xlfn.XLOOKUP(role_course_map[[#This Row],[course_id]],course_data[course_id],course_data[topic],"")</f>
        <v>SAS: Staff development and experience</v>
      </c>
      <c r="F1683" s="5" t="str">
        <f>_xlfn.XLOOKUP(role_course_map[[#This Row],[course_id]],course_data[course_id],course_data[type],"")</f>
        <v>eLearning</v>
      </c>
      <c r="K1683" t="str">
        <f>role_course_map[[#This Row],[role_id]] &amp; "|" &amp; role_course_map[[#This Row],[course_id]]</f>
        <v>R0137|999094</v>
      </c>
      <c r="L1683" t="str">
        <f>IF(COUNTIF(role_course_map[mapping_key],role_course_map[[#This Row],[mapping_key]])&gt;1,"DUPLICATE","OK")</f>
        <v>OK</v>
      </c>
      <c r="M1683" t="str">
        <f>IF(COUNTIF(role_data[role_id],role_course_map[[#This Row],[role_id]])=0, "INVALID","VALID")</f>
        <v>VALID</v>
      </c>
      <c r="N1683" t="str">
        <f>IF(COUNTIF(course_data[course_id],role_course_map[[#This Row],[course_id]])=0, "INVALID","VALID")</f>
        <v>VALID</v>
      </c>
    </row>
    <row r="1684" spans="1:14" x14ac:dyDescent="0.35">
      <c r="A1684" t="s">
        <v>398</v>
      </c>
      <c r="B1684" s="5" t="str">
        <f>_xlfn.XLOOKUP(role_course_map[[#This Row],[role_id]], role_data[role_id], role_data[Role],"")</f>
        <v>Head of Programmes</v>
      </c>
      <c r="C1684">
        <v>999062</v>
      </c>
      <c r="D1684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1684" s="5" t="str">
        <f>_xlfn.XLOOKUP(role_course_map[[#This Row],[course_id]],course_data[course_id],course_data[topic],"")</f>
        <v>SAS : Health and Safety</v>
      </c>
      <c r="F1684" s="5" t="str">
        <f>_xlfn.XLOOKUP(role_course_map[[#This Row],[course_id]],course_data[course_id],course_data[type],"")</f>
        <v>Course</v>
      </c>
      <c r="K1684" t="str">
        <f>role_course_map[[#This Row],[role_id]] &amp; "|" &amp; role_course_map[[#This Row],[course_id]]</f>
        <v>R0189|999062</v>
      </c>
      <c r="L1684" t="str">
        <f>IF(COUNTIF(role_course_map[mapping_key],role_course_map[[#This Row],[mapping_key]])&gt;1,"DUPLICATE","OK")</f>
        <v>OK</v>
      </c>
      <c r="M1684" t="str">
        <f>IF(COUNTIF(role_data[role_id],role_course_map[[#This Row],[role_id]])=0, "INVALID","VALID")</f>
        <v>VALID</v>
      </c>
      <c r="N1684" t="str">
        <f>IF(COUNTIF(course_data[course_id],role_course_map[[#This Row],[course_id]])=0, "INVALID","VALID")</f>
        <v>VALID</v>
      </c>
    </row>
    <row r="1685" spans="1:14" x14ac:dyDescent="0.35">
      <c r="A1685" t="s">
        <v>415</v>
      </c>
      <c r="B1685" s="5" t="str">
        <f>_xlfn.XLOOKUP(role_course_map[[#This Row],[role_id]], role_data[role_id], role_data[Role],"")</f>
        <v>Head of Public Protection</v>
      </c>
      <c r="C1685">
        <v>999058</v>
      </c>
      <c r="D1685" s="5" t="str">
        <f>_xlfn.XLOOKUP(role_course_map[[#This Row],[course_id]],course_data[course_id],course_data[title],"")</f>
        <v>Stress Identification &amp; Stress Management</v>
      </c>
      <c r="E1685" s="5" t="str">
        <f>_xlfn.XLOOKUP(role_course_map[[#This Row],[course_id]],course_data[course_id],course_data[topic],"")</f>
        <v>SAS : Health and Safety</v>
      </c>
      <c r="F1685" s="5" t="str">
        <f>_xlfn.XLOOKUP(role_course_map[[#This Row],[course_id]],course_data[course_id],course_data[type],"")</f>
        <v>eLearning</v>
      </c>
      <c r="K1685" t="str">
        <f>role_course_map[[#This Row],[role_id]] &amp; "|" &amp; role_course_map[[#This Row],[course_id]]</f>
        <v>R0197|999058</v>
      </c>
      <c r="L1685" t="str">
        <f>IF(COUNTIF(role_course_map[mapping_key],role_course_map[[#This Row],[mapping_key]])&gt;1,"DUPLICATE","OK")</f>
        <v>OK</v>
      </c>
      <c r="M1685" t="str">
        <f>IF(COUNTIF(role_data[role_id],role_course_map[[#This Row],[role_id]])=0, "INVALID","VALID")</f>
        <v>VALID</v>
      </c>
      <c r="N1685" t="str">
        <f>IF(COUNTIF(course_data[course_id],role_course_map[[#This Row],[course_id]])=0, "INVALID","VALID")</f>
        <v>VALID</v>
      </c>
    </row>
    <row r="1686" spans="1:14" x14ac:dyDescent="0.35">
      <c r="A1686" t="s">
        <v>415</v>
      </c>
      <c r="B1686" s="5" t="str">
        <f>_xlfn.XLOOKUP(role_course_map[[#This Row],[role_id]], role_data[role_id], role_data[Role],"")</f>
        <v>Head of Public Protection</v>
      </c>
      <c r="C1686">
        <v>79147</v>
      </c>
      <c r="D1686" s="5" t="str">
        <f>_xlfn.XLOOKUP(role_course_map[[#This Row],[course_id]],course_data[course_id],course_data[title],"")</f>
        <v>Driving risks at work</v>
      </c>
      <c r="E1686" s="5" t="str">
        <f>_xlfn.XLOOKUP(role_course_map[[#This Row],[course_id]],course_data[course_id],course_data[topic],"")</f>
        <v>SAS : Health and Safety</v>
      </c>
      <c r="F1686" s="5" t="str">
        <f>_xlfn.XLOOKUP(role_course_map[[#This Row],[course_id]],course_data[course_id],course_data[type],"")</f>
        <v>eLearning</v>
      </c>
      <c r="K1686" t="str">
        <f>role_course_map[[#This Row],[role_id]] &amp; "|" &amp; role_course_map[[#This Row],[course_id]]</f>
        <v>R0197|79147</v>
      </c>
      <c r="L1686" t="str">
        <f>IF(COUNTIF(role_course_map[mapping_key],role_course_map[[#This Row],[mapping_key]])&gt;1,"DUPLICATE","OK")</f>
        <v>OK</v>
      </c>
      <c r="M1686" t="str">
        <f>IF(COUNTIF(role_data[role_id],role_course_map[[#This Row],[role_id]])=0, "INVALID","VALID")</f>
        <v>VALID</v>
      </c>
      <c r="N1686" t="str">
        <f>IF(COUNTIF(course_data[course_id],role_course_map[[#This Row],[course_id]])=0, "INVALID","VALID")</f>
        <v>VALID</v>
      </c>
    </row>
    <row r="1687" spans="1:14" x14ac:dyDescent="0.35">
      <c r="A1687" t="s">
        <v>398</v>
      </c>
      <c r="B1687" s="5" t="str">
        <f>_xlfn.XLOOKUP(role_course_map[[#This Row],[role_id]], role_data[role_id], role_data[Role],"")</f>
        <v>Head of Programmes</v>
      </c>
      <c r="C1687">
        <v>999057</v>
      </c>
      <c r="D1687" s="5" t="str">
        <f>_xlfn.XLOOKUP(role_course_map[[#This Row],[course_id]],course_data[course_id],course_data[title],"")</f>
        <v>Fatigue Awareness</v>
      </c>
      <c r="E1687" s="5" t="str">
        <f>_xlfn.XLOOKUP(role_course_map[[#This Row],[course_id]],course_data[course_id],course_data[topic],"")</f>
        <v>SAS : Health and Safety</v>
      </c>
      <c r="F1687" s="5" t="str">
        <f>_xlfn.XLOOKUP(role_course_map[[#This Row],[course_id]],course_data[course_id],course_data[type],"")</f>
        <v>eLearning</v>
      </c>
      <c r="K1687" t="str">
        <f>role_course_map[[#This Row],[role_id]] &amp; "|" &amp; role_course_map[[#This Row],[course_id]]</f>
        <v>R0189|999057</v>
      </c>
      <c r="L1687" t="str">
        <f>IF(COUNTIF(role_course_map[mapping_key],role_course_map[[#This Row],[mapping_key]])&gt;1,"DUPLICATE","OK")</f>
        <v>OK</v>
      </c>
      <c r="M1687" t="str">
        <f>IF(COUNTIF(role_data[role_id],role_course_map[[#This Row],[role_id]])=0, "INVALID","VALID")</f>
        <v>VALID</v>
      </c>
      <c r="N1687" t="str">
        <f>IF(COUNTIF(course_data[course_id],role_course_map[[#This Row],[course_id]])=0, "INVALID","VALID")</f>
        <v>VALID</v>
      </c>
    </row>
    <row r="1688" spans="1:14" x14ac:dyDescent="0.35">
      <c r="A1688" t="s">
        <v>415</v>
      </c>
      <c r="B1688" s="5" t="str">
        <f>_xlfn.XLOOKUP(role_course_map[[#This Row],[role_id]], role_data[role_id], role_data[Role],"")</f>
        <v>Head of Public Protection</v>
      </c>
      <c r="C1688">
        <v>999091</v>
      </c>
      <c r="D1688" s="5" t="str">
        <f>_xlfn.XLOOKUP(role_course_map[[#This Row],[course_id]],course_data[course_id],course_data[title],"")</f>
        <v>Intermediate Leadership Development Programme</v>
      </c>
      <c r="E1688" s="5" t="str">
        <f>_xlfn.XLOOKUP(role_course_map[[#This Row],[course_id]],course_data[course_id],course_data[topic],"")</f>
        <v>SAS: Staff development and experience</v>
      </c>
      <c r="F1688" s="5">
        <f>_xlfn.XLOOKUP(role_course_map[[#This Row],[course_id]],course_data[course_id],course_data[type],"")</f>
        <v>0</v>
      </c>
      <c r="K1688" t="str">
        <f>role_course_map[[#This Row],[role_id]] &amp; "|" &amp; role_course_map[[#This Row],[course_id]]</f>
        <v>R0197|999091</v>
      </c>
      <c r="L1688" t="str">
        <f>IF(COUNTIF(role_course_map[mapping_key],role_course_map[[#This Row],[mapping_key]])&gt;1,"DUPLICATE","OK")</f>
        <v>OK</v>
      </c>
      <c r="M1688" t="str">
        <f>IF(COUNTIF(role_data[role_id],role_course_map[[#This Row],[role_id]])=0, "INVALID","VALID")</f>
        <v>VALID</v>
      </c>
      <c r="N1688" t="str">
        <f>IF(COUNTIF(course_data[course_id],role_course_map[[#This Row],[course_id]])=0, "INVALID","VALID")</f>
        <v>VALID</v>
      </c>
    </row>
    <row r="1689" spans="1:14" x14ac:dyDescent="0.35">
      <c r="A1689" t="s">
        <v>415</v>
      </c>
      <c r="B1689" s="5" t="str">
        <f>_xlfn.XLOOKUP(role_course_map[[#This Row],[role_id]], role_data[role_id], role_data[Role],"")</f>
        <v>Head of Public Protection</v>
      </c>
      <c r="C1689">
        <v>999090</v>
      </c>
      <c r="D1689" s="5" t="str">
        <f>_xlfn.XLOOKUP(role_course_map[[#This Row],[course_id]],course_data[course_id],course_data[title],"")</f>
        <v>Leading for the Future</v>
      </c>
      <c r="E1689" s="5" t="str">
        <f>_xlfn.XLOOKUP(role_course_map[[#This Row],[course_id]],course_data[course_id],course_data[topic],"")</f>
        <v>SAS: Staff development and experience</v>
      </c>
      <c r="F1689" s="5">
        <f>_xlfn.XLOOKUP(role_course_map[[#This Row],[course_id]],course_data[course_id],course_data[type],"")</f>
        <v>0</v>
      </c>
      <c r="K1689" t="str">
        <f>role_course_map[[#This Row],[role_id]] &amp; "|" &amp; role_course_map[[#This Row],[course_id]]</f>
        <v>R0197|999090</v>
      </c>
      <c r="L1689" t="str">
        <f>IF(COUNTIF(role_course_map[mapping_key],role_course_map[[#This Row],[mapping_key]])&gt;1,"DUPLICATE","OK")</f>
        <v>OK</v>
      </c>
      <c r="M1689" t="str">
        <f>IF(COUNTIF(role_data[role_id],role_course_map[[#This Row],[role_id]])=0, "INVALID","VALID")</f>
        <v>VALID</v>
      </c>
      <c r="N1689" t="str">
        <f>IF(COUNTIF(course_data[course_id],role_course_map[[#This Row],[course_id]])=0, "INVALID","VALID")</f>
        <v>VALID</v>
      </c>
    </row>
    <row r="1690" spans="1:14" x14ac:dyDescent="0.35">
      <c r="A1690" t="s">
        <v>398</v>
      </c>
      <c r="B1690" s="5" t="str">
        <f>_xlfn.XLOOKUP(role_course_map[[#This Row],[role_id]], role_data[role_id], role_data[Role],"")</f>
        <v>Head of Programmes</v>
      </c>
      <c r="C1690">
        <v>999092</v>
      </c>
      <c r="D1690" s="5" t="str">
        <f>_xlfn.XLOOKUP(role_course_map[[#This Row],[course_id]],course_data[course_id],course_data[title],"")</f>
        <v>Health &amp; Wellbeing Awareness for Managers</v>
      </c>
      <c r="E1690" s="5" t="str">
        <f>_xlfn.XLOOKUP(role_course_map[[#This Row],[course_id]],course_data[course_id],course_data[topic],"")</f>
        <v>SAS: Staff development and experience</v>
      </c>
      <c r="F1690" s="5" t="str">
        <f>_xlfn.XLOOKUP(role_course_map[[#This Row],[course_id]],course_data[course_id],course_data[type],"")</f>
        <v>eLearning</v>
      </c>
      <c r="K1690" t="str">
        <f>role_course_map[[#This Row],[role_id]] &amp; "|" &amp; role_course_map[[#This Row],[course_id]]</f>
        <v>R0189|999092</v>
      </c>
      <c r="L1690" t="str">
        <f>IF(COUNTIF(role_course_map[mapping_key],role_course_map[[#This Row],[mapping_key]])&gt;1,"DUPLICATE","OK")</f>
        <v>OK</v>
      </c>
      <c r="M1690" t="str">
        <f>IF(COUNTIF(role_data[role_id],role_course_map[[#This Row],[role_id]])=0, "INVALID","VALID")</f>
        <v>VALID</v>
      </c>
      <c r="N1690" t="str">
        <f>IF(COUNTIF(course_data[course_id],role_course_map[[#This Row],[course_id]])=0, "INVALID","VALID")</f>
        <v>VALID</v>
      </c>
    </row>
    <row r="1691" spans="1:14" x14ac:dyDescent="0.35">
      <c r="A1691" t="s">
        <v>415</v>
      </c>
      <c r="B1691" s="5" t="str">
        <f>_xlfn.XLOOKUP(role_course_map[[#This Row],[role_id]], role_data[role_id], role_data[Role],"")</f>
        <v>Head of Public Protection</v>
      </c>
      <c r="C1691">
        <v>999093</v>
      </c>
      <c r="D1691" s="5" t="str">
        <f>_xlfn.XLOOKUP(role_course_map[[#This Row],[course_id]],course_data[course_id],course_data[title],"")</f>
        <v>Managing Wellbeing Refresher for Managers</v>
      </c>
      <c r="E1691" s="5" t="str">
        <f>_xlfn.XLOOKUP(role_course_map[[#This Row],[course_id]],course_data[course_id],course_data[topic],"")</f>
        <v>SAS: Staff development and experience</v>
      </c>
      <c r="F1691" s="5" t="str">
        <f>_xlfn.XLOOKUP(role_course_map[[#This Row],[course_id]],course_data[course_id],course_data[type],"")</f>
        <v>eLearning</v>
      </c>
      <c r="K1691" t="str">
        <f>role_course_map[[#This Row],[role_id]] &amp; "|" &amp; role_course_map[[#This Row],[course_id]]</f>
        <v>R0197|999093</v>
      </c>
      <c r="L1691" t="str">
        <f>IF(COUNTIF(role_course_map[mapping_key],role_course_map[[#This Row],[mapping_key]])&gt;1,"DUPLICATE","OK")</f>
        <v>OK</v>
      </c>
      <c r="M1691" t="str">
        <f>IF(COUNTIF(role_data[role_id],role_course_map[[#This Row],[role_id]])=0, "INVALID","VALID")</f>
        <v>VALID</v>
      </c>
      <c r="N1691" t="str">
        <f>IF(COUNTIF(course_data[course_id],role_course_map[[#This Row],[course_id]])=0, "INVALID","VALID")</f>
        <v>VALID</v>
      </c>
    </row>
    <row r="1692" spans="1:14" x14ac:dyDescent="0.35">
      <c r="A1692" t="s">
        <v>398</v>
      </c>
      <c r="B1692" s="5" t="str">
        <f>_xlfn.XLOOKUP(role_course_map[[#This Row],[role_id]], role_data[role_id], role_data[Role],"")</f>
        <v>Head of Programmes</v>
      </c>
      <c r="C1692">
        <v>999094</v>
      </c>
      <c r="D1692" s="5" t="str">
        <f>_xlfn.XLOOKUP(role_course_map[[#This Row],[course_id]],course_data[course_id],course_data[title],"")</f>
        <v>Being well, Mind, Body &amp; Workplace</v>
      </c>
      <c r="E1692" s="5" t="str">
        <f>_xlfn.XLOOKUP(role_course_map[[#This Row],[course_id]],course_data[course_id],course_data[topic],"")</f>
        <v>SAS: Staff development and experience</v>
      </c>
      <c r="F1692" s="5" t="str">
        <f>_xlfn.XLOOKUP(role_course_map[[#This Row],[course_id]],course_data[course_id],course_data[type],"")</f>
        <v>eLearning</v>
      </c>
      <c r="K1692" t="str">
        <f>role_course_map[[#This Row],[role_id]] &amp; "|" &amp; role_course_map[[#This Row],[course_id]]</f>
        <v>R0189|999094</v>
      </c>
      <c r="L1692" t="str">
        <f>IF(COUNTIF(role_course_map[mapping_key],role_course_map[[#This Row],[mapping_key]])&gt;1,"DUPLICATE","OK")</f>
        <v>OK</v>
      </c>
      <c r="M1692" t="str">
        <f>IF(COUNTIF(role_data[role_id],role_course_map[[#This Row],[role_id]])=0, "INVALID","VALID")</f>
        <v>VALID</v>
      </c>
      <c r="N1692" t="str">
        <f>IF(COUNTIF(course_data[course_id],role_course_map[[#This Row],[course_id]])=0, "INVALID","VALID")</f>
        <v>VALID</v>
      </c>
    </row>
    <row r="1693" spans="1:14" x14ac:dyDescent="0.35">
      <c r="A1693" t="s">
        <v>415</v>
      </c>
      <c r="B1693" s="5" t="str">
        <f>_xlfn.XLOOKUP(role_course_map[[#This Row],[role_id]], role_data[role_id], role_data[Role],"")</f>
        <v>Head of Public Protection</v>
      </c>
      <c r="C1693">
        <v>999062</v>
      </c>
      <c r="D1693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1693" s="5" t="str">
        <f>_xlfn.XLOOKUP(role_course_map[[#This Row],[course_id]],course_data[course_id],course_data[topic],"")</f>
        <v>SAS : Health and Safety</v>
      </c>
      <c r="F1693" s="5" t="str">
        <f>_xlfn.XLOOKUP(role_course_map[[#This Row],[course_id]],course_data[course_id],course_data[type],"")</f>
        <v>Course</v>
      </c>
      <c r="K1693" t="str">
        <f>role_course_map[[#This Row],[role_id]] &amp; "|" &amp; role_course_map[[#This Row],[course_id]]</f>
        <v>R0197|999062</v>
      </c>
      <c r="L1693" t="str">
        <f>IF(COUNTIF(role_course_map[mapping_key],role_course_map[[#This Row],[mapping_key]])&gt;1,"DUPLICATE","OK")</f>
        <v>OK</v>
      </c>
      <c r="M1693" t="str">
        <f>IF(COUNTIF(role_data[role_id],role_course_map[[#This Row],[role_id]])=0, "INVALID","VALID")</f>
        <v>VALID</v>
      </c>
      <c r="N1693" t="str">
        <f>IF(COUNTIF(course_data[course_id],role_course_map[[#This Row],[course_id]])=0, "INVALID","VALID")</f>
        <v>VALID</v>
      </c>
    </row>
    <row r="1694" spans="1:14" x14ac:dyDescent="0.35">
      <c r="A1694" t="s">
        <v>377</v>
      </c>
      <c r="B1694" s="5" t="str">
        <f>_xlfn.XLOOKUP(role_course_map[[#This Row],[role_id]], role_data[role_id], role_data[Role],"")</f>
        <v>Head of Research and Innovation</v>
      </c>
      <c r="C1694">
        <v>999058</v>
      </c>
      <c r="D1694" s="5" t="str">
        <f>_xlfn.XLOOKUP(role_course_map[[#This Row],[course_id]],course_data[course_id],course_data[title],"")</f>
        <v>Stress Identification &amp; Stress Management</v>
      </c>
      <c r="E1694" s="5" t="str">
        <f>_xlfn.XLOOKUP(role_course_map[[#This Row],[course_id]],course_data[course_id],course_data[topic],"")</f>
        <v>SAS : Health and Safety</v>
      </c>
      <c r="F1694" s="5" t="str">
        <f>_xlfn.XLOOKUP(role_course_map[[#This Row],[course_id]],course_data[course_id],course_data[type],"")</f>
        <v>eLearning</v>
      </c>
      <c r="K1694" t="str">
        <f>role_course_map[[#This Row],[role_id]] &amp; "|" &amp; role_course_map[[#This Row],[course_id]]</f>
        <v>R0180|999058</v>
      </c>
      <c r="L1694" t="str">
        <f>IF(COUNTIF(role_course_map[mapping_key],role_course_map[[#This Row],[mapping_key]])&gt;1,"DUPLICATE","OK")</f>
        <v>OK</v>
      </c>
      <c r="M1694" t="str">
        <f>IF(COUNTIF(role_data[role_id],role_course_map[[#This Row],[role_id]])=0, "INVALID","VALID")</f>
        <v>VALID</v>
      </c>
      <c r="N1694" t="str">
        <f>IF(COUNTIF(course_data[course_id],role_course_map[[#This Row],[course_id]])=0, "INVALID","VALID")</f>
        <v>VALID</v>
      </c>
    </row>
    <row r="1695" spans="1:14" x14ac:dyDescent="0.35">
      <c r="A1695" t="s">
        <v>377</v>
      </c>
      <c r="B1695" s="5" t="str">
        <f>_xlfn.XLOOKUP(role_course_map[[#This Row],[role_id]], role_data[role_id], role_data[Role],"")</f>
        <v>Head of Research and Innovation</v>
      </c>
      <c r="C1695">
        <v>79147</v>
      </c>
      <c r="D1695" s="5" t="str">
        <f>_xlfn.XLOOKUP(role_course_map[[#This Row],[course_id]],course_data[course_id],course_data[title],"")</f>
        <v>Driving risks at work</v>
      </c>
      <c r="E1695" s="5" t="str">
        <f>_xlfn.XLOOKUP(role_course_map[[#This Row],[course_id]],course_data[course_id],course_data[topic],"")</f>
        <v>SAS : Health and Safety</v>
      </c>
      <c r="F1695" s="5" t="str">
        <f>_xlfn.XLOOKUP(role_course_map[[#This Row],[course_id]],course_data[course_id],course_data[type],"")</f>
        <v>eLearning</v>
      </c>
      <c r="K1695" t="str">
        <f>role_course_map[[#This Row],[role_id]] &amp; "|" &amp; role_course_map[[#This Row],[course_id]]</f>
        <v>R0180|79147</v>
      </c>
      <c r="L1695" t="str">
        <f>IF(COUNTIF(role_course_map[mapping_key],role_course_map[[#This Row],[mapping_key]])&gt;1,"DUPLICATE","OK")</f>
        <v>OK</v>
      </c>
      <c r="M1695" t="str">
        <f>IF(COUNTIF(role_data[role_id],role_course_map[[#This Row],[role_id]])=0, "INVALID","VALID")</f>
        <v>VALID</v>
      </c>
      <c r="N1695" t="str">
        <f>IF(COUNTIF(course_data[course_id],role_course_map[[#This Row],[course_id]])=0, "INVALID","VALID")</f>
        <v>VALID</v>
      </c>
    </row>
    <row r="1696" spans="1:14" x14ac:dyDescent="0.35">
      <c r="A1696" t="s">
        <v>415</v>
      </c>
      <c r="B1696" s="5" t="str">
        <f>_xlfn.XLOOKUP(role_course_map[[#This Row],[role_id]], role_data[role_id], role_data[Role],"")</f>
        <v>Head of Public Protection</v>
      </c>
      <c r="C1696">
        <v>999057</v>
      </c>
      <c r="D1696" s="5" t="str">
        <f>_xlfn.XLOOKUP(role_course_map[[#This Row],[course_id]],course_data[course_id],course_data[title],"")</f>
        <v>Fatigue Awareness</v>
      </c>
      <c r="E1696" s="5" t="str">
        <f>_xlfn.XLOOKUP(role_course_map[[#This Row],[course_id]],course_data[course_id],course_data[topic],"")</f>
        <v>SAS : Health and Safety</v>
      </c>
      <c r="F1696" s="5" t="str">
        <f>_xlfn.XLOOKUP(role_course_map[[#This Row],[course_id]],course_data[course_id],course_data[type],"")</f>
        <v>eLearning</v>
      </c>
      <c r="K1696" t="str">
        <f>role_course_map[[#This Row],[role_id]] &amp; "|" &amp; role_course_map[[#This Row],[course_id]]</f>
        <v>R0197|999057</v>
      </c>
      <c r="L1696" t="str">
        <f>IF(COUNTIF(role_course_map[mapping_key],role_course_map[[#This Row],[mapping_key]])&gt;1,"DUPLICATE","OK")</f>
        <v>OK</v>
      </c>
      <c r="M1696" t="str">
        <f>IF(COUNTIF(role_data[role_id],role_course_map[[#This Row],[role_id]])=0, "INVALID","VALID")</f>
        <v>VALID</v>
      </c>
      <c r="N1696" t="str">
        <f>IF(COUNTIF(course_data[course_id],role_course_map[[#This Row],[course_id]])=0, "INVALID","VALID")</f>
        <v>VALID</v>
      </c>
    </row>
    <row r="1697" spans="1:14" x14ac:dyDescent="0.35">
      <c r="A1697" t="s">
        <v>377</v>
      </c>
      <c r="B1697" s="5" t="str">
        <f>_xlfn.XLOOKUP(role_course_map[[#This Row],[role_id]], role_data[role_id], role_data[Role],"")</f>
        <v>Head of Research and Innovation</v>
      </c>
      <c r="C1697">
        <v>999091</v>
      </c>
      <c r="D1697" s="5" t="str">
        <f>_xlfn.XLOOKUP(role_course_map[[#This Row],[course_id]],course_data[course_id],course_data[title],"")</f>
        <v>Intermediate Leadership Development Programme</v>
      </c>
      <c r="E1697" s="5" t="str">
        <f>_xlfn.XLOOKUP(role_course_map[[#This Row],[course_id]],course_data[course_id],course_data[topic],"")</f>
        <v>SAS: Staff development and experience</v>
      </c>
      <c r="F1697" s="5">
        <f>_xlfn.XLOOKUP(role_course_map[[#This Row],[course_id]],course_data[course_id],course_data[type],"")</f>
        <v>0</v>
      </c>
      <c r="K1697" t="str">
        <f>role_course_map[[#This Row],[role_id]] &amp; "|" &amp; role_course_map[[#This Row],[course_id]]</f>
        <v>R0180|999091</v>
      </c>
      <c r="L1697" t="str">
        <f>IF(COUNTIF(role_course_map[mapping_key],role_course_map[[#This Row],[mapping_key]])&gt;1,"DUPLICATE","OK")</f>
        <v>OK</v>
      </c>
      <c r="M1697" t="str">
        <f>IF(COUNTIF(role_data[role_id],role_course_map[[#This Row],[role_id]])=0, "INVALID","VALID")</f>
        <v>VALID</v>
      </c>
      <c r="N1697" t="str">
        <f>IF(COUNTIF(course_data[course_id],role_course_map[[#This Row],[course_id]])=0, "INVALID","VALID")</f>
        <v>VALID</v>
      </c>
    </row>
    <row r="1698" spans="1:14" x14ac:dyDescent="0.35">
      <c r="A1698" t="s">
        <v>377</v>
      </c>
      <c r="B1698" s="5" t="str">
        <f>_xlfn.XLOOKUP(role_course_map[[#This Row],[role_id]], role_data[role_id], role_data[Role],"")</f>
        <v>Head of Research and Innovation</v>
      </c>
      <c r="C1698">
        <v>999090</v>
      </c>
      <c r="D1698" s="5" t="str">
        <f>_xlfn.XLOOKUP(role_course_map[[#This Row],[course_id]],course_data[course_id],course_data[title],"")</f>
        <v>Leading for the Future</v>
      </c>
      <c r="E1698" s="5" t="str">
        <f>_xlfn.XLOOKUP(role_course_map[[#This Row],[course_id]],course_data[course_id],course_data[topic],"")</f>
        <v>SAS: Staff development and experience</v>
      </c>
      <c r="F1698" s="5">
        <f>_xlfn.XLOOKUP(role_course_map[[#This Row],[course_id]],course_data[course_id],course_data[type],"")</f>
        <v>0</v>
      </c>
      <c r="K1698" t="str">
        <f>role_course_map[[#This Row],[role_id]] &amp; "|" &amp; role_course_map[[#This Row],[course_id]]</f>
        <v>R0180|999090</v>
      </c>
      <c r="L1698" t="str">
        <f>IF(COUNTIF(role_course_map[mapping_key],role_course_map[[#This Row],[mapping_key]])&gt;1,"DUPLICATE","OK")</f>
        <v>OK</v>
      </c>
      <c r="M1698" t="str">
        <f>IF(COUNTIF(role_data[role_id],role_course_map[[#This Row],[role_id]])=0, "INVALID","VALID")</f>
        <v>VALID</v>
      </c>
      <c r="N1698" t="str">
        <f>IF(COUNTIF(course_data[course_id],role_course_map[[#This Row],[course_id]])=0, "INVALID","VALID")</f>
        <v>VALID</v>
      </c>
    </row>
    <row r="1699" spans="1:14" x14ac:dyDescent="0.35">
      <c r="A1699" t="s">
        <v>415</v>
      </c>
      <c r="B1699" s="5" t="str">
        <f>_xlfn.XLOOKUP(role_course_map[[#This Row],[role_id]], role_data[role_id], role_data[Role],"")</f>
        <v>Head of Public Protection</v>
      </c>
      <c r="C1699">
        <v>999092</v>
      </c>
      <c r="D1699" s="5" t="str">
        <f>_xlfn.XLOOKUP(role_course_map[[#This Row],[course_id]],course_data[course_id],course_data[title],"")</f>
        <v>Health &amp; Wellbeing Awareness for Managers</v>
      </c>
      <c r="E1699" s="5" t="str">
        <f>_xlfn.XLOOKUP(role_course_map[[#This Row],[course_id]],course_data[course_id],course_data[topic],"")</f>
        <v>SAS: Staff development and experience</v>
      </c>
      <c r="F1699" s="5" t="str">
        <f>_xlfn.XLOOKUP(role_course_map[[#This Row],[course_id]],course_data[course_id],course_data[type],"")</f>
        <v>eLearning</v>
      </c>
      <c r="K1699" t="str">
        <f>role_course_map[[#This Row],[role_id]] &amp; "|" &amp; role_course_map[[#This Row],[course_id]]</f>
        <v>R0197|999092</v>
      </c>
      <c r="L1699" t="str">
        <f>IF(COUNTIF(role_course_map[mapping_key],role_course_map[[#This Row],[mapping_key]])&gt;1,"DUPLICATE","OK")</f>
        <v>OK</v>
      </c>
      <c r="M1699" t="str">
        <f>IF(COUNTIF(role_data[role_id],role_course_map[[#This Row],[role_id]])=0, "INVALID","VALID")</f>
        <v>VALID</v>
      </c>
      <c r="N1699" t="str">
        <f>IF(COUNTIF(course_data[course_id],role_course_map[[#This Row],[course_id]])=0, "INVALID","VALID")</f>
        <v>VALID</v>
      </c>
    </row>
    <row r="1700" spans="1:14" x14ac:dyDescent="0.35">
      <c r="A1700" t="s">
        <v>377</v>
      </c>
      <c r="B1700" s="5" t="str">
        <f>_xlfn.XLOOKUP(role_course_map[[#This Row],[role_id]], role_data[role_id], role_data[Role],"")</f>
        <v>Head of Research and Innovation</v>
      </c>
      <c r="C1700">
        <v>999093</v>
      </c>
      <c r="D1700" s="5" t="str">
        <f>_xlfn.XLOOKUP(role_course_map[[#This Row],[course_id]],course_data[course_id],course_data[title],"")</f>
        <v>Managing Wellbeing Refresher for Managers</v>
      </c>
      <c r="E1700" s="5" t="str">
        <f>_xlfn.XLOOKUP(role_course_map[[#This Row],[course_id]],course_data[course_id],course_data[topic],"")</f>
        <v>SAS: Staff development and experience</v>
      </c>
      <c r="F1700" s="5" t="str">
        <f>_xlfn.XLOOKUP(role_course_map[[#This Row],[course_id]],course_data[course_id],course_data[type],"")</f>
        <v>eLearning</v>
      </c>
      <c r="K1700" t="str">
        <f>role_course_map[[#This Row],[role_id]] &amp; "|" &amp; role_course_map[[#This Row],[course_id]]</f>
        <v>R0180|999093</v>
      </c>
      <c r="L1700" t="str">
        <f>IF(COUNTIF(role_course_map[mapping_key],role_course_map[[#This Row],[mapping_key]])&gt;1,"DUPLICATE","OK")</f>
        <v>OK</v>
      </c>
      <c r="M1700" t="str">
        <f>IF(COUNTIF(role_data[role_id],role_course_map[[#This Row],[role_id]])=0, "INVALID","VALID")</f>
        <v>VALID</v>
      </c>
      <c r="N1700" t="str">
        <f>IF(COUNTIF(course_data[course_id],role_course_map[[#This Row],[course_id]])=0, "INVALID","VALID")</f>
        <v>VALID</v>
      </c>
    </row>
    <row r="1701" spans="1:14" x14ac:dyDescent="0.35">
      <c r="A1701" t="s">
        <v>415</v>
      </c>
      <c r="B1701" s="5" t="str">
        <f>_xlfn.XLOOKUP(role_course_map[[#This Row],[role_id]], role_data[role_id], role_data[Role],"")</f>
        <v>Head of Public Protection</v>
      </c>
      <c r="C1701">
        <v>999094</v>
      </c>
      <c r="D1701" s="5" t="str">
        <f>_xlfn.XLOOKUP(role_course_map[[#This Row],[course_id]],course_data[course_id],course_data[title],"")</f>
        <v>Being well, Mind, Body &amp; Workplace</v>
      </c>
      <c r="E1701" s="5" t="str">
        <f>_xlfn.XLOOKUP(role_course_map[[#This Row],[course_id]],course_data[course_id],course_data[topic],"")</f>
        <v>SAS: Staff development and experience</v>
      </c>
      <c r="F1701" s="5" t="str">
        <f>_xlfn.XLOOKUP(role_course_map[[#This Row],[course_id]],course_data[course_id],course_data[type],"")</f>
        <v>eLearning</v>
      </c>
      <c r="K1701" t="str">
        <f>role_course_map[[#This Row],[role_id]] &amp; "|" &amp; role_course_map[[#This Row],[course_id]]</f>
        <v>R0197|999094</v>
      </c>
      <c r="L1701" t="str">
        <f>IF(COUNTIF(role_course_map[mapping_key],role_course_map[[#This Row],[mapping_key]])&gt;1,"DUPLICATE","OK")</f>
        <v>OK</v>
      </c>
      <c r="M1701" t="str">
        <f>IF(COUNTIF(role_data[role_id],role_course_map[[#This Row],[role_id]])=0, "INVALID","VALID")</f>
        <v>VALID</v>
      </c>
      <c r="N1701" t="str">
        <f>IF(COUNTIF(course_data[course_id],role_course_map[[#This Row],[course_id]])=0, "INVALID","VALID")</f>
        <v>VALID</v>
      </c>
    </row>
    <row r="1702" spans="1:14" x14ac:dyDescent="0.35">
      <c r="A1702" t="s">
        <v>377</v>
      </c>
      <c r="B1702" s="5" t="str">
        <f>_xlfn.XLOOKUP(role_course_map[[#This Row],[role_id]], role_data[role_id], role_data[Role],"")</f>
        <v>Head of Research and Innovation</v>
      </c>
      <c r="C1702">
        <v>999062</v>
      </c>
      <c r="D1702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1702" s="5" t="str">
        <f>_xlfn.XLOOKUP(role_course_map[[#This Row],[course_id]],course_data[course_id],course_data[topic],"")</f>
        <v>SAS : Health and Safety</v>
      </c>
      <c r="F1702" s="5" t="str">
        <f>_xlfn.XLOOKUP(role_course_map[[#This Row],[course_id]],course_data[course_id],course_data[type],"")</f>
        <v>Course</v>
      </c>
      <c r="K1702" t="str">
        <f>role_course_map[[#This Row],[role_id]] &amp; "|" &amp; role_course_map[[#This Row],[course_id]]</f>
        <v>R0180|999062</v>
      </c>
      <c r="L1702" t="str">
        <f>IF(COUNTIF(role_course_map[mapping_key],role_course_map[[#This Row],[mapping_key]])&gt;1,"DUPLICATE","OK")</f>
        <v>OK</v>
      </c>
      <c r="M1702" t="str">
        <f>IF(COUNTIF(role_data[role_id],role_course_map[[#This Row],[role_id]])=0, "INVALID","VALID")</f>
        <v>VALID</v>
      </c>
      <c r="N1702" t="str">
        <f>IF(COUNTIF(course_data[course_id],role_course_map[[#This Row],[course_id]])=0, "INVALID","VALID")</f>
        <v>VALID</v>
      </c>
    </row>
    <row r="1703" spans="1:14" x14ac:dyDescent="0.35">
      <c r="A1703" t="s">
        <v>420</v>
      </c>
      <c r="B1703" s="5" t="str">
        <f>_xlfn.XLOOKUP(role_course_map[[#This Row],[role_id]], role_data[role_id], role_data[Role],"")</f>
        <v>Head of Strategy Implementation and Quality Improvement</v>
      </c>
      <c r="C1703">
        <v>999058</v>
      </c>
      <c r="D1703" s="5" t="str">
        <f>_xlfn.XLOOKUP(role_course_map[[#This Row],[course_id]],course_data[course_id],course_data[title],"")</f>
        <v>Stress Identification &amp; Stress Management</v>
      </c>
      <c r="E1703" s="5" t="str">
        <f>_xlfn.XLOOKUP(role_course_map[[#This Row],[course_id]],course_data[course_id],course_data[topic],"")</f>
        <v>SAS : Health and Safety</v>
      </c>
      <c r="F1703" s="5" t="str">
        <f>_xlfn.XLOOKUP(role_course_map[[#This Row],[course_id]],course_data[course_id],course_data[type],"")</f>
        <v>eLearning</v>
      </c>
      <c r="K1703" t="str">
        <f>role_course_map[[#This Row],[role_id]] &amp; "|" &amp; role_course_map[[#This Row],[course_id]]</f>
        <v>R0199|999058</v>
      </c>
      <c r="L1703" t="str">
        <f>IF(COUNTIF(role_course_map[mapping_key],role_course_map[[#This Row],[mapping_key]])&gt;1,"DUPLICATE","OK")</f>
        <v>OK</v>
      </c>
      <c r="M1703" t="str">
        <f>IF(COUNTIF(role_data[role_id],role_course_map[[#This Row],[role_id]])=0, "INVALID","VALID")</f>
        <v>VALID</v>
      </c>
      <c r="N1703" t="str">
        <f>IF(COUNTIF(course_data[course_id],role_course_map[[#This Row],[course_id]])=0, "INVALID","VALID")</f>
        <v>VALID</v>
      </c>
    </row>
    <row r="1704" spans="1:14" x14ac:dyDescent="0.35">
      <c r="A1704" t="s">
        <v>420</v>
      </c>
      <c r="B1704" s="5" t="str">
        <f>_xlfn.XLOOKUP(role_course_map[[#This Row],[role_id]], role_data[role_id], role_data[Role],"")</f>
        <v>Head of Strategy Implementation and Quality Improvement</v>
      </c>
      <c r="C1704">
        <v>79147</v>
      </c>
      <c r="D1704" s="5" t="str">
        <f>_xlfn.XLOOKUP(role_course_map[[#This Row],[course_id]],course_data[course_id],course_data[title],"")</f>
        <v>Driving risks at work</v>
      </c>
      <c r="E1704" s="5" t="str">
        <f>_xlfn.XLOOKUP(role_course_map[[#This Row],[course_id]],course_data[course_id],course_data[topic],"")</f>
        <v>SAS : Health and Safety</v>
      </c>
      <c r="F1704" s="5" t="str">
        <f>_xlfn.XLOOKUP(role_course_map[[#This Row],[course_id]],course_data[course_id],course_data[type],"")</f>
        <v>eLearning</v>
      </c>
      <c r="K1704" t="str">
        <f>role_course_map[[#This Row],[role_id]] &amp; "|" &amp; role_course_map[[#This Row],[course_id]]</f>
        <v>R0199|79147</v>
      </c>
      <c r="L1704" t="str">
        <f>IF(COUNTIF(role_course_map[mapping_key],role_course_map[[#This Row],[mapping_key]])&gt;1,"DUPLICATE","OK")</f>
        <v>OK</v>
      </c>
      <c r="M1704" t="str">
        <f>IF(COUNTIF(role_data[role_id],role_course_map[[#This Row],[role_id]])=0, "INVALID","VALID")</f>
        <v>VALID</v>
      </c>
      <c r="N1704" t="str">
        <f>IF(COUNTIF(course_data[course_id],role_course_map[[#This Row],[course_id]])=0, "INVALID","VALID")</f>
        <v>VALID</v>
      </c>
    </row>
    <row r="1705" spans="1:14" x14ac:dyDescent="0.35">
      <c r="A1705" t="s">
        <v>377</v>
      </c>
      <c r="B1705" s="5" t="str">
        <f>_xlfn.XLOOKUP(role_course_map[[#This Row],[role_id]], role_data[role_id], role_data[Role],"")</f>
        <v>Head of Research and Innovation</v>
      </c>
      <c r="C1705">
        <v>999057</v>
      </c>
      <c r="D1705" s="5" t="str">
        <f>_xlfn.XLOOKUP(role_course_map[[#This Row],[course_id]],course_data[course_id],course_data[title],"")</f>
        <v>Fatigue Awareness</v>
      </c>
      <c r="E1705" s="5" t="str">
        <f>_xlfn.XLOOKUP(role_course_map[[#This Row],[course_id]],course_data[course_id],course_data[topic],"")</f>
        <v>SAS : Health and Safety</v>
      </c>
      <c r="F1705" s="5" t="str">
        <f>_xlfn.XLOOKUP(role_course_map[[#This Row],[course_id]],course_data[course_id],course_data[type],"")</f>
        <v>eLearning</v>
      </c>
      <c r="K1705" t="str">
        <f>role_course_map[[#This Row],[role_id]] &amp; "|" &amp; role_course_map[[#This Row],[course_id]]</f>
        <v>R0180|999057</v>
      </c>
      <c r="L1705" t="str">
        <f>IF(COUNTIF(role_course_map[mapping_key],role_course_map[[#This Row],[mapping_key]])&gt;1,"DUPLICATE","OK")</f>
        <v>OK</v>
      </c>
      <c r="M1705" t="str">
        <f>IF(COUNTIF(role_data[role_id],role_course_map[[#This Row],[role_id]])=0, "INVALID","VALID")</f>
        <v>VALID</v>
      </c>
      <c r="N1705" t="str">
        <f>IF(COUNTIF(course_data[course_id],role_course_map[[#This Row],[course_id]])=0, "INVALID","VALID")</f>
        <v>VALID</v>
      </c>
    </row>
    <row r="1706" spans="1:14" x14ac:dyDescent="0.35">
      <c r="A1706" t="s">
        <v>420</v>
      </c>
      <c r="B1706" s="5" t="str">
        <f>_xlfn.XLOOKUP(role_course_map[[#This Row],[role_id]], role_data[role_id], role_data[Role],"")</f>
        <v>Head of Strategy Implementation and Quality Improvement</v>
      </c>
      <c r="C1706">
        <v>999091</v>
      </c>
      <c r="D1706" s="5" t="str">
        <f>_xlfn.XLOOKUP(role_course_map[[#This Row],[course_id]],course_data[course_id],course_data[title],"")</f>
        <v>Intermediate Leadership Development Programme</v>
      </c>
      <c r="E1706" s="5" t="str">
        <f>_xlfn.XLOOKUP(role_course_map[[#This Row],[course_id]],course_data[course_id],course_data[topic],"")</f>
        <v>SAS: Staff development and experience</v>
      </c>
      <c r="F1706" s="5">
        <f>_xlfn.XLOOKUP(role_course_map[[#This Row],[course_id]],course_data[course_id],course_data[type],"")</f>
        <v>0</v>
      </c>
      <c r="K1706" t="str">
        <f>role_course_map[[#This Row],[role_id]] &amp; "|" &amp; role_course_map[[#This Row],[course_id]]</f>
        <v>R0199|999091</v>
      </c>
      <c r="L1706" t="str">
        <f>IF(COUNTIF(role_course_map[mapping_key],role_course_map[[#This Row],[mapping_key]])&gt;1,"DUPLICATE","OK")</f>
        <v>OK</v>
      </c>
      <c r="M1706" t="str">
        <f>IF(COUNTIF(role_data[role_id],role_course_map[[#This Row],[role_id]])=0, "INVALID","VALID")</f>
        <v>VALID</v>
      </c>
      <c r="N1706" t="str">
        <f>IF(COUNTIF(course_data[course_id],role_course_map[[#This Row],[course_id]])=0, "INVALID","VALID")</f>
        <v>VALID</v>
      </c>
    </row>
    <row r="1707" spans="1:14" x14ac:dyDescent="0.35">
      <c r="A1707" t="s">
        <v>420</v>
      </c>
      <c r="B1707" s="5" t="str">
        <f>_xlfn.XLOOKUP(role_course_map[[#This Row],[role_id]], role_data[role_id], role_data[Role],"")</f>
        <v>Head of Strategy Implementation and Quality Improvement</v>
      </c>
      <c r="C1707">
        <v>999090</v>
      </c>
      <c r="D1707" s="5" t="str">
        <f>_xlfn.XLOOKUP(role_course_map[[#This Row],[course_id]],course_data[course_id],course_data[title],"")</f>
        <v>Leading for the Future</v>
      </c>
      <c r="E1707" s="5" t="str">
        <f>_xlfn.XLOOKUP(role_course_map[[#This Row],[course_id]],course_data[course_id],course_data[topic],"")</f>
        <v>SAS: Staff development and experience</v>
      </c>
      <c r="F1707" s="5">
        <f>_xlfn.XLOOKUP(role_course_map[[#This Row],[course_id]],course_data[course_id],course_data[type],"")</f>
        <v>0</v>
      </c>
      <c r="K1707" t="str">
        <f>role_course_map[[#This Row],[role_id]] &amp; "|" &amp; role_course_map[[#This Row],[course_id]]</f>
        <v>R0199|999090</v>
      </c>
      <c r="L1707" t="str">
        <f>IF(COUNTIF(role_course_map[mapping_key],role_course_map[[#This Row],[mapping_key]])&gt;1,"DUPLICATE","OK")</f>
        <v>OK</v>
      </c>
      <c r="M1707" t="str">
        <f>IF(COUNTIF(role_data[role_id],role_course_map[[#This Row],[role_id]])=0, "INVALID","VALID")</f>
        <v>VALID</v>
      </c>
      <c r="N1707" t="str">
        <f>IF(COUNTIF(course_data[course_id],role_course_map[[#This Row],[course_id]])=0, "INVALID","VALID")</f>
        <v>VALID</v>
      </c>
    </row>
    <row r="1708" spans="1:14" x14ac:dyDescent="0.35">
      <c r="A1708" t="s">
        <v>377</v>
      </c>
      <c r="B1708" s="5" t="str">
        <f>_xlfn.XLOOKUP(role_course_map[[#This Row],[role_id]], role_data[role_id], role_data[Role],"")</f>
        <v>Head of Research and Innovation</v>
      </c>
      <c r="C1708">
        <v>999092</v>
      </c>
      <c r="D1708" s="5" t="str">
        <f>_xlfn.XLOOKUP(role_course_map[[#This Row],[course_id]],course_data[course_id],course_data[title],"")</f>
        <v>Health &amp; Wellbeing Awareness for Managers</v>
      </c>
      <c r="E1708" s="5" t="str">
        <f>_xlfn.XLOOKUP(role_course_map[[#This Row],[course_id]],course_data[course_id],course_data[topic],"")</f>
        <v>SAS: Staff development and experience</v>
      </c>
      <c r="F1708" s="5" t="str">
        <f>_xlfn.XLOOKUP(role_course_map[[#This Row],[course_id]],course_data[course_id],course_data[type],"")</f>
        <v>eLearning</v>
      </c>
      <c r="K1708" t="str">
        <f>role_course_map[[#This Row],[role_id]] &amp; "|" &amp; role_course_map[[#This Row],[course_id]]</f>
        <v>R0180|999092</v>
      </c>
      <c r="L1708" t="str">
        <f>IF(COUNTIF(role_course_map[mapping_key],role_course_map[[#This Row],[mapping_key]])&gt;1,"DUPLICATE","OK")</f>
        <v>OK</v>
      </c>
      <c r="M1708" t="str">
        <f>IF(COUNTIF(role_data[role_id],role_course_map[[#This Row],[role_id]])=0, "INVALID","VALID")</f>
        <v>VALID</v>
      </c>
      <c r="N1708" t="str">
        <f>IF(COUNTIF(course_data[course_id],role_course_map[[#This Row],[course_id]])=0, "INVALID","VALID")</f>
        <v>VALID</v>
      </c>
    </row>
    <row r="1709" spans="1:14" x14ac:dyDescent="0.35">
      <c r="A1709" t="s">
        <v>420</v>
      </c>
      <c r="B1709" s="5" t="str">
        <f>_xlfn.XLOOKUP(role_course_map[[#This Row],[role_id]], role_data[role_id], role_data[Role],"")</f>
        <v>Head of Strategy Implementation and Quality Improvement</v>
      </c>
      <c r="C1709">
        <v>999093</v>
      </c>
      <c r="D1709" s="5" t="str">
        <f>_xlfn.XLOOKUP(role_course_map[[#This Row],[course_id]],course_data[course_id],course_data[title],"")</f>
        <v>Managing Wellbeing Refresher for Managers</v>
      </c>
      <c r="E1709" s="5" t="str">
        <f>_xlfn.XLOOKUP(role_course_map[[#This Row],[course_id]],course_data[course_id],course_data[topic],"")</f>
        <v>SAS: Staff development and experience</v>
      </c>
      <c r="F1709" s="5" t="str">
        <f>_xlfn.XLOOKUP(role_course_map[[#This Row],[course_id]],course_data[course_id],course_data[type],"")</f>
        <v>eLearning</v>
      </c>
      <c r="K1709" t="str">
        <f>role_course_map[[#This Row],[role_id]] &amp; "|" &amp; role_course_map[[#This Row],[course_id]]</f>
        <v>R0199|999093</v>
      </c>
      <c r="L1709" t="str">
        <f>IF(COUNTIF(role_course_map[mapping_key],role_course_map[[#This Row],[mapping_key]])&gt;1,"DUPLICATE","OK")</f>
        <v>OK</v>
      </c>
      <c r="M1709" t="str">
        <f>IF(COUNTIF(role_data[role_id],role_course_map[[#This Row],[role_id]])=0, "INVALID","VALID")</f>
        <v>VALID</v>
      </c>
      <c r="N1709" t="str">
        <f>IF(COUNTIF(course_data[course_id],role_course_map[[#This Row],[course_id]])=0, "INVALID","VALID")</f>
        <v>VALID</v>
      </c>
    </row>
    <row r="1710" spans="1:14" x14ac:dyDescent="0.35">
      <c r="A1710" t="s">
        <v>377</v>
      </c>
      <c r="B1710" s="5" t="str">
        <f>_xlfn.XLOOKUP(role_course_map[[#This Row],[role_id]], role_data[role_id], role_data[Role],"")</f>
        <v>Head of Research and Innovation</v>
      </c>
      <c r="C1710">
        <v>999094</v>
      </c>
      <c r="D1710" s="5" t="str">
        <f>_xlfn.XLOOKUP(role_course_map[[#This Row],[course_id]],course_data[course_id],course_data[title],"")</f>
        <v>Being well, Mind, Body &amp; Workplace</v>
      </c>
      <c r="E1710" s="5" t="str">
        <f>_xlfn.XLOOKUP(role_course_map[[#This Row],[course_id]],course_data[course_id],course_data[topic],"")</f>
        <v>SAS: Staff development and experience</v>
      </c>
      <c r="F1710" s="5" t="str">
        <f>_xlfn.XLOOKUP(role_course_map[[#This Row],[course_id]],course_data[course_id],course_data[type],"")</f>
        <v>eLearning</v>
      </c>
      <c r="K1710" t="str">
        <f>role_course_map[[#This Row],[role_id]] &amp; "|" &amp; role_course_map[[#This Row],[course_id]]</f>
        <v>R0180|999094</v>
      </c>
      <c r="L1710" t="str">
        <f>IF(COUNTIF(role_course_map[mapping_key],role_course_map[[#This Row],[mapping_key]])&gt;1,"DUPLICATE","OK")</f>
        <v>OK</v>
      </c>
      <c r="M1710" t="str">
        <f>IF(COUNTIF(role_data[role_id],role_course_map[[#This Row],[role_id]])=0, "INVALID","VALID")</f>
        <v>VALID</v>
      </c>
      <c r="N1710" t="str">
        <f>IF(COUNTIF(course_data[course_id],role_course_map[[#This Row],[course_id]])=0, "INVALID","VALID")</f>
        <v>VALID</v>
      </c>
    </row>
    <row r="1711" spans="1:14" x14ac:dyDescent="0.35">
      <c r="A1711" t="s">
        <v>288</v>
      </c>
      <c r="B1711" s="5" t="str">
        <f>_xlfn.XLOOKUP(role_course_map[[#This Row],[role_id]], role_data[role_id], role_data[Role],"")</f>
        <v>HIU Paediatric Liaison Nurse</v>
      </c>
      <c r="C1711">
        <v>999009</v>
      </c>
      <c r="D1711" s="5" t="str">
        <f>_xlfn.XLOOKUP(role_course_map[[#This Row],[course_id]],course_data[course_id],course_data[title],"")</f>
        <v>Life Support</v>
      </c>
      <c r="E1711" s="5" t="str">
        <f>_xlfn.XLOOKUP(role_course_map[[#This Row],[course_id]],course_data[course_id],course_data[topic],"")</f>
        <v>SAS : Clinical Practice</v>
      </c>
      <c r="F1711" s="5" t="str">
        <f>_xlfn.XLOOKUP(role_course_map[[#This Row],[course_id]],course_data[course_id],course_data[type],"")</f>
        <v>Course</v>
      </c>
      <c r="K1711" t="str">
        <f>role_course_map[[#This Row],[role_id]] &amp; "|" &amp; role_course_map[[#This Row],[course_id]]</f>
        <v>R0138|999009</v>
      </c>
      <c r="L1711" t="str">
        <f>IF(COUNTIF(role_course_map[mapping_key],role_course_map[[#This Row],[mapping_key]])&gt;1,"DUPLICATE","OK")</f>
        <v>OK</v>
      </c>
      <c r="M1711" t="str">
        <f>IF(COUNTIF(role_data[role_id],role_course_map[[#This Row],[role_id]])=0, "INVALID","VALID")</f>
        <v>VALID</v>
      </c>
      <c r="N1711" t="str">
        <f>IF(COUNTIF(course_data[course_id],role_course_map[[#This Row],[course_id]])=0, "INVALID","VALID")</f>
        <v>VALID</v>
      </c>
    </row>
    <row r="1712" spans="1:14" x14ac:dyDescent="0.35">
      <c r="A1712" t="s">
        <v>288</v>
      </c>
      <c r="B1712" s="5" t="str">
        <f>_xlfn.XLOOKUP(role_course_map[[#This Row],[role_id]], role_data[role_id], role_data[Role],"")</f>
        <v>HIU Paediatric Liaison Nurse</v>
      </c>
      <c r="C1712">
        <v>999007</v>
      </c>
      <c r="D1712" s="5" t="str">
        <f>_xlfn.XLOOKUP(role_course_map[[#This Row],[course_id]],course_data[course_id],course_data[title],"")</f>
        <v>Obstetrics</v>
      </c>
      <c r="E1712" s="5" t="str">
        <f>_xlfn.XLOOKUP(role_course_map[[#This Row],[course_id]],course_data[course_id],course_data[topic],"")</f>
        <v>SAS : Clinical Practice</v>
      </c>
      <c r="F1712" s="5" t="str">
        <f>_xlfn.XLOOKUP(role_course_map[[#This Row],[course_id]],course_data[course_id],course_data[type],"")</f>
        <v>Course</v>
      </c>
      <c r="K1712" t="str">
        <f>role_course_map[[#This Row],[role_id]] &amp; "|" &amp; role_course_map[[#This Row],[course_id]]</f>
        <v>R0138|999007</v>
      </c>
      <c r="L1712" t="str">
        <f>IF(COUNTIF(role_course_map[mapping_key],role_course_map[[#This Row],[mapping_key]])&gt;1,"DUPLICATE","OK")</f>
        <v>OK</v>
      </c>
      <c r="M1712" t="str">
        <f>IF(COUNTIF(role_data[role_id],role_course_map[[#This Row],[role_id]])=0, "INVALID","VALID")</f>
        <v>VALID</v>
      </c>
      <c r="N1712" t="str">
        <f>IF(COUNTIF(course_data[course_id],role_course_map[[#This Row],[course_id]])=0, "INVALID","VALID")</f>
        <v>VALID</v>
      </c>
    </row>
    <row r="1713" spans="1:14" x14ac:dyDescent="0.35">
      <c r="A1713" t="s">
        <v>288</v>
      </c>
      <c r="B1713" s="5" t="str">
        <f>_xlfn.XLOOKUP(role_course_map[[#This Row],[role_id]], role_data[role_id], role_data[Role],"")</f>
        <v>HIU Paediatric Liaison Nurse</v>
      </c>
      <c r="C1713">
        <v>999008</v>
      </c>
      <c r="D1713" s="5" t="str">
        <f>_xlfn.XLOOKUP(role_course_map[[#This Row],[course_id]],course_data[course_id],course_data[title],"")</f>
        <v>Obstetrics</v>
      </c>
      <c r="E1713" s="5" t="str">
        <f>_xlfn.XLOOKUP(role_course_map[[#This Row],[course_id]],course_data[course_id],course_data[topic],"")</f>
        <v>SAS : Clinical Practice</v>
      </c>
      <c r="F1713" s="5" t="str">
        <f>_xlfn.XLOOKUP(role_course_map[[#This Row],[course_id]],course_data[course_id],course_data[type],"")</f>
        <v>eLearning</v>
      </c>
      <c r="K1713" t="str">
        <f>role_course_map[[#This Row],[role_id]] &amp; "|" &amp; role_course_map[[#This Row],[course_id]]</f>
        <v>R0138|999008</v>
      </c>
      <c r="L1713" t="str">
        <f>IF(COUNTIF(role_course_map[mapping_key],role_course_map[[#This Row],[mapping_key]])&gt;1,"DUPLICATE","OK")</f>
        <v>OK</v>
      </c>
      <c r="M1713" t="str">
        <f>IF(COUNTIF(role_data[role_id],role_course_map[[#This Row],[role_id]])=0, "INVALID","VALID")</f>
        <v>VALID</v>
      </c>
      <c r="N1713" t="str">
        <f>IF(COUNTIF(course_data[course_id],role_course_map[[#This Row],[course_id]])=0, "INVALID","VALID")</f>
        <v>VALID</v>
      </c>
    </row>
    <row r="1714" spans="1:14" x14ac:dyDescent="0.35">
      <c r="A1714" t="s">
        <v>288</v>
      </c>
      <c r="B1714" s="5" t="str">
        <f>_xlfn.XLOOKUP(role_course_map[[#This Row],[role_id]], role_data[role_id], role_data[Role],"")</f>
        <v>HIU Paediatric Liaison Nurse</v>
      </c>
      <c r="C1714">
        <v>999010</v>
      </c>
      <c r="D1714" s="5" t="str">
        <f>_xlfn.XLOOKUP(role_course_map[[#This Row],[course_id]],course_data[course_id],course_data[title],"")</f>
        <v>Paediatrics</v>
      </c>
      <c r="E1714" s="5" t="str">
        <f>_xlfn.XLOOKUP(role_course_map[[#This Row],[course_id]],course_data[course_id],course_data[topic],"")</f>
        <v>SAS : Clinical Practice</v>
      </c>
      <c r="F1714" s="5" t="str">
        <f>_xlfn.XLOOKUP(role_course_map[[#This Row],[course_id]],course_data[course_id],course_data[type],"")</f>
        <v>Course</v>
      </c>
      <c r="K1714" t="str">
        <f>role_course_map[[#This Row],[role_id]] &amp; "|" &amp; role_course_map[[#This Row],[course_id]]</f>
        <v>R0138|999010</v>
      </c>
      <c r="L1714" t="str">
        <f>IF(COUNTIF(role_course_map[mapping_key],role_course_map[[#This Row],[mapping_key]])&gt;1,"DUPLICATE","OK")</f>
        <v>OK</v>
      </c>
      <c r="M1714" t="str">
        <f>IF(COUNTIF(role_data[role_id],role_course_map[[#This Row],[role_id]])=0, "INVALID","VALID")</f>
        <v>VALID</v>
      </c>
      <c r="N1714" t="str">
        <f>IF(COUNTIF(course_data[course_id],role_course_map[[#This Row],[course_id]])=0, "INVALID","VALID")</f>
        <v>VALID</v>
      </c>
    </row>
    <row r="1715" spans="1:14" x14ac:dyDescent="0.35">
      <c r="A1715" t="s">
        <v>288</v>
      </c>
      <c r="B1715" s="5" t="str">
        <f>_xlfn.XLOOKUP(role_course_map[[#This Row],[role_id]], role_data[role_id], role_data[Role],"")</f>
        <v>HIU Paediatric Liaison Nurse</v>
      </c>
      <c r="C1715">
        <v>999011</v>
      </c>
      <c r="D1715" s="5" t="str">
        <f>_xlfn.XLOOKUP(role_course_map[[#This Row],[course_id]],course_data[course_id],course_data[title],"")</f>
        <v>Paediatrics</v>
      </c>
      <c r="E1715" s="5" t="str">
        <f>_xlfn.XLOOKUP(role_course_map[[#This Row],[course_id]],course_data[course_id],course_data[topic],"")</f>
        <v>SAS : Clinical Practice</v>
      </c>
      <c r="F1715" s="5" t="str">
        <f>_xlfn.XLOOKUP(role_course_map[[#This Row],[course_id]],course_data[course_id],course_data[type],"")</f>
        <v>eLearning</v>
      </c>
      <c r="K1715" t="str">
        <f>role_course_map[[#This Row],[role_id]] &amp; "|" &amp; role_course_map[[#This Row],[course_id]]</f>
        <v>R0138|999011</v>
      </c>
      <c r="L1715" t="str">
        <f>IF(COUNTIF(role_course_map[mapping_key],role_course_map[[#This Row],[mapping_key]])&gt;1,"DUPLICATE","OK")</f>
        <v>OK</v>
      </c>
      <c r="M1715" t="str">
        <f>IF(COUNTIF(role_data[role_id],role_course_map[[#This Row],[role_id]])=0, "INVALID","VALID")</f>
        <v>VALID</v>
      </c>
      <c r="N1715" t="str">
        <f>IF(COUNTIF(course_data[course_id],role_course_map[[#This Row],[course_id]])=0, "INVALID","VALID")</f>
        <v>VALID</v>
      </c>
    </row>
    <row r="1716" spans="1:14" x14ac:dyDescent="0.35">
      <c r="A1716" t="s">
        <v>288</v>
      </c>
      <c r="B1716" s="5" t="str">
        <f>_xlfn.XLOOKUP(role_course_map[[#This Row],[role_id]], role_data[role_id], role_data[Role],"")</f>
        <v>HIU Paediatric Liaison Nurse</v>
      </c>
      <c r="C1716">
        <v>999012</v>
      </c>
      <c r="D1716" s="5" t="str">
        <f>_xlfn.XLOOKUP(role_course_map[[#This Row],[course_id]],course_data[course_id],course_data[title],"")</f>
        <v>Trauma</v>
      </c>
      <c r="E1716" s="5" t="str">
        <f>_xlfn.XLOOKUP(role_course_map[[#This Row],[course_id]],course_data[course_id],course_data[topic],"")</f>
        <v>SAS : Clinical Practice</v>
      </c>
      <c r="F1716" s="5" t="str">
        <f>_xlfn.XLOOKUP(role_course_map[[#This Row],[course_id]],course_data[course_id],course_data[type],"")</f>
        <v>Course</v>
      </c>
      <c r="K1716" t="str">
        <f>role_course_map[[#This Row],[role_id]] &amp; "|" &amp; role_course_map[[#This Row],[course_id]]</f>
        <v>R0138|999012</v>
      </c>
      <c r="L1716" t="str">
        <f>IF(COUNTIF(role_course_map[mapping_key],role_course_map[[#This Row],[mapping_key]])&gt;1,"DUPLICATE","OK")</f>
        <v>OK</v>
      </c>
      <c r="M1716" t="str">
        <f>IF(COUNTIF(role_data[role_id],role_course_map[[#This Row],[role_id]])=0, "INVALID","VALID")</f>
        <v>VALID</v>
      </c>
      <c r="N1716" t="str">
        <f>IF(COUNTIF(course_data[course_id],role_course_map[[#This Row],[course_id]])=0, "INVALID","VALID")</f>
        <v>VALID</v>
      </c>
    </row>
    <row r="1717" spans="1:14" x14ac:dyDescent="0.35">
      <c r="A1717" t="s">
        <v>288</v>
      </c>
      <c r="B1717" s="5" t="str">
        <f>_xlfn.XLOOKUP(role_course_map[[#This Row],[role_id]], role_data[role_id], role_data[Role],"")</f>
        <v>HIU Paediatric Liaison Nurse</v>
      </c>
      <c r="C1717">
        <v>999013</v>
      </c>
      <c r="D1717" s="5" t="str">
        <f>_xlfn.XLOOKUP(role_course_map[[#This Row],[course_id]],course_data[course_id],course_data[title],"")</f>
        <v>Trauma</v>
      </c>
      <c r="E1717" s="5" t="str">
        <f>_xlfn.XLOOKUP(role_course_map[[#This Row],[course_id]],course_data[course_id],course_data[topic],"")</f>
        <v>SAS : Clinical Practice</v>
      </c>
      <c r="F1717" s="5" t="str">
        <f>_xlfn.XLOOKUP(role_course_map[[#This Row],[course_id]],course_data[course_id],course_data[type],"")</f>
        <v>eLearning</v>
      </c>
      <c r="K1717" t="str">
        <f>role_course_map[[#This Row],[role_id]] &amp; "|" &amp; role_course_map[[#This Row],[course_id]]</f>
        <v>R0138|999013</v>
      </c>
      <c r="L1717" t="str">
        <f>IF(COUNTIF(role_course_map[mapping_key],role_course_map[[#This Row],[mapping_key]])&gt;1,"DUPLICATE","OK")</f>
        <v>OK</v>
      </c>
      <c r="M1717" t="str">
        <f>IF(COUNTIF(role_data[role_id],role_course_map[[#This Row],[role_id]])=0, "INVALID","VALID")</f>
        <v>VALID</v>
      </c>
      <c r="N1717" t="str">
        <f>IF(COUNTIF(course_data[course_id],role_course_map[[#This Row],[course_id]])=0, "INVALID","VALID")</f>
        <v>VALID</v>
      </c>
    </row>
    <row r="1718" spans="1:14" x14ac:dyDescent="0.35">
      <c r="A1718" t="s">
        <v>288</v>
      </c>
      <c r="B1718" s="5" t="str">
        <f>_xlfn.XLOOKUP(role_course_map[[#This Row],[role_id]], role_data[role_id], role_data[Role],"")</f>
        <v>HIU Paediatric Liaison Nurse</v>
      </c>
      <c r="C1718">
        <v>999014</v>
      </c>
      <c r="D1718" s="5" t="str">
        <f>_xlfn.XLOOKUP(role_course_map[[#This Row],[course_id]],course_data[course_id],course_data[title],"")</f>
        <v>Patient Assessment</v>
      </c>
      <c r="E1718" s="5" t="str">
        <f>_xlfn.XLOOKUP(role_course_map[[#This Row],[course_id]],course_data[course_id],course_data[topic],"")</f>
        <v>SAS : Clinical Practice</v>
      </c>
      <c r="F1718" s="5" t="str">
        <f>_xlfn.XLOOKUP(role_course_map[[#This Row],[course_id]],course_data[course_id],course_data[type],"")</f>
        <v>Course</v>
      </c>
      <c r="K1718" t="str">
        <f>role_course_map[[#This Row],[role_id]] &amp; "|" &amp; role_course_map[[#This Row],[course_id]]</f>
        <v>R0138|999014</v>
      </c>
      <c r="L1718" t="str">
        <f>IF(COUNTIF(role_course_map[mapping_key],role_course_map[[#This Row],[mapping_key]])&gt;1,"DUPLICATE","OK")</f>
        <v>OK</v>
      </c>
      <c r="M1718" t="str">
        <f>IF(COUNTIF(role_data[role_id],role_course_map[[#This Row],[role_id]])=0, "INVALID","VALID")</f>
        <v>VALID</v>
      </c>
      <c r="N1718" t="str">
        <f>IF(COUNTIF(course_data[course_id],role_course_map[[#This Row],[course_id]])=0, "INVALID","VALID")</f>
        <v>VALID</v>
      </c>
    </row>
    <row r="1719" spans="1:14" x14ac:dyDescent="0.35">
      <c r="A1719" t="s">
        <v>288</v>
      </c>
      <c r="B1719" s="5" t="str">
        <f>_xlfn.XLOOKUP(role_course_map[[#This Row],[role_id]], role_data[role_id], role_data[Role],"")</f>
        <v>HIU Paediatric Liaison Nurse</v>
      </c>
      <c r="C1719">
        <v>999015</v>
      </c>
      <c r="D1719" s="5" t="str">
        <f>_xlfn.XLOOKUP(role_course_map[[#This Row],[course_id]],course_data[course_id],course_data[title],"")</f>
        <v>Patient Assessment</v>
      </c>
      <c r="E1719" s="5" t="str">
        <f>_xlfn.XLOOKUP(role_course_map[[#This Row],[course_id]],course_data[course_id],course_data[topic],"")</f>
        <v>SAS : Clinical Practice</v>
      </c>
      <c r="F1719" s="5" t="str">
        <f>_xlfn.XLOOKUP(role_course_map[[#This Row],[course_id]],course_data[course_id],course_data[type],"")</f>
        <v>eLearning</v>
      </c>
      <c r="K1719" t="str">
        <f>role_course_map[[#This Row],[role_id]] &amp; "|" &amp; role_course_map[[#This Row],[course_id]]</f>
        <v>R0138|999015</v>
      </c>
      <c r="L1719" t="str">
        <f>IF(COUNTIF(role_course_map[mapping_key],role_course_map[[#This Row],[mapping_key]])&gt;1,"DUPLICATE","OK")</f>
        <v>OK</v>
      </c>
      <c r="M1719" t="str">
        <f>IF(COUNTIF(role_data[role_id],role_course_map[[#This Row],[role_id]])=0, "INVALID","VALID")</f>
        <v>VALID</v>
      </c>
      <c r="N1719" t="str">
        <f>IF(COUNTIF(course_data[course_id],role_course_map[[#This Row],[course_id]])=0, "INVALID","VALID")</f>
        <v>VALID</v>
      </c>
    </row>
    <row r="1720" spans="1:14" x14ac:dyDescent="0.35">
      <c r="A1720" t="s">
        <v>288</v>
      </c>
      <c r="B1720" s="5" t="str">
        <f>_xlfn.XLOOKUP(role_course_map[[#This Row],[role_id]], role_data[role_id], role_data[Role],"")</f>
        <v>HIU Paediatric Liaison Nurse</v>
      </c>
      <c r="C1720">
        <v>999016</v>
      </c>
      <c r="D1720" s="5" t="str">
        <f>_xlfn.XLOOKUP(role_course_map[[#This Row],[course_id]],course_data[course_id],course_data[title],"")</f>
        <v>Clinical Skills</v>
      </c>
      <c r="E1720" s="5" t="str">
        <f>_xlfn.XLOOKUP(role_course_map[[#This Row],[course_id]],course_data[course_id],course_data[topic],"")</f>
        <v>SAS : Clinical Practice</v>
      </c>
      <c r="F1720" s="5" t="str">
        <f>_xlfn.XLOOKUP(role_course_map[[#This Row],[course_id]],course_data[course_id],course_data[type],"")</f>
        <v>Course</v>
      </c>
      <c r="K1720" t="str">
        <f>role_course_map[[#This Row],[role_id]] &amp; "|" &amp; role_course_map[[#This Row],[course_id]]</f>
        <v>R0138|999016</v>
      </c>
      <c r="L1720" t="str">
        <f>IF(COUNTIF(role_course_map[mapping_key],role_course_map[[#This Row],[mapping_key]])&gt;1,"DUPLICATE","OK")</f>
        <v>OK</v>
      </c>
      <c r="M1720" t="str">
        <f>IF(COUNTIF(role_data[role_id],role_course_map[[#This Row],[role_id]])=0, "INVALID","VALID")</f>
        <v>VALID</v>
      </c>
      <c r="N1720" t="str">
        <f>IF(COUNTIF(course_data[course_id],role_course_map[[#This Row],[course_id]])=0, "INVALID","VALID")</f>
        <v>VALID</v>
      </c>
    </row>
    <row r="1721" spans="1:14" x14ac:dyDescent="0.35">
      <c r="A1721" t="s">
        <v>288</v>
      </c>
      <c r="B1721" s="5" t="str">
        <f>_xlfn.XLOOKUP(role_course_map[[#This Row],[role_id]], role_data[role_id], role_data[Role],"")</f>
        <v>HIU Paediatric Liaison Nurse</v>
      </c>
      <c r="C1721">
        <v>999017</v>
      </c>
      <c r="D1721" s="5" t="str">
        <f>_xlfn.XLOOKUP(role_course_map[[#This Row],[course_id]],course_data[course_id],course_data[title],"")</f>
        <v>Clinical Skills</v>
      </c>
      <c r="E1721" s="5" t="str">
        <f>_xlfn.XLOOKUP(role_course_map[[#This Row],[course_id]],course_data[course_id],course_data[topic],"")</f>
        <v>SAS : Clinical Practice</v>
      </c>
      <c r="F1721" s="5" t="str">
        <f>_xlfn.XLOOKUP(role_course_map[[#This Row],[course_id]],course_data[course_id],course_data[type],"")</f>
        <v>eLearning</v>
      </c>
      <c r="K1721" t="str">
        <f>role_course_map[[#This Row],[role_id]] &amp; "|" &amp; role_course_map[[#This Row],[course_id]]</f>
        <v>R0138|999017</v>
      </c>
      <c r="L1721" t="str">
        <f>IF(COUNTIF(role_course_map[mapping_key],role_course_map[[#This Row],[mapping_key]])&gt;1,"DUPLICATE","OK")</f>
        <v>OK</v>
      </c>
      <c r="M1721" t="str">
        <f>IF(COUNTIF(role_data[role_id],role_course_map[[#This Row],[role_id]])=0, "INVALID","VALID")</f>
        <v>VALID</v>
      </c>
      <c r="N1721" t="str">
        <f>IF(COUNTIF(course_data[course_id],role_course_map[[#This Row],[course_id]])=0, "INVALID","VALID")</f>
        <v>VALID</v>
      </c>
    </row>
    <row r="1722" spans="1:14" x14ac:dyDescent="0.35">
      <c r="A1722" t="s">
        <v>288</v>
      </c>
      <c r="B1722" s="5" t="str">
        <f>_xlfn.XLOOKUP(role_course_map[[#This Row],[role_id]], role_data[role_id], role_data[Role],"")</f>
        <v>HIU Paediatric Liaison Nurse</v>
      </c>
      <c r="C1722">
        <v>999018</v>
      </c>
      <c r="D1722" s="5" t="str">
        <f>_xlfn.XLOOKUP(role_course_map[[#This Row],[course_id]],course_data[course_id],course_data[title],"")</f>
        <v>Learning from Events</v>
      </c>
      <c r="E1722" s="5" t="str">
        <f>_xlfn.XLOOKUP(role_course_map[[#This Row],[course_id]],course_data[course_id],course_data[topic],"")</f>
        <v>SAS : Clinical Practice</v>
      </c>
      <c r="F1722" s="5" t="str">
        <f>_xlfn.XLOOKUP(role_course_map[[#This Row],[course_id]],course_data[course_id],course_data[type],"")</f>
        <v>eLearning</v>
      </c>
      <c r="K1722" t="str">
        <f>role_course_map[[#This Row],[role_id]] &amp; "|" &amp; role_course_map[[#This Row],[course_id]]</f>
        <v>R0138|999018</v>
      </c>
      <c r="L1722" t="str">
        <f>IF(COUNTIF(role_course_map[mapping_key],role_course_map[[#This Row],[mapping_key]])&gt;1,"DUPLICATE","OK")</f>
        <v>OK</v>
      </c>
      <c r="M1722" t="str">
        <f>IF(COUNTIF(role_data[role_id],role_course_map[[#This Row],[role_id]])=0, "INVALID","VALID")</f>
        <v>VALID</v>
      </c>
      <c r="N1722" t="str">
        <f>IF(COUNTIF(course_data[course_id],role_course_map[[#This Row],[course_id]])=0, "INVALID","VALID")</f>
        <v>VALID</v>
      </c>
    </row>
    <row r="1723" spans="1:14" x14ac:dyDescent="0.35">
      <c r="A1723" t="s">
        <v>288</v>
      </c>
      <c r="B1723" s="5" t="str">
        <f>_xlfn.XLOOKUP(role_course_map[[#This Row],[role_id]], role_data[role_id], role_data[Role],"")</f>
        <v>HIU Paediatric Liaison Nurse</v>
      </c>
      <c r="C1723">
        <v>999019</v>
      </c>
      <c r="D1723" s="5" t="str">
        <f>_xlfn.XLOOKUP(role_course_map[[#This Row],[course_id]],course_data[course_id],course_data[title],"")</f>
        <v>Medicines Management</v>
      </c>
      <c r="E1723" s="5" t="str">
        <f>_xlfn.XLOOKUP(role_course_map[[#This Row],[course_id]],course_data[course_id],course_data[topic],"")</f>
        <v>SAS : Clinical Practice</v>
      </c>
      <c r="F1723" s="5" t="str">
        <f>_xlfn.XLOOKUP(role_course_map[[#This Row],[course_id]],course_data[course_id],course_data[type],"")</f>
        <v>eLearning</v>
      </c>
      <c r="K1723" t="str">
        <f>role_course_map[[#This Row],[role_id]] &amp; "|" &amp; role_course_map[[#This Row],[course_id]]</f>
        <v>R0138|999019</v>
      </c>
      <c r="L1723" t="str">
        <f>IF(COUNTIF(role_course_map[mapping_key],role_course_map[[#This Row],[mapping_key]])&gt;1,"DUPLICATE","OK")</f>
        <v>OK</v>
      </c>
      <c r="M1723" t="str">
        <f>IF(COUNTIF(role_data[role_id],role_course_map[[#This Row],[role_id]])=0, "INVALID","VALID")</f>
        <v>VALID</v>
      </c>
      <c r="N1723" t="str">
        <f>IF(COUNTIF(course_data[course_id],role_course_map[[#This Row],[course_id]])=0, "INVALID","VALID")</f>
        <v>VALID</v>
      </c>
    </row>
    <row r="1724" spans="1:14" x14ac:dyDescent="0.35">
      <c r="A1724" t="s">
        <v>288</v>
      </c>
      <c r="B1724" s="5" t="str">
        <f>_xlfn.XLOOKUP(role_course_map[[#This Row],[role_id]], role_data[role_id], role_data[Role],"")</f>
        <v>HIU Paediatric Liaison Nurse</v>
      </c>
      <c r="C1724">
        <v>999020</v>
      </c>
      <c r="D1724" s="5" t="str">
        <f>_xlfn.XLOOKUP(role_course_map[[#This Row],[course_id]],course_data[course_id],course_data[title],"")</f>
        <v>JRCALC Update</v>
      </c>
      <c r="E1724" s="5" t="str">
        <f>_xlfn.XLOOKUP(role_course_map[[#This Row],[course_id]],course_data[course_id],course_data[topic],"")</f>
        <v>SAS : Clinical Practice</v>
      </c>
      <c r="F1724" s="5" t="str">
        <f>_xlfn.XLOOKUP(role_course_map[[#This Row],[course_id]],course_data[course_id],course_data[type],"")</f>
        <v>eLearning</v>
      </c>
      <c r="K1724" t="str">
        <f>role_course_map[[#This Row],[role_id]] &amp; "|" &amp; role_course_map[[#This Row],[course_id]]</f>
        <v>R0138|999020</v>
      </c>
      <c r="L1724" t="str">
        <f>IF(COUNTIF(role_course_map[mapping_key],role_course_map[[#This Row],[mapping_key]])&gt;1,"DUPLICATE","OK")</f>
        <v>OK</v>
      </c>
      <c r="M1724" t="str">
        <f>IF(COUNTIF(role_data[role_id],role_course_map[[#This Row],[role_id]])=0, "INVALID","VALID")</f>
        <v>VALID</v>
      </c>
      <c r="N1724" t="str">
        <f>IF(COUNTIF(course_data[course_id],role_course_map[[#This Row],[course_id]])=0, "INVALID","VALID")</f>
        <v>VALID</v>
      </c>
    </row>
    <row r="1725" spans="1:14" x14ac:dyDescent="0.35">
      <c r="A1725" t="s">
        <v>288</v>
      </c>
      <c r="B1725" s="5" t="str">
        <f>_xlfn.XLOOKUP(role_course_map[[#This Row],[role_id]], role_data[role_id], role_data[Role],"")</f>
        <v>HIU Paediatric Liaison Nurse</v>
      </c>
      <c r="C1725">
        <v>999021</v>
      </c>
      <c r="D1725" s="5" t="str">
        <f>_xlfn.XLOOKUP(role_course_map[[#This Row],[course_id]],course_data[course_id],course_data[title],"")</f>
        <v>Mental Health</v>
      </c>
      <c r="E1725" s="5" t="str">
        <f>_xlfn.XLOOKUP(role_course_map[[#This Row],[course_id]],course_data[course_id],course_data[topic],"")</f>
        <v>SAS : Clinical Practice</v>
      </c>
      <c r="F1725" s="5" t="str">
        <f>_xlfn.XLOOKUP(role_course_map[[#This Row],[course_id]],course_data[course_id],course_data[type],"")</f>
        <v>eLearning</v>
      </c>
      <c r="K1725" t="str">
        <f>role_course_map[[#This Row],[role_id]] &amp; "|" &amp; role_course_map[[#This Row],[course_id]]</f>
        <v>R0138|999021</v>
      </c>
      <c r="L1725" t="str">
        <f>IF(COUNTIF(role_course_map[mapping_key],role_course_map[[#This Row],[mapping_key]])&gt;1,"DUPLICATE","OK")</f>
        <v>OK</v>
      </c>
      <c r="M1725" t="str">
        <f>IF(COUNTIF(role_data[role_id],role_course_map[[#This Row],[role_id]])=0, "INVALID","VALID")</f>
        <v>VALID</v>
      </c>
      <c r="N1725" t="str">
        <f>IF(COUNTIF(course_data[course_id],role_course_map[[#This Row],[course_id]])=0, "INVALID","VALID")</f>
        <v>VALID</v>
      </c>
    </row>
    <row r="1726" spans="1:14" x14ac:dyDescent="0.35">
      <c r="A1726" t="s">
        <v>288</v>
      </c>
      <c r="B1726" s="5" t="str">
        <f>_xlfn.XLOOKUP(role_course_map[[#This Row],[role_id]], role_data[role_id], role_data[Role],"")</f>
        <v>HIU Paediatric Liaison Nurse</v>
      </c>
      <c r="C1726">
        <v>999022</v>
      </c>
      <c r="D1726" s="5" t="str">
        <f>_xlfn.XLOOKUP(role_course_map[[#This Row],[course_id]],course_data[course_id],course_data[title],"")</f>
        <v>Learning Disabilities</v>
      </c>
      <c r="E1726" s="5" t="str">
        <f>_xlfn.XLOOKUP(role_course_map[[#This Row],[course_id]],course_data[course_id],course_data[topic],"")</f>
        <v>SAS : Clinical Practice</v>
      </c>
      <c r="F1726" s="5" t="str">
        <f>_xlfn.XLOOKUP(role_course_map[[#This Row],[course_id]],course_data[course_id],course_data[type],"")</f>
        <v>eLearning</v>
      </c>
      <c r="K1726" t="str">
        <f>role_course_map[[#This Row],[role_id]] &amp; "|" &amp; role_course_map[[#This Row],[course_id]]</f>
        <v>R0138|999022</v>
      </c>
      <c r="L1726" t="str">
        <f>IF(COUNTIF(role_course_map[mapping_key],role_course_map[[#This Row],[mapping_key]])&gt;1,"DUPLICATE","OK")</f>
        <v>OK</v>
      </c>
      <c r="M1726" t="str">
        <f>IF(COUNTIF(role_data[role_id],role_course_map[[#This Row],[role_id]])=0, "INVALID","VALID")</f>
        <v>VALID</v>
      </c>
      <c r="N1726" t="str">
        <f>IF(COUNTIF(course_data[course_id],role_course_map[[#This Row],[course_id]])=0, "INVALID","VALID")</f>
        <v>VALID</v>
      </c>
    </row>
    <row r="1727" spans="1:14" x14ac:dyDescent="0.35">
      <c r="A1727" t="s">
        <v>288</v>
      </c>
      <c r="B1727" s="5" t="str">
        <f>_xlfn.XLOOKUP(role_course_map[[#This Row],[role_id]], role_data[role_id], role_data[Role],"")</f>
        <v>HIU Paediatric Liaison Nurse</v>
      </c>
      <c r="C1727">
        <v>75202</v>
      </c>
      <c r="D1727" s="5" t="str">
        <f>_xlfn.XLOOKUP(role_course_map[[#This Row],[course_id]],course_data[course_id],course_data[title],"")</f>
        <v>SAS : Clinical Practice</v>
      </c>
      <c r="E1727" s="5" t="str">
        <f>_xlfn.XLOOKUP(role_course_map[[#This Row],[course_id]],course_data[course_id],course_data[topic],"")</f>
        <v>SAS : Clinical Practice</v>
      </c>
      <c r="F1727" s="5" t="str">
        <f>_xlfn.XLOOKUP(role_course_map[[#This Row],[course_id]],course_data[course_id],course_data[type],"")</f>
        <v>Page</v>
      </c>
      <c r="K1727" t="str">
        <f>role_course_map[[#This Row],[role_id]] &amp; "|" &amp; role_course_map[[#This Row],[course_id]]</f>
        <v>R0138|75202</v>
      </c>
      <c r="L1727" t="str">
        <f>IF(COUNTIF(role_course_map[mapping_key],role_course_map[[#This Row],[mapping_key]])&gt;1,"DUPLICATE","OK")</f>
        <v>OK</v>
      </c>
      <c r="M1727" t="str">
        <f>IF(COUNTIF(role_data[role_id],role_course_map[[#This Row],[role_id]])=0, "INVALID","VALID")</f>
        <v>VALID</v>
      </c>
      <c r="N1727" t="str">
        <f>IF(COUNTIF(course_data[course_id],role_course_map[[#This Row],[course_id]])=0, "INVALID","VALID")</f>
        <v>VALID</v>
      </c>
    </row>
    <row r="1728" spans="1:14" x14ac:dyDescent="0.35">
      <c r="A1728" t="s">
        <v>288</v>
      </c>
      <c r="B1728" s="5" t="str">
        <f>_xlfn.XLOOKUP(role_course_map[[#This Row],[role_id]], role_data[role_id], role_data[Role],"")</f>
        <v>HIU Paediatric Liaison Nurse</v>
      </c>
      <c r="C1728">
        <v>999023</v>
      </c>
      <c r="D1728" s="5" t="str">
        <f>_xlfn.XLOOKUP(role_course_map[[#This Row],[course_id]],course_data[course_id],course_data[title],"")</f>
        <v>Dementia</v>
      </c>
      <c r="E1728" s="5" t="str">
        <f>_xlfn.XLOOKUP(role_course_map[[#This Row],[course_id]],course_data[course_id],course_data[topic],"")</f>
        <v>SAS : Clinical Practice</v>
      </c>
      <c r="F1728" s="5" t="str">
        <f>_xlfn.XLOOKUP(role_course_map[[#This Row],[course_id]],course_data[course_id],course_data[type],"")</f>
        <v>eLearning</v>
      </c>
      <c r="K1728" t="str">
        <f>role_course_map[[#This Row],[role_id]] &amp; "|" &amp; role_course_map[[#This Row],[course_id]]</f>
        <v>R0138|999023</v>
      </c>
      <c r="L1728" t="str">
        <f>IF(COUNTIF(role_course_map[mapping_key],role_course_map[[#This Row],[mapping_key]])&gt;1,"DUPLICATE","OK")</f>
        <v>OK</v>
      </c>
      <c r="M1728" t="str">
        <f>IF(COUNTIF(role_data[role_id],role_course_map[[#This Row],[role_id]])=0, "INVALID","VALID")</f>
        <v>VALID</v>
      </c>
      <c r="N1728" t="str">
        <f>IF(COUNTIF(course_data[course_id],role_course_map[[#This Row],[course_id]])=0, "INVALID","VALID")</f>
        <v>VALID</v>
      </c>
    </row>
    <row r="1729" spans="1:14" x14ac:dyDescent="0.35">
      <c r="A1729" t="s">
        <v>288</v>
      </c>
      <c r="B1729" s="5" t="str">
        <f>_xlfn.XLOOKUP(role_course_map[[#This Row],[role_id]], role_data[role_id], role_data[Role],"")</f>
        <v>HIU Paediatric Liaison Nurse</v>
      </c>
      <c r="C1729">
        <v>999024</v>
      </c>
      <c r="D1729" s="5" t="str">
        <f>_xlfn.XLOOKUP(role_course_map[[#This Row],[course_id]],course_data[course_id],course_data[title],"")</f>
        <v>Conditions requiring specific hospital management. I.e. Parkinsons</v>
      </c>
      <c r="E1729" s="5" t="str">
        <f>_xlfn.XLOOKUP(role_course_map[[#This Row],[course_id]],course_data[course_id],course_data[topic],"")</f>
        <v>SAS : Clinical Practice</v>
      </c>
      <c r="F1729" s="5" t="str">
        <f>_xlfn.XLOOKUP(role_course_map[[#This Row],[course_id]],course_data[course_id],course_data[type],"")</f>
        <v>eLearning</v>
      </c>
      <c r="K1729" t="str">
        <f>role_course_map[[#This Row],[role_id]] &amp; "|" &amp; role_course_map[[#This Row],[course_id]]</f>
        <v>R0138|999024</v>
      </c>
      <c r="L1729" t="str">
        <f>IF(COUNTIF(role_course_map[mapping_key],role_course_map[[#This Row],[mapping_key]])&gt;1,"DUPLICATE","OK")</f>
        <v>OK</v>
      </c>
      <c r="M1729" t="str">
        <f>IF(COUNTIF(role_data[role_id],role_course_map[[#This Row],[role_id]])=0, "INVALID","VALID")</f>
        <v>VALID</v>
      </c>
      <c r="N1729" t="str">
        <f>IF(COUNTIF(course_data[course_id],role_course_map[[#This Row],[course_id]])=0, "INVALID","VALID")</f>
        <v>VALID</v>
      </c>
    </row>
    <row r="1730" spans="1:14" x14ac:dyDescent="0.35">
      <c r="A1730" t="s">
        <v>288</v>
      </c>
      <c r="B1730" s="5" t="str">
        <f>_xlfn.XLOOKUP(role_course_map[[#This Row],[role_id]], role_data[role_id], role_data[Role],"")</f>
        <v>HIU Paediatric Liaison Nurse</v>
      </c>
      <c r="C1730">
        <v>999095</v>
      </c>
      <c r="D1730" s="5" t="str">
        <f>_xlfn.XLOOKUP(role_course_map[[#This Row],[course_id]],course_data[course_id],course_data[title],"")</f>
        <v>Mentoring</v>
      </c>
      <c r="E1730" s="5" t="str">
        <f>_xlfn.XLOOKUP(role_course_map[[#This Row],[course_id]],course_data[course_id],course_data[topic],"")</f>
        <v>SAS: Staff development and experience</v>
      </c>
      <c r="F1730" s="5" t="str">
        <f>_xlfn.XLOOKUP(role_course_map[[#This Row],[course_id]],course_data[course_id],course_data[type],"")</f>
        <v>eLearning</v>
      </c>
      <c r="K1730" t="str">
        <f>role_course_map[[#This Row],[role_id]] &amp; "|" &amp; role_course_map[[#This Row],[course_id]]</f>
        <v>R0138|999095</v>
      </c>
      <c r="L1730" t="str">
        <f>IF(COUNTIF(role_course_map[mapping_key],role_course_map[[#This Row],[mapping_key]])&gt;1,"DUPLICATE","OK")</f>
        <v>OK</v>
      </c>
      <c r="M1730" t="str">
        <f>IF(COUNTIF(role_data[role_id],role_course_map[[#This Row],[role_id]])=0, "INVALID","VALID")</f>
        <v>VALID</v>
      </c>
      <c r="N1730" t="str">
        <f>IF(COUNTIF(course_data[course_id],role_course_map[[#This Row],[course_id]])=0, "INVALID","VALID")</f>
        <v>VALID</v>
      </c>
    </row>
    <row r="1731" spans="1:14" x14ac:dyDescent="0.35">
      <c r="A1731" t="s">
        <v>288</v>
      </c>
      <c r="B1731" s="5" t="str">
        <f>_xlfn.XLOOKUP(role_course_map[[#This Row],[role_id]], role_data[role_id], role_data[Role],"")</f>
        <v>HIU Paediatric Liaison Nurse</v>
      </c>
      <c r="C1731">
        <v>999096</v>
      </c>
      <c r="D1731" s="5" t="str">
        <f>_xlfn.XLOOKUP(role_course_map[[#This Row],[course_id]],course_data[course_id],course_data[title],"")</f>
        <v>Supporting others in practice (Supervision)</v>
      </c>
      <c r="E1731" s="5" t="str">
        <f>_xlfn.XLOOKUP(role_course_map[[#This Row],[course_id]],course_data[course_id],course_data[topic],"")</f>
        <v>SAS: Staff development and experience</v>
      </c>
      <c r="F1731" s="5" t="str">
        <f>_xlfn.XLOOKUP(role_course_map[[#This Row],[course_id]],course_data[course_id],course_data[type],"")</f>
        <v>Course</v>
      </c>
      <c r="K1731" t="str">
        <f>role_course_map[[#This Row],[role_id]] &amp; "|" &amp; role_course_map[[#This Row],[course_id]]</f>
        <v>R0138|999096</v>
      </c>
      <c r="L1731" t="str">
        <f>IF(COUNTIF(role_course_map[mapping_key],role_course_map[[#This Row],[mapping_key]])&gt;1,"DUPLICATE","OK")</f>
        <v>OK</v>
      </c>
      <c r="M1731" t="str">
        <f>IF(COUNTIF(role_data[role_id],role_course_map[[#This Row],[role_id]])=0, "INVALID","VALID")</f>
        <v>VALID</v>
      </c>
      <c r="N1731" t="str">
        <f>IF(COUNTIF(course_data[course_id],role_course_map[[#This Row],[course_id]])=0, "INVALID","VALID")</f>
        <v>VALID</v>
      </c>
    </row>
    <row r="1732" spans="1:14" x14ac:dyDescent="0.35">
      <c r="A1732" t="s">
        <v>288</v>
      </c>
      <c r="B1732" s="5" t="str">
        <f>_xlfn.XLOOKUP(role_course_map[[#This Row],[role_id]], role_data[role_id], role_data[Role],"")</f>
        <v>HIU Paediatric Liaison Nurse</v>
      </c>
      <c r="C1732">
        <v>999097</v>
      </c>
      <c r="D1732" s="5" t="str">
        <f>_xlfn.XLOOKUP(role_course_map[[#This Row],[course_id]],course_data[course_id],course_data[title],"")</f>
        <v>Personal Wellbeing</v>
      </c>
      <c r="E1732" s="5" t="str">
        <f>_xlfn.XLOOKUP(role_course_map[[#This Row],[course_id]],course_data[course_id],course_data[topic],"")</f>
        <v>SAS: Staff development and experience</v>
      </c>
      <c r="F1732" s="5" t="str">
        <f>_xlfn.XLOOKUP(role_course_map[[#This Row],[course_id]],course_data[course_id],course_data[type],"")</f>
        <v>eLearning</v>
      </c>
      <c r="K1732" t="str">
        <f>role_course_map[[#This Row],[role_id]] &amp; "|" &amp; role_course_map[[#This Row],[course_id]]</f>
        <v>R0138|999097</v>
      </c>
      <c r="L1732" t="str">
        <f>IF(COUNTIF(role_course_map[mapping_key],role_course_map[[#This Row],[mapping_key]])&gt;1,"DUPLICATE","OK")</f>
        <v>OK</v>
      </c>
      <c r="M1732" t="str">
        <f>IF(COUNTIF(role_data[role_id],role_course_map[[#This Row],[role_id]])=0, "INVALID","VALID")</f>
        <v>VALID</v>
      </c>
      <c r="N1732" t="str">
        <f>IF(COUNTIF(course_data[course_id],role_course_map[[#This Row],[course_id]])=0, "INVALID","VALID")</f>
        <v>VALID</v>
      </c>
    </row>
    <row r="1733" spans="1:14" x14ac:dyDescent="0.35">
      <c r="A1733" t="s">
        <v>288</v>
      </c>
      <c r="B1733" s="5" t="str">
        <f>_xlfn.XLOOKUP(role_course_map[[#This Row],[role_id]], role_data[role_id], role_data[Role],"")</f>
        <v>HIU Paediatric Liaison Nurse</v>
      </c>
      <c r="C1733">
        <v>999059</v>
      </c>
      <c r="D1733" s="5" t="str">
        <f>_xlfn.XLOOKUP(role_course_map[[#This Row],[course_id]],course_data[course_id],course_data[title],"")</f>
        <v>Driving update (practical)</v>
      </c>
      <c r="E1733" s="5" t="str">
        <f>_xlfn.XLOOKUP(role_course_map[[#This Row],[course_id]],course_data[course_id],course_data[topic],"")</f>
        <v>SAS : Health and Safety</v>
      </c>
      <c r="F1733" s="5" t="str">
        <f>_xlfn.XLOOKUP(role_course_map[[#This Row],[course_id]],course_data[course_id],course_data[type],"")</f>
        <v>Course</v>
      </c>
      <c r="K1733" t="str">
        <f>role_course_map[[#This Row],[role_id]] &amp; "|" &amp; role_course_map[[#This Row],[course_id]]</f>
        <v>R0138|999059</v>
      </c>
      <c r="L1733" t="str">
        <f>IF(COUNTIF(role_course_map[mapping_key],role_course_map[[#This Row],[mapping_key]])&gt;1,"DUPLICATE","OK")</f>
        <v>OK</v>
      </c>
      <c r="M1733" t="str">
        <f>IF(COUNTIF(role_data[role_id],role_course_map[[#This Row],[role_id]])=0, "INVALID","VALID")</f>
        <v>VALID</v>
      </c>
      <c r="N1733" t="str">
        <f>IF(COUNTIF(course_data[course_id],role_course_map[[#This Row],[course_id]])=0, "INVALID","VALID")</f>
        <v>VALID</v>
      </c>
    </row>
    <row r="1734" spans="1:14" x14ac:dyDescent="0.35">
      <c r="A1734" t="s">
        <v>288</v>
      </c>
      <c r="B1734" s="5" t="str">
        <f>_xlfn.XLOOKUP(role_course_map[[#This Row],[role_id]], role_data[role_id], role_data[Role],"")</f>
        <v>HIU Paediatric Liaison Nurse</v>
      </c>
      <c r="C1734">
        <v>999060</v>
      </c>
      <c r="D1734" s="5" t="str">
        <f>_xlfn.XLOOKUP(role_course_map[[#This Row],[course_id]],course_data[course_id],course_data[title],"")</f>
        <v>COSHH</v>
      </c>
      <c r="E1734" s="5" t="str">
        <f>_xlfn.XLOOKUP(role_course_map[[#This Row],[course_id]],course_data[course_id],course_data[topic],"")</f>
        <v>SAS : Health and Safety</v>
      </c>
      <c r="F1734" s="5" t="str">
        <f>_xlfn.XLOOKUP(role_course_map[[#This Row],[course_id]],course_data[course_id],course_data[type],"")</f>
        <v>eLearning</v>
      </c>
      <c r="K1734" t="str">
        <f>role_course_map[[#This Row],[role_id]] &amp; "|" &amp; role_course_map[[#This Row],[course_id]]</f>
        <v>R0138|999060</v>
      </c>
      <c r="L1734" t="str">
        <f>IF(COUNTIF(role_course_map[mapping_key],role_course_map[[#This Row],[mapping_key]])&gt;1,"DUPLICATE","OK")</f>
        <v>OK</v>
      </c>
      <c r="M1734" t="str">
        <f>IF(COUNTIF(role_data[role_id],role_course_map[[#This Row],[role_id]])=0, "INVALID","VALID")</f>
        <v>VALID</v>
      </c>
      <c r="N1734" t="str">
        <f>IF(COUNTIF(course_data[course_id],role_course_map[[#This Row],[course_id]])=0, "INVALID","VALID")</f>
        <v>VALID</v>
      </c>
    </row>
    <row r="1735" spans="1:14" x14ac:dyDescent="0.35">
      <c r="A1735" t="s">
        <v>288</v>
      </c>
      <c r="B1735" s="5" t="str">
        <f>_xlfn.XLOOKUP(role_course_map[[#This Row],[role_id]], role_data[role_id], role_data[Role],"")</f>
        <v>HIU Paediatric Liaison Nurse</v>
      </c>
      <c r="C1735">
        <v>999066</v>
      </c>
      <c r="D1735" s="5" t="str">
        <f>_xlfn.XLOOKUP(role_course_map[[#This Row],[course_id]],course_data[course_id],course_data[title],"")</f>
        <v>NRRD Update i.e. Major Incidents/Methane/ Multiple Casualities</v>
      </c>
      <c r="E1735" s="5" t="str">
        <f>_xlfn.XLOOKUP(role_course_map[[#This Row],[course_id]],course_data[course_id],course_data[topic],"")</f>
        <v>SAS : National Risk and Resilience Department (NRRD)</v>
      </c>
      <c r="F1735" s="5" t="str">
        <f>_xlfn.XLOOKUP(role_course_map[[#This Row],[course_id]],course_data[course_id],course_data[type],"")</f>
        <v>eLearning</v>
      </c>
      <c r="K1735" t="str">
        <f>role_course_map[[#This Row],[role_id]] &amp; "|" &amp; role_course_map[[#This Row],[course_id]]</f>
        <v>R0138|999066</v>
      </c>
      <c r="L1735" t="str">
        <f>IF(COUNTIF(role_course_map[mapping_key],role_course_map[[#This Row],[mapping_key]])&gt;1,"DUPLICATE","OK")</f>
        <v>OK</v>
      </c>
      <c r="M1735" t="str">
        <f>IF(COUNTIF(role_data[role_id],role_course_map[[#This Row],[role_id]])=0, "INVALID","VALID")</f>
        <v>VALID</v>
      </c>
      <c r="N1735" t="str">
        <f>IF(COUNTIF(course_data[course_id],role_course_map[[#This Row],[course_id]])=0, "INVALID","VALID")</f>
        <v>VALID</v>
      </c>
    </row>
    <row r="1736" spans="1:14" x14ac:dyDescent="0.35">
      <c r="A1736" t="s">
        <v>288</v>
      </c>
      <c r="B1736" s="5" t="str">
        <f>_xlfn.XLOOKUP(role_course_map[[#This Row],[role_id]], role_data[role_id], role_data[Role],"")</f>
        <v>HIU Paediatric Liaison Nurse</v>
      </c>
      <c r="C1736">
        <v>999025</v>
      </c>
      <c r="D1736" s="5" t="str">
        <f>_xlfn.XLOOKUP(role_course_map[[#This Row],[course_id]],course_data[course_id],course_data[title],"")</f>
        <v>Professional Standards</v>
      </c>
      <c r="E1736" s="5" t="str">
        <f>_xlfn.XLOOKUP(role_course_map[[#This Row],[course_id]],course_data[course_id],course_data[topic],"")</f>
        <v>SAS : Clinical Practice</v>
      </c>
      <c r="F1736" s="5" t="str">
        <f>_xlfn.XLOOKUP(role_course_map[[#This Row],[course_id]],course_data[course_id],course_data[type],"")</f>
        <v>eLearning</v>
      </c>
      <c r="K1736" t="str">
        <f>role_course_map[[#This Row],[role_id]] &amp; "|" &amp; role_course_map[[#This Row],[course_id]]</f>
        <v>R0138|999025</v>
      </c>
      <c r="L1736" t="str">
        <f>IF(COUNTIF(role_course_map[mapping_key],role_course_map[[#This Row],[mapping_key]])&gt;1,"DUPLICATE","OK")</f>
        <v>OK</v>
      </c>
      <c r="M1736" t="str">
        <f>IF(COUNTIF(role_data[role_id],role_course_map[[#This Row],[role_id]])=0, "INVALID","VALID")</f>
        <v>VALID</v>
      </c>
      <c r="N1736" t="str">
        <f>IF(COUNTIF(course_data[course_id],role_course_map[[#This Row],[course_id]])=0, "INVALID","VALID")</f>
        <v>VALID</v>
      </c>
    </row>
    <row r="1737" spans="1:14" x14ac:dyDescent="0.35">
      <c r="A1737" t="s">
        <v>288</v>
      </c>
      <c r="B1737" s="5" t="str">
        <f>_xlfn.XLOOKUP(role_course_map[[#This Row],[role_id]], role_data[role_id], role_data[Role],"")</f>
        <v>HIU Paediatric Liaison Nurse</v>
      </c>
      <c r="C1737">
        <v>999026</v>
      </c>
      <c r="D1737" s="5" t="str">
        <f>_xlfn.XLOOKUP(role_course_map[[#This Row],[course_id]],course_data[course_id],course_data[title],"")</f>
        <v>Communication Standards</v>
      </c>
      <c r="E1737" s="5" t="str">
        <f>_xlfn.XLOOKUP(role_course_map[[#This Row],[course_id]],course_data[course_id],course_data[topic],"")</f>
        <v>SAS : Clinical Practice</v>
      </c>
      <c r="F1737" s="5" t="str">
        <f>_xlfn.XLOOKUP(role_course_map[[#This Row],[course_id]],course_data[course_id],course_data[type],"")</f>
        <v>eLearning</v>
      </c>
      <c r="K1737" t="str">
        <f>role_course_map[[#This Row],[role_id]] &amp; "|" &amp; role_course_map[[#This Row],[course_id]]</f>
        <v>R0138|999026</v>
      </c>
      <c r="L1737" t="str">
        <f>IF(COUNTIF(role_course_map[mapping_key],role_course_map[[#This Row],[mapping_key]])&gt;1,"DUPLICATE","OK")</f>
        <v>OK</v>
      </c>
      <c r="M1737" t="str">
        <f>IF(COUNTIF(role_data[role_id],role_course_map[[#This Row],[role_id]])=0, "INVALID","VALID")</f>
        <v>VALID</v>
      </c>
      <c r="N1737" t="str">
        <f>IF(COUNTIF(course_data[course_id],role_course_map[[#This Row],[course_id]])=0, "INVALID","VALID")</f>
        <v>VALID</v>
      </c>
    </row>
    <row r="1738" spans="1:14" x14ac:dyDescent="0.35">
      <c r="A1738" t="s">
        <v>288</v>
      </c>
      <c r="B1738" s="5" t="str">
        <f>_xlfn.XLOOKUP(role_course_map[[#This Row],[role_id]], role_data[role_id], role_data[Role],"")</f>
        <v>HIU Paediatric Liaison Nurse</v>
      </c>
      <c r="C1738">
        <v>999058</v>
      </c>
      <c r="D1738" s="5" t="str">
        <f>_xlfn.XLOOKUP(role_course_map[[#This Row],[course_id]],course_data[course_id],course_data[title],"")</f>
        <v>Stress Identification &amp; Stress Management</v>
      </c>
      <c r="E1738" s="5" t="str">
        <f>_xlfn.XLOOKUP(role_course_map[[#This Row],[course_id]],course_data[course_id],course_data[topic],"")</f>
        <v>SAS : Health and Safety</v>
      </c>
      <c r="F1738" s="5" t="str">
        <f>_xlfn.XLOOKUP(role_course_map[[#This Row],[course_id]],course_data[course_id],course_data[type],"")</f>
        <v>eLearning</v>
      </c>
      <c r="K1738" t="str">
        <f>role_course_map[[#This Row],[role_id]] &amp; "|" &amp; role_course_map[[#This Row],[course_id]]</f>
        <v>R0138|999058</v>
      </c>
      <c r="L1738" t="str">
        <f>IF(COUNTIF(role_course_map[mapping_key],role_course_map[[#This Row],[mapping_key]])&gt;1,"DUPLICATE","OK")</f>
        <v>OK</v>
      </c>
      <c r="M1738" t="str">
        <f>IF(COUNTIF(role_data[role_id],role_course_map[[#This Row],[role_id]])=0, "INVALID","VALID")</f>
        <v>VALID</v>
      </c>
      <c r="N1738" t="str">
        <f>IF(COUNTIF(course_data[course_id],role_course_map[[#This Row],[course_id]])=0, "INVALID","VALID")</f>
        <v>VALID</v>
      </c>
    </row>
    <row r="1739" spans="1:14" x14ac:dyDescent="0.35">
      <c r="A1739" t="s">
        <v>288</v>
      </c>
      <c r="B1739" s="5" t="str">
        <f>_xlfn.XLOOKUP(role_course_map[[#This Row],[role_id]], role_data[role_id], role_data[Role],"")</f>
        <v>HIU Paediatric Liaison Nurse</v>
      </c>
      <c r="C1739">
        <v>999056</v>
      </c>
      <c r="D1739" s="5" t="str">
        <f>_xlfn.XLOOKUP(role_course_map[[#This Row],[course_id]],course_data[course_id],course_data[title],"")</f>
        <v>Driver Assessment &amp; Training</v>
      </c>
      <c r="E1739" s="5" t="str">
        <f>_xlfn.XLOOKUP(role_course_map[[#This Row],[course_id]],course_data[course_id],course_data[topic],"")</f>
        <v>SAS : Health and Safety</v>
      </c>
      <c r="F1739" s="5" t="str">
        <f>_xlfn.XLOOKUP(role_course_map[[#This Row],[course_id]],course_data[course_id],course_data[type],"")</f>
        <v>eLearning</v>
      </c>
      <c r="K1739" t="str">
        <f>role_course_map[[#This Row],[role_id]] &amp; "|" &amp; role_course_map[[#This Row],[course_id]]</f>
        <v>R0138|999056</v>
      </c>
      <c r="L1739" t="str">
        <f>IF(COUNTIF(role_course_map[mapping_key],role_course_map[[#This Row],[mapping_key]])&gt;1,"DUPLICATE","OK")</f>
        <v>OK</v>
      </c>
      <c r="M1739" t="str">
        <f>IF(COUNTIF(role_data[role_id],role_course_map[[#This Row],[role_id]])=0, "INVALID","VALID")</f>
        <v>VALID</v>
      </c>
      <c r="N1739" t="str">
        <f>IF(COUNTIF(course_data[course_id],role_course_map[[#This Row],[course_id]])=0, "INVALID","VALID")</f>
        <v>VALID</v>
      </c>
    </row>
    <row r="1740" spans="1:14" x14ac:dyDescent="0.35">
      <c r="A1740" t="s">
        <v>288</v>
      </c>
      <c r="B1740" s="5" t="str">
        <f>_xlfn.XLOOKUP(role_course_map[[#This Row],[role_id]], role_data[role_id], role_data[Role],"")</f>
        <v>HIU Paediatric Liaison Nurse</v>
      </c>
      <c r="C1740">
        <v>999061</v>
      </c>
      <c r="D1740" s="5" t="str">
        <f>_xlfn.XLOOKUP(role_course_map[[#This Row],[course_id]],course_data[course_id],course_data[title],"")</f>
        <v>Skin Awareness</v>
      </c>
      <c r="E1740" s="5" t="str">
        <f>_xlfn.XLOOKUP(role_course_map[[#This Row],[course_id]],course_data[course_id],course_data[topic],"")</f>
        <v>SAS : Health and Safety</v>
      </c>
      <c r="F1740" s="5" t="str">
        <f>_xlfn.XLOOKUP(role_course_map[[#This Row],[course_id]],course_data[course_id],course_data[type],"")</f>
        <v>eLearning</v>
      </c>
      <c r="K1740" t="str">
        <f>role_course_map[[#This Row],[role_id]] &amp; "|" &amp; role_course_map[[#This Row],[course_id]]</f>
        <v>R0138|999061</v>
      </c>
      <c r="L1740" t="str">
        <f>IF(COUNTIF(role_course_map[mapping_key],role_course_map[[#This Row],[mapping_key]])&gt;1,"DUPLICATE","OK")</f>
        <v>OK</v>
      </c>
      <c r="M1740" t="str">
        <f>IF(COUNTIF(role_data[role_id],role_course_map[[#This Row],[role_id]])=0, "INVALID","VALID")</f>
        <v>VALID</v>
      </c>
      <c r="N1740" t="str">
        <f>IF(COUNTIF(course_data[course_id],role_course_map[[#This Row],[course_id]])=0, "INVALID","VALID")</f>
        <v>VALID</v>
      </c>
    </row>
    <row r="1741" spans="1:14" x14ac:dyDescent="0.35">
      <c r="A1741" t="s">
        <v>420</v>
      </c>
      <c r="B1741" s="5" t="str">
        <f>_xlfn.XLOOKUP(role_course_map[[#This Row],[role_id]], role_data[role_id], role_data[Role],"")</f>
        <v>Head of Strategy Implementation and Quality Improvement</v>
      </c>
      <c r="C1741">
        <v>999057</v>
      </c>
      <c r="D1741" s="5" t="str">
        <f>_xlfn.XLOOKUP(role_course_map[[#This Row],[course_id]],course_data[course_id],course_data[title],"")</f>
        <v>Fatigue Awareness</v>
      </c>
      <c r="E1741" s="5" t="str">
        <f>_xlfn.XLOOKUP(role_course_map[[#This Row],[course_id]],course_data[course_id],course_data[topic],"")</f>
        <v>SAS : Health and Safety</v>
      </c>
      <c r="F1741" s="5" t="str">
        <f>_xlfn.XLOOKUP(role_course_map[[#This Row],[course_id]],course_data[course_id],course_data[type],"")</f>
        <v>eLearning</v>
      </c>
      <c r="K1741" t="str">
        <f>role_course_map[[#This Row],[role_id]] &amp; "|" &amp; role_course_map[[#This Row],[course_id]]</f>
        <v>R0199|999057</v>
      </c>
      <c r="L1741" t="str">
        <f>IF(COUNTIF(role_course_map[mapping_key],role_course_map[[#This Row],[mapping_key]])&gt;1,"DUPLICATE","OK")</f>
        <v>OK</v>
      </c>
      <c r="M1741" t="str">
        <f>IF(COUNTIF(role_data[role_id],role_course_map[[#This Row],[role_id]])=0, "INVALID","VALID")</f>
        <v>VALID</v>
      </c>
      <c r="N1741" t="str">
        <f>IF(COUNTIF(course_data[course_id],role_course_map[[#This Row],[course_id]])=0, "INVALID","VALID")</f>
        <v>VALID</v>
      </c>
    </row>
    <row r="1742" spans="1:14" x14ac:dyDescent="0.35">
      <c r="A1742" t="s">
        <v>288</v>
      </c>
      <c r="B1742" s="5" t="str">
        <f>_xlfn.XLOOKUP(role_course_map[[#This Row],[role_id]], role_data[role_id], role_data[Role],"")</f>
        <v>HIU Paediatric Liaison Nurse</v>
      </c>
      <c r="C1742">
        <v>999057</v>
      </c>
      <c r="D1742" s="5" t="str">
        <f>_xlfn.XLOOKUP(role_course_map[[#This Row],[course_id]],course_data[course_id],course_data[title],"")</f>
        <v>Fatigue Awareness</v>
      </c>
      <c r="E1742" s="5" t="str">
        <f>_xlfn.XLOOKUP(role_course_map[[#This Row],[course_id]],course_data[course_id],course_data[topic],"")</f>
        <v>SAS : Health and Safety</v>
      </c>
      <c r="F1742" s="5" t="str">
        <f>_xlfn.XLOOKUP(role_course_map[[#This Row],[course_id]],course_data[course_id],course_data[type],"")</f>
        <v>eLearning</v>
      </c>
      <c r="K1742" t="str">
        <f>role_course_map[[#This Row],[role_id]] &amp; "|" &amp; role_course_map[[#This Row],[course_id]]</f>
        <v>R0138|999057</v>
      </c>
      <c r="L1742" t="str">
        <f>IF(COUNTIF(role_course_map[mapping_key],role_course_map[[#This Row],[mapping_key]])&gt;1,"DUPLICATE","OK")</f>
        <v>OK</v>
      </c>
      <c r="M1742" t="str">
        <f>IF(COUNTIF(role_data[role_id],role_course_map[[#This Row],[role_id]])=0, "INVALID","VALID")</f>
        <v>VALID</v>
      </c>
      <c r="N1742" t="str">
        <f>IF(COUNTIF(course_data[course_id],role_course_map[[#This Row],[course_id]])=0, "INVALID","VALID")</f>
        <v>VALID</v>
      </c>
    </row>
    <row r="1743" spans="1:14" x14ac:dyDescent="0.35">
      <c r="A1743" t="s">
        <v>288</v>
      </c>
      <c r="B1743" s="5" t="str">
        <f>_xlfn.XLOOKUP(role_course_map[[#This Row],[role_id]], role_data[role_id], role_data[Role],"")</f>
        <v>HIU Paediatric Liaison Nurse</v>
      </c>
      <c r="C1743">
        <v>999027</v>
      </c>
      <c r="D1743" s="5" t="str">
        <f>_xlfn.XLOOKUP(role_course_map[[#This Row],[course_id]],course_data[course_id],course_data[title],"")</f>
        <v>Manual and Patient Handling Foundation Training - Level 2</v>
      </c>
      <c r="E1743" s="5" t="str">
        <f>_xlfn.XLOOKUP(role_course_map[[#This Row],[course_id]],course_data[course_id],course_data[topic],"")</f>
        <v>SAS : Clinical Practice</v>
      </c>
      <c r="F1743" s="5" t="str">
        <f>_xlfn.XLOOKUP(role_course_map[[#This Row],[course_id]],course_data[course_id],course_data[type],"")</f>
        <v>Course</v>
      </c>
      <c r="K1743" t="str">
        <f>role_course_map[[#This Row],[role_id]] &amp; "|" &amp; role_course_map[[#This Row],[course_id]]</f>
        <v>R0138|999027</v>
      </c>
      <c r="L1743" t="str">
        <f>IF(COUNTIF(role_course_map[mapping_key],role_course_map[[#This Row],[mapping_key]])&gt;1,"DUPLICATE","OK")</f>
        <v>OK</v>
      </c>
      <c r="M1743" t="str">
        <f>IF(COUNTIF(role_data[role_id],role_course_map[[#This Row],[role_id]])=0, "INVALID","VALID")</f>
        <v>VALID</v>
      </c>
      <c r="N1743" t="str">
        <f>IF(COUNTIF(course_data[course_id],role_course_map[[#This Row],[course_id]])=0, "INVALID","VALID")</f>
        <v>VALID</v>
      </c>
    </row>
    <row r="1744" spans="1:14" x14ac:dyDescent="0.35">
      <c r="A1744" t="s">
        <v>288</v>
      </c>
      <c r="B1744" s="5" t="str">
        <f>_xlfn.XLOOKUP(role_course_map[[#This Row],[role_id]], role_data[role_id], role_data[Role],"")</f>
        <v>HIU Paediatric Liaison Nurse</v>
      </c>
      <c r="C1744">
        <v>999028</v>
      </c>
      <c r="D1744" s="5" t="str">
        <f>_xlfn.XLOOKUP(role_course_map[[#This Row],[course_id]],course_data[course_id],course_data[title],"")</f>
        <v>Manual and Patient Handling Competency Assessment - Level 3</v>
      </c>
      <c r="E1744" s="5" t="str">
        <f>_xlfn.XLOOKUP(role_course_map[[#This Row],[course_id]],course_data[course_id],course_data[topic],"")</f>
        <v>SAS : Clinical Practice</v>
      </c>
      <c r="F1744" s="5" t="str">
        <f>_xlfn.XLOOKUP(role_course_map[[#This Row],[course_id]],course_data[course_id],course_data[type],"")</f>
        <v>Course</v>
      </c>
      <c r="K1744" t="str">
        <f>role_course_map[[#This Row],[role_id]] &amp; "|" &amp; role_course_map[[#This Row],[course_id]]</f>
        <v>R0138|999028</v>
      </c>
      <c r="L1744" t="str">
        <f>IF(COUNTIF(role_course_map[mapping_key],role_course_map[[#This Row],[mapping_key]])&gt;1,"DUPLICATE","OK")</f>
        <v>OK</v>
      </c>
      <c r="M1744" t="str">
        <f>IF(COUNTIF(role_data[role_id],role_course_map[[#This Row],[role_id]])=0, "INVALID","VALID")</f>
        <v>VALID</v>
      </c>
      <c r="N1744" t="str">
        <f>IF(COUNTIF(course_data[course_id],role_course_map[[#This Row],[course_id]])=0, "INVALID","VALID")</f>
        <v>VALID</v>
      </c>
    </row>
    <row r="1745" spans="1:14" x14ac:dyDescent="0.35">
      <c r="A1745" t="s">
        <v>288</v>
      </c>
      <c r="B1745" s="5" t="str">
        <f>_xlfn.XLOOKUP(role_course_map[[#This Row],[role_id]], role_data[role_id], role_data[Role],"")</f>
        <v>HIU Paediatric Liaison Nurse</v>
      </c>
      <c r="C1745">
        <v>999029</v>
      </c>
      <c r="D1745" s="5" t="str">
        <f>_xlfn.XLOOKUP(role_course_map[[#This Row],[course_id]],course_data[course_id],course_data[title],"")</f>
        <v>Manual and Patient Handling Competency Assessment Theory - Level 3</v>
      </c>
      <c r="E1745" s="5" t="str">
        <f>_xlfn.XLOOKUP(role_course_map[[#This Row],[course_id]],course_data[course_id],course_data[topic],"")</f>
        <v>SAS : Clinical Practice</v>
      </c>
      <c r="F1745" s="5" t="str">
        <f>_xlfn.XLOOKUP(role_course_map[[#This Row],[course_id]],course_data[course_id],course_data[type],"")</f>
        <v>Course</v>
      </c>
      <c r="K1745" t="str">
        <f>role_course_map[[#This Row],[role_id]] &amp; "|" &amp; role_course_map[[#This Row],[course_id]]</f>
        <v>R0138|999029</v>
      </c>
      <c r="L1745" t="str">
        <f>IF(COUNTIF(role_course_map[mapping_key],role_course_map[[#This Row],[mapping_key]])&gt;1,"DUPLICATE","OK")</f>
        <v>OK</v>
      </c>
      <c r="M1745" t="str">
        <f>IF(COUNTIF(role_data[role_id],role_course_map[[#This Row],[role_id]])=0, "INVALID","VALID")</f>
        <v>VALID</v>
      </c>
      <c r="N1745" t="str">
        <f>IF(COUNTIF(course_data[course_id],role_course_map[[#This Row],[course_id]])=0, "INVALID","VALID")</f>
        <v>VALID</v>
      </c>
    </row>
    <row r="1746" spans="1:14" x14ac:dyDescent="0.35">
      <c r="A1746" t="s">
        <v>288</v>
      </c>
      <c r="B1746" s="5" t="str">
        <f>_xlfn.XLOOKUP(role_course_map[[#This Row],[role_id]], role_data[role_id], role_data[Role],"")</f>
        <v>HIU Paediatric Liaison Nurse</v>
      </c>
      <c r="C1746" t="s">
        <v>659</v>
      </c>
      <c r="D1746" s="5" t="str">
        <f>_xlfn.XLOOKUP(role_course_map[[#This Row],[course_id]],course_data[course_id],course_data[title],"")</f>
        <v>Prevention and Management of Violence and Aggression - Breakaway training Level 2 /Restrictive movement Level 3</v>
      </c>
      <c r="E1746" s="5" t="str">
        <f>_xlfn.XLOOKUP(role_course_map[[#This Row],[course_id]],course_data[course_id],course_data[topic],"")</f>
        <v>SAS : Health and Safety</v>
      </c>
      <c r="F1746" s="5" t="str">
        <f>_xlfn.XLOOKUP(role_course_map[[#This Row],[course_id]],course_data[course_id],course_data[type],"")</f>
        <v>Course</v>
      </c>
      <c r="K1746" t="str">
        <f>role_course_map[[#This Row],[role_id]] &amp; "|" &amp; role_course_map[[#This Row],[course_id]]</f>
        <v>R0138|2025-6 edition</v>
      </c>
      <c r="L1746" t="str">
        <f>IF(COUNTIF(role_course_map[mapping_key],role_course_map[[#This Row],[mapping_key]])&gt;1,"DUPLICATE","OK")</f>
        <v>OK</v>
      </c>
      <c r="M1746" t="str">
        <f>IF(COUNTIF(role_data[role_id],role_course_map[[#This Row],[role_id]])=0, "INVALID","VALID")</f>
        <v>VALID</v>
      </c>
      <c r="N1746" t="str">
        <f>IF(COUNTIF(course_data[course_id],role_course_map[[#This Row],[course_id]])=0, "INVALID","VALID")</f>
        <v>VALID</v>
      </c>
    </row>
    <row r="1747" spans="1:14" x14ac:dyDescent="0.35">
      <c r="A1747" t="s">
        <v>288</v>
      </c>
      <c r="B1747" s="5" t="str">
        <f>_xlfn.XLOOKUP(role_course_map[[#This Row],[role_id]], role_data[role_id], role_data[Role],"")</f>
        <v>HIU Paediatric Liaison Nurse</v>
      </c>
      <c r="C1747">
        <v>999055</v>
      </c>
      <c r="D1747" s="5" t="str">
        <f>_xlfn.XLOOKUP(role_course_map[[#This Row],[course_id]],course_data[course_id],course_data[title],"")</f>
        <v>Prevention and Management of Violence and Aggression - Refresher</v>
      </c>
      <c r="E1747" s="5" t="str">
        <f>_xlfn.XLOOKUP(role_course_map[[#This Row],[course_id]],course_data[course_id],course_data[topic],"")</f>
        <v>SAS : Health and Safety</v>
      </c>
      <c r="F1747" s="5" t="str">
        <f>_xlfn.XLOOKUP(role_course_map[[#This Row],[course_id]],course_data[course_id],course_data[type],"")</f>
        <v>Course</v>
      </c>
      <c r="K1747" t="str">
        <f>role_course_map[[#This Row],[role_id]] &amp; "|" &amp; role_course_map[[#This Row],[course_id]]</f>
        <v>R0138|999055</v>
      </c>
      <c r="L1747" t="str">
        <f>IF(COUNTIF(role_course_map[mapping_key],role_course_map[[#This Row],[mapping_key]])&gt;1,"DUPLICATE","OK")</f>
        <v>OK</v>
      </c>
      <c r="M1747" t="str">
        <f>IF(COUNTIF(role_data[role_id],role_course_map[[#This Row],[role_id]])=0, "INVALID","VALID")</f>
        <v>VALID</v>
      </c>
      <c r="N1747" t="str">
        <f>IF(COUNTIF(course_data[course_id],role_course_map[[#This Row],[course_id]])=0, "INVALID","VALID")</f>
        <v>VALID</v>
      </c>
    </row>
    <row r="1748" spans="1:14" x14ac:dyDescent="0.35">
      <c r="A1748" t="s">
        <v>288</v>
      </c>
      <c r="B1748" s="5" t="str">
        <f>_xlfn.XLOOKUP(role_course_map[[#This Row],[role_id]], role_data[role_id], role_data[Role],"")</f>
        <v>HIU Paediatric Liaison Nurse</v>
      </c>
      <c r="C1748">
        <v>64322</v>
      </c>
      <c r="D1748" s="5" t="str">
        <f>_xlfn.XLOOKUP(role_course_map[[#This Row],[course_id]],course_data[course_id],course_data[title],"")</f>
        <v>Adult support and protection: practice level 2 [skilled]</v>
      </c>
      <c r="E1748" s="5" t="str">
        <f>_xlfn.XLOOKUP(role_course_map[[#This Row],[course_id]],course_data[course_id],course_data[topic],"")</f>
        <v>SAS : Public Protection</v>
      </c>
      <c r="F1748" s="5" t="str">
        <f>_xlfn.XLOOKUP(role_course_map[[#This Row],[course_id]],course_data[course_id],course_data[type],"")</f>
        <v>eLearning</v>
      </c>
      <c r="K1748" t="str">
        <f>role_course_map[[#This Row],[role_id]] &amp; "|" &amp; role_course_map[[#This Row],[course_id]]</f>
        <v>R0138|64322</v>
      </c>
      <c r="L1748" t="str">
        <f>IF(COUNTIF(role_course_map[mapping_key],role_course_map[[#This Row],[mapping_key]])&gt;1,"DUPLICATE","OK")</f>
        <v>OK</v>
      </c>
      <c r="M1748" t="str">
        <f>IF(COUNTIF(role_data[role_id],role_course_map[[#This Row],[role_id]])=0, "INVALID","VALID")</f>
        <v>VALID</v>
      </c>
      <c r="N1748" t="str">
        <f>IF(COUNTIF(course_data[course_id],role_course_map[[#This Row],[course_id]])=0, "INVALID","VALID")</f>
        <v>VALID</v>
      </c>
    </row>
    <row r="1749" spans="1:14" x14ac:dyDescent="0.35">
      <c r="A1749" t="s">
        <v>288</v>
      </c>
      <c r="B1749" s="5" t="str">
        <f>_xlfn.XLOOKUP(role_course_map[[#This Row],[role_id]], role_data[role_id], role_data[Role],"")</f>
        <v>HIU Paediatric Liaison Nurse</v>
      </c>
      <c r="C1749">
        <v>64324</v>
      </c>
      <c r="D1749" s="5" t="str">
        <f>_xlfn.XLOOKUP(role_course_map[[#This Row],[course_id]],course_data[course_id],course_data[title],"")</f>
        <v>Child protection: practice level 2 [skilled]</v>
      </c>
      <c r="E1749" s="5" t="str">
        <f>_xlfn.XLOOKUP(role_course_map[[#This Row],[course_id]],course_data[course_id],course_data[topic],"")</f>
        <v>SAS : Public Protection</v>
      </c>
      <c r="F1749" s="5" t="str">
        <f>_xlfn.XLOOKUP(role_course_map[[#This Row],[course_id]],course_data[course_id],course_data[type],"")</f>
        <v>eLearning</v>
      </c>
      <c r="K1749" t="str">
        <f>role_course_map[[#This Row],[role_id]] &amp; "|" &amp; role_course_map[[#This Row],[course_id]]</f>
        <v>R0138|64324</v>
      </c>
      <c r="L1749" t="str">
        <f>IF(COUNTIF(role_course_map[mapping_key],role_course_map[[#This Row],[mapping_key]])&gt;1,"DUPLICATE","OK")</f>
        <v>OK</v>
      </c>
      <c r="M1749" t="str">
        <f>IF(COUNTIF(role_data[role_id],role_course_map[[#This Row],[role_id]])=0, "INVALID","VALID")</f>
        <v>VALID</v>
      </c>
      <c r="N1749" t="str">
        <f>IF(COUNTIF(course_data[course_id],role_course_map[[#This Row],[course_id]])=0, "INVALID","VALID")</f>
        <v>VALID</v>
      </c>
    </row>
    <row r="1750" spans="1:14" x14ac:dyDescent="0.35">
      <c r="A1750" t="s">
        <v>288</v>
      </c>
      <c r="B1750" s="5" t="str">
        <f>_xlfn.XLOOKUP(role_course_map[[#This Row],[role_id]], role_data[role_id], role_data[Role],"")</f>
        <v>HIU Paediatric Liaison Nurse</v>
      </c>
      <c r="C1750">
        <v>76716</v>
      </c>
      <c r="D1750" s="5" t="str">
        <f>_xlfn.XLOOKUP(role_course_map[[#This Row],[course_id]],course_data[course_id],course_data[title],"")</f>
        <v>Domestic abuse awareness training tool (DAART)</v>
      </c>
      <c r="E1750" s="5" t="str">
        <f>_xlfn.XLOOKUP(role_course_map[[#This Row],[course_id]],course_data[course_id],course_data[topic],"")</f>
        <v>SAS : Public Protection</v>
      </c>
      <c r="F1750" s="5" t="str">
        <f>_xlfn.XLOOKUP(role_course_map[[#This Row],[course_id]],course_data[course_id],course_data[type],"")</f>
        <v>eLearning</v>
      </c>
      <c r="K1750" t="str">
        <f>role_course_map[[#This Row],[role_id]] &amp; "|" &amp; role_course_map[[#This Row],[course_id]]</f>
        <v>R0138|76716</v>
      </c>
      <c r="L1750" t="str">
        <f>IF(COUNTIF(role_course_map[mapping_key],role_course_map[[#This Row],[mapping_key]])&gt;1,"DUPLICATE","OK")</f>
        <v>OK</v>
      </c>
      <c r="M1750" t="str">
        <f>IF(COUNTIF(role_data[role_id],role_course_map[[#This Row],[role_id]])=0, "INVALID","VALID")</f>
        <v>VALID</v>
      </c>
      <c r="N1750" t="str">
        <f>IF(COUNTIF(course_data[course_id],role_course_map[[#This Row],[course_id]])=0, "INVALID","VALID")</f>
        <v>VALID</v>
      </c>
    </row>
    <row r="1751" spans="1:14" x14ac:dyDescent="0.35">
      <c r="A1751" t="s">
        <v>288</v>
      </c>
      <c r="B1751" s="5" t="str">
        <f>_xlfn.XLOOKUP(role_course_map[[#This Row],[role_id]], role_data[role_id], role_data[Role],"")</f>
        <v>HIU Paediatric Liaison Nurse</v>
      </c>
      <c r="C1751">
        <v>79666</v>
      </c>
      <c r="D1751" s="5" t="str">
        <f>_xlfn.XLOOKUP(role_course_map[[#This Row],[course_id]],course_data[course_id],course_data[title],"")</f>
        <v>Getting it right for every child (GIRFEC): informed level</v>
      </c>
      <c r="E1751" s="5" t="str">
        <f>_xlfn.XLOOKUP(role_course_map[[#This Row],[course_id]],course_data[course_id],course_data[topic],"")</f>
        <v>SAS : Public Protection</v>
      </c>
      <c r="F1751" s="5" t="str">
        <f>_xlfn.XLOOKUP(role_course_map[[#This Row],[course_id]],course_data[course_id],course_data[type],"")</f>
        <v>eLearning</v>
      </c>
      <c r="K1751" t="str">
        <f>role_course_map[[#This Row],[role_id]] &amp; "|" &amp; role_course_map[[#This Row],[course_id]]</f>
        <v>R0138|79666</v>
      </c>
      <c r="L1751" t="str">
        <f>IF(COUNTIF(role_course_map[mapping_key],role_course_map[[#This Row],[mapping_key]])&gt;1,"DUPLICATE","OK")</f>
        <v>OK</v>
      </c>
      <c r="M1751" t="str">
        <f>IF(COUNTIF(role_data[role_id],role_course_map[[#This Row],[role_id]])=0, "INVALID","VALID")</f>
        <v>VALID</v>
      </c>
      <c r="N1751" t="str">
        <f>IF(COUNTIF(course_data[course_id],role_course_map[[#This Row],[course_id]])=0, "INVALID","VALID")</f>
        <v>VALID</v>
      </c>
    </row>
    <row r="1752" spans="1:14" x14ac:dyDescent="0.35">
      <c r="A1752" t="s">
        <v>288</v>
      </c>
      <c r="B1752" s="5" t="str">
        <f>_xlfn.XLOOKUP(role_course_map[[#This Row],[role_id]], role_data[role_id], role_data[Role],"")</f>
        <v>HIU Paediatric Liaison Nurse</v>
      </c>
      <c r="C1752">
        <v>999074</v>
      </c>
      <c r="D1752" s="5" t="str">
        <f>_xlfn.XLOOKUP(role_course_map[[#This Row],[course_id]],course_data[course_id],course_data[title],"")</f>
        <v>SAS-specific Children’s rights</v>
      </c>
      <c r="E1752" s="5" t="str">
        <f>_xlfn.XLOOKUP(role_course_map[[#This Row],[course_id]],course_data[course_id],course_data[topic],"")</f>
        <v>SAS : Public Protection</v>
      </c>
      <c r="F1752" s="5" t="str">
        <f>_xlfn.XLOOKUP(role_course_map[[#This Row],[course_id]],course_data[course_id],course_data[type],"")</f>
        <v>eLearning</v>
      </c>
      <c r="K1752" t="str">
        <f>role_course_map[[#This Row],[role_id]] &amp; "|" &amp; role_course_map[[#This Row],[course_id]]</f>
        <v>R0138|999074</v>
      </c>
      <c r="L1752" t="str">
        <f>IF(COUNTIF(role_course_map[mapping_key],role_course_map[[#This Row],[mapping_key]])&gt;1,"DUPLICATE","OK")</f>
        <v>OK</v>
      </c>
      <c r="M1752" t="str">
        <f>IF(COUNTIF(role_data[role_id],role_course_map[[#This Row],[role_id]])=0, "INVALID","VALID")</f>
        <v>VALID</v>
      </c>
      <c r="N1752" t="str">
        <f>IF(COUNTIF(course_data[course_id],role_course_map[[#This Row],[course_id]])=0, "INVALID","VALID")</f>
        <v>VALID</v>
      </c>
    </row>
    <row r="1753" spans="1:14" x14ac:dyDescent="0.35">
      <c r="A1753" t="s">
        <v>288</v>
      </c>
      <c r="B1753" s="5" t="str">
        <f>_xlfn.XLOOKUP(role_course_map[[#This Row],[role_id]], role_data[role_id], role_data[Role],"")</f>
        <v>HIU Paediatric Liaison Nurse</v>
      </c>
      <c r="C1753">
        <v>999075</v>
      </c>
      <c r="D1753" s="5" t="str">
        <f>_xlfn.XLOOKUP(role_course_map[[#This Row],[course_id]],course_data[course_id],course_data[title],"")</f>
        <v>Multiagency local or bespoke Level 3 delivery training</v>
      </c>
      <c r="E1753" s="5" t="str">
        <f>_xlfn.XLOOKUP(role_course_map[[#This Row],[course_id]],course_data[course_id],course_data[topic],"")</f>
        <v>SAS : Public Protection</v>
      </c>
      <c r="F1753" s="5" t="str">
        <f>_xlfn.XLOOKUP(role_course_map[[#This Row],[course_id]],course_data[course_id],course_data[type],"")</f>
        <v>eLearning</v>
      </c>
      <c r="K1753" t="str">
        <f>role_course_map[[#This Row],[role_id]] &amp; "|" &amp; role_course_map[[#This Row],[course_id]]</f>
        <v>R0138|999075</v>
      </c>
      <c r="L1753" t="str">
        <f>IF(COUNTIF(role_course_map[mapping_key],role_course_map[[#This Row],[mapping_key]])&gt;1,"DUPLICATE","OK")</f>
        <v>OK</v>
      </c>
      <c r="M1753" t="str">
        <f>IF(COUNTIF(role_data[role_id],role_course_map[[#This Row],[role_id]])=0, "INVALID","VALID")</f>
        <v>VALID</v>
      </c>
      <c r="N1753" t="str">
        <f>IF(COUNTIF(course_data[course_id],role_course_map[[#This Row],[course_id]])=0, "INVALID","VALID")</f>
        <v>VALID</v>
      </c>
    </row>
    <row r="1754" spans="1:14" x14ac:dyDescent="0.35">
      <c r="A1754" t="s">
        <v>288</v>
      </c>
      <c r="B1754" s="5" t="str">
        <f>_xlfn.XLOOKUP(role_course_map[[#This Row],[role_id]], role_data[role_id], role_data[Role],"")</f>
        <v>HIU Paediatric Liaison Nurse</v>
      </c>
      <c r="C1754">
        <v>15249</v>
      </c>
      <c r="D1754" s="5" t="str">
        <f>_xlfn.XLOOKUP(role_course_map[[#This Row],[course_id]],course_data[course_id],course_data[title],"")</f>
        <v>Human trafficking</v>
      </c>
      <c r="E1754" s="5" t="str">
        <f>_xlfn.XLOOKUP(role_course_map[[#This Row],[course_id]],course_data[course_id],course_data[topic],"")</f>
        <v>SAS : Public Protection</v>
      </c>
      <c r="F1754" s="5" t="str">
        <f>_xlfn.XLOOKUP(role_course_map[[#This Row],[course_id]],course_data[course_id],course_data[type],"")</f>
        <v>eLearning</v>
      </c>
      <c r="K1754" t="str">
        <f>role_course_map[[#This Row],[role_id]] &amp; "|" &amp; role_course_map[[#This Row],[course_id]]</f>
        <v>R0138|15249</v>
      </c>
      <c r="L1754" t="str">
        <f>IF(COUNTIF(role_course_map[mapping_key],role_course_map[[#This Row],[mapping_key]])&gt;1,"DUPLICATE","OK")</f>
        <v>OK</v>
      </c>
      <c r="M1754" t="str">
        <f>IF(COUNTIF(role_data[role_id],role_course_map[[#This Row],[role_id]])=0, "INVALID","VALID")</f>
        <v>VALID</v>
      </c>
      <c r="N1754" t="str">
        <f>IF(COUNTIF(course_data[course_id],role_course_map[[#This Row],[course_id]])=0, "INVALID","VALID")</f>
        <v>VALID</v>
      </c>
    </row>
    <row r="1755" spans="1:14" x14ac:dyDescent="0.35">
      <c r="A1755" t="s">
        <v>288</v>
      </c>
      <c r="B1755" s="5" t="str">
        <f>_xlfn.XLOOKUP(role_course_map[[#This Row],[role_id]], role_data[role_id], role_data[Role],"")</f>
        <v>HIU Paediatric Liaison Nurse</v>
      </c>
      <c r="C1755">
        <v>89161</v>
      </c>
      <c r="D1755" s="5" t="str">
        <f>_xlfn.XLOOKUP(role_course_map[[#This Row],[course_id]],course_data[course_id],course_data[title],"")</f>
        <v>Personal Protective Equipment</v>
      </c>
      <c r="E1755" s="5" t="str">
        <f>_xlfn.XLOOKUP(role_course_map[[#This Row],[course_id]],course_data[course_id],course_data[topic],"")</f>
        <v>SAS : Infection Prevention and Control (IPC)</v>
      </c>
      <c r="F1755" s="5" t="str">
        <f>_xlfn.XLOOKUP(role_course_map[[#This Row],[course_id]],course_data[course_id],course_data[type],"")</f>
        <v>eLearning</v>
      </c>
      <c r="K1755" t="str">
        <f>role_course_map[[#This Row],[role_id]] &amp; "|" &amp; role_course_map[[#This Row],[course_id]]</f>
        <v>R0138|89161</v>
      </c>
      <c r="L1755" t="str">
        <f>IF(COUNTIF(role_course_map[mapping_key],role_course_map[[#This Row],[mapping_key]])&gt;1,"DUPLICATE","OK")</f>
        <v>OK</v>
      </c>
      <c r="M1755" t="str">
        <f>IF(COUNTIF(role_data[role_id],role_course_map[[#This Row],[role_id]])=0, "INVALID","VALID")</f>
        <v>VALID</v>
      </c>
      <c r="N1755" t="str">
        <f>IF(COUNTIF(course_data[course_id],role_course_map[[#This Row],[course_id]])=0, "INVALID","VALID")</f>
        <v>VALID</v>
      </c>
    </row>
    <row r="1756" spans="1:14" x14ac:dyDescent="0.35">
      <c r="A1756" t="s">
        <v>288</v>
      </c>
      <c r="B1756" s="5" t="str">
        <f>_xlfn.XLOOKUP(role_course_map[[#This Row],[role_id]], role_data[role_id], role_data[Role],"")</f>
        <v>HIU Paediatric Liaison Nurse</v>
      </c>
      <c r="C1756">
        <v>89157</v>
      </c>
      <c r="D1756" s="5" t="str">
        <f>_xlfn.XLOOKUP(role_course_map[[#This Row],[course_id]],course_data[course_id],course_data[title],"")</f>
        <v>Safe Management of Care Equipment</v>
      </c>
      <c r="E1756" s="5" t="str">
        <f>_xlfn.XLOOKUP(role_course_map[[#This Row],[course_id]],course_data[course_id],course_data[topic],"")</f>
        <v>SAS : Infection Prevention and Control (IPC)</v>
      </c>
      <c r="F1756" s="5" t="str">
        <f>_xlfn.XLOOKUP(role_course_map[[#This Row],[course_id]],course_data[course_id],course_data[type],"")</f>
        <v>eLearning</v>
      </c>
      <c r="K1756" t="str">
        <f>role_course_map[[#This Row],[role_id]] &amp; "|" &amp; role_course_map[[#This Row],[course_id]]</f>
        <v>R0138|89157</v>
      </c>
      <c r="L1756" t="str">
        <f>IF(COUNTIF(role_course_map[mapping_key],role_course_map[[#This Row],[mapping_key]])&gt;1,"DUPLICATE","OK")</f>
        <v>OK</v>
      </c>
      <c r="M1756" t="str">
        <f>IF(COUNTIF(role_data[role_id],role_course_map[[#This Row],[role_id]])=0, "INVALID","VALID")</f>
        <v>VALID</v>
      </c>
      <c r="N1756" t="str">
        <f>IF(COUNTIF(course_data[course_id],role_course_map[[#This Row],[course_id]])=0, "INVALID","VALID")</f>
        <v>VALID</v>
      </c>
    </row>
    <row r="1757" spans="1:14" x14ac:dyDescent="0.35">
      <c r="A1757" t="s">
        <v>288</v>
      </c>
      <c r="B1757" s="5" t="str">
        <f>_xlfn.XLOOKUP(role_course_map[[#This Row],[role_id]], role_data[role_id], role_data[Role],"")</f>
        <v>HIU Paediatric Liaison Nurse</v>
      </c>
      <c r="C1757">
        <v>89158</v>
      </c>
      <c r="D1757" s="5" t="str">
        <f>_xlfn.XLOOKUP(role_course_map[[#This Row],[course_id]],course_data[course_id],course_data[title],"")</f>
        <v>Safe Management of Care Environment</v>
      </c>
      <c r="E1757" s="5" t="str">
        <f>_xlfn.XLOOKUP(role_course_map[[#This Row],[course_id]],course_data[course_id],course_data[topic],"")</f>
        <v>SAS : Infection Prevention and Control (IPC)</v>
      </c>
      <c r="F1757" s="5" t="str">
        <f>_xlfn.XLOOKUP(role_course_map[[#This Row],[course_id]],course_data[course_id],course_data[type],"")</f>
        <v>eLearning</v>
      </c>
      <c r="K1757" t="str">
        <f>role_course_map[[#This Row],[role_id]] &amp; "|" &amp; role_course_map[[#This Row],[course_id]]</f>
        <v>R0138|89158</v>
      </c>
      <c r="L1757" t="str">
        <f>IF(COUNTIF(role_course_map[mapping_key],role_course_map[[#This Row],[mapping_key]])&gt;1,"DUPLICATE","OK")</f>
        <v>OK</v>
      </c>
      <c r="M1757" t="str">
        <f>IF(COUNTIF(role_data[role_id],role_course_map[[#This Row],[role_id]])=0, "INVALID","VALID")</f>
        <v>VALID</v>
      </c>
      <c r="N1757" t="str">
        <f>IF(COUNTIF(course_data[course_id],role_course_map[[#This Row],[course_id]])=0, "INVALID","VALID")</f>
        <v>VALID</v>
      </c>
    </row>
    <row r="1758" spans="1:14" x14ac:dyDescent="0.35">
      <c r="A1758" t="s">
        <v>288</v>
      </c>
      <c r="B1758" s="5" t="str">
        <f>_xlfn.XLOOKUP(role_course_map[[#This Row],[role_id]], role_data[role_id], role_data[Role],"")</f>
        <v>HIU Paediatric Liaison Nurse</v>
      </c>
      <c r="C1758">
        <v>89159</v>
      </c>
      <c r="D1758" s="5" t="str">
        <f>_xlfn.XLOOKUP(role_course_map[[#This Row],[course_id]],course_data[course_id],course_data[title],"")</f>
        <v>Safe Management of Linen</v>
      </c>
      <c r="E1758" s="5" t="str">
        <f>_xlfn.XLOOKUP(role_course_map[[#This Row],[course_id]],course_data[course_id],course_data[topic],"")</f>
        <v>SAS : Infection Prevention and Control (IPC)</v>
      </c>
      <c r="F1758" s="5" t="str">
        <f>_xlfn.XLOOKUP(role_course_map[[#This Row],[course_id]],course_data[course_id],course_data[type],"")</f>
        <v>eLearning</v>
      </c>
      <c r="K1758" t="str">
        <f>role_course_map[[#This Row],[role_id]] &amp; "|" &amp; role_course_map[[#This Row],[course_id]]</f>
        <v>R0138|89159</v>
      </c>
      <c r="L1758" t="str">
        <f>IF(COUNTIF(role_course_map[mapping_key],role_course_map[[#This Row],[mapping_key]])&gt;1,"DUPLICATE","OK")</f>
        <v>OK</v>
      </c>
      <c r="M1758" t="str">
        <f>IF(COUNTIF(role_data[role_id],role_course_map[[#This Row],[role_id]])=0, "INVALID","VALID")</f>
        <v>VALID</v>
      </c>
      <c r="N1758" t="str">
        <f>IF(COUNTIF(course_data[course_id],role_course_map[[#This Row],[course_id]])=0, "INVALID","VALID")</f>
        <v>VALID</v>
      </c>
    </row>
    <row r="1759" spans="1:14" x14ac:dyDescent="0.35">
      <c r="A1759" t="s">
        <v>288</v>
      </c>
      <c r="B1759" s="5" t="str">
        <f>_xlfn.XLOOKUP(role_course_map[[#This Row],[role_id]], role_data[role_id], role_data[Role],"")</f>
        <v>HIU Paediatric Liaison Nurse</v>
      </c>
      <c r="C1759">
        <v>89160</v>
      </c>
      <c r="D1759" s="5" t="str">
        <f>_xlfn.XLOOKUP(role_course_map[[#This Row],[course_id]],course_data[course_id],course_data[title],"")</f>
        <v>Safe Management of blood and body fluids</v>
      </c>
      <c r="E1759" s="5" t="str">
        <f>_xlfn.XLOOKUP(role_course_map[[#This Row],[course_id]],course_data[course_id],course_data[topic],"")</f>
        <v>SAS : Infection Prevention and Control (IPC)</v>
      </c>
      <c r="F1759" s="5" t="str">
        <f>_xlfn.XLOOKUP(role_course_map[[#This Row],[course_id]],course_data[course_id],course_data[type],"")</f>
        <v>eLearning</v>
      </c>
      <c r="K1759" t="str">
        <f>role_course_map[[#This Row],[role_id]] &amp; "|" &amp; role_course_map[[#This Row],[course_id]]</f>
        <v>R0138|89160</v>
      </c>
      <c r="L1759" t="str">
        <f>IF(COUNTIF(role_course_map[mapping_key],role_course_map[[#This Row],[mapping_key]])&gt;1,"DUPLICATE","OK")</f>
        <v>OK</v>
      </c>
      <c r="M1759" t="str">
        <f>IF(COUNTIF(role_data[role_id],role_course_map[[#This Row],[role_id]])=0, "INVALID","VALID")</f>
        <v>VALID</v>
      </c>
      <c r="N1759" t="str">
        <f>IF(COUNTIF(course_data[course_id],role_course_map[[#This Row],[course_id]])=0, "INVALID","VALID")</f>
        <v>VALID</v>
      </c>
    </row>
    <row r="1760" spans="1:14" x14ac:dyDescent="0.35">
      <c r="A1760" t="s">
        <v>288</v>
      </c>
      <c r="B1760" s="5" t="str">
        <f>_xlfn.XLOOKUP(role_course_map[[#This Row],[role_id]], role_data[role_id], role_data[Role],"")</f>
        <v>HIU Paediatric Liaison Nurse</v>
      </c>
      <c r="C1760">
        <v>89154</v>
      </c>
      <c r="D1760" s="5" t="str">
        <f>_xlfn.XLOOKUP(role_course_map[[#This Row],[course_id]],course_data[course_id],course_data[title],"")</f>
        <v>Safe disposal of waste</v>
      </c>
      <c r="E1760" s="5" t="str">
        <f>_xlfn.XLOOKUP(role_course_map[[#This Row],[course_id]],course_data[course_id],course_data[topic],"")</f>
        <v>SAS : Infection Prevention and Control (IPC)</v>
      </c>
      <c r="F1760" s="5" t="str">
        <f>_xlfn.XLOOKUP(role_course_map[[#This Row],[course_id]],course_data[course_id],course_data[type],"")</f>
        <v>eLearning</v>
      </c>
      <c r="K1760" t="str">
        <f>role_course_map[[#This Row],[role_id]] &amp; "|" &amp; role_course_map[[#This Row],[course_id]]</f>
        <v>R0138|89154</v>
      </c>
      <c r="L1760" t="str">
        <f>IF(COUNTIF(role_course_map[mapping_key],role_course_map[[#This Row],[mapping_key]])&gt;1,"DUPLICATE","OK")</f>
        <v>OK</v>
      </c>
      <c r="M1760" t="str">
        <f>IF(COUNTIF(role_data[role_id],role_course_map[[#This Row],[role_id]])=0, "INVALID","VALID")</f>
        <v>VALID</v>
      </c>
      <c r="N1760" t="str">
        <f>IF(COUNTIF(course_data[course_id],role_course_map[[#This Row],[course_id]])=0, "INVALID","VALID")</f>
        <v>VALID</v>
      </c>
    </row>
    <row r="1761" spans="1:14" x14ac:dyDescent="0.35">
      <c r="A1761" t="s">
        <v>288</v>
      </c>
      <c r="B1761" s="5" t="str">
        <f>_xlfn.XLOOKUP(role_course_map[[#This Row],[role_id]], role_data[role_id], role_data[Role],"")</f>
        <v>HIU Paediatric Liaison Nurse</v>
      </c>
      <c r="C1761">
        <v>89155</v>
      </c>
      <c r="D1761" s="5" t="str">
        <f>_xlfn.XLOOKUP(role_course_map[[#This Row],[course_id]],course_data[course_id],course_data[title],"")</f>
        <v>Prevention &amp; management of occupational exposure</v>
      </c>
      <c r="E1761" s="5" t="str">
        <f>_xlfn.XLOOKUP(role_course_map[[#This Row],[course_id]],course_data[course_id],course_data[topic],"")</f>
        <v>SAS : Infection Prevention and Control (IPC)</v>
      </c>
      <c r="F1761" s="5" t="str">
        <f>_xlfn.XLOOKUP(role_course_map[[#This Row],[course_id]],course_data[course_id],course_data[type],"")</f>
        <v>eLearning</v>
      </c>
      <c r="K1761" t="str">
        <f>role_course_map[[#This Row],[role_id]] &amp; "|" &amp; role_course_map[[#This Row],[course_id]]</f>
        <v>R0138|89155</v>
      </c>
      <c r="L1761" t="str">
        <f>IF(COUNTIF(role_course_map[mapping_key],role_course_map[[#This Row],[mapping_key]])&gt;1,"DUPLICATE","OK")</f>
        <v>OK</v>
      </c>
      <c r="M1761" t="str">
        <f>IF(COUNTIF(role_data[role_id],role_course_map[[#This Row],[role_id]])=0, "INVALID","VALID")</f>
        <v>VALID</v>
      </c>
      <c r="N1761" t="str">
        <f>IF(COUNTIF(course_data[course_id],role_course_map[[#This Row],[course_id]])=0, "INVALID","VALID")</f>
        <v>VALID</v>
      </c>
    </row>
    <row r="1762" spans="1:14" x14ac:dyDescent="0.35">
      <c r="A1762" t="s">
        <v>288</v>
      </c>
      <c r="B1762" s="5" t="str">
        <f>_xlfn.XLOOKUP(role_course_map[[#This Row],[role_id]], role_data[role_id], role_data[Role],"")</f>
        <v>HIU Paediatric Liaison Nurse</v>
      </c>
      <c r="C1762">
        <v>999064</v>
      </c>
      <c r="D1762" s="5" t="str">
        <f>_xlfn.XLOOKUP(role_course_map[[#This Row],[course_id]],course_data[course_id],course_data[title],"")</f>
        <v>Infection prevention and control: Clostridioides difficile infection</v>
      </c>
      <c r="E1762" s="5" t="str">
        <f>_xlfn.XLOOKUP(role_course_map[[#This Row],[course_id]],course_data[course_id],course_data[topic],"")</f>
        <v>SAS : Infection Prevention and Control (IPC)</v>
      </c>
      <c r="F1762" s="5" t="str">
        <f>_xlfn.XLOOKUP(role_course_map[[#This Row],[course_id]],course_data[course_id],course_data[type],"")</f>
        <v>eLearning</v>
      </c>
      <c r="K1762" t="str">
        <f>role_course_map[[#This Row],[role_id]] &amp; "|" &amp; role_course_map[[#This Row],[course_id]]</f>
        <v>R0138|999064</v>
      </c>
      <c r="L1762" t="str">
        <f>IF(COUNTIF(role_course_map[mapping_key],role_course_map[[#This Row],[mapping_key]])&gt;1,"DUPLICATE","OK")</f>
        <v>OK</v>
      </c>
      <c r="M1762" t="str">
        <f>IF(COUNTIF(role_data[role_id],role_course_map[[#This Row],[role_id]])=0, "INVALID","VALID")</f>
        <v>VALID</v>
      </c>
      <c r="N1762" t="str">
        <f>IF(COUNTIF(course_data[course_id],role_course_map[[#This Row],[course_id]])=0, "INVALID","VALID")</f>
        <v>VALID</v>
      </c>
    </row>
    <row r="1763" spans="1:14" x14ac:dyDescent="0.35">
      <c r="A1763" t="s">
        <v>270</v>
      </c>
      <c r="B1763" s="5" t="str">
        <f>_xlfn.XLOOKUP(role_course_map[[#This Row],[role_id]], role_data[role_id], role_data[Role],"")</f>
        <v>Advanced Retrieval Practitioner</v>
      </c>
      <c r="C1763">
        <v>3256</v>
      </c>
      <c r="D1763" s="5" t="str">
        <f>_xlfn.XLOOKUP(role_course_map[[#This Row],[course_id]],course_data[course_id],course_data[title],"")</f>
        <v>Antibiotic Management CHECK THIS IS THE RIGHT ONE</v>
      </c>
      <c r="E1763" s="5" t="str">
        <f>_xlfn.XLOOKUP(role_course_map[[#This Row],[course_id]],course_data[course_id],course_data[topic],"")</f>
        <v>SAS : Infection Prevention and Control (IPC)</v>
      </c>
      <c r="F1763" s="5" t="str">
        <f>_xlfn.XLOOKUP(role_course_map[[#This Row],[course_id]],course_data[course_id],course_data[type],"")</f>
        <v>eLearning</v>
      </c>
      <c r="K1763" t="str">
        <f>role_course_map[[#This Row],[role_id]] &amp; "|" &amp; role_course_map[[#This Row],[course_id]]</f>
        <v>R0129|3256</v>
      </c>
      <c r="L1763" t="str">
        <f>IF(COUNTIF(role_course_map[mapping_key],role_course_map[[#This Row],[mapping_key]])&gt;1,"DUPLICATE","OK")</f>
        <v>OK</v>
      </c>
      <c r="M1763" t="str">
        <f>IF(COUNTIF(role_data[role_id],role_course_map[[#This Row],[role_id]])=0, "INVALID","VALID")</f>
        <v>VALID</v>
      </c>
      <c r="N1763" t="str">
        <f>IF(COUNTIF(course_data[course_id],role_course_map[[#This Row],[course_id]])=0, "INVALID","VALID")</f>
        <v>VALID</v>
      </c>
    </row>
    <row r="1764" spans="1:14" x14ac:dyDescent="0.35">
      <c r="A1764" t="s">
        <v>272</v>
      </c>
      <c r="B1764" s="5" t="str">
        <f>_xlfn.XLOOKUP(role_course_map[[#This Row],[role_id]], role_data[role_id], role_data[Role],"")</f>
        <v>Air Ambulance Paramedics</v>
      </c>
      <c r="C1764">
        <v>3256</v>
      </c>
      <c r="D1764" s="5" t="str">
        <f>_xlfn.XLOOKUP(role_course_map[[#This Row],[course_id]],course_data[course_id],course_data[title],"")</f>
        <v>Antibiotic Management CHECK THIS IS THE RIGHT ONE</v>
      </c>
      <c r="E1764" s="5" t="str">
        <f>_xlfn.XLOOKUP(role_course_map[[#This Row],[course_id]],course_data[course_id],course_data[topic],"")</f>
        <v>SAS : Infection Prevention and Control (IPC)</v>
      </c>
      <c r="F1764" s="5" t="str">
        <f>_xlfn.XLOOKUP(role_course_map[[#This Row],[course_id]],course_data[course_id],course_data[type],"")</f>
        <v>eLearning</v>
      </c>
      <c r="K1764" t="str">
        <f>role_course_map[[#This Row],[role_id]] &amp; "|" &amp; role_course_map[[#This Row],[course_id]]</f>
        <v>R0130|3256</v>
      </c>
      <c r="L1764" t="str">
        <f>IF(COUNTIF(role_course_map[mapping_key],role_course_map[[#This Row],[mapping_key]])&gt;1,"DUPLICATE","OK")</f>
        <v>OK</v>
      </c>
      <c r="M1764" t="str">
        <f>IF(COUNTIF(role_data[role_id],role_course_map[[#This Row],[role_id]])=0, "INVALID","VALID")</f>
        <v>VALID</v>
      </c>
      <c r="N1764" t="str">
        <f>IF(COUNTIF(course_data[course_id],role_course_map[[#This Row],[course_id]])=0, "INVALID","VALID")</f>
        <v>VALID</v>
      </c>
    </row>
    <row r="1765" spans="1:14" x14ac:dyDescent="0.35">
      <c r="A1765" t="s">
        <v>274</v>
      </c>
      <c r="B1765" s="5" t="str">
        <f>_xlfn.XLOOKUP(role_course_map[[#This Row],[role_id]], role_data[role_id], role_data[Role],"")</f>
        <v>EMRS Administrator</v>
      </c>
      <c r="C1765">
        <v>3256</v>
      </c>
      <c r="D1765" s="5" t="str">
        <f>_xlfn.XLOOKUP(role_course_map[[#This Row],[course_id]],course_data[course_id],course_data[title],"")</f>
        <v>Antibiotic Management CHECK THIS IS THE RIGHT ONE</v>
      </c>
      <c r="E1765" s="5" t="str">
        <f>_xlfn.XLOOKUP(role_course_map[[#This Row],[course_id]],course_data[course_id],course_data[topic],"")</f>
        <v>SAS : Infection Prevention and Control (IPC)</v>
      </c>
      <c r="F1765" s="5" t="str">
        <f>_xlfn.XLOOKUP(role_course_map[[#This Row],[course_id]],course_data[course_id],course_data[type],"")</f>
        <v>eLearning</v>
      </c>
      <c r="K1765" t="str">
        <f>role_course_map[[#This Row],[role_id]] &amp; "|" &amp; role_course_map[[#This Row],[course_id]]</f>
        <v>R0131|3256</v>
      </c>
      <c r="L1765" t="str">
        <f>IF(COUNTIF(role_course_map[mapping_key],role_course_map[[#This Row],[mapping_key]])&gt;1,"DUPLICATE","OK")</f>
        <v>OK</v>
      </c>
      <c r="M1765" t="str">
        <f>IF(COUNTIF(role_data[role_id],role_course_map[[#This Row],[role_id]])=0, "INVALID","VALID")</f>
        <v>VALID</v>
      </c>
      <c r="N1765" t="str">
        <f>IF(COUNTIF(course_data[course_id],role_course_map[[#This Row],[course_id]])=0, "INVALID","VALID")</f>
        <v>VALID</v>
      </c>
    </row>
    <row r="1766" spans="1:14" x14ac:dyDescent="0.35">
      <c r="A1766" t="s">
        <v>276</v>
      </c>
      <c r="B1766" s="5" t="str">
        <f>_xlfn.XLOOKUP(role_course_map[[#This Row],[role_id]], role_data[role_id], role_data[Role],"")</f>
        <v>EMRS Advanced Retrieval Practitioner</v>
      </c>
      <c r="C1766">
        <v>3256</v>
      </c>
      <c r="D1766" s="5" t="str">
        <f>_xlfn.XLOOKUP(role_course_map[[#This Row],[course_id]],course_data[course_id],course_data[title],"")</f>
        <v>Antibiotic Management CHECK THIS IS THE RIGHT ONE</v>
      </c>
      <c r="E1766" s="5" t="str">
        <f>_xlfn.XLOOKUP(role_course_map[[#This Row],[course_id]],course_data[course_id],course_data[topic],"")</f>
        <v>SAS : Infection Prevention and Control (IPC)</v>
      </c>
      <c r="F1766" s="5" t="str">
        <f>_xlfn.XLOOKUP(role_course_map[[#This Row],[course_id]],course_data[course_id],course_data[type],"")</f>
        <v>eLearning</v>
      </c>
      <c r="K1766" t="str">
        <f>role_course_map[[#This Row],[role_id]] &amp; "|" &amp; role_course_map[[#This Row],[course_id]]</f>
        <v>R0132|3256</v>
      </c>
      <c r="L1766" t="str">
        <f>IF(COUNTIF(role_course_map[mapping_key],role_course_map[[#This Row],[mapping_key]])&gt;1,"DUPLICATE","OK")</f>
        <v>OK</v>
      </c>
      <c r="M1766" t="str">
        <f>IF(COUNTIF(role_data[role_id],role_course_map[[#This Row],[role_id]])=0, "INVALID","VALID")</f>
        <v>VALID</v>
      </c>
      <c r="N1766" t="str">
        <f>IF(COUNTIF(course_data[course_id],role_course_map[[#This Row],[course_id]])=0, "INVALID","VALID")</f>
        <v>VALID</v>
      </c>
    </row>
    <row r="1767" spans="1:14" x14ac:dyDescent="0.35">
      <c r="A1767" t="s">
        <v>278</v>
      </c>
      <c r="B1767" s="5" t="str">
        <f>_xlfn.XLOOKUP(role_course_map[[#This Row],[role_id]], role_data[role_id], role_data[Role],"")</f>
        <v>EMRS Consultant</v>
      </c>
      <c r="C1767">
        <v>3256</v>
      </c>
      <c r="D1767" s="5" t="str">
        <f>_xlfn.XLOOKUP(role_course_map[[#This Row],[course_id]],course_data[course_id],course_data[title],"")</f>
        <v>Antibiotic Management CHECK THIS IS THE RIGHT ONE</v>
      </c>
      <c r="E1767" s="5" t="str">
        <f>_xlfn.XLOOKUP(role_course_map[[#This Row],[course_id]],course_data[course_id],course_data[topic],"")</f>
        <v>SAS : Infection Prevention and Control (IPC)</v>
      </c>
      <c r="F1767" s="5" t="str">
        <f>_xlfn.XLOOKUP(role_course_map[[#This Row],[course_id]],course_data[course_id],course_data[type],"")</f>
        <v>eLearning</v>
      </c>
      <c r="K1767" t="str">
        <f>role_course_map[[#This Row],[role_id]] &amp; "|" &amp; role_course_map[[#This Row],[course_id]]</f>
        <v>R0133|3256</v>
      </c>
      <c r="L1767" t="str">
        <f>IF(COUNTIF(role_course_map[mapping_key],role_course_map[[#This Row],[mapping_key]])&gt;1,"DUPLICATE","OK")</f>
        <v>OK</v>
      </c>
      <c r="M1767" t="str">
        <f>IF(COUNTIF(role_data[role_id],role_course_map[[#This Row],[role_id]])=0, "INVALID","VALID")</f>
        <v>VALID</v>
      </c>
      <c r="N1767" t="str">
        <f>IF(COUNTIF(course_data[course_id],role_course_map[[#This Row],[course_id]])=0, "INVALID","VALID")</f>
        <v>VALID</v>
      </c>
    </row>
    <row r="1768" spans="1:14" x14ac:dyDescent="0.35">
      <c r="A1768" t="s">
        <v>280</v>
      </c>
      <c r="B1768" s="5" t="str">
        <f>_xlfn.XLOOKUP(role_course_map[[#This Row],[role_id]], role_data[role_id], role_data[Role],"")</f>
        <v>EMRS Fellow</v>
      </c>
      <c r="C1768">
        <v>3256</v>
      </c>
      <c r="D1768" s="5" t="str">
        <f>_xlfn.XLOOKUP(role_course_map[[#This Row],[course_id]],course_data[course_id],course_data[title],"")</f>
        <v>Antibiotic Management CHECK THIS IS THE RIGHT ONE</v>
      </c>
      <c r="E1768" s="5" t="str">
        <f>_xlfn.XLOOKUP(role_course_map[[#This Row],[course_id]],course_data[course_id],course_data[topic],"")</f>
        <v>SAS : Infection Prevention and Control (IPC)</v>
      </c>
      <c r="F1768" s="5" t="str">
        <f>_xlfn.XLOOKUP(role_course_map[[#This Row],[course_id]],course_data[course_id],course_data[type],"")</f>
        <v>eLearning</v>
      </c>
      <c r="K1768" t="str">
        <f>role_course_map[[#This Row],[role_id]] &amp; "|" &amp; role_course_map[[#This Row],[course_id]]</f>
        <v>R0134|3256</v>
      </c>
      <c r="L1768" t="str">
        <f>IF(COUNTIF(role_course_map[mapping_key],role_course_map[[#This Row],[mapping_key]])&gt;1,"DUPLICATE","OK")</f>
        <v>OK</v>
      </c>
      <c r="M1768" t="str">
        <f>IF(COUNTIF(role_data[role_id],role_course_map[[#This Row],[role_id]])=0, "INVALID","VALID")</f>
        <v>VALID</v>
      </c>
      <c r="N1768" t="str">
        <f>IF(COUNTIF(course_data[course_id],role_course_map[[#This Row],[course_id]])=0, "INVALID","VALID")</f>
        <v>VALID</v>
      </c>
    </row>
    <row r="1769" spans="1:14" x14ac:dyDescent="0.35">
      <c r="A1769" t="s">
        <v>292</v>
      </c>
      <c r="B1769" s="5" t="str">
        <f>_xlfn.XLOOKUP(role_course_map[[#This Row],[role_id]], role_data[role_id], role_data[Role],"")</f>
        <v>Neonatal Consultant</v>
      </c>
      <c r="C1769">
        <v>3256</v>
      </c>
      <c r="D1769" s="5" t="str">
        <f>_xlfn.XLOOKUP(role_course_map[[#This Row],[course_id]],course_data[course_id],course_data[title],"")</f>
        <v>Antibiotic Management CHECK THIS IS THE RIGHT ONE</v>
      </c>
      <c r="E1769" s="5" t="str">
        <f>_xlfn.XLOOKUP(role_course_map[[#This Row],[course_id]],course_data[course_id],course_data[topic],"")</f>
        <v>SAS : Infection Prevention and Control (IPC)</v>
      </c>
      <c r="F1769" s="5" t="str">
        <f>_xlfn.XLOOKUP(role_course_map[[#This Row],[course_id]],course_data[course_id],course_data[type],"")</f>
        <v>eLearning</v>
      </c>
      <c r="K1769" t="str">
        <f>role_course_map[[#This Row],[role_id]] &amp; "|" &amp; role_course_map[[#This Row],[course_id]]</f>
        <v>R0140|3256</v>
      </c>
      <c r="L1769" t="str">
        <f>IF(COUNTIF(role_course_map[mapping_key],role_course_map[[#This Row],[mapping_key]])&gt;1,"DUPLICATE","OK")</f>
        <v>OK</v>
      </c>
      <c r="M1769" t="str">
        <f>IF(COUNTIF(role_data[role_id],role_course_map[[#This Row],[role_id]])=0, "INVALID","VALID")</f>
        <v>VALID</v>
      </c>
      <c r="N1769" t="str">
        <f>IF(COUNTIF(course_data[course_id],role_course_map[[#This Row],[course_id]])=0, "INVALID","VALID")</f>
        <v>VALID</v>
      </c>
    </row>
    <row r="1770" spans="1:14" x14ac:dyDescent="0.35">
      <c r="A1770" t="s">
        <v>294</v>
      </c>
      <c r="B1770" s="5" t="str">
        <f>_xlfn.XLOOKUP(role_course_map[[#This Row],[role_id]], role_data[role_id], role_data[Role],"")</f>
        <v>Neonatal Fellow</v>
      </c>
      <c r="C1770">
        <v>3256</v>
      </c>
      <c r="D1770" s="5" t="str">
        <f>_xlfn.XLOOKUP(role_course_map[[#This Row],[course_id]],course_data[course_id],course_data[title],"")</f>
        <v>Antibiotic Management CHECK THIS IS THE RIGHT ONE</v>
      </c>
      <c r="E1770" s="5" t="str">
        <f>_xlfn.XLOOKUP(role_course_map[[#This Row],[course_id]],course_data[course_id],course_data[topic],"")</f>
        <v>SAS : Infection Prevention and Control (IPC)</v>
      </c>
      <c r="F1770" s="5" t="str">
        <f>_xlfn.XLOOKUP(role_course_map[[#This Row],[course_id]],course_data[course_id],course_data[type],"")</f>
        <v>eLearning</v>
      </c>
      <c r="K1770" t="str">
        <f>role_course_map[[#This Row],[role_id]] &amp; "|" &amp; role_course_map[[#This Row],[course_id]]</f>
        <v>R0141|3256</v>
      </c>
      <c r="L1770" t="str">
        <f>IF(COUNTIF(role_course_map[mapping_key],role_course_map[[#This Row],[mapping_key]])&gt;1,"DUPLICATE","OK")</f>
        <v>OK</v>
      </c>
      <c r="M1770" t="str">
        <f>IF(COUNTIF(role_data[role_id],role_course_map[[#This Row],[role_id]])=0, "INVALID","VALID")</f>
        <v>VALID</v>
      </c>
      <c r="N1770" t="str">
        <f>IF(COUNTIF(course_data[course_id],role_course_map[[#This Row],[course_id]])=0, "INVALID","VALID")</f>
        <v>VALID</v>
      </c>
    </row>
    <row r="1771" spans="1:14" x14ac:dyDescent="0.35">
      <c r="A1771" t="s">
        <v>298</v>
      </c>
      <c r="B1771" s="5" t="str">
        <f>_xlfn.XLOOKUP(role_course_map[[#This Row],[role_id]], role_data[role_id], role_data[Role],"")</f>
        <v>Neonatal Nurses</v>
      </c>
      <c r="C1771">
        <v>3256</v>
      </c>
      <c r="D1771" s="5" t="str">
        <f>_xlfn.XLOOKUP(role_course_map[[#This Row],[course_id]],course_data[course_id],course_data[title],"")</f>
        <v>Antibiotic Management CHECK THIS IS THE RIGHT ONE</v>
      </c>
      <c r="E1771" s="5" t="str">
        <f>_xlfn.XLOOKUP(role_course_map[[#This Row],[course_id]],course_data[course_id],course_data[topic],"")</f>
        <v>SAS : Infection Prevention and Control (IPC)</v>
      </c>
      <c r="F1771" s="5" t="str">
        <f>_xlfn.XLOOKUP(role_course_map[[#This Row],[course_id]],course_data[course_id],course_data[type],"")</f>
        <v>eLearning</v>
      </c>
      <c r="K1771" t="str">
        <f>role_course_map[[#This Row],[role_id]] &amp; "|" &amp; role_course_map[[#This Row],[course_id]]</f>
        <v>R0143|3256</v>
      </c>
      <c r="L1771" t="str">
        <f>IF(COUNTIF(role_course_map[mapping_key],role_course_map[[#This Row],[mapping_key]])&gt;1,"DUPLICATE","OK")</f>
        <v>OK</v>
      </c>
      <c r="M1771" t="str">
        <f>IF(COUNTIF(role_data[role_id],role_course_map[[#This Row],[role_id]])=0, "INVALID","VALID")</f>
        <v>VALID</v>
      </c>
      <c r="N1771" t="str">
        <f>IF(COUNTIF(course_data[course_id],role_course_map[[#This Row],[course_id]])=0, "INVALID","VALID")</f>
        <v>VALID</v>
      </c>
    </row>
    <row r="1772" spans="1:14" x14ac:dyDescent="0.35">
      <c r="A1772" t="s">
        <v>304</v>
      </c>
      <c r="B1772" s="5" t="str">
        <f>_xlfn.XLOOKUP(role_course_map[[#This Row],[role_id]], role_data[role_id], role_data[Role],"")</f>
        <v>Paediatric Advanced Nurse Practitioner</v>
      </c>
      <c r="C1772">
        <v>3256</v>
      </c>
      <c r="D1772" s="5" t="str">
        <f>_xlfn.XLOOKUP(role_course_map[[#This Row],[course_id]],course_data[course_id],course_data[title],"")</f>
        <v>Antibiotic Management CHECK THIS IS THE RIGHT ONE</v>
      </c>
      <c r="E1772" s="5" t="str">
        <f>_xlfn.XLOOKUP(role_course_map[[#This Row],[course_id]],course_data[course_id],course_data[topic],"")</f>
        <v>SAS : Infection Prevention and Control (IPC)</v>
      </c>
      <c r="F1772" s="5" t="str">
        <f>_xlfn.XLOOKUP(role_course_map[[#This Row],[course_id]],course_data[course_id],course_data[type],"")</f>
        <v>eLearning</v>
      </c>
      <c r="K1772" t="str">
        <f>role_course_map[[#This Row],[role_id]] &amp; "|" &amp; role_course_map[[#This Row],[course_id]]</f>
        <v>R0146|3256</v>
      </c>
      <c r="L1772" t="str">
        <f>IF(COUNTIF(role_course_map[mapping_key],role_course_map[[#This Row],[mapping_key]])&gt;1,"DUPLICATE","OK")</f>
        <v>OK</v>
      </c>
      <c r="M1772" t="str">
        <f>IF(COUNTIF(role_data[role_id],role_course_map[[#This Row],[role_id]])=0, "INVALID","VALID")</f>
        <v>VALID</v>
      </c>
      <c r="N1772" t="str">
        <f>IF(COUNTIF(course_data[course_id],role_course_map[[#This Row],[course_id]])=0, "INVALID","VALID")</f>
        <v>VALID</v>
      </c>
    </row>
    <row r="1773" spans="1:14" x14ac:dyDescent="0.35">
      <c r="A1773" t="s">
        <v>306</v>
      </c>
      <c r="B1773" s="5" t="str">
        <f>_xlfn.XLOOKUP(role_course_map[[#This Row],[role_id]], role_data[role_id], role_data[Role],"")</f>
        <v>Paediatric Consultant</v>
      </c>
      <c r="C1773">
        <v>3256</v>
      </c>
      <c r="D1773" s="5" t="str">
        <f>_xlfn.XLOOKUP(role_course_map[[#This Row],[course_id]],course_data[course_id],course_data[title],"")</f>
        <v>Antibiotic Management CHECK THIS IS THE RIGHT ONE</v>
      </c>
      <c r="E1773" s="5" t="str">
        <f>_xlfn.XLOOKUP(role_course_map[[#This Row],[course_id]],course_data[course_id],course_data[topic],"")</f>
        <v>SAS : Infection Prevention and Control (IPC)</v>
      </c>
      <c r="F1773" s="5" t="str">
        <f>_xlfn.XLOOKUP(role_course_map[[#This Row],[course_id]],course_data[course_id],course_data[type],"")</f>
        <v>eLearning</v>
      </c>
      <c r="K1773" t="str">
        <f>role_course_map[[#This Row],[role_id]] &amp; "|" &amp; role_course_map[[#This Row],[course_id]]</f>
        <v>R0147|3256</v>
      </c>
      <c r="L1773" t="str">
        <f>IF(COUNTIF(role_course_map[mapping_key],role_course_map[[#This Row],[mapping_key]])&gt;1,"DUPLICATE","OK")</f>
        <v>OK</v>
      </c>
      <c r="M1773" t="str">
        <f>IF(COUNTIF(role_data[role_id],role_course_map[[#This Row],[role_id]])=0, "INVALID","VALID")</f>
        <v>VALID</v>
      </c>
      <c r="N1773" t="str">
        <f>IF(COUNTIF(course_data[course_id],role_course_map[[#This Row],[course_id]])=0, "INVALID","VALID")</f>
        <v>VALID</v>
      </c>
    </row>
    <row r="1774" spans="1:14" x14ac:dyDescent="0.35">
      <c r="A1774" t="s">
        <v>308</v>
      </c>
      <c r="B1774" s="5" t="str">
        <f>_xlfn.XLOOKUP(role_course_map[[#This Row],[role_id]], role_data[role_id], role_data[Role],"")</f>
        <v>Paediatric Fellow</v>
      </c>
      <c r="C1774">
        <v>3256</v>
      </c>
      <c r="D1774" s="5" t="str">
        <f>_xlfn.XLOOKUP(role_course_map[[#This Row],[course_id]],course_data[course_id],course_data[title],"")</f>
        <v>Antibiotic Management CHECK THIS IS THE RIGHT ONE</v>
      </c>
      <c r="E1774" s="5" t="str">
        <f>_xlfn.XLOOKUP(role_course_map[[#This Row],[course_id]],course_data[course_id],course_data[topic],"")</f>
        <v>SAS : Infection Prevention and Control (IPC)</v>
      </c>
      <c r="F1774" s="5" t="str">
        <f>_xlfn.XLOOKUP(role_course_map[[#This Row],[course_id]],course_data[course_id],course_data[type],"")</f>
        <v>eLearning</v>
      </c>
      <c r="K1774" t="str">
        <f>role_course_map[[#This Row],[role_id]] &amp; "|" &amp; role_course_map[[#This Row],[course_id]]</f>
        <v>R0148|3256</v>
      </c>
      <c r="L1774" t="str">
        <f>IF(COUNTIF(role_course_map[mapping_key],role_course_map[[#This Row],[mapping_key]])&gt;1,"DUPLICATE","OK")</f>
        <v>OK</v>
      </c>
      <c r="M1774" t="str">
        <f>IF(COUNTIF(role_data[role_id],role_course_map[[#This Row],[role_id]])=0, "INVALID","VALID")</f>
        <v>VALID</v>
      </c>
      <c r="N1774" t="str">
        <f>IF(COUNTIF(course_data[course_id],role_course_map[[#This Row],[course_id]])=0, "INVALID","VALID")</f>
        <v>VALID</v>
      </c>
    </row>
    <row r="1775" spans="1:14" x14ac:dyDescent="0.35">
      <c r="A1775" t="s">
        <v>310</v>
      </c>
      <c r="B1775" s="5" t="str">
        <f>_xlfn.XLOOKUP(role_course_map[[#This Row],[role_id]], role_data[role_id], role_data[Role],"")</f>
        <v>Paediatric Nurse</v>
      </c>
      <c r="C1775">
        <v>3256</v>
      </c>
      <c r="D1775" s="5" t="str">
        <f>_xlfn.XLOOKUP(role_course_map[[#This Row],[course_id]],course_data[course_id],course_data[title],"")</f>
        <v>Antibiotic Management CHECK THIS IS THE RIGHT ONE</v>
      </c>
      <c r="E1775" s="5" t="str">
        <f>_xlfn.XLOOKUP(role_course_map[[#This Row],[course_id]],course_data[course_id],course_data[topic],"")</f>
        <v>SAS : Infection Prevention and Control (IPC)</v>
      </c>
      <c r="F1775" s="5" t="str">
        <f>_xlfn.XLOOKUP(role_course_map[[#This Row],[course_id]],course_data[course_id],course_data[type],"")</f>
        <v>eLearning</v>
      </c>
      <c r="K1775" t="str">
        <f>role_course_map[[#This Row],[role_id]] &amp; "|" &amp; role_course_map[[#This Row],[course_id]]</f>
        <v>R0149|3256</v>
      </c>
      <c r="L1775" t="str">
        <f>IF(COUNTIF(role_course_map[mapping_key],role_course_map[[#This Row],[mapping_key]])&gt;1,"DUPLICATE","OK")</f>
        <v>OK</v>
      </c>
      <c r="M1775" t="str">
        <f>IF(COUNTIF(role_data[role_id],role_course_map[[#This Row],[role_id]])=0, "INVALID","VALID")</f>
        <v>VALID</v>
      </c>
      <c r="N1775" t="str">
        <f>IF(COUNTIF(course_data[course_id],role_course_map[[#This Row],[course_id]])=0, "INVALID","VALID")</f>
        <v>VALID</v>
      </c>
    </row>
    <row r="1776" spans="1:14" x14ac:dyDescent="0.35">
      <c r="A1776" t="s">
        <v>314</v>
      </c>
      <c r="B1776" s="5" t="str">
        <f>_xlfn.XLOOKUP(role_course_map[[#This Row],[role_id]], role_data[role_id], role_data[Role],"")</f>
        <v>ScotSTAR Administrator</v>
      </c>
      <c r="C1776">
        <v>3256</v>
      </c>
      <c r="D1776" s="5" t="str">
        <f>_xlfn.XLOOKUP(role_course_map[[#This Row],[course_id]],course_data[course_id],course_data[title],"")</f>
        <v>Antibiotic Management CHECK THIS IS THE RIGHT ONE</v>
      </c>
      <c r="E1776" s="5" t="str">
        <f>_xlfn.XLOOKUP(role_course_map[[#This Row],[course_id]],course_data[course_id],course_data[topic],"")</f>
        <v>SAS : Infection Prevention and Control (IPC)</v>
      </c>
      <c r="F1776" s="5" t="str">
        <f>_xlfn.XLOOKUP(role_course_map[[#This Row],[course_id]],course_data[course_id],course_data[type],"")</f>
        <v>eLearning</v>
      </c>
      <c r="K1776" t="str">
        <f>role_course_map[[#This Row],[role_id]] &amp; "|" &amp; role_course_map[[#This Row],[course_id]]</f>
        <v>R0151|3256</v>
      </c>
      <c r="L1776" t="str">
        <f>IF(COUNTIF(role_course_map[mapping_key],role_course_map[[#This Row],[mapping_key]])&gt;1,"DUPLICATE","OK")</f>
        <v>OK</v>
      </c>
      <c r="M1776" t="str">
        <f>IF(COUNTIF(role_data[role_id],role_course_map[[#This Row],[role_id]])=0, "INVALID","VALID")</f>
        <v>VALID</v>
      </c>
      <c r="N1776" t="str">
        <f>IF(COUNTIF(course_data[course_id],role_course_map[[#This Row],[course_id]])=0, "INVALID","VALID")</f>
        <v>VALID</v>
      </c>
    </row>
    <row r="1777" spans="1:14" x14ac:dyDescent="0.35">
      <c r="A1777" t="s">
        <v>316</v>
      </c>
      <c r="B1777" s="5" t="str">
        <f>_xlfn.XLOOKUP(role_course_map[[#This Row],[role_id]], role_data[role_id], role_data[Role],"")</f>
        <v>ScotSTAR Driver</v>
      </c>
      <c r="C1777">
        <v>3256</v>
      </c>
      <c r="D1777" s="5" t="str">
        <f>_xlfn.XLOOKUP(role_course_map[[#This Row],[course_id]],course_data[course_id],course_data[title],"")</f>
        <v>Antibiotic Management CHECK THIS IS THE RIGHT ONE</v>
      </c>
      <c r="E1777" s="5" t="str">
        <f>_xlfn.XLOOKUP(role_course_map[[#This Row],[course_id]],course_data[course_id],course_data[topic],"")</f>
        <v>SAS : Infection Prevention and Control (IPC)</v>
      </c>
      <c r="F1777" s="5" t="str">
        <f>_xlfn.XLOOKUP(role_course_map[[#This Row],[course_id]],course_data[course_id],course_data[type],"")</f>
        <v>eLearning</v>
      </c>
      <c r="K1777" t="str">
        <f>role_course_map[[#This Row],[role_id]] &amp; "|" &amp; role_course_map[[#This Row],[course_id]]</f>
        <v>R0152|3256</v>
      </c>
      <c r="L1777" t="str">
        <f>IF(COUNTIF(role_course_map[mapping_key],role_course_map[[#This Row],[mapping_key]])&gt;1,"DUPLICATE","OK")</f>
        <v>OK</v>
      </c>
      <c r="M1777" t="str">
        <f>IF(COUNTIF(role_data[role_id],role_course_map[[#This Row],[role_id]])=0, "INVALID","VALID")</f>
        <v>VALID</v>
      </c>
      <c r="N1777" t="str">
        <f>IF(COUNTIF(course_data[course_id],role_course_map[[#This Row],[course_id]])=0, "INVALID","VALID")</f>
        <v>VALID</v>
      </c>
    </row>
    <row r="1778" spans="1:14" x14ac:dyDescent="0.35">
      <c r="A1778" t="s">
        <v>318</v>
      </c>
      <c r="B1778" s="5" t="str">
        <f>_xlfn.XLOOKUP(role_course_map[[#This Row],[role_id]], role_data[role_id], role_data[Role],"")</f>
        <v>Senior Transport Charge Nurse</v>
      </c>
      <c r="C1778">
        <v>3256</v>
      </c>
      <c r="D1778" s="5" t="str">
        <f>_xlfn.XLOOKUP(role_course_map[[#This Row],[course_id]],course_data[course_id],course_data[title],"")</f>
        <v>Antibiotic Management CHECK THIS IS THE RIGHT ONE</v>
      </c>
      <c r="E1778" s="5" t="str">
        <f>_xlfn.XLOOKUP(role_course_map[[#This Row],[course_id]],course_data[course_id],course_data[topic],"")</f>
        <v>SAS : Infection Prevention and Control (IPC)</v>
      </c>
      <c r="F1778" s="5" t="str">
        <f>_xlfn.XLOOKUP(role_course_map[[#This Row],[course_id]],course_data[course_id],course_data[type],"")</f>
        <v>eLearning</v>
      </c>
      <c r="K1778" t="str">
        <f>role_course_map[[#This Row],[role_id]] &amp; "|" &amp; role_course_map[[#This Row],[course_id]]</f>
        <v>R0153|3256</v>
      </c>
      <c r="L1778" t="str">
        <f>IF(COUNTIF(role_course_map[mapping_key],role_course_map[[#This Row],[mapping_key]])&gt;1,"DUPLICATE","OK")</f>
        <v>OK</v>
      </c>
      <c r="M1778" t="str">
        <f>IF(COUNTIF(role_data[role_id],role_course_map[[#This Row],[role_id]])=0, "INVALID","VALID")</f>
        <v>VALID</v>
      </c>
      <c r="N1778" t="str">
        <f>IF(COUNTIF(course_data[course_id],role_course_map[[#This Row],[course_id]])=0, "INVALID","VALID")</f>
        <v>VALID</v>
      </c>
    </row>
    <row r="1779" spans="1:14" x14ac:dyDescent="0.35">
      <c r="A1779" t="s">
        <v>288</v>
      </c>
      <c r="B1779" s="5" t="str">
        <f>_xlfn.XLOOKUP(role_course_map[[#This Row],[role_id]], role_data[role_id], role_data[Role],"")</f>
        <v>HIU Paediatric Liaison Nurse</v>
      </c>
      <c r="C1779">
        <v>3256</v>
      </c>
      <c r="D1779" s="5" t="str">
        <f>_xlfn.XLOOKUP(role_course_map[[#This Row],[course_id]],course_data[course_id],course_data[title],"")</f>
        <v>Antibiotic Management CHECK THIS IS THE RIGHT ONE</v>
      </c>
      <c r="E1779" s="5" t="str">
        <f>_xlfn.XLOOKUP(role_course_map[[#This Row],[course_id]],course_data[course_id],course_data[topic],"")</f>
        <v>SAS : Infection Prevention and Control (IPC)</v>
      </c>
      <c r="F1779" s="5" t="str">
        <f>_xlfn.XLOOKUP(role_course_map[[#This Row],[course_id]],course_data[course_id],course_data[type],"")</f>
        <v>eLearning</v>
      </c>
      <c r="K1779" t="str">
        <f>role_course_map[[#This Row],[role_id]] &amp; "|" &amp; role_course_map[[#This Row],[course_id]]</f>
        <v>R0138|3256</v>
      </c>
      <c r="L1779" t="str">
        <f>IF(COUNTIF(role_course_map[mapping_key],role_course_map[[#This Row],[mapping_key]])&gt;1,"DUPLICATE","OK")</f>
        <v>OK</v>
      </c>
      <c r="M1779" t="str">
        <f>IF(COUNTIF(role_data[role_id],role_course_map[[#This Row],[role_id]])=0, "INVALID","VALID")</f>
        <v>VALID</v>
      </c>
      <c r="N1779" t="str">
        <f>IF(COUNTIF(course_data[course_id],role_course_map[[#This Row],[course_id]])=0, "INVALID","VALID")</f>
        <v>VALID</v>
      </c>
    </row>
    <row r="1780" spans="1:14" x14ac:dyDescent="0.35">
      <c r="A1780" t="s">
        <v>270</v>
      </c>
      <c r="B1780" s="5" t="str">
        <f>_xlfn.XLOOKUP(role_course_map[[#This Row],[role_id]], role_data[role_id], role_data[Role],"")</f>
        <v>Advanced Retrieval Practitioner</v>
      </c>
      <c r="C1780">
        <v>82383</v>
      </c>
      <c r="D1780" s="5" t="str">
        <f>_xlfn.XLOOKUP(role_course_map[[#This Row],[course_id]],course_data[course_id],course_data[title],"")</f>
        <v>Aseptic technique</v>
      </c>
      <c r="E1780" s="5" t="str">
        <f>_xlfn.XLOOKUP(role_course_map[[#This Row],[course_id]],course_data[course_id],course_data[topic],"")</f>
        <v>SAS : Infection Prevention and Control (IPC)</v>
      </c>
      <c r="F1780" s="5" t="str">
        <f>_xlfn.XLOOKUP(role_course_map[[#This Row],[course_id]],course_data[course_id],course_data[type],"")</f>
        <v>eLearning</v>
      </c>
      <c r="K1780" t="str">
        <f>role_course_map[[#This Row],[role_id]] &amp; "|" &amp; role_course_map[[#This Row],[course_id]]</f>
        <v>R0129|82383</v>
      </c>
      <c r="L1780" t="str">
        <f>IF(COUNTIF(role_course_map[mapping_key],role_course_map[[#This Row],[mapping_key]])&gt;1,"DUPLICATE","OK")</f>
        <v>OK</v>
      </c>
      <c r="M1780" t="str">
        <f>IF(COUNTIF(role_data[role_id],role_course_map[[#This Row],[role_id]])=0, "INVALID","VALID")</f>
        <v>VALID</v>
      </c>
      <c r="N1780" t="str">
        <f>IF(COUNTIF(course_data[course_id],role_course_map[[#This Row],[course_id]])=0, "INVALID","VALID")</f>
        <v>VALID</v>
      </c>
    </row>
    <row r="1781" spans="1:14" x14ac:dyDescent="0.35">
      <c r="A1781" t="s">
        <v>272</v>
      </c>
      <c r="B1781" s="5" t="str">
        <f>_xlfn.XLOOKUP(role_course_map[[#This Row],[role_id]], role_data[role_id], role_data[Role],"")</f>
        <v>Air Ambulance Paramedics</v>
      </c>
      <c r="C1781">
        <v>82383</v>
      </c>
      <c r="D1781" s="5" t="str">
        <f>_xlfn.XLOOKUP(role_course_map[[#This Row],[course_id]],course_data[course_id],course_data[title],"")</f>
        <v>Aseptic technique</v>
      </c>
      <c r="E1781" s="5" t="str">
        <f>_xlfn.XLOOKUP(role_course_map[[#This Row],[course_id]],course_data[course_id],course_data[topic],"")</f>
        <v>SAS : Infection Prevention and Control (IPC)</v>
      </c>
      <c r="F1781" s="5" t="str">
        <f>_xlfn.XLOOKUP(role_course_map[[#This Row],[course_id]],course_data[course_id],course_data[type],"")</f>
        <v>eLearning</v>
      </c>
      <c r="K1781" t="str">
        <f>role_course_map[[#This Row],[role_id]] &amp; "|" &amp; role_course_map[[#This Row],[course_id]]</f>
        <v>R0130|82383</v>
      </c>
      <c r="L1781" t="str">
        <f>IF(COUNTIF(role_course_map[mapping_key],role_course_map[[#This Row],[mapping_key]])&gt;1,"DUPLICATE","OK")</f>
        <v>OK</v>
      </c>
      <c r="M1781" t="str">
        <f>IF(COUNTIF(role_data[role_id],role_course_map[[#This Row],[role_id]])=0, "INVALID","VALID")</f>
        <v>VALID</v>
      </c>
      <c r="N1781" t="str">
        <f>IF(COUNTIF(course_data[course_id],role_course_map[[#This Row],[course_id]])=0, "INVALID","VALID")</f>
        <v>VALID</v>
      </c>
    </row>
    <row r="1782" spans="1:14" x14ac:dyDescent="0.35">
      <c r="A1782" t="s">
        <v>274</v>
      </c>
      <c r="B1782" s="5" t="str">
        <f>_xlfn.XLOOKUP(role_course_map[[#This Row],[role_id]], role_data[role_id], role_data[Role],"")</f>
        <v>EMRS Administrator</v>
      </c>
      <c r="C1782">
        <v>82383</v>
      </c>
      <c r="D1782" s="5" t="str">
        <f>_xlfn.XLOOKUP(role_course_map[[#This Row],[course_id]],course_data[course_id],course_data[title],"")</f>
        <v>Aseptic technique</v>
      </c>
      <c r="E1782" s="5" t="str">
        <f>_xlfn.XLOOKUP(role_course_map[[#This Row],[course_id]],course_data[course_id],course_data[topic],"")</f>
        <v>SAS : Infection Prevention and Control (IPC)</v>
      </c>
      <c r="F1782" s="5" t="str">
        <f>_xlfn.XLOOKUP(role_course_map[[#This Row],[course_id]],course_data[course_id],course_data[type],"")</f>
        <v>eLearning</v>
      </c>
      <c r="K1782" t="str">
        <f>role_course_map[[#This Row],[role_id]] &amp; "|" &amp; role_course_map[[#This Row],[course_id]]</f>
        <v>R0131|82383</v>
      </c>
      <c r="L1782" t="str">
        <f>IF(COUNTIF(role_course_map[mapping_key],role_course_map[[#This Row],[mapping_key]])&gt;1,"DUPLICATE","OK")</f>
        <v>OK</v>
      </c>
      <c r="M1782" t="str">
        <f>IF(COUNTIF(role_data[role_id],role_course_map[[#This Row],[role_id]])=0, "INVALID","VALID")</f>
        <v>VALID</v>
      </c>
      <c r="N1782" t="str">
        <f>IF(COUNTIF(course_data[course_id],role_course_map[[#This Row],[course_id]])=0, "INVALID","VALID")</f>
        <v>VALID</v>
      </c>
    </row>
    <row r="1783" spans="1:14" x14ac:dyDescent="0.35">
      <c r="A1783" t="s">
        <v>276</v>
      </c>
      <c r="B1783" s="5" t="str">
        <f>_xlfn.XLOOKUP(role_course_map[[#This Row],[role_id]], role_data[role_id], role_data[Role],"")</f>
        <v>EMRS Advanced Retrieval Practitioner</v>
      </c>
      <c r="C1783">
        <v>82383</v>
      </c>
      <c r="D1783" s="5" t="str">
        <f>_xlfn.XLOOKUP(role_course_map[[#This Row],[course_id]],course_data[course_id],course_data[title],"")</f>
        <v>Aseptic technique</v>
      </c>
      <c r="E1783" s="5" t="str">
        <f>_xlfn.XLOOKUP(role_course_map[[#This Row],[course_id]],course_data[course_id],course_data[topic],"")</f>
        <v>SAS : Infection Prevention and Control (IPC)</v>
      </c>
      <c r="F1783" s="5" t="str">
        <f>_xlfn.XLOOKUP(role_course_map[[#This Row],[course_id]],course_data[course_id],course_data[type],"")</f>
        <v>eLearning</v>
      </c>
      <c r="K1783" t="str">
        <f>role_course_map[[#This Row],[role_id]] &amp; "|" &amp; role_course_map[[#This Row],[course_id]]</f>
        <v>R0132|82383</v>
      </c>
      <c r="L1783" t="str">
        <f>IF(COUNTIF(role_course_map[mapping_key],role_course_map[[#This Row],[mapping_key]])&gt;1,"DUPLICATE","OK")</f>
        <v>OK</v>
      </c>
      <c r="M1783" t="str">
        <f>IF(COUNTIF(role_data[role_id],role_course_map[[#This Row],[role_id]])=0, "INVALID","VALID")</f>
        <v>VALID</v>
      </c>
      <c r="N1783" t="str">
        <f>IF(COUNTIF(course_data[course_id],role_course_map[[#This Row],[course_id]])=0, "INVALID","VALID")</f>
        <v>VALID</v>
      </c>
    </row>
    <row r="1784" spans="1:14" x14ac:dyDescent="0.35">
      <c r="A1784" t="s">
        <v>278</v>
      </c>
      <c r="B1784" s="5" t="str">
        <f>_xlfn.XLOOKUP(role_course_map[[#This Row],[role_id]], role_data[role_id], role_data[Role],"")</f>
        <v>EMRS Consultant</v>
      </c>
      <c r="C1784">
        <v>82383</v>
      </c>
      <c r="D1784" s="5" t="str">
        <f>_xlfn.XLOOKUP(role_course_map[[#This Row],[course_id]],course_data[course_id],course_data[title],"")</f>
        <v>Aseptic technique</v>
      </c>
      <c r="E1784" s="5" t="str">
        <f>_xlfn.XLOOKUP(role_course_map[[#This Row],[course_id]],course_data[course_id],course_data[topic],"")</f>
        <v>SAS : Infection Prevention and Control (IPC)</v>
      </c>
      <c r="F1784" s="5" t="str">
        <f>_xlfn.XLOOKUP(role_course_map[[#This Row],[course_id]],course_data[course_id],course_data[type],"")</f>
        <v>eLearning</v>
      </c>
      <c r="K1784" t="str">
        <f>role_course_map[[#This Row],[role_id]] &amp; "|" &amp; role_course_map[[#This Row],[course_id]]</f>
        <v>R0133|82383</v>
      </c>
      <c r="L1784" t="str">
        <f>IF(COUNTIF(role_course_map[mapping_key],role_course_map[[#This Row],[mapping_key]])&gt;1,"DUPLICATE","OK")</f>
        <v>OK</v>
      </c>
      <c r="M1784" t="str">
        <f>IF(COUNTIF(role_data[role_id],role_course_map[[#This Row],[role_id]])=0, "INVALID","VALID")</f>
        <v>VALID</v>
      </c>
      <c r="N1784" t="str">
        <f>IF(COUNTIF(course_data[course_id],role_course_map[[#This Row],[course_id]])=0, "INVALID","VALID")</f>
        <v>VALID</v>
      </c>
    </row>
    <row r="1785" spans="1:14" x14ac:dyDescent="0.35">
      <c r="A1785" t="s">
        <v>280</v>
      </c>
      <c r="B1785" s="5" t="str">
        <f>_xlfn.XLOOKUP(role_course_map[[#This Row],[role_id]], role_data[role_id], role_data[Role],"")</f>
        <v>EMRS Fellow</v>
      </c>
      <c r="C1785">
        <v>82383</v>
      </c>
      <c r="D1785" s="5" t="str">
        <f>_xlfn.XLOOKUP(role_course_map[[#This Row],[course_id]],course_data[course_id],course_data[title],"")</f>
        <v>Aseptic technique</v>
      </c>
      <c r="E1785" s="5" t="str">
        <f>_xlfn.XLOOKUP(role_course_map[[#This Row],[course_id]],course_data[course_id],course_data[topic],"")</f>
        <v>SAS : Infection Prevention and Control (IPC)</v>
      </c>
      <c r="F1785" s="5" t="str">
        <f>_xlfn.XLOOKUP(role_course_map[[#This Row],[course_id]],course_data[course_id],course_data[type],"")</f>
        <v>eLearning</v>
      </c>
      <c r="K1785" t="str">
        <f>role_course_map[[#This Row],[role_id]] &amp; "|" &amp; role_course_map[[#This Row],[course_id]]</f>
        <v>R0134|82383</v>
      </c>
      <c r="L1785" t="str">
        <f>IF(COUNTIF(role_course_map[mapping_key],role_course_map[[#This Row],[mapping_key]])&gt;1,"DUPLICATE","OK")</f>
        <v>OK</v>
      </c>
      <c r="M1785" t="str">
        <f>IF(COUNTIF(role_data[role_id],role_course_map[[#This Row],[role_id]])=0, "INVALID","VALID")</f>
        <v>VALID</v>
      </c>
      <c r="N1785" t="str">
        <f>IF(COUNTIF(course_data[course_id],role_course_map[[#This Row],[course_id]])=0, "INVALID","VALID")</f>
        <v>VALID</v>
      </c>
    </row>
    <row r="1786" spans="1:14" x14ac:dyDescent="0.35">
      <c r="A1786" t="s">
        <v>292</v>
      </c>
      <c r="B1786" s="5" t="str">
        <f>_xlfn.XLOOKUP(role_course_map[[#This Row],[role_id]], role_data[role_id], role_data[Role],"")</f>
        <v>Neonatal Consultant</v>
      </c>
      <c r="C1786">
        <v>82383</v>
      </c>
      <c r="D1786" s="5" t="str">
        <f>_xlfn.XLOOKUP(role_course_map[[#This Row],[course_id]],course_data[course_id],course_data[title],"")</f>
        <v>Aseptic technique</v>
      </c>
      <c r="E1786" s="5" t="str">
        <f>_xlfn.XLOOKUP(role_course_map[[#This Row],[course_id]],course_data[course_id],course_data[topic],"")</f>
        <v>SAS : Infection Prevention and Control (IPC)</v>
      </c>
      <c r="F1786" s="5" t="str">
        <f>_xlfn.XLOOKUP(role_course_map[[#This Row],[course_id]],course_data[course_id],course_data[type],"")</f>
        <v>eLearning</v>
      </c>
      <c r="K1786" t="str">
        <f>role_course_map[[#This Row],[role_id]] &amp; "|" &amp; role_course_map[[#This Row],[course_id]]</f>
        <v>R0140|82383</v>
      </c>
      <c r="L1786" t="str">
        <f>IF(COUNTIF(role_course_map[mapping_key],role_course_map[[#This Row],[mapping_key]])&gt;1,"DUPLICATE","OK")</f>
        <v>OK</v>
      </c>
      <c r="M1786" t="str">
        <f>IF(COUNTIF(role_data[role_id],role_course_map[[#This Row],[role_id]])=0, "INVALID","VALID")</f>
        <v>VALID</v>
      </c>
      <c r="N1786" t="str">
        <f>IF(COUNTIF(course_data[course_id],role_course_map[[#This Row],[course_id]])=0, "INVALID","VALID")</f>
        <v>VALID</v>
      </c>
    </row>
    <row r="1787" spans="1:14" x14ac:dyDescent="0.35">
      <c r="A1787" t="s">
        <v>294</v>
      </c>
      <c r="B1787" s="5" t="str">
        <f>_xlfn.XLOOKUP(role_course_map[[#This Row],[role_id]], role_data[role_id], role_data[Role],"")</f>
        <v>Neonatal Fellow</v>
      </c>
      <c r="C1787">
        <v>82383</v>
      </c>
      <c r="D1787" s="5" t="str">
        <f>_xlfn.XLOOKUP(role_course_map[[#This Row],[course_id]],course_data[course_id],course_data[title],"")</f>
        <v>Aseptic technique</v>
      </c>
      <c r="E1787" s="5" t="str">
        <f>_xlfn.XLOOKUP(role_course_map[[#This Row],[course_id]],course_data[course_id],course_data[topic],"")</f>
        <v>SAS : Infection Prevention and Control (IPC)</v>
      </c>
      <c r="F1787" s="5" t="str">
        <f>_xlfn.XLOOKUP(role_course_map[[#This Row],[course_id]],course_data[course_id],course_data[type],"")</f>
        <v>eLearning</v>
      </c>
      <c r="K1787" t="str">
        <f>role_course_map[[#This Row],[role_id]] &amp; "|" &amp; role_course_map[[#This Row],[course_id]]</f>
        <v>R0141|82383</v>
      </c>
      <c r="L1787" t="str">
        <f>IF(COUNTIF(role_course_map[mapping_key],role_course_map[[#This Row],[mapping_key]])&gt;1,"DUPLICATE","OK")</f>
        <v>OK</v>
      </c>
      <c r="M1787" t="str">
        <f>IF(COUNTIF(role_data[role_id],role_course_map[[#This Row],[role_id]])=0, "INVALID","VALID")</f>
        <v>VALID</v>
      </c>
      <c r="N1787" t="str">
        <f>IF(COUNTIF(course_data[course_id],role_course_map[[#This Row],[course_id]])=0, "INVALID","VALID")</f>
        <v>VALID</v>
      </c>
    </row>
    <row r="1788" spans="1:14" x14ac:dyDescent="0.35">
      <c r="A1788" t="s">
        <v>298</v>
      </c>
      <c r="B1788" s="5" t="str">
        <f>_xlfn.XLOOKUP(role_course_map[[#This Row],[role_id]], role_data[role_id], role_data[Role],"")</f>
        <v>Neonatal Nurses</v>
      </c>
      <c r="C1788">
        <v>82383</v>
      </c>
      <c r="D1788" s="5" t="str">
        <f>_xlfn.XLOOKUP(role_course_map[[#This Row],[course_id]],course_data[course_id],course_data[title],"")</f>
        <v>Aseptic technique</v>
      </c>
      <c r="E1788" s="5" t="str">
        <f>_xlfn.XLOOKUP(role_course_map[[#This Row],[course_id]],course_data[course_id],course_data[topic],"")</f>
        <v>SAS : Infection Prevention and Control (IPC)</v>
      </c>
      <c r="F1788" s="5" t="str">
        <f>_xlfn.XLOOKUP(role_course_map[[#This Row],[course_id]],course_data[course_id],course_data[type],"")</f>
        <v>eLearning</v>
      </c>
      <c r="K1788" t="str">
        <f>role_course_map[[#This Row],[role_id]] &amp; "|" &amp; role_course_map[[#This Row],[course_id]]</f>
        <v>R0143|82383</v>
      </c>
      <c r="L1788" t="str">
        <f>IF(COUNTIF(role_course_map[mapping_key],role_course_map[[#This Row],[mapping_key]])&gt;1,"DUPLICATE","OK")</f>
        <v>OK</v>
      </c>
      <c r="M1788" t="str">
        <f>IF(COUNTIF(role_data[role_id],role_course_map[[#This Row],[role_id]])=0, "INVALID","VALID")</f>
        <v>VALID</v>
      </c>
      <c r="N1788" t="str">
        <f>IF(COUNTIF(course_data[course_id],role_course_map[[#This Row],[course_id]])=0, "INVALID","VALID")</f>
        <v>VALID</v>
      </c>
    </row>
    <row r="1789" spans="1:14" x14ac:dyDescent="0.35">
      <c r="A1789" t="s">
        <v>304</v>
      </c>
      <c r="B1789" s="5" t="str">
        <f>_xlfn.XLOOKUP(role_course_map[[#This Row],[role_id]], role_data[role_id], role_data[Role],"")</f>
        <v>Paediatric Advanced Nurse Practitioner</v>
      </c>
      <c r="C1789">
        <v>82383</v>
      </c>
      <c r="D1789" s="5" t="str">
        <f>_xlfn.XLOOKUP(role_course_map[[#This Row],[course_id]],course_data[course_id],course_data[title],"")</f>
        <v>Aseptic technique</v>
      </c>
      <c r="E1789" s="5" t="str">
        <f>_xlfn.XLOOKUP(role_course_map[[#This Row],[course_id]],course_data[course_id],course_data[topic],"")</f>
        <v>SAS : Infection Prevention and Control (IPC)</v>
      </c>
      <c r="F1789" s="5" t="str">
        <f>_xlfn.XLOOKUP(role_course_map[[#This Row],[course_id]],course_data[course_id],course_data[type],"")</f>
        <v>eLearning</v>
      </c>
      <c r="K1789" t="str">
        <f>role_course_map[[#This Row],[role_id]] &amp; "|" &amp; role_course_map[[#This Row],[course_id]]</f>
        <v>R0146|82383</v>
      </c>
      <c r="L1789" t="str">
        <f>IF(COUNTIF(role_course_map[mapping_key],role_course_map[[#This Row],[mapping_key]])&gt;1,"DUPLICATE","OK")</f>
        <v>OK</v>
      </c>
      <c r="M1789" t="str">
        <f>IF(COUNTIF(role_data[role_id],role_course_map[[#This Row],[role_id]])=0, "INVALID","VALID")</f>
        <v>VALID</v>
      </c>
      <c r="N1789" t="str">
        <f>IF(COUNTIF(course_data[course_id],role_course_map[[#This Row],[course_id]])=0, "INVALID","VALID")</f>
        <v>VALID</v>
      </c>
    </row>
    <row r="1790" spans="1:14" x14ac:dyDescent="0.35">
      <c r="A1790" t="s">
        <v>306</v>
      </c>
      <c r="B1790" s="5" t="str">
        <f>_xlfn.XLOOKUP(role_course_map[[#This Row],[role_id]], role_data[role_id], role_data[Role],"")</f>
        <v>Paediatric Consultant</v>
      </c>
      <c r="C1790">
        <v>82383</v>
      </c>
      <c r="D1790" s="5" t="str">
        <f>_xlfn.XLOOKUP(role_course_map[[#This Row],[course_id]],course_data[course_id],course_data[title],"")</f>
        <v>Aseptic technique</v>
      </c>
      <c r="E1790" s="5" t="str">
        <f>_xlfn.XLOOKUP(role_course_map[[#This Row],[course_id]],course_data[course_id],course_data[topic],"")</f>
        <v>SAS : Infection Prevention and Control (IPC)</v>
      </c>
      <c r="F1790" s="5" t="str">
        <f>_xlfn.XLOOKUP(role_course_map[[#This Row],[course_id]],course_data[course_id],course_data[type],"")</f>
        <v>eLearning</v>
      </c>
      <c r="K1790" t="str">
        <f>role_course_map[[#This Row],[role_id]] &amp; "|" &amp; role_course_map[[#This Row],[course_id]]</f>
        <v>R0147|82383</v>
      </c>
      <c r="L1790" t="str">
        <f>IF(COUNTIF(role_course_map[mapping_key],role_course_map[[#This Row],[mapping_key]])&gt;1,"DUPLICATE","OK")</f>
        <v>OK</v>
      </c>
      <c r="M1790" t="str">
        <f>IF(COUNTIF(role_data[role_id],role_course_map[[#This Row],[role_id]])=0, "INVALID","VALID")</f>
        <v>VALID</v>
      </c>
      <c r="N1790" t="str">
        <f>IF(COUNTIF(course_data[course_id],role_course_map[[#This Row],[course_id]])=0, "INVALID","VALID")</f>
        <v>VALID</v>
      </c>
    </row>
    <row r="1791" spans="1:14" x14ac:dyDescent="0.35">
      <c r="A1791" t="s">
        <v>308</v>
      </c>
      <c r="B1791" s="5" t="str">
        <f>_xlfn.XLOOKUP(role_course_map[[#This Row],[role_id]], role_data[role_id], role_data[Role],"")</f>
        <v>Paediatric Fellow</v>
      </c>
      <c r="C1791">
        <v>82383</v>
      </c>
      <c r="D1791" s="5" t="str">
        <f>_xlfn.XLOOKUP(role_course_map[[#This Row],[course_id]],course_data[course_id],course_data[title],"")</f>
        <v>Aseptic technique</v>
      </c>
      <c r="E1791" s="5" t="str">
        <f>_xlfn.XLOOKUP(role_course_map[[#This Row],[course_id]],course_data[course_id],course_data[topic],"")</f>
        <v>SAS : Infection Prevention and Control (IPC)</v>
      </c>
      <c r="F1791" s="5" t="str">
        <f>_xlfn.XLOOKUP(role_course_map[[#This Row],[course_id]],course_data[course_id],course_data[type],"")</f>
        <v>eLearning</v>
      </c>
      <c r="K1791" t="str">
        <f>role_course_map[[#This Row],[role_id]] &amp; "|" &amp; role_course_map[[#This Row],[course_id]]</f>
        <v>R0148|82383</v>
      </c>
      <c r="L1791" t="str">
        <f>IF(COUNTIF(role_course_map[mapping_key],role_course_map[[#This Row],[mapping_key]])&gt;1,"DUPLICATE","OK")</f>
        <v>OK</v>
      </c>
      <c r="M1791" t="str">
        <f>IF(COUNTIF(role_data[role_id],role_course_map[[#This Row],[role_id]])=0, "INVALID","VALID")</f>
        <v>VALID</v>
      </c>
      <c r="N1791" t="str">
        <f>IF(COUNTIF(course_data[course_id],role_course_map[[#This Row],[course_id]])=0, "INVALID","VALID")</f>
        <v>VALID</v>
      </c>
    </row>
    <row r="1792" spans="1:14" x14ac:dyDescent="0.35">
      <c r="A1792" t="s">
        <v>310</v>
      </c>
      <c r="B1792" s="5" t="str">
        <f>_xlfn.XLOOKUP(role_course_map[[#This Row],[role_id]], role_data[role_id], role_data[Role],"")</f>
        <v>Paediatric Nurse</v>
      </c>
      <c r="C1792">
        <v>82383</v>
      </c>
      <c r="D1792" s="5" t="str">
        <f>_xlfn.XLOOKUP(role_course_map[[#This Row],[course_id]],course_data[course_id],course_data[title],"")</f>
        <v>Aseptic technique</v>
      </c>
      <c r="E1792" s="5" t="str">
        <f>_xlfn.XLOOKUP(role_course_map[[#This Row],[course_id]],course_data[course_id],course_data[topic],"")</f>
        <v>SAS : Infection Prevention and Control (IPC)</v>
      </c>
      <c r="F1792" s="5" t="str">
        <f>_xlfn.XLOOKUP(role_course_map[[#This Row],[course_id]],course_data[course_id],course_data[type],"")</f>
        <v>eLearning</v>
      </c>
      <c r="K1792" t="str">
        <f>role_course_map[[#This Row],[role_id]] &amp; "|" &amp; role_course_map[[#This Row],[course_id]]</f>
        <v>R0149|82383</v>
      </c>
      <c r="L1792" t="str">
        <f>IF(COUNTIF(role_course_map[mapping_key],role_course_map[[#This Row],[mapping_key]])&gt;1,"DUPLICATE","OK")</f>
        <v>OK</v>
      </c>
      <c r="M1792" t="str">
        <f>IF(COUNTIF(role_data[role_id],role_course_map[[#This Row],[role_id]])=0, "INVALID","VALID")</f>
        <v>VALID</v>
      </c>
      <c r="N1792" t="str">
        <f>IF(COUNTIF(course_data[course_id],role_course_map[[#This Row],[course_id]])=0, "INVALID","VALID")</f>
        <v>VALID</v>
      </c>
    </row>
    <row r="1793" spans="1:14" x14ac:dyDescent="0.35">
      <c r="A1793" t="s">
        <v>314</v>
      </c>
      <c r="B1793" s="5" t="str">
        <f>_xlfn.XLOOKUP(role_course_map[[#This Row],[role_id]], role_data[role_id], role_data[Role],"")</f>
        <v>ScotSTAR Administrator</v>
      </c>
      <c r="C1793">
        <v>82383</v>
      </c>
      <c r="D1793" s="5" t="str">
        <f>_xlfn.XLOOKUP(role_course_map[[#This Row],[course_id]],course_data[course_id],course_data[title],"")</f>
        <v>Aseptic technique</v>
      </c>
      <c r="E1793" s="5" t="str">
        <f>_xlfn.XLOOKUP(role_course_map[[#This Row],[course_id]],course_data[course_id],course_data[topic],"")</f>
        <v>SAS : Infection Prevention and Control (IPC)</v>
      </c>
      <c r="F1793" s="5" t="str">
        <f>_xlfn.XLOOKUP(role_course_map[[#This Row],[course_id]],course_data[course_id],course_data[type],"")</f>
        <v>eLearning</v>
      </c>
      <c r="K1793" t="str">
        <f>role_course_map[[#This Row],[role_id]] &amp; "|" &amp; role_course_map[[#This Row],[course_id]]</f>
        <v>R0151|82383</v>
      </c>
      <c r="L1793" t="str">
        <f>IF(COUNTIF(role_course_map[mapping_key],role_course_map[[#This Row],[mapping_key]])&gt;1,"DUPLICATE","OK")</f>
        <v>OK</v>
      </c>
      <c r="M1793" t="str">
        <f>IF(COUNTIF(role_data[role_id],role_course_map[[#This Row],[role_id]])=0, "INVALID","VALID")</f>
        <v>VALID</v>
      </c>
      <c r="N1793" t="str">
        <f>IF(COUNTIF(course_data[course_id],role_course_map[[#This Row],[course_id]])=0, "INVALID","VALID")</f>
        <v>VALID</v>
      </c>
    </row>
    <row r="1794" spans="1:14" x14ac:dyDescent="0.35">
      <c r="A1794" t="s">
        <v>316</v>
      </c>
      <c r="B1794" s="5" t="str">
        <f>_xlfn.XLOOKUP(role_course_map[[#This Row],[role_id]], role_data[role_id], role_data[Role],"")</f>
        <v>ScotSTAR Driver</v>
      </c>
      <c r="C1794">
        <v>82383</v>
      </c>
      <c r="D1794" s="5" t="str">
        <f>_xlfn.XLOOKUP(role_course_map[[#This Row],[course_id]],course_data[course_id],course_data[title],"")</f>
        <v>Aseptic technique</v>
      </c>
      <c r="E1794" s="5" t="str">
        <f>_xlfn.XLOOKUP(role_course_map[[#This Row],[course_id]],course_data[course_id],course_data[topic],"")</f>
        <v>SAS : Infection Prevention and Control (IPC)</v>
      </c>
      <c r="F1794" s="5" t="str">
        <f>_xlfn.XLOOKUP(role_course_map[[#This Row],[course_id]],course_data[course_id],course_data[type],"")</f>
        <v>eLearning</v>
      </c>
      <c r="K1794" t="str">
        <f>role_course_map[[#This Row],[role_id]] &amp; "|" &amp; role_course_map[[#This Row],[course_id]]</f>
        <v>R0152|82383</v>
      </c>
      <c r="L1794" t="str">
        <f>IF(COUNTIF(role_course_map[mapping_key],role_course_map[[#This Row],[mapping_key]])&gt;1,"DUPLICATE","OK")</f>
        <v>OK</v>
      </c>
      <c r="M1794" t="str">
        <f>IF(COUNTIF(role_data[role_id],role_course_map[[#This Row],[role_id]])=0, "INVALID","VALID")</f>
        <v>VALID</v>
      </c>
      <c r="N1794" t="str">
        <f>IF(COUNTIF(course_data[course_id],role_course_map[[#This Row],[course_id]])=0, "INVALID","VALID")</f>
        <v>VALID</v>
      </c>
    </row>
    <row r="1795" spans="1:14" x14ac:dyDescent="0.35">
      <c r="A1795" t="s">
        <v>318</v>
      </c>
      <c r="B1795" s="5" t="str">
        <f>_xlfn.XLOOKUP(role_course_map[[#This Row],[role_id]], role_data[role_id], role_data[Role],"")</f>
        <v>Senior Transport Charge Nurse</v>
      </c>
      <c r="C1795">
        <v>82383</v>
      </c>
      <c r="D1795" s="5" t="str">
        <f>_xlfn.XLOOKUP(role_course_map[[#This Row],[course_id]],course_data[course_id],course_data[title],"")</f>
        <v>Aseptic technique</v>
      </c>
      <c r="E1795" s="5" t="str">
        <f>_xlfn.XLOOKUP(role_course_map[[#This Row],[course_id]],course_data[course_id],course_data[topic],"")</f>
        <v>SAS : Infection Prevention and Control (IPC)</v>
      </c>
      <c r="F1795" s="5" t="str">
        <f>_xlfn.XLOOKUP(role_course_map[[#This Row],[course_id]],course_data[course_id],course_data[type],"")</f>
        <v>eLearning</v>
      </c>
      <c r="K1795" t="str">
        <f>role_course_map[[#This Row],[role_id]] &amp; "|" &amp; role_course_map[[#This Row],[course_id]]</f>
        <v>R0153|82383</v>
      </c>
      <c r="L1795" t="str">
        <f>IF(COUNTIF(role_course_map[mapping_key],role_course_map[[#This Row],[mapping_key]])&gt;1,"DUPLICATE","OK")</f>
        <v>OK</v>
      </c>
      <c r="M1795" t="str">
        <f>IF(COUNTIF(role_data[role_id],role_course_map[[#This Row],[role_id]])=0, "INVALID","VALID")</f>
        <v>VALID</v>
      </c>
      <c r="N1795" t="str">
        <f>IF(COUNTIF(course_data[course_id],role_course_map[[#This Row],[course_id]])=0, "INVALID","VALID")</f>
        <v>VALID</v>
      </c>
    </row>
    <row r="1796" spans="1:14" x14ac:dyDescent="0.35">
      <c r="A1796" t="s">
        <v>288</v>
      </c>
      <c r="B1796" s="5" t="str">
        <f>_xlfn.XLOOKUP(role_course_map[[#This Row],[role_id]], role_data[role_id], role_data[Role],"")</f>
        <v>HIU Paediatric Liaison Nurse</v>
      </c>
      <c r="C1796">
        <v>82383</v>
      </c>
      <c r="D1796" s="5" t="str">
        <f>_xlfn.XLOOKUP(role_course_map[[#This Row],[course_id]],course_data[course_id],course_data[title],"")</f>
        <v>Aseptic technique</v>
      </c>
      <c r="E1796" s="5" t="str">
        <f>_xlfn.XLOOKUP(role_course_map[[#This Row],[course_id]],course_data[course_id],course_data[topic],"")</f>
        <v>SAS : Infection Prevention and Control (IPC)</v>
      </c>
      <c r="F1796" s="5" t="str">
        <f>_xlfn.XLOOKUP(role_course_map[[#This Row],[course_id]],course_data[course_id],course_data[type],"")</f>
        <v>eLearning</v>
      </c>
      <c r="K1796" t="str">
        <f>role_course_map[[#This Row],[role_id]] &amp; "|" &amp; role_course_map[[#This Row],[course_id]]</f>
        <v>R0138|82383</v>
      </c>
      <c r="L1796" t="str">
        <f>IF(COUNTIF(role_course_map[mapping_key],role_course_map[[#This Row],[mapping_key]])&gt;1,"DUPLICATE","OK")</f>
        <v>OK</v>
      </c>
      <c r="M1796" t="str">
        <f>IF(COUNTIF(role_data[role_id],role_course_map[[#This Row],[role_id]])=0, "INVALID","VALID")</f>
        <v>VALID</v>
      </c>
      <c r="N1796" t="str">
        <f>IF(COUNTIF(course_data[course_id],role_course_map[[#This Row],[course_id]])=0, "INVALID","VALID")</f>
        <v>VALID</v>
      </c>
    </row>
    <row r="1797" spans="1:14" x14ac:dyDescent="0.35">
      <c r="A1797" t="s">
        <v>288</v>
      </c>
      <c r="B1797" s="5" t="str">
        <f>_xlfn.XLOOKUP(role_course_map[[#This Row],[role_id]], role_data[role_id], role_data[Role],"")</f>
        <v>HIU Paediatric Liaison Nurse</v>
      </c>
      <c r="C1797">
        <v>3886</v>
      </c>
      <c r="D1797" s="5" t="str">
        <f>_xlfn.XLOOKUP(role_course_map[[#This Row],[course_id]],course_data[course_id],course_data[title],"")</f>
        <v>Prevention and management of pressure ulcers</v>
      </c>
      <c r="E1797" s="5" t="str">
        <f>_xlfn.XLOOKUP(role_course_map[[#This Row],[course_id]],course_data[course_id],course_data[topic],"")</f>
        <v>SAS : Clinical Practice</v>
      </c>
      <c r="F1797" s="5" t="str">
        <f>_xlfn.XLOOKUP(role_course_map[[#This Row],[course_id]],course_data[course_id],course_data[type],"")</f>
        <v>Page</v>
      </c>
      <c r="K1797" t="str">
        <f>role_course_map[[#This Row],[role_id]] &amp; "|" &amp; role_course_map[[#This Row],[course_id]]</f>
        <v>R0138|3886</v>
      </c>
      <c r="L1797" t="str">
        <f>IF(COUNTIF(role_course_map[mapping_key],role_course_map[[#This Row],[mapping_key]])&gt;1,"DUPLICATE","OK")</f>
        <v>OK</v>
      </c>
      <c r="M1797" t="str">
        <f>IF(COUNTIF(role_data[role_id],role_course_map[[#This Row],[role_id]])=0, "INVALID","VALID")</f>
        <v>VALID</v>
      </c>
      <c r="N1797" t="str">
        <f>IF(COUNTIF(course_data[course_id],role_course_map[[#This Row],[course_id]])=0, "INVALID","VALID")</f>
        <v>VALID</v>
      </c>
    </row>
    <row r="1798" spans="1:14" x14ac:dyDescent="0.35">
      <c r="A1798" t="s">
        <v>420</v>
      </c>
      <c r="B1798" s="5" t="str">
        <f>_xlfn.XLOOKUP(role_course_map[[#This Row],[role_id]], role_data[role_id], role_data[Role],"")</f>
        <v>Head of Strategy Implementation and Quality Improvement</v>
      </c>
      <c r="C1798">
        <v>999094</v>
      </c>
      <c r="D1798" s="5" t="str">
        <f>_xlfn.XLOOKUP(role_course_map[[#This Row],[course_id]],course_data[course_id],course_data[title],"")</f>
        <v>Being well, Mind, Body &amp; Workplace</v>
      </c>
      <c r="E1798" s="5" t="str">
        <f>_xlfn.XLOOKUP(role_course_map[[#This Row],[course_id]],course_data[course_id],course_data[topic],"")</f>
        <v>SAS: Staff development and experience</v>
      </c>
      <c r="F1798" s="5" t="str">
        <f>_xlfn.XLOOKUP(role_course_map[[#This Row],[course_id]],course_data[course_id],course_data[type],"")</f>
        <v>eLearning</v>
      </c>
      <c r="K1798" t="str">
        <f>role_course_map[[#This Row],[role_id]] &amp; "|" &amp; role_course_map[[#This Row],[course_id]]</f>
        <v>R0199|999094</v>
      </c>
      <c r="L1798" t="str">
        <f>IF(COUNTIF(role_course_map[mapping_key],role_course_map[[#This Row],[mapping_key]])&gt;1,"DUPLICATE","OK")</f>
        <v>OK</v>
      </c>
      <c r="M1798" t="str">
        <f>IF(COUNTIF(role_data[role_id],role_course_map[[#This Row],[role_id]])=0, "INVALID","VALID")</f>
        <v>VALID</v>
      </c>
      <c r="N1798" t="str">
        <f>IF(COUNTIF(course_data[course_id],role_course_map[[#This Row],[course_id]])=0, "INVALID","VALID")</f>
        <v>VALID</v>
      </c>
    </row>
    <row r="1799" spans="1:14" x14ac:dyDescent="0.35">
      <c r="A1799" t="s">
        <v>420</v>
      </c>
      <c r="B1799" s="5" t="str">
        <f>_xlfn.XLOOKUP(role_course_map[[#This Row],[role_id]], role_data[role_id], role_data[Role],"")</f>
        <v>Head of Strategy Implementation and Quality Improvement</v>
      </c>
      <c r="C1799">
        <v>999062</v>
      </c>
      <c r="D1799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1799" s="5" t="str">
        <f>_xlfn.XLOOKUP(role_course_map[[#This Row],[course_id]],course_data[course_id],course_data[topic],"")</f>
        <v>SAS : Health and Safety</v>
      </c>
      <c r="F1799" s="5" t="str">
        <f>_xlfn.XLOOKUP(role_course_map[[#This Row],[course_id]],course_data[course_id],course_data[type],"")</f>
        <v>Course</v>
      </c>
      <c r="K1799" t="str">
        <f>role_course_map[[#This Row],[role_id]] &amp; "|" &amp; role_course_map[[#This Row],[course_id]]</f>
        <v>R0199|999062</v>
      </c>
      <c r="L1799" t="str">
        <f>IF(COUNTIF(role_course_map[mapping_key],role_course_map[[#This Row],[mapping_key]])&gt;1,"DUPLICATE","OK")</f>
        <v>OK</v>
      </c>
      <c r="M1799" t="str">
        <f>IF(COUNTIF(role_data[role_id],role_course_map[[#This Row],[role_id]])=0, "INVALID","VALID")</f>
        <v>VALID</v>
      </c>
      <c r="N1799" t="str">
        <f>IF(COUNTIF(course_data[course_id],role_course_map[[#This Row],[course_id]])=0, "INVALID","VALID")</f>
        <v>VALID</v>
      </c>
    </row>
    <row r="1800" spans="1:14" x14ac:dyDescent="0.35">
      <c r="A1800" t="s">
        <v>328</v>
      </c>
      <c r="B1800" s="5" t="str">
        <f>_xlfn.XLOOKUP(role_course_map[[#This Row],[role_id]], role_data[role_id], role_data[Role],"")</f>
        <v>Head of Education and Professional Development</v>
      </c>
      <c r="C1800">
        <v>999058</v>
      </c>
      <c r="D1800" s="5" t="str">
        <f>_xlfn.XLOOKUP(role_course_map[[#This Row],[course_id]],course_data[course_id],course_data[title],"")</f>
        <v>Stress Identification &amp; Stress Management</v>
      </c>
      <c r="E1800" s="5" t="str">
        <f>_xlfn.XLOOKUP(role_course_map[[#This Row],[course_id]],course_data[course_id],course_data[topic],"")</f>
        <v>SAS : Health and Safety</v>
      </c>
      <c r="F1800" s="5" t="str">
        <f>_xlfn.XLOOKUP(role_course_map[[#This Row],[course_id]],course_data[course_id],course_data[type],"")</f>
        <v>eLearning</v>
      </c>
      <c r="K1800" t="str">
        <f>role_course_map[[#This Row],[role_id]] &amp; "|" &amp; role_course_map[[#This Row],[course_id]]</f>
        <v>R0158|999058</v>
      </c>
      <c r="L1800" t="str">
        <f>IF(COUNTIF(role_course_map[mapping_key],role_course_map[[#This Row],[mapping_key]])&gt;1,"DUPLICATE","OK")</f>
        <v>OK</v>
      </c>
      <c r="M1800" t="str">
        <f>IF(COUNTIF(role_data[role_id],role_course_map[[#This Row],[role_id]])=0, "INVALID","VALID")</f>
        <v>VALID</v>
      </c>
      <c r="N1800" t="str">
        <f>IF(COUNTIF(course_data[course_id],role_course_map[[#This Row],[course_id]])=0, "INVALID","VALID")</f>
        <v>VALID</v>
      </c>
    </row>
    <row r="1801" spans="1:14" x14ac:dyDescent="0.35">
      <c r="A1801" t="s">
        <v>328</v>
      </c>
      <c r="B1801" s="5" t="str">
        <f>_xlfn.XLOOKUP(role_course_map[[#This Row],[role_id]], role_data[role_id], role_data[Role],"")</f>
        <v>Head of Education and Professional Development</v>
      </c>
      <c r="C1801">
        <v>79147</v>
      </c>
      <c r="D1801" s="5" t="str">
        <f>_xlfn.XLOOKUP(role_course_map[[#This Row],[course_id]],course_data[course_id],course_data[title],"")</f>
        <v>Driving risks at work</v>
      </c>
      <c r="E1801" s="5" t="str">
        <f>_xlfn.XLOOKUP(role_course_map[[#This Row],[course_id]],course_data[course_id],course_data[topic],"")</f>
        <v>SAS : Health and Safety</v>
      </c>
      <c r="F1801" s="5" t="str">
        <f>_xlfn.XLOOKUP(role_course_map[[#This Row],[course_id]],course_data[course_id],course_data[type],"")</f>
        <v>eLearning</v>
      </c>
      <c r="K1801" t="str">
        <f>role_course_map[[#This Row],[role_id]] &amp; "|" &amp; role_course_map[[#This Row],[course_id]]</f>
        <v>R0158|79147</v>
      </c>
      <c r="L1801" t="str">
        <f>IF(COUNTIF(role_course_map[mapping_key],role_course_map[[#This Row],[mapping_key]])&gt;1,"DUPLICATE","OK")</f>
        <v>OK</v>
      </c>
      <c r="M1801" t="str">
        <f>IF(COUNTIF(role_data[role_id],role_course_map[[#This Row],[role_id]])=0, "INVALID","VALID")</f>
        <v>VALID</v>
      </c>
      <c r="N1801" t="str">
        <f>IF(COUNTIF(course_data[course_id],role_course_map[[#This Row],[course_id]])=0, "INVALID","VALID")</f>
        <v>VALID</v>
      </c>
    </row>
    <row r="1802" spans="1:14" x14ac:dyDescent="0.35">
      <c r="A1802" t="s">
        <v>328</v>
      </c>
      <c r="B1802" s="5" t="str">
        <f>_xlfn.XLOOKUP(role_course_map[[#This Row],[role_id]], role_data[role_id], role_data[Role],"")</f>
        <v>Head of Education and Professional Development</v>
      </c>
      <c r="C1802">
        <v>999091</v>
      </c>
      <c r="D1802" s="5" t="str">
        <f>_xlfn.XLOOKUP(role_course_map[[#This Row],[course_id]],course_data[course_id],course_data[title],"")</f>
        <v>Intermediate Leadership Development Programme</v>
      </c>
      <c r="E1802" s="5" t="str">
        <f>_xlfn.XLOOKUP(role_course_map[[#This Row],[course_id]],course_data[course_id],course_data[topic],"")</f>
        <v>SAS: Staff development and experience</v>
      </c>
      <c r="F1802" s="5">
        <f>_xlfn.XLOOKUP(role_course_map[[#This Row],[course_id]],course_data[course_id],course_data[type],"")</f>
        <v>0</v>
      </c>
      <c r="K1802" t="str">
        <f>role_course_map[[#This Row],[role_id]] &amp; "|" &amp; role_course_map[[#This Row],[course_id]]</f>
        <v>R0158|999091</v>
      </c>
      <c r="L1802" t="str">
        <f>IF(COUNTIF(role_course_map[mapping_key],role_course_map[[#This Row],[mapping_key]])&gt;1,"DUPLICATE","OK")</f>
        <v>OK</v>
      </c>
      <c r="M1802" t="str">
        <f>IF(COUNTIF(role_data[role_id],role_course_map[[#This Row],[role_id]])=0, "INVALID","VALID")</f>
        <v>VALID</v>
      </c>
      <c r="N1802" t="str">
        <f>IF(COUNTIF(course_data[course_id],role_course_map[[#This Row],[course_id]])=0, "INVALID","VALID")</f>
        <v>VALID</v>
      </c>
    </row>
    <row r="1803" spans="1:14" x14ac:dyDescent="0.35">
      <c r="A1803" t="s">
        <v>328</v>
      </c>
      <c r="B1803" s="5" t="str">
        <f>_xlfn.XLOOKUP(role_course_map[[#This Row],[role_id]], role_data[role_id], role_data[Role],"")</f>
        <v>Head of Education and Professional Development</v>
      </c>
      <c r="C1803">
        <v>999090</v>
      </c>
      <c r="D1803" s="5" t="str">
        <f>_xlfn.XLOOKUP(role_course_map[[#This Row],[course_id]],course_data[course_id],course_data[title],"")</f>
        <v>Leading for the Future</v>
      </c>
      <c r="E1803" s="5" t="str">
        <f>_xlfn.XLOOKUP(role_course_map[[#This Row],[course_id]],course_data[course_id],course_data[topic],"")</f>
        <v>SAS: Staff development and experience</v>
      </c>
      <c r="F1803" s="5">
        <f>_xlfn.XLOOKUP(role_course_map[[#This Row],[course_id]],course_data[course_id],course_data[type],"")</f>
        <v>0</v>
      </c>
      <c r="K1803" t="str">
        <f>role_course_map[[#This Row],[role_id]] &amp; "|" &amp; role_course_map[[#This Row],[course_id]]</f>
        <v>R0158|999090</v>
      </c>
      <c r="L1803" t="str">
        <f>IF(COUNTIF(role_course_map[mapping_key],role_course_map[[#This Row],[mapping_key]])&gt;1,"DUPLICATE","OK")</f>
        <v>OK</v>
      </c>
      <c r="M1803" t="str">
        <f>IF(COUNTIF(role_data[role_id],role_course_map[[#This Row],[role_id]])=0, "INVALID","VALID")</f>
        <v>VALID</v>
      </c>
      <c r="N1803" t="str">
        <f>IF(COUNTIF(course_data[course_id],role_course_map[[#This Row],[course_id]])=0, "INVALID","VALID")</f>
        <v>VALID</v>
      </c>
    </row>
    <row r="1804" spans="1:14" x14ac:dyDescent="0.35">
      <c r="A1804" t="s">
        <v>420</v>
      </c>
      <c r="B1804" s="5" t="str">
        <f>_xlfn.XLOOKUP(role_course_map[[#This Row],[role_id]], role_data[role_id], role_data[Role],"")</f>
        <v>Head of Strategy Implementation and Quality Improvement</v>
      </c>
      <c r="C1804">
        <v>999092</v>
      </c>
      <c r="D1804" s="5" t="str">
        <f>_xlfn.XLOOKUP(role_course_map[[#This Row],[course_id]],course_data[course_id],course_data[title],"")</f>
        <v>Health &amp; Wellbeing Awareness for Managers</v>
      </c>
      <c r="E1804" s="5" t="str">
        <f>_xlfn.XLOOKUP(role_course_map[[#This Row],[course_id]],course_data[course_id],course_data[topic],"")</f>
        <v>SAS: Staff development and experience</v>
      </c>
      <c r="F1804" s="5" t="str">
        <f>_xlfn.XLOOKUP(role_course_map[[#This Row],[course_id]],course_data[course_id],course_data[type],"")</f>
        <v>eLearning</v>
      </c>
      <c r="K1804" t="str">
        <f>role_course_map[[#This Row],[role_id]] &amp; "|" &amp; role_course_map[[#This Row],[course_id]]</f>
        <v>R0199|999092</v>
      </c>
      <c r="L1804" t="str">
        <f>IF(COUNTIF(role_course_map[mapping_key],role_course_map[[#This Row],[mapping_key]])&gt;1,"DUPLICATE","OK")</f>
        <v>OK</v>
      </c>
      <c r="M1804" t="str">
        <f>IF(COUNTIF(role_data[role_id],role_course_map[[#This Row],[role_id]])=0, "INVALID","VALID")</f>
        <v>VALID</v>
      </c>
      <c r="N1804" t="str">
        <f>IF(COUNTIF(course_data[course_id],role_course_map[[#This Row],[course_id]])=0, "INVALID","VALID")</f>
        <v>VALID</v>
      </c>
    </row>
    <row r="1805" spans="1:14" x14ac:dyDescent="0.35">
      <c r="A1805" t="s">
        <v>328</v>
      </c>
      <c r="B1805" s="5" t="str">
        <f>_xlfn.XLOOKUP(role_course_map[[#This Row],[role_id]], role_data[role_id], role_data[Role],"")</f>
        <v>Head of Education and Professional Development</v>
      </c>
      <c r="C1805">
        <v>999093</v>
      </c>
      <c r="D1805" s="5" t="str">
        <f>_xlfn.XLOOKUP(role_course_map[[#This Row],[course_id]],course_data[course_id],course_data[title],"")</f>
        <v>Managing Wellbeing Refresher for Managers</v>
      </c>
      <c r="E1805" s="5" t="str">
        <f>_xlfn.XLOOKUP(role_course_map[[#This Row],[course_id]],course_data[course_id],course_data[topic],"")</f>
        <v>SAS: Staff development and experience</v>
      </c>
      <c r="F1805" s="5" t="str">
        <f>_xlfn.XLOOKUP(role_course_map[[#This Row],[course_id]],course_data[course_id],course_data[type],"")</f>
        <v>eLearning</v>
      </c>
      <c r="K1805" t="str">
        <f>role_course_map[[#This Row],[role_id]] &amp; "|" &amp; role_course_map[[#This Row],[course_id]]</f>
        <v>R0158|999093</v>
      </c>
      <c r="L1805" t="str">
        <f>IF(COUNTIF(role_course_map[mapping_key],role_course_map[[#This Row],[mapping_key]])&gt;1,"DUPLICATE","OK")</f>
        <v>OK</v>
      </c>
      <c r="M1805" t="str">
        <f>IF(COUNTIF(role_data[role_id],role_course_map[[#This Row],[role_id]])=0, "INVALID","VALID")</f>
        <v>VALID</v>
      </c>
      <c r="N1805" t="str">
        <f>IF(COUNTIF(course_data[course_id],role_course_map[[#This Row],[course_id]])=0, "INVALID","VALID")</f>
        <v>VALID</v>
      </c>
    </row>
    <row r="1806" spans="1:14" x14ac:dyDescent="0.35">
      <c r="A1806" t="s">
        <v>288</v>
      </c>
      <c r="B1806" s="5" t="str">
        <f>_xlfn.XLOOKUP(role_course_map[[#This Row],[role_id]], role_data[role_id], role_data[Role],"")</f>
        <v>HIU Paediatric Liaison Nurse</v>
      </c>
      <c r="C1806">
        <v>999094</v>
      </c>
      <c r="D1806" s="5" t="str">
        <f>_xlfn.XLOOKUP(role_course_map[[#This Row],[course_id]],course_data[course_id],course_data[title],"")</f>
        <v>Being well, Mind, Body &amp; Workplace</v>
      </c>
      <c r="E1806" s="5" t="str">
        <f>_xlfn.XLOOKUP(role_course_map[[#This Row],[course_id]],course_data[course_id],course_data[topic],"")</f>
        <v>SAS: Staff development and experience</v>
      </c>
      <c r="F1806" s="5" t="str">
        <f>_xlfn.XLOOKUP(role_course_map[[#This Row],[course_id]],course_data[course_id],course_data[type],"")</f>
        <v>eLearning</v>
      </c>
      <c r="K1806" t="str">
        <f>role_course_map[[#This Row],[role_id]] &amp; "|" &amp; role_course_map[[#This Row],[course_id]]</f>
        <v>R0138|999094</v>
      </c>
      <c r="L1806" t="str">
        <f>IF(COUNTIF(role_course_map[mapping_key],role_course_map[[#This Row],[mapping_key]])&gt;1,"DUPLICATE","OK")</f>
        <v>OK</v>
      </c>
      <c r="M1806" t="str">
        <f>IF(COUNTIF(role_data[role_id],role_course_map[[#This Row],[role_id]])=0, "INVALID","VALID")</f>
        <v>VALID</v>
      </c>
      <c r="N1806" t="str">
        <f>IF(COUNTIF(course_data[course_id],role_course_map[[#This Row],[course_id]])=0, "INVALID","VALID")</f>
        <v>VALID</v>
      </c>
    </row>
    <row r="1807" spans="1:14" x14ac:dyDescent="0.35">
      <c r="A1807" t="s">
        <v>328</v>
      </c>
      <c r="B1807" s="5" t="str">
        <f>_xlfn.XLOOKUP(role_course_map[[#This Row],[role_id]], role_data[role_id], role_data[Role],"")</f>
        <v>Head of Education and Professional Development</v>
      </c>
      <c r="C1807">
        <v>999062</v>
      </c>
      <c r="D1807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1807" s="5" t="str">
        <f>_xlfn.XLOOKUP(role_course_map[[#This Row],[course_id]],course_data[course_id],course_data[topic],"")</f>
        <v>SAS : Health and Safety</v>
      </c>
      <c r="F1807" s="5" t="str">
        <f>_xlfn.XLOOKUP(role_course_map[[#This Row],[course_id]],course_data[course_id],course_data[type],"")</f>
        <v>Course</v>
      </c>
      <c r="K1807" t="str">
        <f>role_course_map[[#This Row],[role_id]] &amp; "|" &amp; role_course_map[[#This Row],[course_id]]</f>
        <v>R0158|999062</v>
      </c>
      <c r="L1807" t="str">
        <f>IF(COUNTIF(role_course_map[mapping_key],role_course_map[[#This Row],[mapping_key]])&gt;1,"DUPLICATE","OK")</f>
        <v>OK</v>
      </c>
      <c r="M1807" t="str">
        <f>IF(COUNTIF(role_data[role_id],role_course_map[[#This Row],[role_id]])=0, "INVALID","VALID")</f>
        <v>VALID</v>
      </c>
      <c r="N1807" t="str">
        <f>IF(COUNTIF(course_data[course_id],role_course_map[[#This Row],[course_id]])=0, "INVALID","VALID")</f>
        <v>VALID</v>
      </c>
    </row>
    <row r="1808" spans="1:14" x14ac:dyDescent="0.35">
      <c r="A1808" t="s">
        <v>36</v>
      </c>
      <c r="B1808" s="5" t="str">
        <f>_xlfn.XLOOKUP(role_course_map[[#This Row],[role_id]], role_data[role_id], role_data[Role],"")</f>
        <v xml:space="preserve">Head of Estates </v>
      </c>
      <c r="C1808">
        <v>999058</v>
      </c>
      <c r="D1808" s="5" t="str">
        <f>_xlfn.XLOOKUP(role_course_map[[#This Row],[course_id]],course_data[course_id],course_data[title],"")</f>
        <v>Stress Identification &amp; Stress Management</v>
      </c>
      <c r="E1808" s="5" t="str">
        <f>_xlfn.XLOOKUP(role_course_map[[#This Row],[course_id]],course_data[course_id],course_data[topic],"")</f>
        <v>SAS : Health and Safety</v>
      </c>
      <c r="F1808" s="5" t="str">
        <f>_xlfn.XLOOKUP(role_course_map[[#This Row],[course_id]],course_data[course_id],course_data[type],"")</f>
        <v>eLearning</v>
      </c>
      <c r="K1808" t="str">
        <f>role_course_map[[#This Row],[role_id]] &amp; "|" &amp; role_course_map[[#This Row],[course_id]]</f>
        <v>R0014|999058</v>
      </c>
      <c r="L1808" t="str">
        <f>IF(COUNTIF(role_course_map[mapping_key],role_course_map[[#This Row],[mapping_key]])&gt;1,"DUPLICATE","OK")</f>
        <v>OK</v>
      </c>
      <c r="M1808" t="str">
        <f>IF(COUNTIF(role_data[role_id],role_course_map[[#This Row],[role_id]])=0, "INVALID","VALID")</f>
        <v>VALID</v>
      </c>
      <c r="N1808" t="str">
        <f>IF(COUNTIF(course_data[course_id],role_course_map[[#This Row],[course_id]])=0, "INVALID","VALID")</f>
        <v>VALID</v>
      </c>
    </row>
    <row r="1809" spans="1:14" x14ac:dyDescent="0.35">
      <c r="A1809" t="s">
        <v>36</v>
      </c>
      <c r="B1809" s="5" t="str">
        <f>_xlfn.XLOOKUP(role_course_map[[#This Row],[role_id]], role_data[role_id], role_data[Role],"")</f>
        <v xml:space="preserve">Head of Estates </v>
      </c>
      <c r="C1809">
        <v>79147</v>
      </c>
      <c r="D1809" s="5" t="str">
        <f>_xlfn.XLOOKUP(role_course_map[[#This Row],[course_id]],course_data[course_id],course_data[title],"")</f>
        <v>Driving risks at work</v>
      </c>
      <c r="E1809" s="5" t="str">
        <f>_xlfn.XLOOKUP(role_course_map[[#This Row],[course_id]],course_data[course_id],course_data[topic],"")</f>
        <v>SAS : Health and Safety</v>
      </c>
      <c r="F1809" s="5" t="str">
        <f>_xlfn.XLOOKUP(role_course_map[[#This Row],[course_id]],course_data[course_id],course_data[type],"")</f>
        <v>eLearning</v>
      </c>
      <c r="K1809" t="str">
        <f>role_course_map[[#This Row],[role_id]] &amp; "|" &amp; role_course_map[[#This Row],[course_id]]</f>
        <v>R0014|79147</v>
      </c>
      <c r="L1809" t="str">
        <f>IF(COUNTIF(role_course_map[mapping_key],role_course_map[[#This Row],[mapping_key]])&gt;1,"DUPLICATE","OK")</f>
        <v>OK</v>
      </c>
      <c r="M1809" t="str">
        <f>IF(COUNTIF(role_data[role_id],role_course_map[[#This Row],[role_id]])=0, "INVALID","VALID")</f>
        <v>VALID</v>
      </c>
      <c r="N1809" t="str">
        <f>IF(COUNTIF(course_data[course_id],role_course_map[[#This Row],[course_id]])=0, "INVALID","VALID")</f>
        <v>VALID</v>
      </c>
    </row>
    <row r="1810" spans="1:14" x14ac:dyDescent="0.35">
      <c r="A1810" t="s">
        <v>328</v>
      </c>
      <c r="B1810" s="5" t="str">
        <f>_xlfn.XLOOKUP(role_course_map[[#This Row],[role_id]], role_data[role_id], role_data[Role],"")</f>
        <v>Head of Education and Professional Development</v>
      </c>
      <c r="C1810">
        <v>999057</v>
      </c>
      <c r="D1810" s="5" t="str">
        <f>_xlfn.XLOOKUP(role_course_map[[#This Row],[course_id]],course_data[course_id],course_data[title],"")</f>
        <v>Fatigue Awareness</v>
      </c>
      <c r="E1810" s="5" t="str">
        <f>_xlfn.XLOOKUP(role_course_map[[#This Row],[course_id]],course_data[course_id],course_data[topic],"")</f>
        <v>SAS : Health and Safety</v>
      </c>
      <c r="F1810" s="5" t="str">
        <f>_xlfn.XLOOKUP(role_course_map[[#This Row],[course_id]],course_data[course_id],course_data[type],"")</f>
        <v>eLearning</v>
      </c>
      <c r="K1810" t="str">
        <f>role_course_map[[#This Row],[role_id]] &amp; "|" &amp; role_course_map[[#This Row],[course_id]]</f>
        <v>R0158|999057</v>
      </c>
      <c r="L1810" t="str">
        <f>IF(COUNTIF(role_course_map[mapping_key],role_course_map[[#This Row],[mapping_key]])&gt;1,"DUPLICATE","OK")</f>
        <v>OK</v>
      </c>
      <c r="M1810" t="str">
        <f>IF(COUNTIF(role_data[role_id],role_course_map[[#This Row],[role_id]])=0, "INVALID","VALID")</f>
        <v>VALID</v>
      </c>
      <c r="N1810" t="str">
        <f>IF(COUNTIF(course_data[course_id],role_course_map[[#This Row],[course_id]])=0, "INVALID","VALID")</f>
        <v>VALID</v>
      </c>
    </row>
    <row r="1811" spans="1:14" x14ac:dyDescent="0.35">
      <c r="A1811" t="s">
        <v>36</v>
      </c>
      <c r="B1811" s="5" t="str">
        <f>_xlfn.XLOOKUP(role_course_map[[#This Row],[role_id]], role_data[role_id], role_data[Role],"")</f>
        <v xml:space="preserve">Head of Estates </v>
      </c>
      <c r="C1811">
        <v>999091</v>
      </c>
      <c r="D1811" s="5" t="str">
        <f>_xlfn.XLOOKUP(role_course_map[[#This Row],[course_id]],course_data[course_id],course_data[title],"")</f>
        <v>Intermediate Leadership Development Programme</v>
      </c>
      <c r="E1811" s="5" t="str">
        <f>_xlfn.XLOOKUP(role_course_map[[#This Row],[course_id]],course_data[course_id],course_data[topic],"")</f>
        <v>SAS: Staff development and experience</v>
      </c>
      <c r="F1811" s="5">
        <f>_xlfn.XLOOKUP(role_course_map[[#This Row],[course_id]],course_data[course_id],course_data[type],"")</f>
        <v>0</v>
      </c>
      <c r="K1811" t="str">
        <f>role_course_map[[#This Row],[role_id]] &amp; "|" &amp; role_course_map[[#This Row],[course_id]]</f>
        <v>R0014|999091</v>
      </c>
      <c r="L1811" t="str">
        <f>IF(COUNTIF(role_course_map[mapping_key],role_course_map[[#This Row],[mapping_key]])&gt;1,"DUPLICATE","OK")</f>
        <v>OK</v>
      </c>
      <c r="M1811" t="str">
        <f>IF(COUNTIF(role_data[role_id],role_course_map[[#This Row],[role_id]])=0, "INVALID","VALID")</f>
        <v>VALID</v>
      </c>
      <c r="N1811" t="str">
        <f>IF(COUNTIF(course_data[course_id],role_course_map[[#This Row],[course_id]])=0, "INVALID","VALID")</f>
        <v>VALID</v>
      </c>
    </row>
    <row r="1812" spans="1:14" x14ac:dyDescent="0.35">
      <c r="A1812" t="s">
        <v>36</v>
      </c>
      <c r="B1812" s="5" t="str">
        <f>_xlfn.XLOOKUP(role_course_map[[#This Row],[role_id]], role_data[role_id], role_data[Role],"")</f>
        <v xml:space="preserve">Head of Estates </v>
      </c>
      <c r="C1812">
        <v>999090</v>
      </c>
      <c r="D1812" s="5" t="str">
        <f>_xlfn.XLOOKUP(role_course_map[[#This Row],[course_id]],course_data[course_id],course_data[title],"")</f>
        <v>Leading for the Future</v>
      </c>
      <c r="E1812" s="5" t="str">
        <f>_xlfn.XLOOKUP(role_course_map[[#This Row],[course_id]],course_data[course_id],course_data[topic],"")</f>
        <v>SAS: Staff development and experience</v>
      </c>
      <c r="F1812" s="5">
        <f>_xlfn.XLOOKUP(role_course_map[[#This Row],[course_id]],course_data[course_id],course_data[type],"")</f>
        <v>0</v>
      </c>
      <c r="K1812" t="str">
        <f>role_course_map[[#This Row],[role_id]] &amp; "|" &amp; role_course_map[[#This Row],[course_id]]</f>
        <v>R0014|999090</v>
      </c>
      <c r="L1812" t="str">
        <f>IF(COUNTIF(role_course_map[mapping_key],role_course_map[[#This Row],[mapping_key]])&gt;1,"DUPLICATE","OK")</f>
        <v>OK</v>
      </c>
      <c r="M1812" t="str">
        <f>IF(COUNTIF(role_data[role_id],role_course_map[[#This Row],[role_id]])=0, "INVALID","VALID")</f>
        <v>VALID</v>
      </c>
      <c r="N1812" t="str">
        <f>IF(COUNTIF(course_data[course_id],role_course_map[[#This Row],[course_id]])=0, "INVALID","VALID")</f>
        <v>VALID</v>
      </c>
    </row>
    <row r="1813" spans="1:14" x14ac:dyDescent="0.35">
      <c r="A1813" t="s">
        <v>328</v>
      </c>
      <c r="B1813" s="5" t="str">
        <f>_xlfn.XLOOKUP(role_course_map[[#This Row],[role_id]], role_data[role_id], role_data[Role],"")</f>
        <v>Head of Education and Professional Development</v>
      </c>
      <c r="C1813">
        <v>999092</v>
      </c>
      <c r="D1813" s="5" t="str">
        <f>_xlfn.XLOOKUP(role_course_map[[#This Row],[course_id]],course_data[course_id],course_data[title],"")</f>
        <v>Health &amp; Wellbeing Awareness for Managers</v>
      </c>
      <c r="E1813" s="5" t="str">
        <f>_xlfn.XLOOKUP(role_course_map[[#This Row],[course_id]],course_data[course_id],course_data[topic],"")</f>
        <v>SAS: Staff development and experience</v>
      </c>
      <c r="F1813" s="5" t="str">
        <f>_xlfn.XLOOKUP(role_course_map[[#This Row],[course_id]],course_data[course_id],course_data[type],"")</f>
        <v>eLearning</v>
      </c>
      <c r="K1813" t="str">
        <f>role_course_map[[#This Row],[role_id]] &amp; "|" &amp; role_course_map[[#This Row],[course_id]]</f>
        <v>R0158|999092</v>
      </c>
      <c r="L1813" t="str">
        <f>IF(COUNTIF(role_course_map[mapping_key],role_course_map[[#This Row],[mapping_key]])&gt;1,"DUPLICATE","OK")</f>
        <v>OK</v>
      </c>
      <c r="M1813" t="str">
        <f>IF(COUNTIF(role_data[role_id],role_course_map[[#This Row],[role_id]])=0, "INVALID","VALID")</f>
        <v>VALID</v>
      </c>
      <c r="N1813" t="str">
        <f>IF(COUNTIF(course_data[course_id],role_course_map[[#This Row],[course_id]])=0, "INVALID","VALID")</f>
        <v>VALID</v>
      </c>
    </row>
    <row r="1814" spans="1:14" x14ac:dyDescent="0.35">
      <c r="A1814" t="s">
        <v>36</v>
      </c>
      <c r="B1814" s="5" t="str">
        <f>_xlfn.XLOOKUP(role_course_map[[#This Row],[role_id]], role_data[role_id], role_data[Role],"")</f>
        <v xml:space="preserve">Head of Estates </v>
      </c>
      <c r="C1814">
        <v>999093</v>
      </c>
      <c r="D1814" s="5" t="str">
        <f>_xlfn.XLOOKUP(role_course_map[[#This Row],[course_id]],course_data[course_id],course_data[title],"")</f>
        <v>Managing Wellbeing Refresher for Managers</v>
      </c>
      <c r="E1814" s="5" t="str">
        <f>_xlfn.XLOOKUP(role_course_map[[#This Row],[course_id]],course_data[course_id],course_data[topic],"")</f>
        <v>SAS: Staff development and experience</v>
      </c>
      <c r="F1814" s="5" t="str">
        <f>_xlfn.XLOOKUP(role_course_map[[#This Row],[course_id]],course_data[course_id],course_data[type],"")</f>
        <v>eLearning</v>
      </c>
      <c r="K1814" t="str">
        <f>role_course_map[[#This Row],[role_id]] &amp; "|" &amp; role_course_map[[#This Row],[course_id]]</f>
        <v>R0014|999093</v>
      </c>
      <c r="L1814" t="str">
        <f>IF(COUNTIF(role_course_map[mapping_key],role_course_map[[#This Row],[mapping_key]])&gt;1,"DUPLICATE","OK")</f>
        <v>OK</v>
      </c>
      <c r="M1814" t="str">
        <f>IF(COUNTIF(role_data[role_id],role_course_map[[#This Row],[role_id]])=0, "INVALID","VALID")</f>
        <v>VALID</v>
      </c>
      <c r="N1814" t="str">
        <f>IF(COUNTIF(course_data[course_id],role_course_map[[#This Row],[course_id]])=0, "INVALID","VALID")</f>
        <v>VALID</v>
      </c>
    </row>
    <row r="1815" spans="1:14" x14ac:dyDescent="0.35">
      <c r="A1815" t="s">
        <v>328</v>
      </c>
      <c r="B1815" s="5" t="str">
        <f>_xlfn.XLOOKUP(role_course_map[[#This Row],[role_id]], role_data[role_id], role_data[Role],"")</f>
        <v>Head of Education and Professional Development</v>
      </c>
      <c r="C1815">
        <v>999094</v>
      </c>
      <c r="D1815" s="5" t="str">
        <f>_xlfn.XLOOKUP(role_course_map[[#This Row],[course_id]],course_data[course_id],course_data[title],"")</f>
        <v>Being well, Mind, Body &amp; Workplace</v>
      </c>
      <c r="E1815" s="5" t="str">
        <f>_xlfn.XLOOKUP(role_course_map[[#This Row],[course_id]],course_data[course_id],course_data[topic],"")</f>
        <v>SAS: Staff development and experience</v>
      </c>
      <c r="F1815" s="5" t="str">
        <f>_xlfn.XLOOKUP(role_course_map[[#This Row],[course_id]],course_data[course_id],course_data[type],"")</f>
        <v>eLearning</v>
      </c>
      <c r="K1815" t="str">
        <f>role_course_map[[#This Row],[role_id]] &amp; "|" &amp; role_course_map[[#This Row],[course_id]]</f>
        <v>R0158|999094</v>
      </c>
      <c r="L1815" t="str">
        <f>IF(COUNTIF(role_course_map[mapping_key],role_course_map[[#This Row],[mapping_key]])&gt;1,"DUPLICATE","OK")</f>
        <v>OK</v>
      </c>
      <c r="M1815" t="str">
        <f>IF(COUNTIF(role_data[role_id],role_course_map[[#This Row],[role_id]])=0, "INVALID","VALID")</f>
        <v>VALID</v>
      </c>
      <c r="N1815" t="str">
        <f>IF(COUNTIF(course_data[course_id],role_course_map[[#This Row],[course_id]])=0, "INVALID","VALID")</f>
        <v>VALID</v>
      </c>
    </row>
    <row r="1816" spans="1:14" x14ac:dyDescent="0.35">
      <c r="A1816" t="s">
        <v>36</v>
      </c>
      <c r="B1816" s="5" t="str">
        <f>_xlfn.XLOOKUP(role_course_map[[#This Row],[role_id]], role_data[role_id], role_data[Role],"")</f>
        <v xml:space="preserve">Head of Estates </v>
      </c>
      <c r="C1816">
        <v>999062</v>
      </c>
      <c r="D1816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1816" s="5" t="str">
        <f>_xlfn.XLOOKUP(role_course_map[[#This Row],[course_id]],course_data[course_id],course_data[topic],"")</f>
        <v>SAS : Health and Safety</v>
      </c>
      <c r="F1816" s="5" t="str">
        <f>_xlfn.XLOOKUP(role_course_map[[#This Row],[course_id]],course_data[course_id],course_data[type],"")</f>
        <v>Course</v>
      </c>
      <c r="K1816" t="str">
        <f>role_course_map[[#This Row],[role_id]] &amp; "|" &amp; role_course_map[[#This Row],[course_id]]</f>
        <v>R0014|999062</v>
      </c>
      <c r="L1816" t="str">
        <f>IF(COUNTIF(role_course_map[mapping_key],role_course_map[[#This Row],[mapping_key]])&gt;1,"DUPLICATE","OK")</f>
        <v>OK</v>
      </c>
      <c r="M1816" t="str">
        <f>IF(COUNTIF(role_data[role_id],role_course_map[[#This Row],[role_id]])=0, "INVALID","VALID")</f>
        <v>VALID</v>
      </c>
      <c r="N1816" t="str">
        <f>IF(COUNTIF(course_data[course_id],role_course_map[[#This Row],[course_id]])=0, "INVALID","VALID")</f>
        <v>VALID</v>
      </c>
    </row>
    <row r="1817" spans="1:14" x14ac:dyDescent="0.35">
      <c r="A1817" t="s">
        <v>197</v>
      </c>
      <c r="B1817" s="5" t="str">
        <f>_xlfn.XLOOKUP(role_course_map[[#This Row],[role_id]], role_data[role_id], role_data[Role],"")</f>
        <v>Head of Service</v>
      </c>
      <c r="C1817">
        <v>999058</v>
      </c>
      <c r="D1817" s="5" t="str">
        <f>_xlfn.XLOOKUP(role_course_map[[#This Row],[course_id]],course_data[course_id],course_data[title],"")</f>
        <v>Stress Identification &amp; Stress Management</v>
      </c>
      <c r="E1817" s="5" t="str">
        <f>_xlfn.XLOOKUP(role_course_map[[#This Row],[course_id]],course_data[course_id],course_data[topic],"")</f>
        <v>SAS : Health and Safety</v>
      </c>
      <c r="F1817" s="5" t="str">
        <f>_xlfn.XLOOKUP(role_course_map[[#This Row],[course_id]],course_data[course_id],course_data[type],"")</f>
        <v>eLearning</v>
      </c>
      <c r="K1817" t="str">
        <f>role_course_map[[#This Row],[role_id]] &amp; "|" &amp; role_course_map[[#This Row],[course_id]]</f>
        <v>R0092|999058</v>
      </c>
      <c r="L1817" t="str">
        <f>IF(COUNTIF(role_course_map[mapping_key],role_course_map[[#This Row],[mapping_key]])&gt;1,"DUPLICATE","OK")</f>
        <v>OK</v>
      </c>
      <c r="M1817" t="str">
        <f>IF(COUNTIF(role_data[role_id],role_course_map[[#This Row],[role_id]])=0, "INVALID","VALID")</f>
        <v>VALID</v>
      </c>
      <c r="N1817" t="str">
        <f>IF(COUNTIF(course_data[course_id],role_course_map[[#This Row],[course_id]])=0, "INVALID","VALID")</f>
        <v>VALID</v>
      </c>
    </row>
    <row r="1818" spans="1:14" x14ac:dyDescent="0.35">
      <c r="A1818" t="s">
        <v>197</v>
      </c>
      <c r="B1818" s="5" t="str">
        <f>_xlfn.XLOOKUP(role_course_map[[#This Row],[role_id]], role_data[role_id], role_data[Role],"")</f>
        <v>Head of Service</v>
      </c>
      <c r="C1818">
        <v>79147</v>
      </c>
      <c r="D1818" s="5" t="str">
        <f>_xlfn.XLOOKUP(role_course_map[[#This Row],[course_id]],course_data[course_id],course_data[title],"")</f>
        <v>Driving risks at work</v>
      </c>
      <c r="E1818" s="5" t="str">
        <f>_xlfn.XLOOKUP(role_course_map[[#This Row],[course_id]],course_data[course_id],course_data[topic],"")</f>
        <v>SAS : Health and Safety</v>
      </c>
      <c r="F1818" s="5" t="str">
        <f>_xlfn.XLOOKUP(role_course_map[[#This Row],[course_id]],course_data[course_id],course_data[type],"")</f>
        <v>eLearning</v>
      </c>
      <c r="K1818" t="str">
        <f>role_course_map[[#This Row],[role_id]] &amp; "|" &amp; role_course_map[[#This Row],[course_id]]</f>
        <v>R0092|79147</v>
      </c>
      <c r="L1818" t="str">
        <f>IF(COUNTIF(role_course_map[mapping_key],role_course_map[[#This Row],[mapping_key]])&gt;1,"DUPLICATE","OK")</f>
        <v>OK</v>
      </c>
      <c r="M1818" t="str">
        <f>IF(COUNTIF(role_data[role_id],role_course_map[[#This Row],[role_id]])=0, "INVALID","VALID")</f>
        <v>VALID</v>
      </c>
      <c r="N1818" t="str">
        <f>IF(COUNTIF(course_data[course_id],role_course_map[[#This Row],[course_id]])=0, "INVALID","VALID")</f>
        <v>VALID</v>
      </c>
    </row>
    <row r="1819" spans="1:14" x14ac:dyDescent="0.35">
      <c r="A1819" t="s">
        <v>36</v>
      </c>
      <c r="B1819" s="5" t="str">
        <f>_xlfn.XLOOKUP(role_course_map[[#This Row],[role_id]], role_data[role_id], role_data[Role],"")</f>
        <v xml:space="preserve">Head of Estates </v>
      </c>
      <c r="C1819">
        <v>999057</v>
      </c>
      <c r="D1819" s="5" t="str">
        <f>_xlfn.XLOOKUP(role_course_map[[#This Row],[course_id]],course_data[course_id],course_data[title],"")</f>
        <v>Fatigue Awareness</v>
      </c>
      <c r="E1819" s="5" t="str">
        <f>_xlfn.XLOOKUP(role_course_map[[#This Row],[course_id]],course_data[course_id],course_data[topic],"")</f>
        <v>SAS : Health and Safety</v>
      </c>
      <c r="F1819" s="5" t="str">
        <f>_xlfn.XLOOKUP(role_course_map[[#This Row],[course_id]],course_data[course_id],course_data[type],"")</f>
        <v>eLearning</v>
      </c>
      <c r="K1819" t="str">
        <f>role_course_map[[#This Row],[role_id]] &amp; "|" &amp; role_course_map[[#This Row],[course_id]]</f>
        <v>R0014|999057</v>
      </c>
      <c r="L1819" t="str">
        <f>IF(COUNTIF(role_course_map[mapping_key],role_course_map[[#This Row],[mapping_key]])&gt;1,"DUPLICATE","OK")</f>
        <v>OK</v>
      </c>
      <c r="M1819" t="str">
        <f>IF(COUNTIF(role_data[role_id],role_course_map[[#This Row],[role_id]])=0, "INVALID","VALID")</f>
        <v>VALID</v>
      </c>
      <c r="N1819" t="str">
        <f>IF(COUNTIF(course_data[course_id],role_course_map[[#This Row],[course_id]])=0, "INVALID","VALID")</f>
        <v>VALID</v>
      </c>
    </row>
    <row r="1820" spans="1:14" x14ac:dyDescent="0.35">
      <c r="A1820" t="s">
        <v>197</v>
      </c>
      <c r="B1820" s="5" t="str">
        <f>_xlfn.XLOOKUP(role_course_map[[#This Row],[role_id]], role_data[role_id], role_data[Role],"")</f>
        <v>Head of Service</v>
      </c>
      <c r="C1820">
        <v>999091</v>
      </c>
      <c r="D1820" s="5" t="str">
        <f>_xlfn.XLOOKUP(role_course_map[[#This Row],[course_id]],course_data[course_id],course_data[title],"")</f>
        <v>Intermediate Leadership Development Programme</v>
      </c>
      <c r="E1820" s="5" t="str">
        <f>_xlfn.XLOOKUP(role_course_map[[#This Row],[course_id]],course_data[course_id],course_data[topic],"")</f>
        <v>SAS: Staff development and experience</v>
      </c>
      <c r="F1820" s="5">
        <f>_xlfn.XLOOKUP(role_course_map[[#This Row],[course_id]],course_data[course_id],course_data[type],"")</f>
        <v>0</v>
      </c>
      <c r="K1820" t="str">
        <f>role_course_map[[#This Row],[role_id]] &amp; "|" &amp; role_course_map[[#This Row],[course_id]]</f>
        <v>R0092|999091</v>
      </c>
      <c r="L1820" t="str">
        <f>IF(COUNTIF(role_course_map[mapping_key],role_course_map[[#This Row],[mapping_key]])&gt;1,"DUPLICATE","OK")</f>
        <v>OK</v>
      </c>
      <c r="M1820" t="str">
        <f>IF(COUNTIF(role_data[role_id],role_course_map[[#This Row],[role_id]])=0, "INVALID","VALID")</f>
        <v>VALID</v>
      </c>
      <c r="N1820" t="str">
        <f>IF(COUNTIF(course_data[course_id],role_course_map[[#This Row],[course_id]])=0, "INVALID","VALID")</f>
        <v>VALID</v>
      </c>
    </row>
    <row r="1821" spans="1:14" x14ac:dyDescent="0.35">
      <c r="A1821" t="s">
        <v>197</v>
      </c>
      <c r="B1821" s="5" t="str">
        <f>_xlfn.XLOOKUP(role_course_map[[#This Row],[role_id]], role_data[role_id], role_data[Role],"")</f>
        <v>Head of Service</v>
      </c>
      <c r="C1821">
        <v>999090</v>
      </c>
      <c r="D1821" s="5" t="str">
        <f>_xlfn.XLOOKUP(role_course_map[[#This Row],[course_id]],course_data[course_id],course_data[title],"")</f>
        <v>Leading for the Future</v>
      </c>
      <c r="E1821" s="5" t="str">
        <f>_xlfn.XLOOKUP(role_course_map[[#This Row],[course_id]],course_data[course_id],course_data[topic],"")</f>
        <v>SAS: Staff development and experience</v>
      </c>
      <c r="F1821" s="5">
        <f>_xlfn.XLOOKUP(role_course_map[[#This Row],[course_id]],course_data[course_id],course_data[type],"")</f>
        <v>0</v>
      </c>
      <c r="K1821" t="str">
        <f>role_course_map[[#This Row],[role_id]] &amp; "|" &amp; role_course_map[[#This Row],[course_id]]</f>
        <v>R0092|999090</v>
      </c>
      <c r="L1821" t="str">
        <f>IF(COUNTIF(role_course_map[mapping_key],role_course_map[[#This Row],[mapping_key]])&gt;1,"DUPLICATE","OK")</f>
        <v>OK</v>
      </c>
      <c r="M1821" t="str">
        <f>IF(COUNTIF(role_data[role_id],role_course_map[[#This Row],[role_id]])=0, "INVALID","VALID")</f>
        <v>VALID</v>
      </c>
      <c r="N1821" t="str">
        <f>IF(COUNTIF(course_data[course_id],role_course_map[[#This Row],[course_id]])=0, "INVALID","VALID")</f>
        <v>VALID</v>
      </c>
    </row>
    <row r="1822" spans="1:14" x14ac:dyDescent="0.35">
      <c r="A1822" t="s">
        <v>36</v>
      </c>
      <c r="B1822" s="5" t="str">
        <f>_xlfn.XLOOKUP(role_course_map[[#This Row],[role_id]], role_data[role_id], role_data[Role],"")</f>
        <v xml:space="preserve">Head of Estates </v>
      </c>
      <c r="C1822">
        <v>999092</v>
      </c>
      <c r="D1822" s="5" t="str">
        <f>_xlfn.XLOOKUP(role_course_map[[#This Row],[course_id]],course_data[course_id],course_data[title],"")</f>
        <v>Health &amp; Wellbeing Awareness for Managers</v>
      </c>
      <c r="E1822" s="5" t="str">
        <f>_xlfn.XLOOKUP(role_course_map[[#This Row],[course_id]],course_data[course_id],course_data[topic],"")</f>
        <v>SAS: Staff development and experience</v>
      </c>
      <c r="F1822" s="5" t="str">
        <f>_xlfn.XLOOKUP(role_course_map[[#This Row],[course_id]],course_data[course_id],course_data[type],"")</f>
        <v>eLearning</v>
      </c>
      <c r="K1822" t="str">
        <f>role_course_map[[#This Row],[role_id]] &amp; "|" &amp; role_course_map[[#This Row],[course_id]]</f>
        <v>R0014|999092</v>
      </c>
      <c r="L1822" t="str">
        <f>IF(COUNTIF(role_course_map[mapping_key],role_course_map[[#This Row],[mapping_key]])&gt;1,"DUPLICATE","OK")</f>
        <v>OK</v>
      </c>
      <c r="M1822" t="str">
        <f>IF(COUNTIF(role_data[role_id],role_course_map[[#This Row],[role_id]])=0, "INVALID","VALID")</f>
        <v>VALID</v>
      </c>
      <c r="N1822" t="str">
        <f>IF(COUNTIF(course_data[course_id],role_course_map[[#This Row],[course_id]])=0, "INVALID","VALID")</f>
        <v>VALID</v>
      </c>
    </row>
    <row r="1823" spans="1:14" x14ac:dyDescent="0.35">
      <c r="A1823" t="s">
        <v>197</v>
      </c>
      <c r="B1823" s="5" t="str">
        <f>_xlfn.XLOOKUP(role_course_map[[#This Row],[role_id]], role_data[role_id], role_data[Role],"")</f>
        <v>Head of Service</v>
      </c>
      <c r="C1823">
        <v>999093</v>
      </c>
      <c r="D1823" s="5" t="str">
        <f>_xlfn.XLOOKUP(role_course_map[[#This Row],[course_id]],course_data[course_id],course_data[title],"")</f>
        <v>Managing Wellbeing Refresher for Managers</v>
      </c>
      <c r="E1823" s="5" t="str">
        <f>_xlfn.XLOOKUP(role_course_map[[#This Row],[course_id]],course_data[course_id],course_data[topic],"")</f>
        <v>SAS: Staff development and experience</v>
      </c>
      <c r="F1823" s="5" t="str">
        <f>_xlfn.XLOOKUP(role_course_map[[#This Row],[course_id]],course_data[course_id],course_data[type],"")</f>
        <v>eLearning</v>
      </c>
      <c r="K1823" t="str">
        <f>role_course_map[[#This Row],[role_id]] &amp; "|" &amp; role_course_map[[#This Row],[course_id]]</f>
        <v>R0092|999093</v>
      </c>
      <c r="L1823" t="str">
        <f>IF(COUNTIF(role_course_map[mapping_key],role_course_map[[#This Row],[mapping_key]])&gt;1,"DUPLICATE","OK")</f>
        <v>OK</v>
      </c>
      <c r="M1823" t="str">
        <f>IF(COUNTIF(role_data[role_id],role_course_map[[#This Row],[role_id]])=0, "INVALID","VALID")</f>
        <v>VALID</v>
      </c>
      <c r="N1823" t="str">
        <f>IF(COUNTIF(course_data[course_id],role_course_map[[#This Row],[course_id]])=0, "INVALID","VALID")</f>
        <v>VALID</v>
      </c>
    </row>
    <row r="1824" spans="1:14" x14ac:dyDescent="0.35">
      <c r="A1824" t="s">
        <v>36</v>
      </c>
      <c r="B1824" s="5" t="str">
        <f>_xlfn.XLOOKUP(role_course_map[[#This Row],[role_id]], role_data[role_id], role_data[Role],"")</f>
        <v xml:space="preserve">Head of Estates </v>
      </c>
      <c r="C1824">
        <v>999094</v>
      </c>
      <c r="D1824" s="5" t="str">
        <f>_xlfn.XLOOKUP(role_course_map[[#This Row],[course_id]],course_data[course_id],course_data[title],"")</f>
        <v>Being well, Mind, Body &amp; Workplace</v>
      </c>
      <c r="E1824" s="5" t="str">
        <f>_xlfn.XLOOKUP(role_course_map[[#This Row],[course_id]],course_data[course_id],course_data[topic],"")</f>
        <v>SAS: Staff development and experience</v>
      </c>
      <c r="F1824" s="5" t="str">
        <f>_xlfn.XLOOKUP(role_course_map[[#This Row],[course_id]],course_data[course_id],course_data[type],"")</f>
        <v>eLearning</v>
      </c>
      <c r="K1824" t="str">
        <f>role_course_map[[#This Row],[role_id]] &amp; "|" &amp; role_course_map[[#This Row],[course_id]]</f>
        <v>R0014|999094</v>
      </c>
      <c r="L1824" t="str">
        <f>IF(COUNTIF(role_course_map[mapping_key],role_course_map[[#This Row],[mapping_key]])&gt;1,"DUPLICATE","OK")</f>
        <v>OK</v>
      </c>
      <c r="M1824" t="str">
        <f>IF(COUNTIF(role_data[role_id],role_course_map[[#This Row],[role_id]])=0, "INVALID","VALID")</f>
        <v>VALID</v>
      </c>
      <c r="N1824" t="str">
        <f>IF(COUNTIF(course_data[course_id],role_course_map[[#This Row],[course_id]])=0, "INVALID","VALID")</f>
        <v>VALID</v>
      </c>
    </row>
    <row r="1825" spans="1:14" x14ac:dyDescent="0.35">
      <c r="A1825" t="s">
        <v>197</v>
      </c>
      <c r="B1825" s="5" t="str">
        <f>_xlfn.XLOOKUP(role_course_map[[#This Row],[role_id]], role_data[role_id], role_data[Role],"")</f>
        <v>Head of Service</v>
      </c>
      <c r="C1825">
        <v>999062</v>
      </c>
      <c r="D1825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1825" s="5" t="str">
        <f>_xlfn.XLOOKUP(role_course_map[[#This Row],[course_id]],course_data[course_id],course_data[topic],"")</f>
        <v>SAS : Health and Safety</v>
      </c>
      <c r="F1825" s="5" t="str">
        <f>_xlfn.XLOOKUP(role_course_map[[#This Row],[course_id]],course_data[course_id],course_data[type],"")</f>
        <v>Course</v>
      </c>
      <c r="K1825" t="str">
        <f>role_course_map[[#This Row],[role_id]] &amp; "|" &amp; role_course_map[[#This Row],[course_id]]</f>
        <v>R0092|999062</v>
      </c>
      <c r="L1825" t="str">
        <f>IF(COUNTIF(role_course_map[mapping_key],role_course_map[[#This Row],[mapping_key]])&gt;1,"DUPLICATE","OK")</f>
        <v>OK</v>
      </c>
      <c r="M1825" t="str">
        <f>IF(COUNTIF(role_data[role_id],role_course_map[[#This Row],[role_id]])=0, "INVALID","VALID")</f>
        <v>VALID</v>
      </c>
      <c r="N1825" t="str">
        <f>IF(COUNTIF(course_data[course_id],role_course_map[[#This Row],[course_id]])=0, "INVALID","VALID")</f>
        <v>VALID</v>
      </c>
    </row>
    <row r="1826" spans="1:14" x14ac:dyDescent="0.35">
      <c r="A1826" t="s">
        <v>9</v>
      </c>
      <c r="B1826" s="5" t="str">
        <f>_xlfn.XLOOKUP(role_course_map[[#This Row],[role_id]], role_data[role_id], role_data[Role],"")</f>
        <v>Head of Corporate Affairs and Communication</v>
      </c>
      <c r="C1826">
        <v>999058</v>
      </c>
      <c r="D1826" s="5" t="str">
        <f>_xlfn.XLOOKUP(role_course_map[[#This Row],[course_id]],course_data[course_id],course_data[title],"")</f>
        <v>Stress Identification &amp; Stress Management</v>
      </c>
      <c r="E1826" s="5" t="str">
        <f>_xlfn.XLOOKUP(role_course_map[[#This Row],[course_id]],course_data[course_id],course_data[topic],"")</f>
        <v>SAS : Health and Safety</v>
      </c>
      <c r="F1826" s="5" t="str">
        <f>_xlfn.XLOOKUP(role_course_map[[#This Row],[course_id]],course_data[course_id],course_data[type],"")</f>
        <v>eLearning</v>
      </c>
      <c r="K1826" t="str">
        <f>role_course_map[[#This Row],[role_id]] &amp; "|" &amp; role_course_map[[#This Row],[course_id]]</f>
        <v>R0003|999058</v>
      </c>
      <c r="L1826" t="str">
        <f>IF(COUNTIF(role_course_map[mapping_key],role_course_map[[#This Row],[mapping_key]])&gt;1,"DUPLICATE","OK")</f>
        <v>OK</v>
      </c>
      <c r="M1826" t="str">
        <f>IF(COUNTIF(role_data[role_id],role_course_map[[#This Row],[role_id]])=0, "INVALID","VALID")</f>
        <v>VALID</v>
      </c>
      <c r="N1826" t="str">
        <f>IF(COUNTIF(course_data[course_id],role_course_map[[#This Row],[course_id]])=0, "INVALID","VALID")</f>
        <v>VALID</v>
      </c>
    </row>
    <row r="1827" spans="1:14" x14ac:dyDescent="0.35">
      <c r="A1827" t="s">
        <v>9</v>
      </c>
      <c r="B1827" s="5" t="str">
        <f>_xlfn.XLOOKUP(role_course_map[[#This Row],[role_id]], role_data[role_id], role_data[Role],"")</f>
        <v>Head of Corporate Affairs and Communication</v>
      </c>
      <c r="C1827">
        <v>79147</v>
      </c>
      <c r="D1827" s="5" t="str">
        <f>_xlfn.XLOOKUP(role_course_map[[#This Row],[course_id]],course_data[course_id],course_data[title],"")</f>
        <v>Driving risks at work</v>
      </c>
      <c r="E1827" s="5" t="str">
        <f>_xlfn.XLOOKUP(role_course_map[[#This Row],[course_id]],course_data[course_id],course_data[topic],"")</f>
        <v>SAS : Health and Safety</v>
      </c>
      <c r="F1827" s="5" t="str">
        <f>_xlfn.XLOOKUP(role_course_map[[#This Row],[course_id]],course_data[course_id],course_data[type],"")</f>
        <v>eLearning</v>
      </c>
      <c r="K1827" t="str">
        <f>role_course_map[[#This Row],[role_id]] &amp; "|" &amp; role_course_map[[#This Row],[course_id]]</f>
        <v>R0003|79147</v>
      </c>
      <c r="L1827" t="str">
        <f>IF(COUNTIF(role_course_map[mapping_key],role_course_map[[#This Row],[mapping_key]])&gt;1,"DUPLICATE","OK")</f>
        <v>OK</v>
      </c>
      <c r="M1827" t="str">
        <f>IF(COUNTIF(role_data[role_id],role_course_map[[#This Row],[role_id]])=0, "INVALID","VALID")</f>
        <v>VALID</v>
      </c>
      <c r="N1827" t="str">
        <f>IF(COUNTIF(course_data[course_id],role_course_map[[#This Row],[course_id]])=0, "INVALID","VALID")</f>
        <v>VALID</v>
      </c>
    </row>
    <row r="1828" spans="1:14" x14ac:dyDescent="0.35">
      <c r="A1828" t="s">
        <v>197</v>
      </c>
      <c r="B1828" s="5" t="str">
        <f>_xlfn.XLOOKUP(role_course_map[[#This Row],[role_id]], role_data[role_id], role_data[Role],"")</f>
        <v>Head of Service</v>
      </c>
      <c r="C1828">
        <v>999057</v>
      </c>
      <c r="D1828" s="5" t="str">
        <f>_xlfn.XLOOKUP(role_course_map[[#This Row],[course_id]],course_data[course_id],course_data[title],"")</f>
        <v>Fatigue Awareness</v>
      </c>
      <c r="E1828" s="5" t="str">
        <f>_xlfn.XLOOKUP(role_course_map[[#This Row],[course_id]],course_data[course_id],course_data[topic],"")</f>
        <v>SAS : Health and Safety</v>
      </c>
      <c r="F1828" s="5" t="str">
        <f>_xlfn.XLOOKUP(role_course_map[[#This Row],[course_id]],course_data[course_id],course_data[type],"")</f>
        <v>eLearning</v>
      </c>
      <c r="K1828" t="str">
        <f>role_course_map[[#This Row],[role_id]] &amp; "|" &amp; role_course_map[[#This Row],[course_id]]</f>
        <v>R0092|999057</v>
      </c>
      <c r="L1828" t="str">
        <f>IF(COUNTIF(role_course_map[mapping_key],role_course_map[[#This Row],[mapping_key]])&gt;1,"DUPLICATE","OK")</f>
        <v>OK</v>
      </c>
      <c r="M1828" t="str">
        <f>IF(COUNTIF(role_data[role_id],role_course_map[[#This Row],[role_id]])=0, "INVALID","VALID")</f>
        <v>VALID</v>
      </c>
      <c r="N1828" t="str">
        <f>IF(COUNTIF(course_data[course_id],role_course_map[[#This Row],[course_id]])=0, "INVALID","VALID")</f>
        <v>VALID</v>
      </c>
    </row>
    <row r="1829" spans="1:14" x14ac:dyDescent="0.35">
      <c r="A1829" t="s">
        <v>9</v>
      </c>
      <c r="B1829" s="5" t="str">
        <f>_xlfn.XLOOKUP(role_course_map[[#This Row],[role_id]], role_data[role_id], role_data[Role],"")</f>
        <v>Head of Corporate Affairs and Communication</v>
      </c>
      <c r="C1829">
        <v>999091</v>
      </c>
      <c r="D1829" s="5" t="str">
        <f>_xlfn.XLOOKUP(role_course_map[[#This Row],[course_id]],course_data[course_id],course_data[title],"")</f>
        <v>Intermediate Leadership Development Programme</v>
      </c>
      <c r="E1829" s="5" t="str">
        <f>_xlfn.XLOOKUP(role_course_map[[#This Row],[course_id]],course_data[course_id],course_data[topic],"")</f>
        <v>SAS: Staff development and experience</v>
      </c>
      <c r="F1829" s="5">
        <f>_xlfn.XLOOKUP(role_course_map[[#This Row],[course_id]],course_data[course_id],course_data[type],"")</f>
        <v>0</v>
      </c>
      <c r="K1829" t="str">
        <f>role_course_map[[#This Row],[role_id]] &amp; "|" &amp; role_course_map[[#This Row],[course_id]]</f>
        <v>R0003|999091</v>
      </c>
      <c r="L1829" t="str">
        <f>IF(COUNTIF(role_course_map[mapping_key],role_course_map[[#This Row],[mapping_key]])&gt;1,"DUPLICATE","OK")</f>
        <v>OK</v>
      </c>
      <c r="M1829" t="str">
        <f>IF(COUNTIF(role_data[role_id],role_course_map[[#This Row],[role_id]])=0, "INVALID","VALID")</f>
        <v>VALID</v>
      </c>
      <c r="N1829" t="str">
        <f>IF(COUNTIF(course_data[course_id],role_course_map[[#This Row],[course_id]])=0, "INVALID","VALID")</f>
        <v>VALID</v>
      </c>
    </row>
    <row r="1830" spans="1:14" x14ac:dyDescent="0.35">
      <c r="A1830" t="s">
        <v>9</v>
      </c>
      <c r="B1830" s="5" t="str">
        <f>_xlfn.XLOOKUP(role_course_map[[#This Row],[role_id]], role_data[role_id], role_data[Role],"")</f>
        <v>Head of Corporate Affairs and Communication</v>
      </c>
      <c r="C1830">
        <v>999090</v>
      </c>
      <c r="D1830" s="5" t="str">
        <f>_xlfn.XLOOKUP(role_course_map[[#This Row],[course_id]],course_data[course_id],course_data[title],"")</f>
        <v>Leading for the Future</v>
      </c>
      <c r="E1830" s="5" t="str">
        <f>_xlfn.XLOOKUP(role_course_map[[#This Row],[course_id]],course_data[course_id],course_data[topic],"")</f>
        <v>SAS: Staff development and experience</v>
      </c>
      <c r="F1830" s="5">
        <f>_xlfn.XLOOKUP(role_course_map[[#This Row],[course_id]],course_data[course_id],course_data[type],"")</f>
        <v>0</v>
      </c>
      <c r="K1830" t="str">
        <f>role_course_map[[#This Row],[role_id]] &amp; "|" &amp; role_course_map[[#This Row],[course_id]]</f>
        <v>R0003|999090</v>
      </c>
      <c r="L1830" t="str">
        <f>IF(COUNTIF(role_course_map[mapping_key],role_course_map[[#This Row],[mapping_key]])&gt;1,"DUPLICATE","OK")</f>
        <v>OK</v>
      </c>
      <c r="M1830" t="str">
        <f>IF(COUNTIF(role_data[role_id],role_course_map[[#This Row],[role_id]])=0, "INVALID","VALID")</f>
        <v>VALID</v>
      </c>
      <c r="N1830" t="str">
        <f>IF(COUNTIF(course_data[course_id],role_course_map[[#This Row],[course_id]])=0, "INVALID","VALID")</f>
        <v>VALID</v>
      </c>
    </row>
    <row r="1831" spans="1:14" x14ac:dyDescent="0.35">
      <c r="A1831" t="s">
        <v>197</v>
      </c>
      <c r="B1831" s="5" t="str">
        <f>_xlfn.XLOOKUP(role_course_map[[#This Row],[role_id]], role_data[role_id], role_data[Role],"")</f>
        <v>Head of Service</v>
      </c>
      <c r="C1831">
        <v>999092</v>
      </c>
      <c r="D1831" s="5" t="str">
        <f>_xlfn.XLOOKUP(role_course_map[[#This Row],[course_id]],course_data[course_id],course_data[title],"")</f>
        <v>Health &amp; Wellbeing Awareness for Managers</v>
      </c>
      <c r="E1831" s="5" t="str">
        <f>_xlfn.XLOOKUP(role_course_map[[#This Row],[course_id]],course_data[course_id],course_data[topic],"")</f>
        <v>SAS: Staff development and experience</v>
      </c>
      <c r="F1831" s="5" t="str">
        <f>_xlfn.XLOOKUP(role_course_map[[#This Row],[course_id]],course_data[course_id],course_data[type],"")</f>
        <v>eLearning</v>
      </c>
      <c r="K1831" t="str">
        <f>role_course_map[[#This Row],[role_id]] &amp; "|" &amp; role_course_map[[#This Row],[course_id]]</f>
        <v>R0092|999092</v>
      </c>
      <c r="L1831" t="str">
        <f>IF(COUNTIF(role_course_map[mapping_key],role_course_map[[#This Row],[mapping_key]])&gt;1,"DUPLICATE","OK")</f>
        <v>OK</v>
      </c>
      <c r="M1831" t="str">
        <f>IF(COUNTIF(role_data[role_id],role_course_map[[#This Row],[role_id]])=0, "INVALID","VALID")</f>
        <v>VALID</v>
      </c>
      <c r="N1831" t="str">
        <f>IF(COUNTIF(course_data[course_id],role_course_map[[#This Row],[course_id]])=0, "INVALID","VALID")</f>
        <v>VALID</v>
      </c>
    </row>
    <row r="1832" spans="1:14" x14ac:dyDescent="0.35">
      <c r="A1832" t="s">
        <v>9</v>
      </c>
      <c r="B1832" s="5" t="str">
        <f>_xlfn.XLOOKUP(role_course_map[[#This Row],[role_id]], role_data[role_id], role_data[Role],"")</f>
        <v>Head of Corporate Affairs and Communication</v>
      </c>
      <c r="C1832">
        <v>999093</v>
      </c>
      <c r="D1832" s="5" t="str">
        <f>_xlfn.XLOOKUP(role_course_map[[#This Row],[course_id]],course_data[course_id],course_data[title],"")</f>
        <v>Managing Wellbeing Refresher for Managers</v>
      </c>
      <c r="E1832" s="5" t="str">
        <f>_xlfn.XLOOKUP(role_course_map[[#This Row],[course_id]],course_data[course_id],course_data[topic],"")</f>
        <v>SAS: Staff development and experience</v>
      </c>
      <c r="F1832" s="5" t="str">
        <f>_xlfn.XLOOKUP(role_course_map[[#This Row],[course_id]],course_data[course_id],course_data[type],"")</f>
        <v>eLearning</v>
      </c>
      <c r="K1832" t="str">
        <f>role_course_map[[#This Row],[role_id]] &amp; "|" &amp; role_course_map[[#This Row],[course_id]]</f>
        <v>R0003|999093</v>
      </c>
      <c r="L1832" t="str">
        <f>IF(COUNTIF(role_course_map[mapping_key],role_course_map[[#This Row],[mapping_key]])&gt;1,"DUPLICATE","OK")</f>
        <v>OK</v>
      </c>
      <c r="M1832" t="str">
        <f>IF(COUNTIF(role_data[role_id],role_course_map[[#This Row],[role_id]])=0, "INVALID","VALID")</f>
        <v>VALID</v>
      </c>
      <c r="N1832" t="str">
        <f>IF(COUNTIF(course_data[course_id],role_course_map[[#This Row],[course_id]])=0, "INVALID","VALID")</f>
        <v>VALID</v>
      </c>
    </row>
    <row r="1833" spans="1:14" x14ac:dyDescent="0.35">
      <c r="A1833" t="s">
        <v>197</v>
      </c>
      <c r="B1833" s="5" t="str">
        <f>_xlfn.XLOOKUP(role_course_map[[#This Row],[role_id]], role_data[role_id], role_data[Role],"")</f>
        <v>Head of Service</v>
      </c>
      <c r="C1833">
        <v>999094</v>
      </c>
      <c r="D1833" s="5" t="str">
        <f>_xlfn.XLOOKUP(role_course_map[[#This Row],[course_id]],course_data[course_id],course_data[title],"")</f>
        <v>Being well, Mind, Body &amp; Workplace</v>
      </c>
      <c r="E1833" s="5" t="str">
        <f>_xlfn.XLOOKUP(role_course_map[[#This Row],[course_id]],course_data[course_id],course_data[topic],"")</f>
        <v>SAS: Staff development and experience</v>
      </c>
      <c r="F1833" s="5" t="str">
        <f>_xlfn.XLOOKUP(role_course_map[[#This Row],[course_id]],course_data[course_id],course_data[type],"")</f>
        <v>eLearning</v>
      </c>
      <c r="K1833" t="str">
        <f>role_course_map[[#This Row],[role_id]] &amp; "|" &amp; role_course_map[[#This Row],[course_id]]</f>
        <v>R0092|999094</v>
      </c>
      <c r="L1833" t="str">
        <f>IF(COUNTIF(role_course_map[mapping_key],role_course_map[[#This Row],[mapping_key]])&gt;1,"DUPLICATE","OK")</f>
        <v>OK</v>
      </c>
      <c r="M1833" t="str">
        <f>IF(COUNTIF(role_data[role_id],role_course_map[[#This Row],[role_id]])=0, "INVALID","VALID")</f>
        <v>VALID</v>
      </c>
      <c r="N1833" t="str">
        <f>IF(COUNTIF(course_data[course_id],role_course_map[[#This Row],[course_id]])=0, "INVALID","VALID")</f>
        <v>VALID</v>
      </c>
    </row>
    <row r="1834" spans="1:14" x14ac:dyDescent="0.35">
      <c r="A1834" t="s">
        <v>9</v>
      </c>
      <c r="B1834" s="5" t="str">
        <f>_xlfn.XLOOKUP(role_course_map[[#This Row],[role_id]], role_data[role_id], role_data[Role],"")</f>
        <v>Head of Corporate Affairs and Communication</v>
      </c>
      <c r="C1834">
        <v>999062</v>
      </c>
      <c r="D1834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1834" s="5" t="str">
        <f>_xlfn.XLOOKUP(role_course_map[[#This Row],[course_id]],course_data[course_id],course_data[topic],"")</f>
        <v>SAS : Health and Safety</v>
      </c>
      <c r="F1834" s="5" t="str">
        <f>_xlfn.XLOOKUP(role_course_map[[#This Row],[course_id]],course_data[course_id],course_data[type],"")</f>
        <v>Course</v>
      </c>
      <c r="K1834" t="str">
        <f>role_course_map[[#This Row],[role_id]] &amp; "|" &amp; role_course_map[[#This Row],[course_id]]</f>
        <v>R0003|999062</v>
      </c>
      <c r="L1834" t="str">
        <f>IF(COUNTIF(role_course_map[mapping_key],role_course_map[[#This Row],[mapping_key]])&gt;1,"DUPLICATE","OK")</f>
        <v>OK</v>
      </c>
      <c r="M1834" t="str">
        <f>IF(COUNTIF(role_data[role_id],role_course_map[[#This Row],[role_id]])=0, "INVALID","VALID")</f>
        <v>VALID</v>
      </c>
      <c r="N1834" t="str">
        <f>IF(COUNTIF(course_data[course_id],role_course_map[[#This Row],[course_id]])=0, "INVALID","VALID")</f>
        <v>VALID</v>
      </c>
    </row>
    <row r="1835" spans="1:14" x14ac:dyDescent="0.35">
      <c r="A1835" t="s">
        <v>45</v>
      </c>
      <c r="B1835" s="5" t="str">
        <f>_xlfn.XLOOKUP(role_course_map[[#This Row],[role_id]], role_data[role_id], role_data[Role],"")</f>
        <v>Head of Costing and Capital</v>
      </c>
      <c r="C1835">
        <v>999058</v>
      </c>
      <c r="D1835" s="5" t="str">
        <f>_xlfn.XLOOKUP(role_course_map[[#This Row],[course_id]],course_data[course_id],course_data[title],"")</f>
        <v>Stress Identification &amp; Stress Management</v>
      </c>
      <c r="E1835" s="5" t="str">
        <f>_xlfn.XLOOKUP(role_course_map[[#This Row],[course_id]],course_data[course_id],course_data[topic],"")</f>
        <v>SAS : Health and Safety</v>
      </c>
      <c r="F1835" s="5" t="str">
        <f>_xlfn.XLOOKUP(role_course_map[[#This Row],[course_id]],course_data[course_id],course_data[type],"")</f>
        <v>eLearning</v>
      </c>
      <c r="K1835" t="str">
        <f>role_course_map[[#This Row],[role_id]] &amp; "|" &amp; role_course_map[[#This Row],[course_id]]</f>
        <v>R0018|999058</v>
      </c>
      <c r="L1835" t="str">
        <f>IF(COUNTIF(role_course_map[mapping_key],role_course_map[[#This Row],[mapping_key]])&gt;1,"DUPLICATE","OK")</f>
        <v>OK</v>
      </c>
      <c r="M1835" t="str">
        <f>IF(COUNTIF(role_data[role_id],role_course_map[[#This Row],[role_id]])=0, "INVALID","VALID")</f>
        <v>VALID</v>
      </c>
      <c r="N1835" t="str">
        <f>IF(COUNTIF(course_data[course_id],role_course_map[[#This Row],[course_id]])=0, "INVALID","VALID")</f>
        <v>VALID</v>
      </c>
    </row>
    <row r="1836" spans="1:14" x14ac:dyDescent="0.35">
      <c r="A1836" t="s">
        <v>45</v>
      </c>
      <c r="B1836" s="5" t="str">
        <f>_xlfn.XLOOKUP(role_course_map[[#This Row],[role_id]], role_data[role_id], role_data[Role],"")</f>
        <v>Head of Costing and Capital</v>
      </c>
      <c r="C1836">
        <v>79147</v>
      </c>
      <c r="D1836" s="5" t="str">
        <f>_xlfn.XLOOKUP(role_course_map[[#This Row],[course_id]],course_data[course_id],course_data[title],"")</f>
        <v>Driving risks at work</v>
      </c>
      <c r="E1836" s="5" t="str">
        <f>_xlfn.XLOOKUP(role_course_map[[#This Row],[course_id]],course_data[course_id],course_data[topic],"")</f>
        <v>SAS : Health and Safety</v>
      </c>
      <c r="F1836" s="5" t="str">
        <f>_xlfn.XLOOKUP(role_course_map[[#This Row],[course_id]],course_data[course_id],course_data[type],"")</f>
        <v>eLearning</v>
      </c>
      <c r="K1836" t="str">
        <f>role_course_map[[#This Row],[role_id]] &amp; "|" &amp; role_course_map[[#This Row],[course_id]]</f>
        <v>R0018|79147</v>
      </c>
      <c r="L1836" t="str">
        <f>IF(COUNTIF(role_course_map[mapping_key],role_course_map[[#This Row],[mapping_key]])&gt;1,"DUPLICATE","OK")</f>
        <v>OK</v>
      </c>
      <c r="M1836" t="str">
        <f>IF(COUNTIF(role_data[role_id],role_course_map[[#This Row],[role_id]])=0, "INVALID","VALID")</f>
        <v>VALID</v>
      </c>
      <c r="N1836" t="str">
        <f>IF(COUNTIF(course_data[course_id],role_course_map[[#This Row],[course_id]])=0, "INVALID","VALID")</f>
        <v>VALID</v>
      </c>
    </row>
    <row r="1837" spans="1:14" x14ac:dyDescent="0.35">
      <c r="A1837" t="s">
        <v>9</v>
      </c>
      <c r="B1837" s="5" t="str">
        <f>_xlfn.XLOOKUP(role_course_map[[#This Row],[role_id]], role_data[role_id], role_data[Role],"")</f>
        <v>Head of Corporate Affairs and Communication</v>
      </c>
      <c r="C1837">
        <v>999057</v>
      </c>
      <c r="D1837" s="5" t="str">
        <f>_xlfn.XLOOKUP(role_course_map[[#This Row],[course_id]],course_data[course_id],course_data[title],"")</f>
        <v>Fatigue Awareness</v>
      </c>
      <c r="E1837" s="5" t="str">
        <f>_xlfn.XLOOKUP(role_course_map[[#This Row],[course_id]],course_data[course_id],course_data[topic],"")</f>
        <v>SAS : Health and Safety</v>
      </c>
      <c r="F1837" s="5" t="str">
        <f>_xlfn.XLOOKUP(role_course_map[[#This Row],[course_id]],course_data[course_id],course_data[type],"")</f>
        <v>eLearning</v>
      </c>
      <c r="K1837" t="str">
        <f>role_course_map[[#This Row],[role_id]] &amp; "|" &amp; role_course_map[[#This Row],[course_id]]</f>
        <v>R0003|999057</v>
      </c>
      <c r="L1837" t="str">
        <f>IF(COUNTIF(role_course_map[mapping_key],role_course_map[[#This Row],[mapping_key]])&gt;1,"DUPLICATE","OK")</f>
        <v>OK</v>
      </c>
      <c r="M1837" t="str">
        <f>IF(COUNTIF(role_data[role_id],role_course_map[[#This Row],[role_id]])=0, "INVALID","VALID")</f>
        <v>VALID</v>
      </c>
      <c r="N1837" t="str">
        <f>IF(COUNTIF(course_data[course_id],role_course_map[[#This Row],[course_id]])=0, "INVALID","VALID")</f>
        <v>VALID</v>
      </c>
    </row>
    <row r="1838" spans="1:14" x14ac:dyDescent="0.35">
      <c r="A1838" t="s">
        <v>45</v>
      </c>
      <c r="B1838" s="5" t="str">
        <f>_xlfn.XLOOKUP(role_course_map[[#This Row],[role_id]], role_data[role_id], role_data[Role],"")</f>
        <v>Head of Costing and Capital</v>
      </c>
      <c r="C1838">
        <v>999091</v>
      </c>
      <c r="D1838" s="5" t="str">
        <f>_xlfn.XLOOKUP(role_course_map[[#This Row],[course_id]],course_data[course_id],course_data[title],"")</f>
        <v>Intermediate Leadership Development Programme</v>
      </c>
      <c r="E1838" s="5" t="str">
        <f>_xlfn.XLOOKUP(role_course_map[[#This Row],[course_id]],course_data[course_id],course_data[topic],"")</f>
        <v>SAS: Staff development and experience</v>
      </c>
      <c r="F1838" s="5">
        <f>_xlfn.XLOOKUP(role_course_map[[#This Row],[course_id]],course_data[course_id],course_data[type],"")</f>
        <v>0</v>
      </c>
      <c r="K1838" t="str">
        <f>role_course_map[[#This Row],[role_id]] &amp; "|" &amp; role_course_map[[#This Row],[course_id]]</f>
        <v>R0018|999091</v>
      </c>
      <c r="L1838" t="str">
        <f>IF(COUNTIF(role_course_map[mapping_key],role_course_map[[#This Row],[mapping_key]])&gt;1,"DUPLICATE","OK")</f>
        <v>OK</v>
      </c>
      <c r="M1838" t="str">
        <f>IF(COUNTIF(role_data[role_id],role_course_map[[#This Row],[role_id]])=0, "INVALID","VALID")</f>
        <v>VALID</v>
      </c>
      <c r="N1838" t="str">
        <f>IF(COUNTIF(course_data[course_id],role_course_map[[#This Row],[course_id]])=0, "INVALID","VALID")</f>
        <v>VALID</v>
      </c>
    </row>
    <row r="1839" spans="1:14" x14ac:dyDescent="0.35">
      <c r="A1839" t="s">
        <v>45</v>
      </c>
      <c r="B1839" s="5" t="str">
        <f>_xlfn.XLOOKUP(role_course_map[[#This Row],[role_id]], role_data[role_id], role_data[Role],"")</f>
        <v>Head of Costing and Capital</v>
      </c>
      <c r="C1839">
        <v>999090</v>
      </c>
      <c r="D1839" s="5" t="str">
        <f>_xlfn.XLOOKUP(role_course_map[[#This Row],[course_id]],course_data[course_id],course_data[title],"")</f>
        <v>Leading for the Future</v>
      </c>
      <c r="E1839" s="5" t="str">
        <f>_xlfn.XLOOKUP(role_course_map[[#This Row],[course_id]],course_data[course_id],course_data[topic],"")</f>
        <v>SAS: Staff development and experience</v>
      </c>
      <c r="F1839" s="5">
        <f>_xlfn.XLOOKUP(role_course_map[[#This Row],[course_id]],course_data[course_id],course_data[type],"")</f>
        <v>0</v>
      </c>
      <c r="K1839" t="str">
        <f>role_course_map[[#This Row],[role_id]] &amp; "|" &amp; role_course_map[[#This Row],[course_id]]</f>
        <v>R0018|999090</v>
      </c>
      <c r="L1839" t="str">
        <f>IF(COUNTIF(role_course_map[mapping_key],role_course_map[[#This Row],[mapping_key]])&gt;1,"DUPLICATE","OK")</f>
        <v>OK</v>
      </c>
      <c r="M1839" t="str">
        <f>IF(COUNTIF(role_data[role_id],role_course_map[[#This Row],[role_id]])=0, "INVALID","VALID")</f>
        <v>VALID</v>
      </c>
      <c r="N1839" t="str">
        <f>IF(COUNTIF(course_data[course_id],role_course_map[[#This Row],[course_id]])=0, "INVALID","VALID")</f>
        <v>VALID</v>
      </c>
    </row>
    <row r="1840" spans="1:14" x14ac:dyDescent="0.35">
      <c r="A1840" t="s">
        <v>9</v>
      </c>
      <c r="B1840" s="5" t="str">
        <f>_xlfn.XLOOKUP(role_course_map[[#This Row],[role_id]], role_data[role_id], role_data[Role],"")</f>
        <v>Head of Corporate Affairs and Communication</v>
      </c>
      <c r="C1840">
        <v>999092</v>
      </c>
      <c r="D1840" s="5" t="str">
        <f>_xlfn.XLOOKUP(role_course_map[[#This Row],[course_id]],course_data[course_id],course_data[title],"")</f>
        <v>Health &amp; Wellbeing Awareness for Managers</v>
      </c>
      <c r="E1840" s="5" t="str">
        <f>_xlfn.XLOOKUP(role_course_map[[#This Row],[course_id]],course_data[course_id],course_data[topic],"")</f>
        <v>SAS: Staff development and experience</v>
      </c>
      <c r="F1840" s="5" t="str">
        <f>_xlfn.XLOOKUP(role_course_map[[#This Row],[course_id]],course_data[course_id],course_data[type],"")</f>
        <v>eLearning</v>
      </c>
      <c r="K1840" t="str">
        <f>role_course_map[[#This Row],[role_id]] &amp; "|" &amp; role_course_map[[#This Row],[course_id]]</f>
        <v>R0003|999092</v>
      </c>
      <c r="L1840" t="str">
        <f>IF(COUNTIF(role_course_map[mapping_key],role_course_map[[#This Row],[mapping_key]])&gt;1,"DUPLICATE","OK")</f>
        <v>OK</v>
      </c>
      <c r="M1840" t="str">
        <f>IF(COUNTIF(role_data[role_id],role_course_map[[#This Row],[role_id]])=0, "INVALID","VALID")</f>
        <v>VALID</v>
      </c>
      <c r="N1840" t="str">
        <f>IF(COUNTIF(course_data[course_id],role_course_map[[#This Row],[course_id]])=0, "INVALID","VALID")</f>
        <v>VALID</v>
      </c>
    </row>
    <row r="1841" spans="1:14" x14ac:dyDescent="0.35">
      <c r="A1841" t="s">
        <v>45</v>
      </c>
      <c r="B1841" s="5" t="str">
        <f>_xlfn.XLOOKUP(role_course_map[[#This Row],[role_id]], role_data[role_id], role_data[Role],"")</f>
        <v>Head of Costing and Capital</v>
      </c>
      <c r="C1841">
        <v>999093</v>
      </c>
      <c r="D1841" s="5" t="str">
        <f>_xlfn.XLOOKUP(role_course_map[[#This Row],[course_id]],course_data[course_id],course_data[title],"")</f>
        <v>Managing Wellbeing Refresher for Managers</v>
      </c>
      <c r="E1841" s="5" t="str">
        <f>_xlfn.XLOOKUP(role_course_map[[#This Row],[course_id]],course_data[course_id],course_data[topic],"")</f>
        <v>SAS: Staff development and experience</v>
      </c>
      <c r="F1841" s="5" t="str">
        <f>_xlfn.XLOOKUP(role_course_map[[#This Row],[course_id]],course_data[course_id],course_data[type],"")</f>
        <v>eLearning</v>
      </c>
      <c r="K1841" t="str">
        <f>role_course_map[[#This Row],[role_id]] &amp; "|" &amp; role_course_map[[#This Row],[course_id]]</f>
        <v>R0018|999093</v>
      </c>
      <c r="L1841" t="str">
        <f>IF(COUNTIF(role_course_map[mapping_key],role_course_map[[#This Row],[mapping_key]])&gt;1,"DUPLICATE","OK")</f>
        <v>OK</v>
      </c>
      <c r="M1841" t="str">
        <f>IF(COUNTIF(role_data[role_id],role_course_map[[#This Row],[role_id]])=0, "INVALID","VALID")</f>
        <v>VALID</v>
      </c>
      <c r="N1841" t="str">
        <f>IF(COUNTIF(course_data[course_id],role_course_map[[#This Row],[course_id]])=0, "INVALID","VALID")</f>
        <v>VALID</v>
      </c>
    </row>
    <row r="1842" spans="1:14" x14ac:dyDescent="0.35">
      <c r="A1842" t="s">
        <v>9</v>
      </c>
      <c r="B1842" s="5" t="str">
        <f>_xlfn.XLOOKUP(role_course_map[[#This Row],[role_id]], role_data[role_id], role_data[Role],"")</f>
        <v>Head of Corporate Affairs and Communication</v>
      </c>
      <c r="C1842">
        <v>999094</v>
      </c>
      <c r="D1842" s="5" t="str">
        <f>_xlfn.XLOOKUP(role_course_map[[#This Row],[course_id]],course_data[course_id],course_data[title],"")</f>
        <v>Being well, Mind, Body &amp; Workplace</v>
      </c>
      <c r="E1842" s="5" t="str">
        <f>_xlfn.XLOOKUP(role_course_map[[#This Row],[course_id]],course_data[course_id],course_data[topic],"")</f>
        <v>SAS: Staff development and experience</v>
      </c>
      <c r="F1842" s="5" t="str">
        <f>_xlfn.XLOOKUP(role_course_map[[#This Row],[course_id]],course_data[course_id],course_data[type],"")</f>
        <v>eLearning</v>
      </c>
      <c r="K1842" t="str">
        <f>role_course_map[[#This Row],[role_id]] &amp; "|" &amp; role_course_map[[#This Row],[course_id]]</f>
        <v>R0003|999094</v>
      </c>
      <c r="L1842" t="str">
        <f>IF(COUNTIF(role_course_map[mapping_key],role_course_map[[#This Row],[mapping_key]])&gt;1,"DUPLICATE","OK")</f>
        <v>OK</v>
      </c>
      <c r="M1842" t="str">
        <f>IF(COUNTIF(role_data[role_id],role_course_map[[#This Row],[role_id]])=0, "INVALID","VALID")</f>
        <v>VALID</v>
      </c>
      <c r="N1842" t="str">
        <f>IF(COUNTIF(course_data[course_id],role_course_map[[#This Row],[course_id]])=0, "INVALID","VALID")</f>
        <v>VALID</v>
      </c>
    </row>
    <row r="1843" spans="1:14" x14ac:dyDescent="0.35">
      <c r="A1843" t="s">
        <v>45</v>
      </c>
      <c r="B1843" s="5" t="str">
        <f>_xlfn.XLOOKUP(role_course_map[[#This Row],[role_id]], role_data[role_id], role_data[Role],"")</f>
        <v>Head of Costing and Capital</v>
      </c>
      <c r="C1843">
        <v>999062</v>
      </c>
      <c r="D1843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1843" s="5" t="str">
        <f>_xlfn.XLOOKUP(role_course_map[[#This Row],[course_id]],course_data[course_id],course_data[topic],"")</f>
        <v>SAS : Health and Safety</v>
      </c>
      <c r="F1843" s="5" t="str">
        <f>_xlfn.XLOOKUP(role_course_map[[#This Row],[course_id]],course_data[course_id],course_data[type],"")</f>
        <v>Course</v>
      </c>
      <c r="K1843" t="str">
        <f>role_course_map[[#This Row],[role_id]] &amp; "|" &amp; role_course_map[[#This Row],[course_id]]</f>
        <v>R0018|999062</v>
      </c>
      <c r="L1843" t="str">
        <f>IF(COUNTIF(role_course_map[mapping_key],role_course_map[[#This Row],[mapping_key]])&gt;1,"DUPLICATE","OK")</f>
        <v>OK</v>
      </c>
      <c r="M1843" t="str">
        <f>IF(COUNTIF(role_data[role_id],role_course_map[[#This Row],[role_id]])=0, "INVALID","VALID")</f>
        <v>VALID</v>
      </c>
      <c r="N1843" t="str">
        <f>IF(COUNTIF(course_data[course_id],role_course_map[[#This Row],[course_id]])=0, "INVALID","VALID")</f>
        <v>VALID</v>
      </c>
    </row>
    <row r="1844" spans="1:14" x14ac:dyDescent="0.35">
      <c r="A1844" t="s">
        <v>47</v>
      </c>
      <c r="B1844" s="5" t="str">
        <f>_xlfn.XLOOKUP(role_course_map[[#This Row],[role_id]], role_data[role_id], role_data[Role],"")</f>
        <v>Head of Finance</v>
      </c>
      <c r="C1844">
        <v>999058</v>
      </c>
      <c r="D1844" s="5" t="str">
        <f>_xlfn.XLOOKUP(role_course_map[[#This Row],[course_id]],course_data[course_id],course_data[title],"")</f>
        <v>Stress Identification &amp; Stress Management</v>
      </c>
      <c r="E1844" s="5" t="str">
        <f>_xlfn.XLOOKUP(role_course_map[[#This Row],[course_id]],course_data[course_id],course_data[topic],"")</f>
        <v>SAS : Health and Safety</v>
      </c>
      <c r="F1844" s="5" t="str">
        <f>_xlfn.XLOOKUP(role_course_map[[#This Row],[course_id]],course_data[course_id],course_data[type],"")</f>
        <v>eLearning</v>
      </c>
      <c r="K1844" t="str">
        <f>role_course_map[[#This Row],[role_id]] &amp; "|" &amp; role_course_map[[#This Row],[course_id]]</f>
        <v>R0019|999058</v>
      </c>
      <c r="L1844" t="str">
        <f>IF(COUNTIF(role_course_map[mapping_key],role_course_map[[#This Row],[mapping_key]])&gt;1,"DUPLICATE","OK")</f>
        <v>OK</v>
      </c>
      <c r="M1844" t="str">
        <f>IF(COUNTIF(role_data[role_id],role_course_map[[#This Row],[role_id]])=0, "INVALID","VALID")</f>
        <v>VALID</v>
      </c>
      <c r="N1844" t="str">
        <f>IF(COUNTIF(course_data[course_id],role_course_map[[#This Row],[course_id]])=0, "INVALID","VALID")</f>
        <v>VALID</v>
      </c>
    </row>
    <row r="1845" spans="1:14" x14ac:dyDescent="0.35">
      <c r="A1845" t="s">
        <v>47</v>
      </c>
      <c r="B1845" s="5" t="str">
        <f>_xlfn.XLOOKUP(role_course_map[[#This Row],[role_id]], role_data[role_id], role_data[Role],"")</f>
        <v>Head of Finance</v>
      </c>
      <c r="C1845">
        <v>79147</v>
      </c>
      <c r="D1845" s="5" t="str">
        <f>_xlfn.XLOOKUP(role_course_map[[#This Row],[course_id]],course_data[course_id],course_data[title],"")</f>
        <v>Driving risks at work</v>
      </c>
      <c r="E1845" s="5" t="str">
        <f>_xlfn.XLOOKUP(role_course_map[[#This Row],[course_id]],course_data[course_id],course_data[topic],"")</f>
        <v>SAS : Health and Safety</v>
      </c>
      <c r="F1845" s="5" t="str">
        <f>_xlfn.XLOOKUP(role_course_map[[#This Row],[course_id]],course_data[course_id],course_data[type],"")</f>
        <v>eLearning</v>
      </c>
      <c r="K1845" t="str">
        <f>role_course_map[[#This Row],[role_id]] &amp; "|" &amp; role_course_map[[#This Row],[course_id]]</f>
        <v>R0019|79147</v>
      </c>
      <c r="L1845" t="str">
        <f>IF(COUNTIF(role_course_map[mapping_key],role_course_map[[#This Row],[mapping_key]])&gt;1,"DUPLICATE","OK")</f>
        <v>OK</v>
      </c>
      <c r="M1845" t="str">
        <f>IF(COUNTIF(role_data[role_id],role_course_map[[#This Row],[role_id]])=0, "INVALID","VALID")</f>
        <v>VALID</v>
      </c>
      <c r="N1845" t="str">
        <f>IF(COUNTIF(course_data[course_id],role_course_map[[#This Row],[course_id]])=0, "INVALID","VALID")</f>
        <v>VALID</v>
      </c>
    </row>
    <row r="1846" spans="1:14" x14ac:dyDescent="0.35">
      <c r="A1846" t="s">
        <v>45</v>
      </c>
      <c r="B1846" s="5" t="str">
        <f>_xlfn.XLOOKUP(role_course_map[[#This Row],[role_id]], role_data[role_id], role_data[Role],"")</f>
        <v>Head of Costing and Capital</v>
      </c>
      <c r="C1846">
        <v>999057</v>
      </c>
      <c r="D1846" s="5" t="str">
        <f>_xlfn.XLOOKUP(role_course_map[[#This Row],[course_id]],course_data[course_id],course_data[title],"")</f>
        <v>Fatigue Awareness</v>
      </c>
      <c r="E1846" s="5" t="str">
        <f>_xlfn.XLOOKUP(role_course_map[[#This Row],[course_id]],course_data[course_id],course_data[topic],"")</f>
        <v>SAS : Health and Safety</v>
      </c>
      <c r="F1846" s="5" t="str">
        <f>_xlfn.XLOOKUP(role_course_map[[#This Row],[course_id]],course_data[course_id],course_data[type],"")</f>
        <v>eLearning</v>
      </c>
      <c r="K1846" t="str">
        <f>role_course_map[[#This Row],[role_id]] &amp; "|" &amp; role_course_map[[#This Row],[course_id]]</f>
        <v>R0018|999057</v>
      </c>
      <c r="L1846" t="str">
        <f>IF(COUNTIF(role_course_map[mapping_key],role_course_map[[#This Row],[mapping_key]])&gt;1,"DUPLICATE","OK")</f>
        <v>OK</v>
      </c>
      <c r="M1846" t="str">
        <f>IF(COUNTIF(role_data[role_id],role_course_map[[#This Row],[role_id]])=0, "INVALID","VALID")</f>
        <v>VALID</v>
      </c>
      <c r="N1846" t="str">
        <f>IF(COUNTIF(course_data[course_id],role_course_map[[#This Row],[course_id]])=0, "INVALID","VALID")</f>
        <v>VALID</v>
      </c>
    </row>
    <row r="1847" spans="1:14" x14ac:dyDescent="0.35">
      <c r="A1847" t="s">
        <v>47</v>
      </c>
      <c r="B1847" s="5" t="str">
        <f>_xlfn.XLOOKUP(role_course_map[[#This Row],[role_id]], role_data[role_id], role_data[Role],"")</f>
        <v>Head of Finance</v>
      </c>
      <c r="C1847">
        <v>999091</v>
      </c>
      <c r="D1847" s="5" t="str">
        <f>_xlfn.XLOOKUP(role_course_map[[#This Row],[course_id]],course_data[course_id],course_data[title],"")</f>
        <v>Intermediate Leadership Development Programme</v>
      </c>
      <c r="E1847" s="5" t="str">
        <f>_xlfn.XLOOKUP(role_course_map[[#This Row],[course_id]],course_data[course_id],course_data[topic],"")</f>
        <v>SAS: Staff development and experience</v>
      </c>
      <c r="F1847" s="5">
        <f>_xlfn.XLOOKUP(role_course_map[[#This Row],[course_id]],course_data[course_id],course_data[type],"")</f>
        <v>0</v>
      </c>
      <c r="K1847" t="str">
        <f>role_course_map[[#This Row],[role_id]] &amp; "|" &amp; role_course_map[[#This Row],[course_id]]</f>
        <v>R0019|999091</v>
      </c>
      <c r="L1847" t="str">
        <f>IF(COUNTIF(role_course_map[mapping_key],role_course_map[[#This Row],[mapping_key]])&gt;1,"DUPLICATE","OK")</f>
        <v>OK</v>
      </c>
      <c r="M1847" t="str">
        <f>IF(COUNTIF(role_data[role_id],role_course_map[[#This Row],[role_id]])=0, "INVALID","VALID")</f>
        <v>VALID</v>
      </c>
      <c r="N1847" t="str">
        <f>IF(COUNTIF(course_data[course_id],role_course_map[[#This Row],[course_id]])=0, "INVALID","VALID")</f>
        <v>VALID</v>
      </c>
    </row>
    <row r="1848" spans="1:14" x14ac:dyDescent="0.35">
      <c r="A1848" t="s">
        <v>47</v>
      </c>
      <c r="B1848" s="5" t="str">
        <f>_xlfn.XLOOKUP(role_course_map[[#This Row],[role_id]], role_data[role_id], role_data[Role],"")</f>
        <v>Head of Finance</v>
      </c>
      <c r="C1848">
        <v>999090</v>
      </c>
      <c r="D1848" s="5" t="str">
        <f>_xlfn.XLOOKUP(role_course_map[[#This Row],[course_id]],course_data[course_id],course_data[title],"")</f>
        <v>Leading for the Future</v>
      </c>
      <c r="E1848" s="5" t="str">
        <f>_xlfn.XLOOKUP(role_course_map[[#This Row],[course_id]],course_data[course_id],course_data[topic],"")</f>
        <v>SAS: Staff development and experience</v>
      </c>
      <c r="F1848" s="5">
        <f>_xlfn.XLOOKUP(role_course_map[[#This Row],[course_id]],course_data[course_id],course_data[type],"")</f>
        <v>0</v>
      </c>
      <c r="K1848" t="str">
        <f>role_course_map[[#This Row],[role_id]] &amp; "|" &amp; role_course_map[[#This Row],[course_id]]</f>
        <v>R0019|999090</v>
      </c>
      <c r="L1848" t="str">
        <f>IF(COUNTIF(role_course_map[mapping_key],role_course_map[[#This Row],[mapping_key]])&gt;1,"DUPLICATE","OK")</f>
        <v>OK</v>
      </c>
      <c r="M1848" t="str">
        <f>IF(COUNTIF(role_data[role_id],role_course_map[[#This Row],[role_id]])=0, "INVALID","VALID")</f>
        <v>VALID</v>
      </c>
      <c r="N1848" t="str">
        <f>IF(COUNTIF(course_data[course_id],role_course_map[[#This Row],[course_id]])=0, "INVALID","VALID")</f>
        <v>VALID</v>
      </c>
    </row>
    <row r="1849" spans="1:14" x14ac:dyDescent="0.35">
      <c r="A1849" t="s">
        <v>45</v>
      </c>
      <c r="B1849" s="5" t="str">
        <f>_xlfn.XLOOKUP(role_course_map[[#This Row],[role_id]], role_data[role_id], role_data[Role],"")</f>
        <v>Head of Costing and Capital</v>
      </c>
      <c r="C1849">
        <v>999092</v>
      </c>
      <c r="D1849" s="5" t="str">
        <f>_xlfn.XLOOKUP(role_course_map[[#This Row],[course_id]],course_data[course_id],course_data[title],"")</f>
        <v>Health &amp; Wellbeing Awareness for Managers</v>
      </c>
      <c r="E1849" s="5" t="str">
        <f>_xlfn.XLOOKUP(role_course_map[[#This Row],[course_id]],course_data[course_id],course_data[topic],"")</f>
        <v>SAS: Staff development and experience</v>
      </c>
      <c r="F1849" s="5" t="str">
        <f>_xlfn.XLOOKUP(role_course_map[[#This Row],[course_id]],course_data[course_id],course_data[type],"")</f>
        <v>eLearning</v>
      </c>
      <c r="K1849" t="str">
        <f>role_course_map[[#This Row],[role_id]] &amp; "|" &amp; role_course_map[[#This Row],[course_id]]</f>
        <v>R0018|999092</v>
      </c>
      <c r="L1849" t="str">
        <f>IF(COUNTIF(role_course_map[mapping_key],role_course_map[[#This Row],[mapping_key]])&gt;1,"DUPLICATE","OK")</f>
        <v>OK</v>
      </c>
      <c r="M1849" t="str">
        <f>IF(COUNTIF(role_data[role_id],role_course_map[[#This Row],[role_id]])=0, "INVALID","VALID")</f>
        <v>VALID</v>
      </c>
      <c r="N1849" t="str">
        <f>IF(COUNTIF(course_data[course_id],role_course_map[[#This Row],[course_id]])=0, "INVALID","VALID")</f>
        <v>VALID</v>
      </c>
    </row>
    <row r="1850" spans="1:14" x14ac:dyDescent="0.35">
      <c r="A1850" t="s">
        <v>47</v>
      </c>
      <c r="B1850" s="5" t="str">
        <f>_xlfn.XLOOKUP(role_course_map[[#This Row],[role_id]], role_data[role_id], role_data[Role],"")</f>
        <v>Head of Finance</v>
      </c>
      <c r="C1850">
        <v>999093</v>
      </c>
      <c r="D1850" s="5" t="str">
        <f>_xlfn.XLOOKUP(role_course_map[[#This Row],[course_id]],course_data[course_id],course_data[title],"")</f>
        <v>Managing Wellbeing Refresher for Managers</v>
      </c>
      <c r="E1850" s="5" t="str">
        <f>_xlfn.XLOOKUP(role_course_map[[#This Row],[course_id]],course_data[course_id],course_data[topic],"")</f>
        <v>SAS: Staff development and experience</v>
      </c>
      <c r="F1850" s="5" t="str">
        <f>_xlfn.XLOOKUP(role_course_map[[#This Row],[course_id]],course_data[course_id],course_data[type],"")</f>
        <v>eLearning</v>
      </c>
      <c r="K1850" t="str">
        <f>role_course_map[[#This Row],[role_id]] &amp; "|" &amp; role_course_map[[#This Row],[course_id]]</f>
        <v>R0019|999093</v>
      </c>
      <c r="L1850" t="str">
        <f>IF(COUNTIF(role_course_map[mapping_key],role_course_map[[#This Row],[mapping_key]])&gt;1,"DUPLICATE","OK")</f>
        <v>OK</v>
      </c>
      <c r="M1850" t="str">
        <f>IF(COUNTIF(role_data[role_id],role_course_map[[#This Row],[role_id]])=0, "INVALID","VALID")</f>
        <v>VALID</v>
      </c>
      <c r="N1850" t="str">
        <f>IF(COUNTIF(course_data[course_id],role_course_map[[#This Row],[course_id]])=0, "INVALID","VALID")</f>
        <v>VALID</v>
      </c>
    </row>
    <row r="1851" spans="1:14" x14ac:dyDescent="0.35">
      <c r="A1851" t="s">
        <v>45</v>
      </c>
      <c r="B1851" s="5" t="str">
        <f>_xlfn.XLOOKUP(role_course_map[[#This Row],[role_id]], role_data[role_id], role_data[Role],"")</f>
        <v>Head of Costing and Capital</v>
      </c>
      <c r="C1851">
        <v>999094</v>
      </c>
      <c r="D1851" s="5" t="str">
        <f>_xlfn.XLOOKUP(role_course_map[[#This Row],[course_id]],course_data[course_id],course_data[title],"")</f>
        <v>Being well, Mind, Body &amp; Workplace</v>
      </c>
      <c r="E1851" s="5" t="str">
        <f>_xlfn.XLOOKUP(role_course_map[[#This Row],[course_id]],course_data[course_id],course_data[topic],"")</f>
        <v>SAS: Staff development and experience</v>
      </c>
      <c r="F1851" s="5" t="str">
        <f>_xlfn.XLOOKUP(role_course_map[[#This Row],[course_id]],course_data[course_id],course_data[type],"")</f>
        <v>eLearning</v>
      </c>
      <c r="K1851" t="str">
        <f>role_course_map[[#This Row],[role_id]] &amp; "|" &amp; role_course_map[[#This Row],[course_id]]</f>
        <v>R0018|999094</v>
      </c>
      <c r="L1851" t="str">
        <f>IF(COUNTIF(role_course_map[mapping_key],role_course_map[[#This Row],[mapping_key]])&gt;1,"DUPLICATE","OK")</f>
        <v>OK</v>
      </c>
      <c r="M1851" t="str">
        <f>IF(COUNTIF(role_data[role_id],role_course_map[[#This Row],[role_id]])=0, "INVALID","VALID")</f>
        <v>VALID</v>
      </c>
      <c r="N1851" t="str">
        <f>IF(COUNTIF(course_data[course_id],role_course_map[[#This Row],[course_id]])=0, "INVALID","VALID")</f>
        <v>VALID</v>
      </c>
    </row>
    <row r="1852" spans="1:14" x14ac:dyDescent="0.35">
      <c r="A1852" t="s">
        <v>47</v>
      </c>
      <c r="B1852" s="5" t="str">
        <f>_xlfn.XLOOKUP(role_course_map[[#This Row],[role_id]], role_data[role_id], role_data[Role],"")</f>
        <v>Head of Finance</v>
      </c>
      <c r="C1852">
        <v>999062</v>
      </c>
      <c r="D1852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1852" s="5" t="str">
        <f>_xlfn.XLOOKUP(role_course_map[[#This Row],[course_id]],course_data[course_id],course_data[topic],"")</f>
        <v>SAS : Health and Safety</v>
      </c>
      <c r="F1852" s="5" t="str">
        <f>_xlfn.XLOOKUP(role_course_map[[#This Row],[course_id]],course_data[course_id],course_data[type],"")</f>
        <v>Course</v>
      </c>
      <c r="K1852" t="str">
        <f>role_course_map[[#This Row],[role_id]] &amp; "|" &amp; role_course_map[[#This Row],[course_id]]</f>
        <v>R0019|999062</v>
      </c>
      <c r="L1852" t="str">
        <f>IF(COUNTIF(role_course_map[mapping_key],role_course_map[[#This Row],[mapping_key]])&gt;1,"DUPLICATE","OK")</f>
        <v>OK</v>
      </c>
      <c r="M1852" t="str">
        <f>IF(COUNTIF(role_data[role_id],role_course_map[[#This Row],[role_id]])=0, "INVALID","VALID")</f>
        <v>VALID</v>
      </c>
      <c r="N1852" t="str">
        <f>IF(COUNTIF(course_data[course_id],role_course_map[[#This Row],[course_id]])=0, "INVALID","VALID")</f>
        <v>VALID</v>
      </c>
    </row>
    <row r="1853" spans="1:14" x14ac:dyDescent="0.35">
      <c r="A1853" t="s">
        <v>330</v>
      </c>
      <c r="B1853" s="5" t="str">
        <f>_xlfn.XLOOKUP(role_course_map[[#This Row],[role_id]], role_data[role_id], role_data[Role],"")</f>
        <v>Head of Health and Safety</v>
      </c>
      <c r="C1853">
        <v>999058</v>
      </c>
      <c r="D1853" s="5" t="str">
        <f>_xlfn.XLOOKUP(role_course_map[[#This Row],[course_id]],course_data[course_id],course_data[title],"")</f>
        <v>Stress Identification &amp; Stress Management</v>
      </c>
      <c r="E1853" s="5" t="str">
        <f>_xlfn.XLOOKUP(role_course_map[[#This Row],[course_id]],course_data[course_id],course_data[topic],"")</f>
        <v>SAS : Health and Safety</v>
      </c>
      <c r="F1853" s="5" t="str">
        <f>_xlfn.XLOOKUP(role_course_map[[#This Row],[course_id]],course_data[course_id],course_data[type],"")</f>
        <v>eLearning</v>
      </c>
      <c r="K1853" t="str">
        <f>role_course_map[[#This Row],[role_id]] &amp; "|" &amp; role_course_map[[#This Row],[course_id]]</f>
        <v>R0159|999058</v>
      </c>
      <c r="L1853" t="str">
        <f>IF(COUNTIF(role_course_map[mapping_key],role_course_map[[#This Row],[mapping_key]])&gt;1,"DUPLICATE","OK")</f>
        <v>OK</v>
      </c>
      <c r="M1853" t="str">
        <f>IF(COUNTIF(role_data[role_id],role_course_map[[#This Row],[role_id]])=0, "INVALID","VALID")</f>
        <v>VALID</v>
      </c>
      <c r="N1853" t="str">
        <f>IF(COUNTIF(course_data[course_id],role_course_map[[#This Row],[course_id]])=0, "INVALID","VALID")</f>
        <v>VALID</v>
      </c>
    </row>
    <row r="1854" spans="1:14" x14ac:dyDescent="0.35">
      <c r="A1854" t="s">
        <v>330</v>
      </c>
      <c r="B1854" s="5" t="str">
        <f>_xlfn.XLOOKUP(role_course_map[[#This Row],[role_id]], role_data[role_id], role_data[Role],"")</f>
        <v>Head of Health and Safety</v>
      </c>
      <c r="C1854">
        <v>79147</v>
      </c>
      <c r="D1854" s="5" t="str">
        <f>_xlfn.XLOOKUP(role_course_map[[#This Row],[course_id]],course_data[course_id],course_data[title],"")</f>
        <v>Driving risks at work</v>
      </c>
      <c r="E1854" s="5" t="str">
        <f>_xlfn.XLOOKUP(role_course_map[[#This Row],[course_id]],course_data[course_id],course_data[topic],"")</f>
        <v>SAS : Health and Safety</v>
      </c>
      <c r="F1854" s="5" t="str">
        <f>_xlfn.XLOOKUP(role_course_map[[#This Row],[course_id]],course_data[course_id],course_data[type],"")</f>
        <v>eLearning</v>
      </c>
      <c r="K1854" t="str">
        <f>role_course_map[[#This Row],[role_id]] &amp; "|" &amp; role_course_map[[#This Row],[course_id]]</f>
        <v>R0159|79147</v>
      </c>
      <c r="L1854" t="str">
        <f>IF(COUNTIF(role_course_map[mapping_key],role_course_map[[#This Row],[mapping_key]])&gt;1,"DUPLICATE","OK")</f>
        <v>OK</v>
      </c>
      <c r="M1854" t="str">
        <f>IF(COUNTIF(role_data[role_id],role_course_map[[#This Row],[role_id]])=0, "INVALID","VALID")</f>
        <v>VALID</v>
      </c>
      <c r="N1854" t="str">
        <f>IF(COUNTIF(course_data[course_id],role_course_map[[#This Row],[course_id]])=0, "INVALID","VALID")</f>
        <v>VALID</v>
      </c>
    </row>
    <row r="1855" spans="1:14" x14ac:dyDescent="0.35">
      <c r="A1855" t="s">
        <v>47</v>
      </c>
      <c r="B1855" s="5" t="str">
        <f>_xlfn.XLOOKUP(role_course_map[[#This Row],[role_id]], role_data[role_id], role_data[Role],"")</f>
        <v>Head of Finance</v>
      </c>
      <c r="C1855">
        <v>999057</v>
      </c>
      <c r="D1855" s="5" t="str">
        <f>_xlfn.XLOOKUP(role_course_map[[#This Row],[course_id]],course_data[course_id],course_data[title],"")</f>
        <v>Fatigue Awareness</v>
      </c>
      <c r="E1855" s="5" t="str">
        <f>_xlfn.XLOOKUP(role_course_map[[#This Row],[course_id]],course_data[course_id],course_data[topic],"")</f>
        <v>SAS : Health and Safety</v>
      </c>
      <c r="F1855" s="5" t="str">
        <f>_xlfn.XLOOKUP(role_course_map[[#This Row],[course_id]],course_data[course_id],course_data[type],"")</f>
        <v>eLearning</v>
      </c>
      <c r="K1855" t="str">
        <f>role_course_map[[#This Row],[role_id]] &amp; "|" &amp; role_course_map[[#This Row],[course_id]]</f>
        <v>R0019|999057</v>
      </c>
      <c r="L1855" t="str">
        <f>IF(COUNTIF(role_course_map[mapping_key],role_course_map[[#This Row],[mapping_key]])&gt;1,"DUPLICATE","OK")</f>
        <v>OK</v>
      </c>
      <c r="M1855" t="str">
        <f>IF(COUNTIF(role_data[role_id],role_course_map[[#This Row],[role_id]])=0, "INVALID","VALID")</f>
        <v>VALID</v>
      </c>
      <c r="N1855" t="str">
        <f>IF(COUNTIF(course_data[course_id],role_course_map[[#This Row],[course_id]])=0, "INVALID","VALID")</f>
        <v>VALID</v>
      </c>
    </row>
    <row r="1856" spans="1:14" x14ac:dyDescent="0.35">
      <c r="A1856" t="s">
        <v>330</v>
      </c>
      <c r="B1856" s="5" t="str">
        <f>_xlfn.XLOOKUP(role_course_map[[#This Row],[role_id]], role_data[role_id], role_data[Role],"")</f>
        <v>Head of Health and Safety</v>
      </c>
      <c r="C1856">
        <v>999091</v>
      </c>
      <c r="D1856" s="5" t="str">
        <f>_xlfn.XLOOKUP(role_course_map[[#This Row],[course_id]],course_data[course_id],course_data[title],"")</f>
        <v>Intermediate Leadership Development Programme</v>
      </c>
      <c r="E1856" s="5" t="str">
        <f>_xlfn.XLOOKUP(role_course_map[[#This Row],[course_id]],course_data[course_id],course_data[topic],"")</f>
        <v>SAS: Staff development and experience</v>
      </c>
      <c r="F1856" s="5">
        <f>_xlfn.XLOOKUP(role_course_map[[#This Row],[course_id]],course_data[course_id],course_data[type],"")</f>
        <v>0</v>
      </c>
      <c r="K1856" t="str">
        <f>role_course_map[[#This Row],[role_id]] &amp; "|" &amp; role_course_map[[#This Row],[course_id]]</f>
        <v>R0159|999091</v>
      </c>
      <c r="L1856" t="str">
        <f>IF(COUNTIF(role_course_map[mapping_key],role_course_map[[#This Row],[mapping_key]])&gt;1,"DUPLICATE","OK")</f>
        <v>OK</v>
      </c>
      <c r="M1856" t="str">
        <f>IF(COUNTIF(role_data[role_id],role_course_map[[#This Row],[role_id]])=0, "INVALID","VALID")</f>
        <v>VALID</v>
      </c>
      <c r="N1856" t="str">
        <f>IF(COUNTIF(course_data[course_id],role_course_map[[#This Row],[course_id]])=0, "INVALID","VALID")</f>
        <v>VALID</v>
      </c>
    </row>
    <row r="1857" spans="1:14" x14ac:dyDescent="0.35">
      <c r="A1857" t="s">
        <v>330</v>
      </c>
      <c r="B1857" s="5" t="str">
        <f>_xlfn.XLOOKUP(role_course_map[[#This Row],[role_id]], role_data[role_id], role_data[Role],"")</f>
        <v>Head of Health and Safety</v>
      </c>
      <c r="C1857">
        <v>999090</v>
      </c>
      <c r="D1857" s="5" t="str">
        <f>_xlfn.XLOOKUP(role_course_map[[#This Row],[course_id]],course_data[course_id],course_data[title],"")</f>
        <v>Leading for the Future</v>
      </c>
      <c r="E1857" s="5" t="str">
        <f>_xlfn.XLOOKUP(role_course_map[[#This Row],[course_id]],course_data[course_id],course_data[topic],"")</f>
        <v>SAS: Staff development and experience</v>
      </c>
      <c r="F1857" s="5">
        <f>_xlfn.XLOOKUP(role_course_map[[#This Row],[course_id]],course_data[course_id],course_data[type],"")</f>
        <v>0</v>
      </c>
      <c r="K1857" t="str">
        <f>role_course_map[[#This Row],[role_id]] &amp; "|" &amp; role_course_map[[#This Row],[course_id]]</f>
        <v>R0159|999090</v>
      </c>
      <c r="L1857" t="str">
        <f>IF(COUNTIF(role_course_map[mapping_key],role_course_map[[#This Row],[mapping_key]])&gt;1,"DUPLICATE","OK")</f>
        <v>OK</v>
      </c>
      <c r="M1857" t="str">
        <f>IF(COUNTIF(role_data[role_id],role_course_map[[#This Row],[role_id]])=0, "INVALID","VALID")</f>
        <v>VALID</v>
      </c>
      <c r="N1857" t="str">
        <f>IF(COUNTIF(course_data[course_id],role_course_map[[#This Row],[course_id]])=0, "INVALID","VALID")</f>
        <v>VALID</v>
      </c>
    </row>
    <row r="1858" spans="1:14" x14ac:dyDescent="0.35">
      <c r="A1858" t="s">
        <v>47</v>
      </c>
      <c r="B1858" s="5" t="str">
        <f>_xlfn.XLOOKUP(role_course_map[[#This Row],[role_id]], role_data[role_id], role_data[Role],"")</f>
        <v>Head of Finance</v>
      </c>
      <c r="C1858">
        <v>999092</v>
      </c>
      <c r="D1858" s="5" t="str">
        <f>_xlfn.XLOOKUP(role_course_map[[#This Row],[course_id]],course_data[course_id],course_data[title],"")</f>
        <v>Health &amp; Wellbeing Awareness for Managers</v>
      </c>
      <c r="E1858" s="5" t="str">
        <f>_xlfn.XLOOKUP(role_course_map[[#This Row],[course_id]],course_data[course_id],course_data[topic],"")</f>
        <v>SAS: Staff development and experience</v>
      </c>
      <c r="F1858" s="5" t="str">
        <f>_xlfn.XLOOKUP(role_course_map[[#This Row],[course_id]],course_data[course_id],course_data[type],"")</f>
        <v>eLearning</v>
      </c>
      <c r="K1858" t="str">
        <f>role_course_map[[#This Row],[role_id]] &amp; "|" &amp; role_course_map[[#This Row],[course_id]]</f>
        <v>R0019|999092</v>
      </c>
      <c r="L1858" t="str">
        <f>IF(COUNTIF(role_course_map[mapping_key],role_course_map[[#This Row],[mapping_key]])&gt;1,"DUPLICATE","OK")</f>
        <v>OK</v>
      </c>
      <c r="M1858" t="str">
        <f>IF(COUNTIF(role_data[role_id],role_course_map[[#This Row],[role_id]])=0, "INVALID","VALID")</f>
        <v>VALID</v>
      </c>
      <c r="N1858" t="str">
        <f>IF(COUNTIF(course_data[course_id],role_course_map[[#This Row],[course_id]])=0, "INVALID","VALID")</f>
        <v>VALID</v>
      </c>
    </row>
    <row r="1859" spans="1:14" x14ac:dyDescent="0.35">
      <c r="A1859" t="s">
        <v>330</v>
      </c>
      <c r="B1859" s="5" t="str">
        <f>_xlfn.XLOOKUP(role_course_map[[#This Row],[role_id]], role_data[role_id], role_data[Role],"")</f>
        <v>Head of Health and Safety</v>
      </c>
      <c r="C1859">
        <v>999093</v>
      </c>
      <c r="D1859" s="5" t="str">
        <f>_xlfn.XLOOKUP(role_course_map[[#This Row],[course_id]],course_data[course_id],course_data[title],"")</f>
        <v>Managing Wellbeing Refresher for Managers</v>
      </c>
      <c r="E1859" s="5" t="str">
        <f>_xlfn.XLOOKUP(role_course_map[[#This Row],[course_id]],course_data[course_id],course_data[topic],"")</f>
        <v>SAS: Staff development and experience</v>
      </c>
      <c r="F1859" s="5" t="str">
        <f>_xlfn.XLOOKUP(role_course_map[[#This Row],[course_id]],course_data[course_id],course_data[type],"")</f>
        <v>eLearning</v>
      </c>
      <c r="K1859" t="str">
        <f>role_course_map[[#This Row],[role_id]] &amp; "|" &amp; role_course_map[[#This Row],[course_id]]</f>
        <v>R0159|999093</v>
      </c>
      <c r="L1859" t="str">
        <f>IF(COUNTIF(role_course_map[mapping_key],role_course_map[[#This Row],[mapping_key]])&gt;1,"DUPLICATE","OK")</f>
        <v>OK</v>
      </c>
      <c r="M1859" t="str">
        <f>IF(COUNTIF(role_data[role_id],role_course_map[[#This Row],[role_id]])=0, "INVALID","VALID")</f>
        <v>VALID</v>
      </c>
      <c r="N1859" t="str">
        <f>IF(COUNTIF(course_data[course_id],role_course_map[[#This Row],[course_id]])=0, "INVALID","VALID")</f>
        <v>VALID</v>
      </c>
    </row>
    <row r="1860" spans="1:14" x14ac:dyDescent="0.35">
      <c r="A1860" t="s">
        <v>47</v>
      </c>
      <c r="B1860" s="5" t="str">
        <f>_xlfn.XLOOKUP(role_course_map[[#This Row],[role_id]], role_data[role_id], role_data[Role],"")</f>
        <v>Head of Finance</v>
      </c>
      <c r="C1860">
        <v>999094</v>
      </c>
      <c r="D1860" s="5" t="str">
        <f>_xlfn.XLOOKUP(role_course_map[[#This Row],[course_id]],course_data[course_id],course_data[title],"")</f>
        <v>Being well, Mind, Body &amp; Workplace</v>
      </c>
      <c r="E1860" s="5" t="str">
        <f>_xlfn.XLOOKUP(role_course_map[[#This Row],[course_id]],course_data[course_id],course_data[topic],"")</f>
        <v>SAS: Staff development and experience</v>
      </c>
      <c r="F1860" s="5" t="str">
        <f>_xlfn.XLOOKUP(role_course_map[[#This Row],[course_id]],course_data[course_id],course_data[type],"")</f>
        <v>eLearning</v>
      </c>
      <c r="K1860" t="str">
        <f>role_course_map[[#This Row],[role_id]] &amp; "|" &amp; role_course_map[[#This Row],[course_id]]</f>
        <v>R0019|999094</v>
      </c>
      <c r="L1860" t="str">
        <f>IF(COUNTIF(role_course_map[mapping_key],role_course_map[[#This Row],[mapping_key]])&gt;1,"DUPLICATE","OK")</f>
        <v>OK</v>
      </c>
      <c r="M1860" t="str">
        <f>IF(COUNTIF(role_data[role_id],role_course_map[[#This Row],[role_id]])=0, "INVALID","VALID")</f>
        <v>VALID</v>
      </c>
      <c r="N1860" t="str">
        <f>IF(COUNTIF(course_data[course_id],role_course_map[[#This Row],[course_id]])=0, "INVALID","VALID")</f>
        <v>VALID</v>
      </c>
    </row>
    <row r="1861" spans="1:14" x14ac:dyDescent="0.35">
      <c r="A1861" t="s">
        <v>330</v>
      </c>
      <c r="B1861" s="5" t="str">
        <f>_xlfn.XLOOKUP(role_course_map[[#This Row],[role_id]], role_data[role_id], role_data[Role],"")</f>
        <v>Head of Health and Safety</v>
      </c>
      <c r="C1861">
        <v>999062</v>
      </c>
      <c r="D1861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1861" s="5" t="str">
        <f>_xlfn.XLOOKUP(role_course_map[[#This Row],[course_id]],course_data[course_id],course_data[topic],"")</f>
        <v>SAS : Health and Safety</v>
      </c>
      <c r="F1861" s="5" t="str">
        <f>_xlfn.XLOOKUP(role_course_map[[#This Row],[course_id]],course_data[course_id],course_data[type],"")</f>
        <v>Course</v>
      </c>
      <c r="K1861" t="str">
        <f>role_course_map[[#This Row],[role_id]] &amp; "|" &amp; role_course_map[[#This Row],[course_id]]</f>
        <v>R0159|999062</v>
      </c>
      <c r="L1861" t="str">
        <f>IF(COUNTIF(role_course_map[mapping_key],role_course_map[[#This Row],[mapping_key]])&gt;1,"DUPLICATE","OK")</f>
        <v>OK</v>
      </c>
      <c r="M1861" t="str">
        <f>IF(COUNTIF(role_data[role_id],role_course_map[[#This Row],[role_id]])=0, "INVALID","VALID")</f>
        <v>VALID</v>
      </c>
      <c r="N1861" t="str">
        <f>IF(COUNTIF(course_data[course_id],role_course_map[[#This Row],[course_id]])=0, "INVALID","VALID")</f>
        <v>VALID</v>
      </c>
    </row>
    <row r="1862" spans="1:14" x14ac:dyDescent="0.35">
      <c r="A1862" t="s">
        <v>335</v>
      </c>
      <c r="B1862" s="5" t="str">
        <f>_xlfn.XLOOKUP(role_course_map[[#This Row],[role_id]], role_data[role_id], role_data[Role],"")</f>
        <v>Head of Workforce Systems and Analytics</v>
      </c>
      <c r="C1862">
        <v>999058</v>
      </c>
      <c r="D1862" s="5" t="str">
        <f>_xlfn.XLOOKUP(role_course_map[[#This Row],[course_id]],course_data[course_id],course_data[title],"")</f>
        <v>Stress Identification &amp; Stress Management</v>
      </c>
      <c r="E1862" s="5" t="str">
        <f>_xlfn.XLOOKUP(role_course_map[[#This Row],[course_id]],course_data[course_id],course_data[topic],"")</f>
        <v>SAS : Health and Safety</v>
      </c>
      <c r="F1862" s="5" t="str">
        <f>_xlfn.XLOOKUP(role_course_map[[#This Row],[course_id]],course_data[course_id],course_data[type],"")</f>
        <v>eLearning</v>
      </c>
      <c r="K1862" t="str">
        <f>role_course_map[[#This Row],[role_id]] &amp; "|" &amp; role_course_map[[#This Row],[course_id]]</f>
        <v>R0161|999058</v>
      </c>
      <c r="L1862" t="str">
        <f>IF(COUNTIF(role_course_map[mapping_key],role_course_map[[#This Row],[mapping_key]])&gt;1,"DUPLICATE","OK")</f>
        <v>OK</v>
      </c>
      <c r="M1862" t="str">
        <f>IF(COUNTIF(role_data[role_id],role_course_map[[#This Row],[role_id]])=0, "INVALID","VALID")</f>
        <v>VALID</v>
      </c>
      <c r="N1862" t="str">
        <f>IF(COUNTIF(course_data[course_id],role_course_map[[#This Row],[course_id]])=0, "INVALID","VALID")</f>
        <v>VALID</v>
      </c>
    </row>
    <row r="1863" spans="1:14" x14ac:dyDescent="0.35">
      <c r="A1863" t="s">
        <v>335</v>
      </c>
      <c r="B1863" s="5" t="str">
        <f>_xlfn.XLOOKUP(role_course_map[[#This Row],[role_id]], role_data[role_id], role_data[Role],"")</f>
        <v>Head of Workforce Systems and Analytics</v>
      </c>
      <c r="C1863">
        <v>79147</v>
      </c>
      <c r="D1863" s="5" t="str">
        <f>_xlfn.XLOOKUP(role_course_map[[#This Row],[course_id]],course_data[course_id],course_data[title],"")</f>
        <v>Driving risks at work</v>
      </c>
      <c r="E1863" s="5" t="str">
        <f>_xlfn.XLOOKUP(role_course_map[[#This Row],[course_id]],course_data[course_id],course_data[topic],"")</f>
        <v>SAS : Health and Safety</v>
      </c>
      <c r="F1863" s="5" t="str">
        <f>_xlfn.XLOOKUP(role_course_map[[#This Row],[course_id]],course_data[course_id],course_data[type],"")</f>
        <v>eLearning</v>
      </c>
      <c r="K1863" t="str">
        <f>role_course_map[[#This Row],[role_id]] &amp; "|" &amp; role_course_map[[#This Row],[course_id]]</f>
        <v>R0161|79147</v>
      </c>
      <c r="L1863" t="str">
        <f>IF(COUNTIF(role_course_map[mapping_key],role_course_map[[#This Row],[mapping_key]])&gt;1,"DUPLICATE","OK")</f>
        <v>OK</v>
      </c>
      <c r="M1863" t="str">
        <f>IF(COUNTIF(role_data[role_id],role_course_map[[#This Row],[role_id]])=0, "INVALID","VALID")</f>
        <v>VALID</v>
      </c>
      <c r="N1863" t="str">
        <f>IF(COUNTIF(course_data[course_id],role_course_map[[#This Row],[course_id]])=0, "INVALID","VALID")</f>
        <v>VALID</v>
      </c>
    </row>
    <row r="1864" spans="1:14" x14ac:dyDescent="0.35">
      <c r="A1864" t="s">
        <v>330</v>
      </c>
      <c r="B1864" s="5" t="str">
        <f>_xlfn.XLOOKUP(role_course_map[[#This Row],[role_id]], role_data[role_id], role_data[Role],"")</f>
        <v>Head of Health and Safety</v>
      </c>
      <c r="C1864">
        <v>999057</v>
      </c>
      <c r="D1864" s="5" t="str">
        <f>_xlfn.XLOOKUP(role_course_map[[#This Row],[course_id]],course_data[course_id],course_data[title],"")</f>
        <v>Fatigue Awareness</v>
      </c>
      <c r="E1864" s="5" t="str">
        <f>_xlfn.XLOOKUP(role_course_map[[#This Row],[course_id]],course_data[course_id],course_data[topic],"")</f>
        <v>SAS : Health and Safety</v>
      </c>
      <c r="F1864" s="5" t="str">
        <f>_xlfn.XLOOKUP(role_course_map[[#This Row],[course_id]],course_data[course_id],course_data[type],"")</f>
        <v>eLearning</v>
      </c>
      <c r="K1864" t="str">
        <f>role_course_map[[#This Row],[role_id]] &amp; "|" &amp; role_course_map[[#This Row],[course_id]]</f>
        <v>R0159|999057</v>
      </c>
      <c r="L1864" t="str">
        <f>IF(COUNTIF(role_course_map[mapping_key],role_course_map[[#This Row],[mapping_key]])&gt;1,"DUPLICATE","OK")</f>
        <v>OK</v>
      </c>
      <c r="M1864" t="str">
        <f>IF(COUNTIF(role_data[role_id],role_course_map[[#This Row],[role_id]])=0, "INVALID","VALID")</f>
        <v>VALID</v>
      </c>
      <c r="N1864" t="str">
        <f>IF(COUNTIF(course_data[course_id],role_course_map[[#This Row],[course_id]])=0, "INVALID","VALID")</f>
        <v>VALID</v>
      </c>
    </row>
    <row r="1865" spans="1:14" x14ac:dyDescent="0.35">
      <c r="A1865" t="s">
        <v>335</v>
      </c>
      <c r="B1865" s="5" t="str">
        <f>_xlfn.XLOOKUP(role_course_map[[#This Row],[role_id]], role_data[role_id], role_data[Role],"")</f>
        <v>Head of Workforce Systems and Analytics</v>
      </c>
      <c r="C1865">
        <v>999091</v>
      </c>
      <c r="D1865" s="5" t="str">
        <f>_xlfn.XLOOKUP(role_course_map[[#This Row],[course_id]],course_data[course_id],course_data[title],"")</f>
        <v>Intermediate Leadership Development Programme</v>
      </c>
      <c r="E1865" s="5" t="str">
        <f>_xlfn.XLOOKUP(role_course_map[[#This Row],[course_id]],course_data[course_id],course_data[topic],"")</f>
        <v>SAS: Staff development and experience</v>
      </c>
      <c r="F1865" s="5">
        <f>_xlfn.XLOOKUP(role_course_map[[#This Row],[course_id]],course_data[course_id],course_data[type],"")</f>
        <v>0</v>
      </c>
      <c r="K1865" t="str">
        <f>role_course_map[[#This Row],[role_id]] &amp; "|" &amp; role_course_map[[#This Row],[course_id]]</f>
        <v>R0161|999091</v>
      </c>
      <c r="L1865" t="str">
        <f>IF(COUNTIF(role_course_map[mapping_key],role_course_map[[#This Row],[mapping_key]])&gt;1,"DUPLICATE","OK")</f>
        <v>OK</v>
      </c>
      <c r="M1865" t="str">
        <f>IF(COUNTIF(role_data[role_id],role_course_map[[#This Row],[role_id]])=0, "INVALID","VALID")</f>
        <v>VALID</v>
      </c>
      <c r="N1865" t="str">
        <f>IF(COUNTIF(course_data[course_id],role_course_map[[#This Row],[course_id]])=0, "INVALID","VALID")</f>
        <v>VALID</v>
      </c>
    </row>
    <row r="1866" spans="1:14" x14ac:dyDescent="0.35">
      <c r="A1866" t="s">
        <v>335</v>
      </c>
      <c r="B1866" s="5" t="str">
        <f>_xlfn.XLOOKUP(role_course_map[[#This Row],[role_id]], role_data[role_id], role_data[Role],"")</f>
        <v>Head of Workforce Systems and Analytics</v>
      </c>
      <c r="C1866">
        <v>999090</v>
      </c>
      <c r="D1866" s="5" t="str">
        <f>_xlfn.XLOOKUP(role_course_map[[#This Row],[course_id]],course_data[course_id],course_data[title],"")</f>
        <v>Leading for the Future</v>
      </c>
      <c r="E1866" s="5" t="str">
        <f>_xlfn.XLOOKUP(role_course_map[[#This Row],[course_id]],course_data[course_id],course_data[topic],"")</f>
        <v>SAS: Staff development and experience</v>
      </c>
      <c r="F1866" s="5">
        <f>_xlfn.XLOOKUP(role_course_map[[#This Row],[course_id]],course_data[course_id],course_data[type],"")</f>
        <v>0</v>
      </c>
      <c r="K1866" t="str">
        <f>role_course_map[[#This Row],[role_id]] &amp; "|" &amp; role_course_map[[#This Row],[course_id]]</f>
        <v>R0161|999090</v>
      </c>
      <c r="L1866" t="str">
        <f>IF(COUNTIF(role_course_map[mapping_key],role_course_map[[#This Row],[mapping_key]])&gt;1,"DUPLICATE","OK")</f>
        <v>OK</v>
      </c>
      <c r="M1866" t="str">
        <f>IF(COUNTIF(role_data[role_id],role_course_map[[#This Row],[role_id]])=0, "INVALID","VALID")</f>
        <v>VALID</v>
      </c>
      <c r="N1866" t="str">
        <f>IF(COUNTIF(course_data[course_id],role_course_map[[#This Row],[course_id]])=0, "INVALID","VALID")</f>
        <v>VALID</v>
      </c>
    </row>
    <row r="1867" spans="1:14" x14ac:dyDescent="0.35">
      <c r="A1867" t="s">
        <v>330</v>
      </c>
      <c r="B1867" s="5" t="str">
        <f>_xlfn.XLOOKUP(role_course_map[[#This Row],[role_id]], role_data[role_id], role_data[Role],"")</f>
        <v>Head of Health and Safety</v>
      </c>
      <c r="C1867">
        <v>999092</v>
      </c>
      <c r="D1867" s="5" t="str">
        <f>_xlfn.XLOOKUP(role_course_map[[#This Row],[course_id]],course_data[course_id],course_data[title],"")</f>
        <v>Health &amp; Wellbeing Awareness for Managers</v>
      </c>
      <c r="E1867" s="5" t="str">
        <f>_xlfn.XLOOKUP(role_course_map[[#This Row],[course_id]],course_data[course_id],course_data[topic],"")</f>
        <v>SAS: Staff development and experience</v>
      </c>
      <c r="F1867" s="5" t="str">
        <f>_xlfn.XLOOKUP(role_course_map[[#This Row],[course_id]],course_data[course_id],course_data[type],"")</f>
        <v>eLearning</v>
      </c>
      <c r="K1867" t="str">
        <f>role_course_map[[#This Row],[role_id]] &amp; "|" &amp; role_course_map[[#This Row],[course_id]]</f>
        <v>R0159|999092</v>
      </c>
      <c r="L1867" t="str">
        <f>IF(COUNTIF(role_course_map[mapping_key],role_course_map[[#This Row],[mapping_key]])&gt;1,"DUPLICATE","OK")</f>
        <v>OK</v>
      </c>
      <c r="M1867" t="str">
        <f>IF(COUNTIF(role_data[role_id],role_course_map[[#This Row],[role_id]])=0, "INVALID","VALID")</f>
        <v>VALID</v>
      </c>
      <c r="N1867" t="str">
        <f>IF(COUNTIF(course_data[course_id],role_course_map[[#This Row],[course_id]])=0, "INVALID","VALID")</f>
        <v>VALID</v>
      </c>
    </row>
    <row r="1868" spans="1:14" x14ac:dyDescent="0.35">
      <c r="A1868" t="s">
        <v>335</v>
      </c>
      <c r="B1868" s="5" t="str">
        <f>_xlfn.XLOOKUP(role_course_map[[#This Row],[role_id]], role_data[role_id], role_data[Role],"")</f>
        <v>Head of Workforce Systems and Analytics</v>
      </c>
      <c r="C1868">
        <v>999093</v>
      </c>
      <c r="D1868" s="5" t="str">
        <f>_xlfn.XLOOKUP(role_course_map[[#This Row],[course_id]],course_data[course_id],course_data[title],"")</f>
        <v>Managing Wellbeing Refresher for Managers</v>
      </c>
      <c r="E1868" s="5" t="str">
        <f>_xlfn.XLOOKUP(role_course_map[[#This Row],[course_id]],course_data[course_id],course_data[topic],"")</f>
        <v>SAS: Staff development and experience</v>
      </c>
      <c r="F1868" s="5" t="str">
        <f>_xlfn.XLOOKUP(role_course_map[[#This Row],[course_id]],course_data[course_id],course_data[type],"")</f>
        <v>eLearning</v>
      </c>
      <c r="K1868" t="str">
        <f>role_course_map[[#This Row],[role_id]] &amp; "|" &amp; role_course_map[[#This Row],[course_id]]</f>
        <v>R0161|999093</v>
      </c>
      <c r="L1868" t="str">
        <f>IF(COUNTIF(role_course_map[mapping_key],role_course_map[[#This Row],[mapping_key]])&gt;1,"DUPLICATE","OK")</f>
        <v>OK</v>
      </c>
      <c r="M1868" t="str">
        <f>IF(COUNTIF(role_data[role_id],role_course_map[[#This Row],[role_id]])=0, "INVALID","VALID")</f>
        <v>VALID</v>
      </c>
      <c r="N1868" t="str">
        <f>IF(COUNTIF(course_data[course_id],role_course_map[[#This Row],[course_id]])=0, "INVALID","VALID")</f>
        <v>VALID</v>
      </c>
    </row>
    <row r="1869" spans="1:14" x14ac:dyDescent="0.35">
      <c r="A1869" t="s">
        <v>330</v>
      </c>
      <c r="B1869" s="5" t="str">
        <f>_xlfn.XLOOKUP(role_course_map[[#This Row],[role_id]], role_data[role_id], role_data[Role],"")</f>
        <v>Head of Health and Safety</v>
      </c>
      <c r="C1869">
        <v>999094</v>
      </c>
      <c r="D1869" s="5" t="str">
        <f>_xlfn.XLOOKUP(role_course_map[[#This Row],[course_id]],course_data[course_id],course_data[title],"")</f>
        <v>Being well, Mind, Body &amp; Workplace</v>
      </c>
      <c r="E1869" s="5" t="str">
        <f>_xlfn.XLOOKUP(role_course_map[[#This Row],[course_id]],course_data[course_id],course_data[topic],"")</f>
        <v>SAS: Staff development and experience</v>
      </c>
      <c r="F1869" s="5" t="str">
        <f>_xlfn.XLOOKUP(role_course_map[[#This Row],[course_id]],course_data[course_id],course_data[type],"")</f>
        <v>eLearning</v>
      </c>
      <c r="K1869" t="str">
        <f>role_course_map[[#This Row],[role_id]] &amp; "|" &amp; role_course_map[[#This Row],[course_id]]</f>
        <v>R0159|999094</v>
      </c>
      <c r="L1869" t="str">
        <f>IF(COUNTIF(role_course_map[mapping_key],role_course_map[[#This Row],[mapping_key]])&gt;1,"DUPLICATE","OK")</f>
        <v>OK</v>
      </c>
      <c r="M1869" t="str">
        <f>IF(COUNTIF(role_data[role_id],role_course_map[[#This Row],[role_id]])=0, "INVALID","VALID")</f>
        <v>VALID</v>
      </c>
      <c r="N1869" t="str">
        <f>IF(COUNTIF(course_data[course_id],role_course_map[[#This Row],[course_id]])=0, "INVALID","VALID")</f>
        <v>VALID</v>
      </c>
    </row>
    <row r="1870" spans="1:14" x14ac:dyDescent="0.35">
      <c r="A1870" t="s">
        <v>335</v>
      </c>
      <c r="B1870" s="5" t="str">
        <f>_xlfn.XLOOKUP(role_course_map[[#This Row],[role_id]], role_data[role_id], role_data[Role],"")</f>
        <v>Head of Workforce Systems and Analytics</v>
      </c>
      <c r="C1870">
        <v>999062</v>
      </c>
      <c r="D1870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1870" s="5" t="str">
        <f>_xlfn.XLOOKUP(role_course_map[[#This Row],[course_id]],course_data[course_id],course_data[topic],"")</f>
        <v>SAS : Health and Safety</v>
      </c>
      <c r="F1870" s="5" t="str">
        <f>_xlfn.XLOOKUP(role_course_map[[#This Row],[course_id]],course_data[course_id],course_data[type],"")</f>
        <v>Course</v>
      </c>
      <c r="K1870" t="str">
        <f>role_course_map[[#This Row],[role_id]] &amp; "|" &amp; role_course_map[[#This Row],[course_id]]</f>
        <v>R0161|999062</v>
      </c>
      <c r="L1870" t="str">
        <f>IF(COUNTIF(role_course_map[mapping_key],role_course_map[[#This Row],[mapping_key]])&gt;1,"DUPLICATE","OK")</f>
        <v>OK</v>
      </c>
      <c r="M1870" t="str">
        <f>IF(COUNTIF(role_data[role_id],role_course_map[[#This Row],[role_id]])=0, "INVALID","VALID")</f>
        <v>VALID</v>
      </c>
      <c r="N1870" t="str">
        <f>IF(COUNTIF(course_data[course_id],role_course_map[[#This Row],[course_id]])=0, "INVALID","VALID")</f>
        <v>VALID</v>
      </c>
    </row>
    <row r="1871" spans="1:14" x14ac:dyDescent="0.35">
      <c r="A1871" t="s">
        <v>356</v>
      </c>
      <c r="B1871" s="5" t="str">
        <f>_xlfn.XLOOKUP(role_course_map[[#This Row],[role_id]], role_data[role_id], role_data[Role],"")</f>
        <v>Head of Infection Prevention and Control</v>
      </c>
      <c r="C1871">
        <v>999058</v>
      </c>
      <c r="D1871" s="5" t="str">
        <f>_xlfn.XLOOKUP(role_course_map[[#This Row],[course_id]],course_data[course_id],course_data[title],"")</f>
        <v>Stress Identification &amp; Stress Management</v>
      </c>
      <c r="E1871" s="5" t="str">
        <f>_xlfn.XLOOKUP(role_course_map[[#This Row],[course_id]],course_data[course_id],course_data[topic],"")</f>
        <v>SAS : Health and Safety</v>
      </c>
      <c r="F1871" s="5" t="str">
        <f>_xlfn.XLOOKUP(role_course_map[[#This Row],[course_id]],course_data[course_id],course_data[type],"")</f>
        <v>eLearning</v>
      </c>
      <c r="K1871" t="str">
        <f>role_course_map[[#This Row],[role_id]] &amp; "|" &amp; role_course_map[[#This Row],[course_id]]</f>
        <v>R0171|999058</v>
      </c>
      <c r="L1871" t="str">
        <f>IF(COUNTIF(role_course_map[mapping_key],role_course_map[[#This Row],[mapping_key]])&gt;1,"DUPLICATE","OK")</f>
        <v>OK</v>
      </c>
      <c r="M1871" t="str">
        <f>IF(COUNTIF(role_data[role_id],role_course_map[[#This Row],[role_id]])=0, "INVALID","VALID")</f>
        <v>VALID</v>
      </c>
      <c r="N1871" t="str">
        <f>IF(COUNTIF(course_data[course_id],role_course_map[[#This Row],[course_id]])=0, "INVALID","VALID")</f>
        <v>VALID</v>
      </c>
    </row>
    <row r="1872" spans="1:14" x14ac:dyDescent="0.35">
      <c r="A1872" t="s">
        <v>356</v>
      </c>
      <c r="B1872" s="5" t="str">
        <f>_xlfn.XLOOKUP(role_course_map[[#This Row],[role_id]], role_data[role_id], role_data[Role],"")</f>
        <v>Head of Infection Prevention and Control</v>
      </c>
      <c r="C1872">
        <v>79147</v>
      </c>
      <c r="D1872" s="5" t="str">
        <f>_xlfn.XLOOKUP(role_course_map[[#This Row],[course_id]],course_data[course_id],course_data[title],"")</f>
        <v>Driving risks at work</v>
      </c>
      <c r="E1872" s="5" t="str">
        <f>_xlfn.XLOOKUP(role_course_map[[#This Row],[course_id]],course_data[course_id],course_data[topic],"")</f>
        <v>SAS : Health and Safety</v>
      </c>
      <c r="F1872" s="5" t="str">
        <f>_xlfn.XLOOKUP(role_course_map[[#This Row],[course_id]],course_data[course_id],course_data[type],"")</f>
        <v>eLearning</v>
      </c>
      <c r="K1872" t="str">
        <f>role_course_map[[#This Row],[role_id]] &amp; "|" &amp; role_course_map[[#This Row],[course_id]]</f>
        <v>R0171|79147</v>
      </c>
      <c r="L1872" t="str">
        <f>IF(COUNTIF(role_course_map[mapping_key],role_course_map[[#This Row],[mapping_key]])&gt;1,"DUPLICATE","OK")</f>
        <v>OK</v>
      </c>
      <c r="M1872" t="str">
        <f>IF(COUNTIF(role_data[role_id],role_course_map[[#This Row],[role_id]])=0, "INVALID","VALID")</f>
        <v>VALID</v>
      </c>
      <c r="N1872" t="str">
        <f>IF(COUNTIF(course_data[course_id],role_course_map[[#This Row],[course_id]])=0, "INVALID","VALID")</f>
        <v>VALID</v>
      </c>
    </row>
    <row r="1873" spans="1:14" x14ac:dyDescent="0.35">
      <c r="A1873" t="s">
        <v>335</v>
      </c>
      <c r="B1873" s="5" t="str">
        <f>_xlfn.XLOOKUP(role_course_map[[#This Row],[role_id]], role_data[role_id], role_data[Role],"")</f>
        <v>Head of Workforce Systems and Analytics</v>
      </c>
      <c r="C1873">
        <v>999057</v>
      </c>
      <c r="D1873" s="5" t="str">
        <f>_xlfn.XLOOKUP(role_course_map[[#This Row],[course_id]],course_data[course_id],course_data[title],"")</f>
        <v>Fatigue Awareness</v>
      </c>
      <c r="E1873" s="5" t="str">
        <f>_xlfn.XLOOKUP(role_course_map[[#This Row],[course_id]],course_data[course_id],course_data[topic],"")</f>
        <v>SAS : Health and Safety</v>
      </c>
      <c r="F1873" s="5" t="str">
        <f>_xlfn.XLOOKUP(role_course_map[[#This Row],[course_id]],course_data[course_id],course_data[type],"")</f>
        <v>eLearning</v>
      </c>
      <c r="K1873" t="str">
        <f>role_course_map[[#This Row],[role_id]] &amp; "|" &amp; role_course_map[[#This Row],[course_id]]</f>
        <v>R0161|999057</v>
      </c>
      <c r="L1873" t="str">
        <f>IF(COUNTIF(role_course_map[mapping_key],role_course_map[[#This Row],[mapping_key]])&gt;1,"DUPLICATE","OK")</f>
        <v>OK</v>
      </c>
      <c r="M1873" t="str">
        <f>IF(COUNTIF(role_data[role_id],role_course_map[[#This Row],[role_id]])=0, "INVALID","VALID")</f>
        <v>VALID</v>
      </c>
      <c r="N1873" t="str">
        <f>IF(COUNTIF(course_data[course_id],role_course_map[[#This Row],[course_id]])=0, "INVALID","VALID")</f>
        <v>VALID</v>
      </c>
    </row>
    <row r="1874" spans="1:14" x14ac:dyDescent="0.35">
      <c r="A1874" t="s">
        <v>356</v>
      </c>
      <c r="B1874" s="5" t="str">
        <f>_xlfn.XLOOKUP(role_course_map[[#This Row],[role_id]], role_data[role_id], role_data[Role],"")</f>
        <v>Head of Infection Prevention and Control</v>
      </c>
      <c r="C1874">
        <v>999091</v>
      </c>
      <c r="D1874" s="5" t="str">
        <f>_xlfn.XLOOKUP(role_course_map[[#This Row],[course_id]],course_data[course_id],course_data[title],"")</f>
        <v>Intermediate Leadership Development Programme</v>
      </c>
      <c r="E1874" s="5" t="str">
        <f>_xlfn.XLOOKUP(role_course_map[[#This Row],[course_id]],course_data[course_id],course_data[topic],"")</f>
        <v>SAS: Staff development and experience</v>
      </c>
      <c r="F1874" s="5">
        <f>_xlfn.XLOOKUP(role_course_map[[#This Row],[course_id]],course_data[course_id],course_data[type],"")</f>
        <v>0</v>
      </c>
      <c r="K1874" t="str">
        <f>role_course_map[[#This Row],[role_id]] &amp; "|" &amp; role_course_map[[#This Row],[course_id]]</f>
        <v>R0171|999091</v>
      </c>
      <c r="L1874" t="str">
        <f>IF(COUNTIF(role_course_map[mapping_key],role_course_map[[#This Row],[mapping_key]])&gt;1,"DUPLICATE","OK")</f>
        <v>OK</v>
      </c>
      <c r="M1874" t="str">
        <f>IF(COUNTIF(role_data[role_id],role_course_map[[#This Row],[role_id]])=0, "INVALID","VALID")</f>
        <v>VALID</v>
      </c>
      <c r="N1874" t="str">
        <f>IF(COUNTIF(course_data[course_id],role_course_map[[#This Row],[course_id]])=0, "INVALID","VALID")</f>
        <v>VALID</v>
      </c>
    </row>
    <row r="1875" spans="1:14" x14ac:dyDescent="0.35">
      <c r="A1875" t="s">
        <v>356</v>
      </c>
      <c r="B1875" s="5" t="str">
        <f>_xlfn.XLOOKUP(role_course_map[[#This Row],[role_id]], role_data[role_id], role_data[Role],"")</f>
        <v>Head of Infection Prevention and Control</v>
      </c>
      <c r="C1875">
        <v>999090</v>
      </c>
      <c r="D1875" s="5" t="str">
        <f>_xlfn.XLOOKUP(role_course_map[[#This Row],[course_id]],course_data[course_id],course_data[title],"")</f>
        <v>Leading for the Future</v>
      </c>
      <c r="E1875" s="5" t="str">
        <f>_xlfn.XLOOKUP(role_course_map[[#This Row],[course_id]],course_data[course_id],course_data[topic],"")</f>
        <v>SAS: Staff development and experience</v>
      </c>
      <c r="F1875" s="5">
        <f>_xlfn.XLOOKUP(role_course_map[[#This Row],[course_id]],course_data[course_id],course_data[type],"")</f>
        <v>0</v>
      </c>
      <c r="K1875" t="str">
        <f>role_course_map[[#This Row],[role_id]] &amp; "|" &amp; role_course_map[[#This Row],[course_id]]</f>
        <v>R0171|999090</v>
      </c>
      <c r="L1875" t="str">
        <f>IF(COUNTIF(role_course_map[mapping_key],role_course_map[[#This Row],[mapping_key]])&gt;1,"DUPLICATE","OK")</f>
        <v>OK</v>
      </c>
      <c r="M1875" t="str">
        <f>IF(COUNTIF(role_data[role_id],role_course_map[[#This Row],[role_id]])=0, "INVALID","VALID")</f>
        <v>VALID</v>
      </c>
      <c r="N1875" t="str">
        <f>IF(COUNTIF(course_data[course_id],role_course_map[[#This Row],[course_id]])=0, "INVALID","VALID")</f>
        <v>VALID</v>
      </c>
    </row>
    <row r="1876" spans="1:14" x14ac:dyDescent="0.35">
      <c r="A1876" t="s">
        <v>335</v>
      </c>
      <c r="B1876" s="5" t="str">
        <f>_xlfn.XLOOKUP(role_course_map[[#This Row],[role_id]], role_data[role_id], role_data[Role],"")</f>
        <v>Head of Workforce Systems and Analytics</v>
      </c>
      <c r="C1876">
        <v>999092</v>
      </c>
      <c r="D1876" s="5" t="str">
        <f>_xlfn.XLOOKUP(role_course_map[[#This Row],[course_id]],course_data[course_id],course_data[title],"")</f>
        <v>Health &amp; Wellbeing Awareness for Managers</v>
      </c>
      <c r="E1876" s="5" t="str">
        <f>_xlfn.XLOOKUP(role_course_map[[#This Row],[course_id]],course_data[course_id],course_data[topic],"")</f>
        <v>SAS: Staff development and experience</v>
      </c>
      <c r="F1876" s="5" t="str">
        <f>_xlfn.XLOOKUP(role_course_map[[#This Row],[course_id]],course_data[course_id],course_data[type],"")</f>
        <v>eLearning</v>
      </c>
      <c r="K1876" t="str">
        <f>role_course_map[[#This Row],[role_id]] &amp; "|" &amp; role_course_map[[#This Row],[course_id]]</f>
        <v>R0161|999092</v>
      </c>
      <c r="L1876" t="str">
        <f>IF(COUNTIF(role_course_map[mapping_key],role_course_map[[#This Row],[mapping_key]])&gt;1,"DUPLICATE","OK")</f>
        <v>OK</v>
      </c>
      <c r="M1876" t="str">
        <f>IF(COUNTIF(role_data[role_id],role_course_map[[#This Row],[role_id]])=0, "INVALID","VALID")</f>
        <v>VALID</v>
      </c>
      <c r="N1876" t="str">
        <f>IF(COUNTIF(course_data[course_id],role_course_map[[#This Row],[course_id]])=0, "INVALID","VALID")</f>
        <v>VALID</v>
      </c>
    </row>
    <row r="1877" spans="1:14" x14ac:dyDescent="0.35">
      <c r="A1877" t="s">
        <v>356</v>
      </c>
      <c r="B1877" s="5" t="str">
        <f>_xlfn.XLOOKUP(role_course_map[[#This Row],[role_id]], role_data[role_id], role_data[Role],"")</f>
        <v>Head of Infection Prevention and Control</v>
      </c>
      <c r="C1877">
        <v>999093</v>
      </c>
      <c r="D1877" s="5" t="str">
        <f>_xlfn.XLOOKUP(role_course_map[[#This Row],[course_id]],course_data[course_id],course_data[title],"")</f>
        <v>Managing Wellbeing Refresher for Managers</v>
      </c>
      <c r="E1877" s="5" t="str">
        <f>_xlfn.XLOOKUP(role_course_map[[#This Row],[course_id]],course_data[course_id],course_data[topic],"")</f>
        <v>SAS: Staff development and experience</v>
      </c>
      <c r="F1877" s="5" t="str">
        <f>_xlfn.XLOOKUP(role_course_map[[#This Row],[course_id]],course_data[course_id],course_data[type],"")</f>
        <v>eLearning</v>
      </c>
      <c r="K1877" t="str">
        <f>role_course_map[[#This Row],[role_id]] &amp; "|" &amp; role_course_map[[#This Row],[course_id]]</f>
        <v>R0171|999093</v>
      </c>
      <c r="L1877" t="str">
        <f>IF(COUNTIF(role_course_map[mapping_key],role_course_map[[#This Row],[mapping_key]])&gt;1,"DUPLICATE","OK")</f>
        <v>OK</v>
      </c>
      <c r="M1877" t="str">
        <f>IF(COUNTIF(role_data[role_id],role_course_map[[#This Row],[role_id]])=0, "INVALID","VALID")</f>
        <v>VALID</v>
      </c>
      <c r="N1877" t="str">
        <f>IF(COUNTIF(course_data[course_id],role_course_map[[#This Row],[course_id]])=0, "INVALID","VALID")</f>
        <v>VALID</v>
      </c>
    </row>
    <row r="1878" spans="1:14" x14ac:dyDescent="0.35">
      <c r="A1878" t="s">
        <v>335</v>
      </c>
      <c r="B1878" s="5" t="str">
        <f>_xlfn.XLOOKUP(role_course_map[[#This Row],[role_id]], role_data[role_id], role_data[Role],"")</f>
        <v>Head of Workforce Systems and Analytics</v>
      </c>
      <c r="C1878">
        <v>999094</v>
      </c>
      <c r="D1878" s="5" t="str">
        <f>_xlfn.XLOOKUP(role_course_map[[#This Row],[course_id]],course_data[course_id],course_data[title],"")</f>
        <v>Being well, Mind, Body &amp; Workplace</v>
      </c>
      <c r="E1878" s="5" t="str">
        <f>_xlfn.XLOOKUP(role_course_map[[#This Row],[course_id]],course_data[course_id],course_data[topic],"")</f>
        <v>SAS: Staff development and experience</v>
      </c>
      <c r="F1878" s="5" t="str">
        <f>_xlfn.XLOOKUP(role_course_map[[#This Row],[course_id]],course_data[course_id],course_data[type],"")</f>
        <v>eLearning</v>
      </c>
      <c r="K1878" t="str">
        <f>role_course_map[[#This Row],[role_id]] &amp; "|" &amp; role_course_map[[#This Row],[course_id]]</f>
        <v>R0161|999094</v>
      </c>
      <c r="L1878" t="str">
        <f>IF(COUNTIF(role_course_map[mapping_key],role_course_map[[#This Row],[mapping_key]])&gt;1,"DUPLICATE","OK")</f>
        <v>OK</v>
      </c>
      <c r="M1878" t="str">
        <f>IF(COUNTIF(role_data[role_id],role_course_map[[#This Row],[role_id]])=0, "INVALID","VALID")</f>
        <v>VALID</v>
      </c>
      <c r="N1878" t="str">
        <f>IF(COUNTIF(course_data[course_id],role_course_map[[#This Row],[course_id]])=0, "INVALID","VALID")</f>
        <v>VALID</v>
      </c>
    </row>
    <row r="1879" spans="1:14" x14ac:dyDescent="0.35">
      <c r="A1879" t="s">
        <v>356</v>
      </c>
      <c r="B1879" s="5" t="str">
        <f>_xlfn.XLOOKUP(role_course_map[[#This Row],[role_id]], role_data[role_id], role_data[Role],"")</f>
        <v>Head of Infection Prevention and Control</v>
      </c>
      <c r="C1879">
        <v>999062</v>
      </c>
      <c r="D1879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1879" s="5" t="str">
        <f>_xlfn.XLOOKUP(role_course_map[[#This Row],[course_id]],course_data[course_id],course_data[topic],"")</f>
        <v>SAS : Health and Safety</v>
      </c>
      <c r="F1879" s="5" t="str">
        <f>_xlfn.XLOOKUP(role_course_map[[#This Row],[course_id]],course_data[course_id],course_data[type],"")</f>
        <v>Course</v>
      </c>
      <c r="K1879" t="str">
        <f>role_course_map[[#This Row],[role_id]] &amp; "|" &amp; role_course_map[[#This Row],[course_id]]</f>
        <v>R0171|999062</v>
      </c>
      <c r="L1879" t="str">
        <f>IF(COUNTIF(role_course_map[mapping_key],role_course_map[[#This Row],[mapping_key]])&gt;1,"DUPLICATE","OK")</f>
        <v>OK</v>
      </c>
      <c r="M1879" t="str">
        <f>IF(COUNTIF(role_data[role_id],role_course_map[[#This Row],[role_id]])=0, "INVALID","VALID")</f>
        <v>VALID</v>
      </c>
      <c r="N1879" t="str">
        <f>IF(COUNTIF(course_data[course_id],role_course_map[[#This Row],[course_id]])=0, "INVALID","VALID")</f>
        <v>VALID</v>
      </c>
    </row>
    <row r="1880" spans="1:14" x14ac:dyDescent="0.35">
      <c r="A1880" t="s">
        <v>389</v>
      </c>
      <c r="B1880" s="5" t="str">
        <f>_xlfn.XLOOKUP(role_course_map[[#This Row],[role_id]], role_data[role_id], role_data[Role],"")</f>
        <v>Head of Information Governance</v>
      </c>
      <c r="C1880">
        <v>999058</v>
      </c>
      <c r="D1880" s="5" t="str">
        <f>_xlfn.XLOOKUP(role_course_map[[#This Row],[course_id]],course_data[course_id],course_data[title],"")</f>
        <v>Stress Identification &amp; Stress Management</v>
      </c>
      <c r="E1880" s="5" t="str">
        <f>_xlfn.XLOOKUP(role_course_map[[#This Row],[course_id]],course_data[course_id],course_data[topic],"")</f>
        <v>SAS : Health and Safety</v>
      </c>
      <c r="F1880" s="5" t="str">
        <f>_xlfn.XLOOKUP(role_course_map[[#This Row],[course_id]],course_data[course_id],course_data[type],"")</f>
        <v>eLearning</v>
      </c>
      <c r="K1880" t="str">
        <f>role_course_map[[#This Row],[role_id]] &amp; "|" &amp; role_course_map[[#This Row],[course_id]]</f>
        <v>R0185|999058</v>
      </c>
      <c r="L1880" t="str">
        <f>IF(COUNTIF(role_course_map[mapping_key],role_course_map[[#This Row],[mapping_key]])&gt;1,"DUPLICATE","OK")</f>
        <v>OK</v>
      </c>
      <c r="M1880" t="str">
        <f>IF(COUNTIF(role_data[role_id],role_course_map[[#This Row],[role_id]])=0, "INVALID","VALID")</f>
        <v>VALID</v>
      </c>
      <c r="N1880" t="str">
        <f>IF(COUNTIF(course_data[course_id],role_course_map[[#This Row],[course_id]])=0, "INVALID","VALID")</f>
        <v>VALID</v>
      </c>
    </row>
    <row r="1881" spans="1:14" x14ac:dyDescent="0.35">
      <c r="A1881" t="s">
        <v>389</v>
      </c>
      <c r="B1881" s="5" t="str">
        <f>_xlfn.XLOOKUP(role_course_map[[#This Row],[role_id]], role_data[role_id], role_data[Role],"")</f>
        <v>Head of Information Governance</v>
      </c>
      <c r="C1881">
        <v>79147</v>
      </c>
      <c r="D1881" s="5" t="str">
        <f>_xlfn.XLOOKUP(role_course_map[[#This Row],[course_id]],course_data[course_id],course_data[title],"")</f>
        <v>Driving risks at work</v>
      </c>
      <c r="E1881" s="5" t="str">
        <f>_xlfn.XLOOKUP(role_course_map[[#This Row],[course_id]],course_data[course_id],course_data[topic],"")</f>
        <v>SAS : Health and Safety</v>
      </c>
      <c r="F1881" s="5" t="str">
        <f>_xlfn.XLOOKUP(role_course_map[[#This Row],[course_id]],course_data[course_id],course_data[type],"")</f>
        <v>eLearning</v>
      </c>
      <c r="K1881" t="str">
        <f>role_course_map[[#This Row],[role_id]] &amp; "|" &amp; role_course_map[[#This Row],[course_id]]</f>
        <v>R0185|79147</v>
      </c>
      <c r="L1881" t="str">
        <f>IF(COUNTIF(role_course_map[mapping_key],role_course_map[[#This Row],[mapping_key]])&gt;1,"DUPLICATE","OK")</f>
        <v>OK</v>
      </c>
      <c r="M1881" t="str">
        <f>IF(COUNTIF(role_data[role_id],role_course_map[[#This Row],[role_id]])=0, "INVALID","VALID")</f>
        <v>VALID</v>
      </c>
      <c r="N1881" t="str">
        <f>IF(COUNTIF(course_data[course_id],role_course_map[[#This Row],[course_id]])=0, "INVALID","VALID")</f>
        <v>VALID</v>
      </c>
    </row>
    <row r="1882" spans="1:14" x14ac:dyDescent="0.35">
      <c r="A1882" t="s">
        <v>356</v>
      </c>
      <c r="B1882" s="5" t="str">
        <f>_xlfn.XLOOKUP(role_course_map[[#This Row],[role_id]], role_data[role_id], role_data[Role],"")</f>
        <v>Head of Infection Prevention and Control</v>
      </c>
      <c r="C1882">
        <v>999057</v>
      </c>
      <c r="D1882" s="5" t="str">
        <f>_xlfn.XLOOKUP(role_course_map[[#This Row],[course_id]],course_data[course_id],course_data[title],"")</f>
        <v>Fatigue Awareness</v>
      </c>
      <c r="E1882" s="5" t="str">
        <f>_xlfn.XLOOKUP(role_course_map[[#This Row],[course_id]],course_data[course_id],course_data[topic],"")</f>
        <v>SAS : Health and Safety</v>
      </c>
      <c r="F1882" s="5" t="str">
        <f>_xlfn.XLOOKUP(role_course_map[[#This Row],[course_id]],course_data[course_id],course_data[type],"")</f>
        <v>eLearning</v>
      </c>
      <c r="K1882" t="str">
        <f>role_course_map[[#This Row],[role_id]] &amp; "|" &amp; role_course_map[[#This Row],[course_id]]</f>
        <v>R0171|999057</v>
      </c>
      <c r="L1882" t="str">
        <f>IF(COUNTIF(role_course_map[mapping_key],role_course_map[[#This Row],[mapping_key]])&gt;1,"DUPLICATE","OK")</f>
        <v>OK</v>
      </c>
      <c r="M1882" t="str">
        <f>IF(COUNTIF(role_data[role_id],role_course_map[[#This Row],[role_id]])=0, "INVALID","VALID")</f>
        <v>VALID</v>
      </c>
      <c r="N1882" t="str">
        <f>IF(COUNTIF(course_data[course_id],role_course_map[[#This Row],[course_id]])=0, "INVALID","VALID")</f>
        <v>VALID</v>
      </c>
    </row>
    <row r="1883" spans="1:14" x14ac:dyDescent="0.35">
      <c r="A1883" t="s">
        <v>389</v>
      </c>
      <c r="B1883" s="5" t="str">
        <f>_xlfn.XLOOKUP(role_course_map[[#This Row],[role_id]], role_data[role_id], role_data[Role],"")</f>
        <v>Head of Information Governance</v>
      </c>
      <c r="C1883">
        <v>999091</v>
      </c>
      <c r="D1883" s="5" t="str">
        <f>_xlfn.XLOOKUP(role_course_map[[#This Row],[course_id]],course_data[course_id],course_data[title],"")</f>
        <v>Intermediate Leadership Development Programme</v>
      </c>
      <c r="E1883" s="5" t="str">
        <f>_xlfn.XLOOKUP(role_course_map[[#This Row],[course_id]],course_data[course_id],course_data[topic],"")</f>
        <v>SAS: Staff development and experience</v>
      </c>
      <c r="F1883" s="5">
        <f>_xlfn.XLOOKUP(role_course_map[[#This Row],[course_id]],course_data[course_id],course_data[type],"")</f>
        <v>0</v>
      </c>
      <c r="K1883" t="str">
        <f>role_course_map[[#This Row],[role_id]] &amp; "|" &amp; role_course_map[[#This Row],[course_id]]</f>
        <v>R0185|999091</v>
      </c>
      <c r="L1883" t="str">
        <f>IF(COUNTIF(role_course_map[mapping_key],role_course_map[[#This Row],[mapping_key]])&gt;1,"DUPLICATE","OK")</f>
        <v>OK</v>
      </c>
      <c r="M1883" t="str">
        <f>IF(COUNTIF(role_data[role_id],role_course_map[[#This Row],[role_id]])=0, "INVALID","VALID")</f>
        <v>VALID</v>
      </c>
      <c r="N1883" t="str">
        <f>IF(COUNTIF(course_data[course_id],role_course_map[[#This Row],[course_id]])=0, "INVALID","VALID")</f>
        <v>VALID</v>
      </c>
    </row>
    <row r="1884" spans="1:14" x14ac:dyDescent="0.35">
      <c r="A1884" t="s">
        <v>389</v>
      </c>
      <c r="B1884" s="5" t="str">
        <f>_xlfn.XLOOKUP(role_course_map[[#This Row],[role_id]], role_data[role_id], role_data[Role],"")</f>
        <v>Head of Information Governance</v>
      </c>
      <c r="C1884">
        <v>999090</v>
      </c>
      <c r="D1884" s="5" t="str">
        <f>_xlfn.XLOOKUP(role_course_map[[#This Row],[course_id]],course_data[course_id],course_data[title],"")</f>
        <v>Leading for the Future</v>
      </c>
      <c r="E1884" s="5" t="str">
        <f>_xlfn.XLOOKUP(role_course_map[[#This Row],[course_id]],course_data[course_id],course_data[topic],"")</f>
        <v>SAS: Staff development and experience</v>
      </c>
      <c r="F1884" s="5">
        <f>_xlfn.XLOOKUP(role_course_map[[#This Row],[course_id]],course_data[course_id],course_data[type],"")</f>
        <v>0</v>
      </c>
      <c r="K1884" t="str">
        <f>role_course_map[[#This Row],[role_id]] &amp; "|" &amp; role_course_map[[#This Row],[course_id]]</f>
        <v>R0185|999090</v>
      </c>
      <c r="L1884" t="str">
        <f>IF(COUNTIF(role_course_map[mapping_key],role_course_map[[#This Row],[mapping_key]])&gt;1,"DUPLICATE","OK")</f>
        <v>OK</v>
      </c>
      <c r="M1884" t="str">
        <f>IF(COUNTIF(role_data[role_id],role_course_map[[#This Row],[role_id]])=0, "INVALID","VALID")</f>
        <v>VALID</v>
      </c>
      <c r="N1884" t="str">
        <f>IF(COUNTIF(course_data[course_id],role_course_map[[#This Row],[course_id]])=0, "INVALID","VALID")</f>
        <v>VALID</v>
      </c>
    </row>
    <row r="1885" spans="1:14" x14ac:dyDescent="0.35">
      <c r="A1885" t="s">
        <v>356</v>
      </c>
      <c r="B1885" s="5" t="str">
        <f>_xlfn.XLOOKUP(role_course_map[[#This Row],[role_id]], role_data[role_id], role_data[Role],"")</f>
        <v>Head of Infection Prevention and Control</v>
      </c>
      <c r="C1885">
        <v>999092</v>
      </c>
      <c r="D1885" s="5" t="str">
        <f>_xlfn.XLOOKUP(role_course_map[[#This Row],[course_id]],course_data[course_id],course_data[title],"")</f>
        <v>Health &amp; Wellbeing Awareness for Managers</v>
      </c>
      <c r="E1885" s="5" t="str">
        <f>_xlfn.XLOOKUP(role_course_map[[#This Row],[course_id]],course_data[course_id],course_data[topic],"")</f>
        <v>SAS: Staff development and experience</v>
      </c>
      <c r="F1885" s="5" t="str">
        <f>_xlfn.XLOOKUP(role_course_map[[#This Row],[course_id]],course_data[course_id],course_data[type],"")</f>
        <v>eLearning</v>
      </c>
      <c r="K1885" t="str">
        <f>role_course_map[[#This Row],[role_id]] &amp; "|" &amp; role_course_map[[#This Row],[course_id]]</f>
        <v>R0171|999092</v>
      </c>
      <c r="L1885" t="str">
        <f>IF(COUNTIF(role_course_map[mapping_key],role_course_map[[#This Row],[mapping_key]])&gt;1,"DUPLICATE","OK")</f>
        <v>OK</v>
      </c>
      <c r="M1885" t="str">
        <f>IF(COUNTIF(role_data[role_id],role_course_map[[#This Row],[role_id]])=0, "INVALID","VALID")</f>
        <v>VALID</v>
      </c>
      <c r="N1885" t="str">
        <f>IF(COUNTIF(course_data[course_id],role_course_map[[#This Row],[course_id]])=0, "INVALID","VALID")</f>
        <v>VALID</v>
      </c>
    </row>
    <row r="1886" spans="1:14" x14ac:dyDescent="0.35">
      <c r="A1886" t="s">
        <v>389</v>
      </c>
      <c r="B1886" s="5" t="str">
        <f>_xlfn.XLOOKUP(role_course_map[[#This Row],[role_id]], role_data[role_id], role_data[Role],"")</f>
        <v>Head of Information Governance</v>
      </c>
      <c r="C1886">
        <v>999093</v>
      </c>
      <c r="D1886" s="5" t="str">
        <f>_xlfn.XLOOKUP(role_course_map[[#This Row],[course_id]],course_data[course_id],course_data[title],"")</f>
        <v>Managing Wellbeing Refresher for Managers</v>
      </c>
      <c r="E1886" s="5" t="str">
        <f>_xlfn.XLOOKUP(role_course_map[[#This Row],[course_id]],course_data[course_id],course_data[topic],"")</f>
        <v>SAS: Staff development and experience</v>
      </c>
      <c r="F1886" s="5" t="str">
        <f>_xlfn.XLOOKUP(role_course_map[[#This Row],[course_id]],course_data[course_id],course_data[type],"")</f>
        <v>eLearning</v>
      </c>
      <c r="K1886" t="str">
        <f>role_course_map[[#This Row],[role_id]] &amp; "|" &amp; role_course_map[[#This Row],[course_id]]</f>
        <v>R0185|999093</v>
      </c>
      <c r="L1886" t="str">
        <f>IF(COUNTIF(role_course_map[mapping_key],role_course_map[[#This Row],[mapping_key]])&gt;1,"DUPLICATE","OK")</f>
        <v>OK</v>
      </c>
      <c r="M1886" t="str">
        <f>IF(COUNTIF(role_data[role_id],role_course_map[[#This Row],[role_id]])=0, "INVALID","VALID")</f>
        <v>VALID</v>
      </c>
      <c r="N1886" t="str">
        <f>IF(COUNTIF(course_data[course_id],role_course_map[[#This Row],[course_id]])=0, "INVALID","VALID")</f>
        <v>VALID</v>
      </c>
    </row>
    <row r="1887" spans="1:14" x14ac:dyDescent="0.35">
      <c r="A1887" t="s">
        <v>356</v>
      </c>
      <c r="B1887" s="5" t="str">
        <f>_xlfn.XLOOKUP(role_course_map[[#This Row],[role_id]], role_data[role_id], role_data[Role],"")</f>
        <v>Head of Infection Prevention and Control</v>
      </c>
      <c r="C1887">
        <v>999094</v>
      </c>
      <c r="D1887" s="5" t="str">
        <f>_xlfn.XLOOKUP(role_course_map[[#This Row],[course_id]],course_data[course_id],course_data[title],"")</f>
        <v>Being well, Mind, Body &amp; Workplace</v>
      </c>
      <c r="E1887" s="5" t="str">
        <f>_xlfn.XLOOKUP(role_course_map[[#This Row],[course_id]],course_data[course_id],course_data[topic],"")</f>
        <v>SAS: Staff development and experience</v>
      </c>
      <c r="F1887" s="5" t="str">
        <f>_xlfn.XLOOKUP(role_course_map[[#This Row],[course_id]],course_data[course_id],course_data[type],"")</f>
        <v>eLearning</v>
      </c>
      <c r="K1887" t="str">
        <f>role_course_map[[#This Row],[role_id]] &amp; "|" &amp; role_course_map[[#This Row],[course_id]]</f>
        <v>R0171|999094</v>
      </c>
      <c r="L1887" t="str">
        <f>IF(COUNTIF(role_course_map[mapping_key],role_course_map[[#This Row],[mapping_key]])&gt;1,"DUPLICATE","OK")</f>
        <v>OK</v>
      </c>
      <c r="M1887" t="str">
        <f>IF(COUNTIF(role_data[role_id],role_course_map[[#This Row],[role_id]])=0, "INVALID","VALID")</f>
        <v>VALID</v>
      </c>
      <c r="N1887" t="str">
        <f>IF(COUNTIF(course_data[course_id],role_course_map[[#This Row],[course_id]])=0, "INVALID","VALID")</f>
        <v>VALID</v>
      </c>
    </row>
    <row r="1888" spans="1:14" x14ac:dyDescent="0.35">
      <c r="A1888" t="s">
        <v>389</v>
      </c>
      <c r="B1888" s="5" t="str">
        <f>_xlfn.XLOOKUP(role_course_map[[#This Row],[role_id]], role_data[role_id], role_data[Role],"")</f>
        <v>Head of Information Governance</v>
      </c>
      <c r="C1888">
        <v>999062</v>
      </c>
      <c r="D1888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1888" s="5" t="str">
        <f>_xlfn.XLOOKUP(role_course_map[[#This Row],[course_id]],course_data[course_id],course_data[topic],"")</f>
        <v>SAS : Health and Safety</v>
      </c>
      <c r="F1888" s="5" t="str">
        <f>_xlfn.XLOOKUP(role_course_map[[#This Row],[course_id]],course_data[course_id],course_data[type],"")</f>
        <v>Course</v>
      </c>
      <c r="K1888" t="str">
        <f>role_course_map[[#This Row],[role_id]] &amp; "|" &amp; role_course_map[[#This Row],[course_id]]</f>
        <v>R0185|999062</v>
      </c>
      <c r="L1888" t="str">
        <f>IF(COUNTIF(role_course_map[mapping_key],role_course_map[[#This Row],[mapping_key]])&gt;1,"DUPLICATE","OK")</f>
        <v>OK</v>
      </c>
      <c r="M1888" t="str">
        <f>IF(COUNTIF(role_data[role_id],role_course_map[[#This Row],[role_id]])=0, "INVALID","VALID")</f>
        <v>VALID</v>
      </c>
      <c r="N1888" t="str">
        <f>IF(COUNTIF(course_data[course_id],role_course_map[[#This Row],[course_id]])=0, "INVALID","VALID")</f>
        <v>VALID</v>
      </c>
    </row>
    <row r="1889" spans="1:14" x14ac:dyDescent="0.35">
      <c r="A1889" t="s">
        <v>230</v>
      </c>
      <c r="B1889" s="5" t="str">
        <f>_xlfn.XLOOKUP(role_course_map[[#This Row],[role_id]], role_data[role_id], role_data[Role],"")</f>
        <v>Head of Risk and Resilience</v>
      </c>
      <c r="C1889">
        <v>999058</v>
      </c>
      <c r="D1889" s="5" t="str">
        <f>_xlfn.XLOOKUP(role_course_map[[#This Row],[course_id]],course_data[course_id],course_data[title],"")</f>
        <v>Stress Identification &amp; Stress Management</v>
      </c>
      <c r="E1889" s="5" t="str">
        <f>_xlfn.XLOOKUP(role_course_map[[#This Row],[course_id]],course_data[course_id],course_data[topic],"")</f>
        <v>SAS : Health and Safety</v>
      </c>
      <c r="F1889" s="5" t="str">
        <f>_xlfn.XLOOKUP(role_course_map[[#This Row],[course_id]],course_data[course_id],course_data[type],"")</f>
        <v>eLearning</v>
      </c>
      <c r="K1889" t="str">
        <f>role_course_map[[#This Row],[role_id]] &amp; "|" &amp; role_course_map[[#This Row],[course_id]]</f>
        <v>R0108|999058</v>
      </c>
      <c r="L1889" t="str">
        <f>IF(COUNTIF(role_course_map[mapping_key],role_course_map[[#This Row],[mapping_key]])&gt;1,"DUPLICATE","OK")</f>
        <v>OK</v>
      </c>
      <c r="M1889" t="str">
        <f>IF(COUNTIF(role_data[role_id],role_course_map[[#This Row],[role_id]])=0, "INVALID","VALID")</f>
        <v>VALID</v>
      </c>
      <c r="N1889" t="str">
        <f>IF(COUNTIF(course_data[course_id],role_course_map[[#This Row],[course_id]])=0, "INVALID","VALID")</f>
        <v>VALID</v>
      </c>
    </row>
    <row r="1890" spans="1:14" x14ac:dyDescent="0.35">
      <c r="A1890" t="s">
        <v>230</v>
      </c>
      <c r="B1890" s="5" t="str">
        <f>_xlfn.XLOOKUP(role_course_map[[#This Row],[role_id]], role_data[role_id], role_data[Role],"")</f>
        <v>Head of Risk and Resilience</v>
      </c>
      <c r="C1890">
        <v>79147</v>
      </c>
      <c r="D1890" s="5" t="str">
        <f>_xlfn.XLOOKUP(role_course_map[[#This Row],[course_id]],course_data[course_id],course_data[title],"")</f>
        <v>Driving risks at work</v>
      </c>
      <c r="E1890" s="5" t="str">
        <f>_xlfn.XLOOKUP(role_course_map[[#This Row],[course_id]],course_data[course_id],course_data[topic],"")</f>
        <v>SAS : Health and Safety</v>
      </c>
      <c r="F1890" s="5" t="str">
        <f>_xlfn.XLOOKUP(role_course_map[[#This Row],[course_id]],course_data[course_id],course_data[type],"")</f>
        <v>eLearning</v>
      </c>
      <c r="K1890" t="str">
        <f>role_course_map[[#This Row],[role_id]] &amp; "|" &amp; role_course_map[[#This Row],[course_id]]</f>
        <v>R0108|79147</v>
      </c>
      <c r="L1890" t="str">
        <f>IF(COUNTIF(role_course_map[mapping_key],role_course_map[[#This Row],[mapping_key]])&gt;1,"DUPLICATE","OK")</f>
        <v>OK</v>
      </c>
      <c r="M1890" t="str">
        <f>IF(COUNTIF(role_data[role_id],role_course_map[[#This Row],[role_id]])=0, "INVALID","VALID")</f>
        <v>VALID</v>
      </c>
      <c r="N1890" t="str">
        <f>IF(COUNTIF(course_data[course_id],role_course_map[[#This Row],[course_id]])=0, "INVALID","VALID")</f>
        <v>VALID</v>
      </c>
    </row>
    <row r="1891" spans="1:14" x14ac:dyDescent="0.35">
      <c r="A1891" t="s">
        <v>389</v>
      </c>
      <c r="B1891" s="5" t="str">
        <f>_xlfn.XLOOKUP(role_course_map[[#This Row],[role_id]], role_data[role_id], role_data[Role],"")</f>
        <v>Head of Information Governance</v>
      </c>
      <c r="C1891">
        <v>999057</v>
      </c>
      <c r="D1891" s="5" t="str">
        <f>_xlfn.XLOOKUP(role_course_map[[#This Row],[course_id]],course_data[course_id],course_data[title],"")</f>
        <v>Fatigue Awareness</v>
      </c>
      <c r="E1891" s="5" t="str">
        <f>_xlfn.XLOOKUP(role_course_map[[#This Row],[course_id]],course_data[course_id],course_data[topic],"")</f>
        <v>SAS : Health and Safety</v>
      </c>
      <c r="F1891" s="5" t="str">
        <f>_xlfn.XLOOKUP(role_course_map[[#This Row],[course_id]],course_data[course_id],course_data[type],"")</f>
        <v>eLearning</v>
      </c>
      <c r="K1891" t="str">
        <f>role_course_map[[#This Row],[role_id]] &amp; "|" &amp; role_course_map[[#This Row],[course_id]]</f>
        <v>R0185|999057</v>
      </c>
      <c r="L1891" t="str">
        <f>IF(COUNTIF(role_course_map[mapping_key],role_course_map[[#This Row],[mapping_key]])&gt;1,"DUPLICATE","OK")</f>
        <v>OK</v>
      </c>
      <c r="M1891" t="str">
        <f>IF(COUNTIF(role_data[role_id],role_course_map[[#This Row],[role_id]])=0, "INVALID","VALID")</f>
        <v>VALID</v>
      </c>
      <c r="N1891" t="str">
        <f>IF(COUNTIF(course_data[course_id],role_course_map[[#This Row],[course_id]])=0, "INVALID","VALID")</f>
        <v>VALID</v>
      </c>
    </row>
    <row r="1892" spans="1:14" x14ac:dyDescent="0.35">
      <c r="A1892" t="s">
        <v>230</v>
      </c>
      <c r="B1892" s="5" t="str">
        <f>_xlfn.XLOOKUP(role_course_map[[#This Row],[role_id]], role_data[role_id], role_data[Role],"")</f>
        <v>Head of Risk and Resilience</v>
      </c>
      <c r="C1892">
        <v>999091</v>
      </c>
      <c r="D1892" s="5" t="str">
        <f>_xlfn.XLOOKUP(role_course_map[[#This Row],[course_id]],course_data[course_id],course_data[title],"")</f>
        <v>Intermediate Leadership Development Programme</v>
      </c>
      <c r="E1892" s="5" t="str">
        <f>_xlfn.XLOOKUP(role_course_map[[#This Row],[course_id]],course_data[course_id],course_data[topic],"")</f>
        <v>SAS: Staff development and experience</v>
      </c>
      <c r="F1892" s="5">
        <f>_xlfn.XLOOKUP(role_course_map[[#This Row],[course_id]],course_data[course_id],course_data[type],"")</f>
        <v>0</v>
      </c>
      <c r="K1892" t="str">
        <f>role_course_map[[#This Row],[role_id]] &amp; "|" &amp; role_course_map[[#This Row],[course_id]]</f>
        <v>R0108|999091</v>
      </c>
      <c r="L1892" t="str">
        <f>IF(COUNTIF(role_course_map[mapping_key],role_course_map[[#This Row],[mapping_key]])&gt;1,"DUPLICATE","OK")</f>
        <v>OK</v>
      </c>
      <c r="M1892" t="str">
        <f>IF(COUNTIF(role_data[role_id],role_course_map[[#This Row],[role_id]])=0, "INVALID","VALID")</f>
        <v>VALID</v>
      </c>
      <c r="N1892" t="str">
        <f>IF(COUNTIF(course_data[course_id],role_course_map[[#This Row],[course_id]])=0, "INVALID","VALID")</f>
        <v>VALID</v>
      </c>
    </row>
    <row r="1893" spans="1:14" x14ac:dyDescent="0.35">
      <c r="A1893" t="s">
        <v>230</v>
      </c>
      <c r="B1893" s="5" t="str">
        <f>_xlfn.XLOOKUP(role_course_map[[#This Row],[role_id]], role_data[role_id], role_data[Role],"")</f>
        <v>Head of Risk and Resilience</v>
      </c>
      <c r="C1893">
        <v>999090</v>
      </c>
      <c r="D1893" s="5" t="str">
        <f>_xlfn.XLOOKUP(role_course_map[[#This Row],[course_id]],course_data[course_id],course_data[title],"")</f>
        <v>Leading for the Future</v>
      </c>
      <c r="E1893" s="5" t="str">
        <f>_xlfn.XLOOKUP(role_course_map[[#This Row],[course_id]],course_data[course_id],course_data[topic],"")</f>
        <v>SAS: Staff development and experience</v>
      </c>
      <c r="F1893" s="5">
        <f>_xlfn.XLOOKUP(role_course_map[[#This Row],[course_id]],course_data[course_id],course_data[type],"")</f>
        <v>0</v>
      </c>
      <c r="K1893" t="str">
        <f>role_course_map[[#This Row],[role_id]] &amp; "|" &amp; role_course_map[[#This Row],[course_id]]</f>
        <v>R0108|999090</v>
      </c>
      <c r="L1893" t="str">
        <f>IF(COUNTIF(role_course_map[mapping_key],role_course_map[[#This Row],[mapping_key]])&gt;1,"DUPLICATE","OK")</f>
        <v>OK</v>
      </c>
      <c r="M1893" t="str">
        <f>IF(COUNTIF(role_data[role_id],role_course_map[[#This Row],[role_id]])=0, "INVALID","VALID")</f>
        <v>VALID</v>
      </c>
      <c r="N1893" t="str">
        <f>IF(COUNTIF(course_data[course_id],role_course_map[[#This Row],[course_id]])=0, "INVALID","VALID")</f>
        <v>VALID</v>
      </c>
    </row>
    <row r="1894" spans="1:14" x14ac:dyDescent="0.35">
      <c r="A1894" t="s">
        <v>389</v>
      </c>
      <c r="B1894" s="5" t="str">
        <f>_xlfn.XLOOKUP(role_course_map[[#This Row],[role_id]], role_data[role_id], role_data[Role],"")</f>
        <v>Head of Information Governance</v>
      </c>
      <c r="C1894">
        <v>999092</v>
      </c>
      <c r="D1894" s="5" t="str">
        <f>_xlfn.XLOOKUP(role_course_map[[#This Row],[course_id]],course_data[course_id],course_data[title],"")</f>
        <v>Health &amp; Wellbeing Awareness for Managers</v>
      </c>
      <c r="E1894" s="5" t="str">
        <f>_xlfn.XLOOKUP(role_course_map[[#This Row],[course_id]],course_data[course_id],course_data[topic],"")</f>
        <v>SAS: Staff development and experience</v>
      </c>
      <c r="F1894" s="5" t="str">
        <f>_xlfn.XLOOKUP(role_course_map[[#This Row],[course_id]],course_data[course_id],course_data[type],"")</f>
        <v>eLearning</v>
      </c>
      <c r="K1894" t="str">
        <f>role_course_map[[#This Row],[role_id]] &amp; "|" &amp; role_course_map[[#This Row],[course_id]]</f>
        <v>R0185|999092</v>
      </c>
      <c r="L1894" t="str">
        <f>IF(COUNTIF(role_course_map[mapping_key],role_course_map[[#This Row],[mapping_key]])&gt;1,"DUPLICATE","OK")</f>
        <v>OK</v>
      </c>
      <c r="M1894" t="str">
        <f>IF(COUNTIF(role_data[role_id],role_course_map[[#This Row],[role_id]])=0, "INVALID","VALID")</f>
        <v>VALID</v>
      </c>
      <c r="N1894" t="str">
        <f>IF(COUNTIF(course_data[course_id],role_course_map[[#This Row],[course_id]])=0, "INVALID","VALID")</f>
        <v>VALID</v>
      </c>
    </row>
    <row r="1895" spans="1:14" x14ac:dyDescent="0.35">
      <c r="A1895" t="s">
        <v>230</v>
      </c>
      <c r="B1895" s="5" t="str">
        <f>_xlfn.XLOOKUP(role_course_map[[#This Row],[role_id]], role_data[role_id], role_data[Role],"")</f>
        <v>Head of Risk and Resilience</v>
      </c>
      <c r="C1895">
        <v>999093</v>
      </c>
      <c r="D1895" s="5" t="str">
        <f>_xlfn.XLOOKUP(role_course_map[[#This Row],[course_id]],course_data[course_id],course_data[title],"")</f>
        <v>Managing Wellbeing Refresher for Managers</v>
      </c>
      <c r="E1895" s="5" t="str">
        <f>_xlfn.XLOOKUP(role_course_map[[#This Row],[course_id]],course_data[course_id],course_data[topic],"")</f>
        <v>SAS: Staff development and experience</v>
      </c>
      <c r="F1895" s="5" t="str">
        <f>_xlfn.XLOOKUP(role_course_map[[#This Row],[course_id]],course_data[course_id],course_data[type],"")</f>
        <v>eLearning</v>
      </c>
      <c r="K1895" t="str">
        <f>role_course_map[[#This Row],[role_id]] &amp; "|" &amp; role_course_map[[#This Row],[course_id]]</f>
        <v>R0108|999093</v>
      </c>
      <c r="L1895" t="str">
        <f>IF(COUNTIF(role_course_map[mapping_key],role_course_map[[#This Row],[mapping_key]])&gt;1,"DUPLICATE","OK")</f>
        <v>OK</v>
      </c>
      <c r="M1895" t="str">
        <f>IF(COUNTIF(role_data[role_id],role_course_map[[#This Row],[role_id]])=0, "INVALID","VALID")</f>
        <v>VALID</v>
      </c>
      <c r="N1895" t="str">
        <f>IF(COUNTIF(course_data[course_id],role_course_map[[#This Row],[course_id]])=0, "INVALID","VALID")</f>
        <v>VALID</v>
      </c>
    </row>
    <row r="1896" spans="1:14" x14ac:dyDescent="0.35">
      <c r="A1896" t="s">
        <v>389</v>
      </c>
      <c r="B1896" s="5" t="str">
        <f>_xlfn.XLOOKUP(role_course_map[[#This Row],[role_id]], role_data[role_id], role_data[Role],"")</f>
        <v>Head of Information Governance</v>
      </c>
      <c r="C1896">
        <v>999094</v>
      </c>
      <c r="D1896" s="5" t="str">
        <f>_xlfn.XLOOKUP(role_course_map[[#This Row],[course_id]],course_data[course_id],course_data[title],"")</f>
        <v>Being well, Mind, Body &amp; Workplace</v>
      </c>
      <c r="E1896" s="5" t="str">
        <f>_xlfn.XLOOKUP(role_course_map[[#This Row],[course_id]],course_data[course_id],course_data[topic],"")</f>
        <v>SAS: Staff development and experience</v>
      </c>
      <c r="F1896" s="5" t="str">
        <f>_xlfn.XLOOKUP(role_course_map[[#This Row],[course_id]],course_data[course_id],course_data[type],"")</f>
        <v>eLearning</v>
      </c>
      <c r="K1896" t="str">
        <f>role_course_map[[#This Row],[role_id]] &amp; "|" &amp; role_course_map[[#This Row],[course_id]]</f>
        <v>R0185|999094</v>
      </c>
      <c r="L1896" t="str">
        <f>IF(COUNTIF(role_course_map[mapping_key],role_course_map[[#This Row],[mapping_key]])&gt;1,"DUPLICATE","OK")</f>
        <v>OK</v>
      </c>
      <c r="M1896" t="str">
        <f>IF(COUNTIF(role_data[role_id],role_course_map[[#This Row],[role_id]])=0, "INVALID","VALID")</f>
        <v>VALID</v>
      </c>
      <c r="N1896" t="str">
        <f>IF(COUNTIF(course_data[course_id],role_course_map[[#This Row],[course_id]])=0, "INVALID","VALID")</f>
        <v>VALID</v>
      </c>
    </row>
    <row r="1897" spans="1:14" x14ac:dyDescent="0.35">
      <c r="A1897" t="s">
        <v>230</v>
      </c>
      <c r="B1897" s="5" t="str">
        <f>_xlfn.XLOOKUP(role_course_map[[#This Row],[role_id]], role_data[role_id], role_data[Role],"")</f>
        <v>Head of Risk and Resilience</v>
      </c>
      <c r="C1897">
        <v>999062</v>
      </c>
      <c r="D1897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1897" s="5" t="str">
        <f>_xlfn.XLOOKUP(role_course_map[[#This Row],[course_id]],course_data[course_id],course_data[topic],"")</f>
        <v>SAS : Health and Safety</v>
      </c>
      <c r="F1897" s="5" t="str">
        <f>_xlfn.XLOOKUP(role_course_map[[#This Row],[course_id]],course_data[course_id],course_data[type],"")</f>
        <v>Course</v>
      </c>
      <c r="K1897" t="str">
        <f>role_course_map[[#This Row],[role_id]] &amp; "|" &amp; role_course_map[[#This Row],[course_id]]</f>
        <v>R0108|999062</v>
      </c>
      <c r="L1897" t="str">
        <f>IF(COUNTIF(role_course_map[mapping_key],role_course_map[[#This Row],[mapping_key]])&gt;1,"DUPLICATE","OK")</f>
        <v>OK</v>
      </c>
      <c r="M1897" t="str">
        <f>IF(COUNTIF(role_data[role_id],role_course_map[[#This Row],[role_id]])=0, "INVALID","VALID")</f>
        <v>VALID</v>
      </c>
      <c r="N1897" t="str">
        <f>IF(COUNTIF(course_data[course_id],role_course_map[[#This Row],[course_id]])=0, "INVALID","VALID")</f>
        <v>VALID</v>
      </c>
    </row>
    <row r="1898" spans="1:14" x14ac:dyDescent="0.35">
      <c r="A1898" t="s">
        <v>367</v>
      </c>
      <c r="B1898" s="5" t="str">
        <f>_xlfn.XLOOKUP(role_course_map[[#This Row],[role_id]], role_data[role_id], role_data[Role],"")</f>
        <v>Head of Organisational Development</v>
      </c>
      <c r="C1898">
        <v>999058</v>
      </c>
      <c r="D1898" s="5" t="str">
        <f>_xlfn.XLOOKUP(role_course_map[[#This Row],[course_id]],course_data[course_id],course_data[title],"")</f>
        <v>Stress Identification &amp; Stress Management</v>
      </c>
      <c r="E1898" s="5" t="str">
        <f>_xlfn.XLOOKUP(role_course_map[[#This Row],[course_id]],course_data[course_id],course_data[topic],"")</f>
        <v>SAS : Health and Safety</v>
      </c>
      <c r="F1898" s="5" t="str">
        <f>_xlfn.XLOOKUP(role_course_map[[#This Row],[course_id]],course_data[course_id],course_data[type],"")</f>
        <v>eLearning</v>
      </c>
      <c r="K1898" t="str">
        <f>role_course_map[[#This Row],[role_id]] &amp; "|" &amp; role_course_map[[#This Row],[course_id]]</f>
        <v>R0176|999058</v>
      </c>
      <c r="L1898" t="str">
        <f>IF(COUNTIF(role_course_map[mapping_key],role_course_map[[#This Row],[mapping_key]])&gt;1,"DUPLICATE","OK")</f>
        <v>OK</v>
      </c>
      <c r="M1898" t="str">
        <f>IF(COUNTIF(role_data[role_id],role_course_map[[#This Row],[role_id]])=0, "INVALID","VALID")</f>
        <v>VALID</v>
      </c>
      <c r="N1898" t="str">
        <f>IF(COUNTIF(course_data[course_id],role_course_map[[#This Row],[course_id]])=0, "INVALID","VALID")</f>
        <v>VALID</v>
      </c>
    </row>
    <row r="1899" spans="1:14" x14ac:dyDescent="0.35">
      <c r="A1899" t="s">
        <v>367</v>
      </c>
      <c r="B1899" s="5" t="str">
        <f>_xlfn.XLOOKUP(role_course_map[[#This Row],[role_id]], role_data[role_id], role_data[Role],"")</f>
        <v>Head of Organisational Development</v>
      </c>
      <c r="C1899">
        <v>79147</v>
      </c>
      <c r="D1899" s="5" t="str">
        <f>_xlfn.XLOOKUP(role_course_map[[#This Row],[course_id]],course_data[course_id],course_data[title],"")</f>
        <v>Driving risks at work</v>
      </c>
      <c r="E1899" s="5" t="str">
        <f>_xlfn.XLOOKUP(role_course_map[[#This Row],[course_id]],course_data[course_id],course_data[topic],"")</f>
        <v>SAS : Health and Safety</v>
      </c>
      <c r="F1899" s="5" t="str">
        <f>_xlfn.XLOOKUP(role_course_map[[#This Row],[course_id]],course_data[course_id],course_data[type],"")</f>
        <v>eLearning</v>
      </c>
      <c r="K1899" t="str">
        <f>role_course_map[[#This Row],[role_id]] &amp; "|" &amp; role_course_map[[#This Row],[course_id]]</f>
        <v>R0176|79147</v>
      </c>
      <c r="L1899" t="str">
        <f>IF(COUNTIF(role_course_map[mapping_key],role_course_map[[#This Row],[mapping_key]])&gt;1,"DUPLICATE","OK")</f>
        <v>OK</v>
      </c>
      <c r="M1899" t="str">
        <f>IF(COUNTIF(role_data[role_id],role_course_map[[#This Row],[role_id]])=0, "INVALID","VALID")</f>
        <v>VALID</v>
      </c>
      <c r="N1899" t="str">
        <f>IF(COUNTIF(course_data[course_id],role_course_map[[#This Row],[course_id]])=0, "INVALID","VALID")</f>
        <v>VALID</v>
      </c>
    </row>
    <row r="1900" spans="1:14" x14ac:dyDescent="0.35">
      <c r="A1900" t="s">
        <v>230</v>
      </c>
      <c r="B1900" s="5" t="str">
        <f>_xlfn.XLOOKUP(role_course_map[[#This Row],[role_id]], role_data[role_id], role_data[Role],"")</f>
        <v>Head of Risk and Resilience</v>
      </c>
      <c r="C1900">
        <v>999057</v>
      </c>
      <c r="D1900" s="5" t="str">
        <f>_xlfn.XLOOKUP(role_course_map[[#This Row],[course_id]],course_data[course_id],course_data[title],"")</f>
        <v>Fatigue Awareness</v>
      </c>
      <c r="E1900" s="5" t="str">
        <f>_xlfn.XLOOKUP(role_course_map[[#This Row],[course_id]],course_data[course_id],course_data[topic],"")</f>
        <v>SAS : Health and Safety</v>
      </c>
      <c r="F1900" s="5" t="str">
        <f>_xlfn.XLOOKUP(role_course_map[[#This Row],[course_id]],course_data[course_id],course_data[type],"")</f>
        <v>eLearning</v>
      </c>
      <c r="K1900" t="str">
        <f>role_course_map[[#This Row],[role_id]] &amp; "|" &amp; role_course_map[[#This Row],[course_id]]</f>
        <v>R0108|999057</v>
      </c>
      <c r="L1900" t="str">
        <f>IF(COUNTIF(role_course_map[mapping_key],role_course_map[[#This Row],[mapping_key]])&gt;1,"DUPLICATE","OK")</f>
        <v>OK</v>
      </c>
      <c r="M1900" t="str">
        <f>IF(COUNTIF(role_data[role_id],role_course_map[[#This Row],[role_id]])=0, "INVALID","VALID")</f>
        <v>VALID</v>
      </c>
      <c r="N1900" t="str">
        <f>IF(COUNTIF(course_data[course_id],role_course_map[[#This Row],[course_id]])=0, "INVALID","VALID")</f>
        <v>VALID</v>
      </c>
    </row>
    <row r="1901" spans="1:14" x14ac:dyDescent="0.35">
      <c r="A1901" t="s">
        <v>367</v>
      </c>
      <c r="B1901" s="5" t="str">
        <f>_xlfn.XLOOKUP(role_course_map[[#This Row],[role_id]], role_data[role_id], role_data[Role],"")</f>
        <v>Head of Organisational Development</v>
      </c>
      <c r="C1901">
        <v>999091</v>
      </c>
      <c r="D1901" s="5" t="str">
        <f>_xlfn.XLOOKUP(role_course_map[[#This Row],[course_id]],course_data[course_id],course_data[title],"")</f>
        <v>Intermediate Leadership Development Programme</v>
      </c>
      <c r="E1901" s="5" t="str">
        <f>_xlfn.XLOOKUP(role_course_map[[#This Row],[course_id]],course_data[course_id],course_data[topic],"")</f>
        <v>SAS: Staff development and experience</v>
      </c>
      <c r="F1901" s="5">
        <f>_xlfn.XLOOKUP(role_course_map[[#This Row],[course_id]],course_data[course_id],course_data[type],"")</f>
        <v>0</v>
      </c>
      <c r="K1901" t="str">
        <f>role_course_map[[#This Row],[role_id]] &amp; "|" &amp; role_course_map[[#This Row],[course_id]]</f>
        <v>R0176|999091</v>
      </c>
      <c r="L1901" t="str">
        <f>IF(COUNTIF(role_course_map[mapping_key],role_course_map[[#This Row],[mapping_key]])&gt;1,"DUPLICATE","OK")</f>
        <v>OK</v>
      </c>
      <c r="M1901" t="str">
        <f>IF(COUNTIF(role_data[role_id],role_course_map[[#This Row],[role_id]])=0, "INVALID","VALID")</f>
        <v>VALID</v>
      </c>
      <c r="N1901" t="str">
        <f>IF(COUNTIF(course_data[course_id],role_course_map[[#This Row],[course_id]])=0, "INVALID","VALID")</f>
        <v>VALID</v>
      </c>
    </row>
    <row r="1902" spans="1:14" x14ac:dyDescent="0.35">
      <c r="A1902" t="s">
        <v>367</v>
      </c>
      <c r="B1902" s="5" t="str">
        <f>_xlfn.XLOOKUP(role_course_map[[#This Row],[role_id]], role_data[role_id], role_data[Role],"")</f>
        <v>Head of Organisational Development</v>
      </c>
      <c r="C1902">
        <v>999090</v>
      </c>
      <c r="D1902" s="5" t="str">
        <f>_xlfn.XLOOKUP(role_course_map[[#This Row],[course_id]],course_data[course_id],course_data[title],"")</f>
        <v>Leading for the Future</v>
      </c>
      <c r="E1902" s="5" t="str">
        <f>_xlfn.XLOOKUP(role_course_map[[#This Row],[course_id]],course_data[course_id],course_data[topic],"")</f>
        <v>SAS: Staff development and experience</v>
      </c>
      <c r="F1902" s="5">
        <f>_xlfn.XLOOKUP(role_course_map[[#This Row],[course_id]],course_data[course_id],course_data[type],"")</f>
        <v>0</v>
      </c>
      <c r="K1902" t="str">
        <f>role_course_map[[#This Row],[role_id]] &amp; "|" &amp; role_course_map[[#This Row],[course_id]]</f>
        <v>R0176|999090</v>
      </c>
      <c r="L1902" t="str">
        <f>IF(COUNTIF(role_course_map[mapping_key],role_course_map[[#This Row],[mapping_key]])&gt;1,"DUPLICATE","OK")</f>
        <v>OK</v>
      </c>
      <c r="M1902" t="str">
        <f>IF(COUNTIF(role_data[role_id],role_course_map[[#This Row],[role_id]])=0, "INVALID","VALID")</f>
        <v>VALID</v>
      </c>
      <c r="N1902" t="str">
        <f>IF(COUNTIF(course_data[course_id],role_course_map[[#This Row],[course_id]])=0, "INVALID","VALID")</f>
        <v>VALID</v>
      </c>
    </row>
    <row r="1903" spans="1:14" x14ac:dyDescent="0.35">
      <c r="A1903" t="s">
        <v>230</v>
      </c>
      <c r="B1903" s="5" t="str">
        <f>_xlfn.XLOOKUP(role_course_map[[#This Row],[role_id]], role_data[role_id], role_data[Role],"")</f>
        <v>Head of Risk and Resilience</v>
      </c>
      <c r="C1903">
        <v>999092</v>
      </c>
      <c r="D1903" s="5" t="str">
        <f>_xlfn.XLOOKUP(role_course_map[[#This Row],[course_id]],course_data[course_id],course_data[title],"")</f>
        <v>Health &amp; Wellbeing Awareness for Managers</v>
      </c>
      <c r="E1903" s="5" t="str">
        <f>_xlfn.XLOOKUP(role_course_map[[#This Row],[course_id]],course_data[course_id],course_data[topic],"")</f>
        <v>SAS: Staff development and experience</v>
      </c>
      <c r="F1903" s="5" t="str">
        <f>_xlfn.XLOOKUP(role_course_map[[#This Row],[course_id]],course_data[course_id],course_data[type],"")</f>
        <v>eLearning</v>
      </c>
      <c r="K1903" t="str">
        <f>role_course_map[[#This Row],[role_id]] &amp; "|" &amp; role_course_map[[#This Row],[course_id]]</f>
        <v>R0108|999092</v>
      </c>
      <c r="L1903" t="str">
        <f>IF(COUNTIF(role_course_map[mapping_key],role_course_map[[#This Row],[mapping_key]])&gt;1,"DUPLICATE","OK")</f>
        <v>OK</v>
      </c>
      <c r="M1903" t="str">
        <f>IF(COUNTIF(role_data[role_id],role_course_map[[#This Row],[role_id]])=0, "INVALID","VALID")</f>
        <v>VALID</v>
      </c>
      <c r="N1903" t="str">
        <f>IF(COUNTIF(course_data[course_id],role_course_map[[#This Row],[course_id]])=0, "INVALID","VALID")</f>
        <v>VALID</v>
      </c>
    </row>
    <row r="1904" spans="1:14" x14ac:dyDescent="0.35">
      <c r="A1904" t="s">
        <v>367</v>
      </c>
      <c r="B1904" s="5" t="str">
        <f>_xlfn.XLOOKUP(role_course_map[[#This Row],[role_id]], role_data[role_id], role_data[Role],"")</f>
        <v>Head of Organisational Development</v>
      </c>
      <c r="C1904">
        <v>999093</v>
      </c>
      <c r="D1904" s="5" t="str">
        <f>_xlfn.XLOOKUP(role_course_map[[#This Row],[course_id]],course_data[course_id],course_data[title],"")</f>
        <v>Managing Wellbeing Refresher for Managers</v>
      </c>
      <c r="E1904" s="5" t="str">
        <f>_xlfn.XLOOKUP(role_course_map[[#This Row],[course_id]],course_data[course_id],course_data[topic],"")</f>
        <v>SAS: Staff development and experience</v>
      </c>
      <c r="F1904" s="5" t="str">
        <f>_xlfn.XLOOKUP(role_course_map[[#This Row],[course_id]],course_data[course_id],course_data[type],"")</f>
        <v>eLearning</v>
      </c>
      <c r="K1904" t="str">
        <f>role_course_map[[#This Row],[role_id]] &amp; "|" &amp; role_course_map[[#This Row],[course_id]]</f>
        <v>R0176|999093</v>
      </c>
      <c r="L1904" t="str">
        <f>IF(COUNTIF(role_course_map[mapping_key],role_course_map[[#This Row],[mapping_key]])&gt;1,"DUPLICATE","OK")</f>
        <v>OK</v>
      </c>
      <c r="M1904" t="str">
        <f>IF(COUNTIF(role_data[role_id],role_course_map[[#This Row],[role_id]])=0, "INVALID","VALID")</f>
        <v>VALID</v>
      </c>
      <c r="N1904" t="str">
        <f>IF(COUNTIF(course_data[course_id],role_course_map[[#This Row],[course_id]])=0, "INVALID","VALID")</f>
        <v>VALID</v>
      </c>
    </row>
    <row r="1905" spans="1:14" x14ac:dyDescent="0.35">
      <c r="A1905" t="s">
        <v>230</v>
      </c>
      <c r="B1905" s="5" t="str">
        <f>_xlfn.XLOOKUP(role_course_map[[#This Row],[role_id]], role_data[role_id], role_data[Role],"")</f>
        <v>Head of Risk and Resilience</v>
      </c>
      <c r="C1905">
        <v>999094</v>
      </c>
      <c r="D1905" s="5" t="str">
        <f>_xlfn.XLOOKUP(role_course_map[[#This Row],[course_id]],course_data[course_id],course_data[title],"")</f>
        <v>Being well, Mind, Body &amp; Workplace</v>
      </c>
      <c r="E1905" s="5" t="str">
        <f>_xlfn.XLOOKUP(role_course_map[[#This Row],[course_id]],course_data[course_id],course_data[topic],"")</f>
        <v>SAS: Staff development and experience</v>
      </c>
      <c r="F1905" s="5" t="str">
        <f>_xlfn.XLOOKUP(role_course_map[[#This Row],[course_id]],course_data[course_id],course_data[type],"")</f>
        <v>eLearning</v>
      </c>
      <c r="K1905" t="str">
        <f>role_course_map[[#This Row],[role_id]] &amp; "|" &amp; role_course_map[[#This Row],[course_id]]</f>
        <v>R0108|999094</v>
      </c>
      <c r="L1905" t="str">
        <f>IF(COUNTIF(role_course_map[mapping_key],role_course_map[[#This Row],[mapping_key]])&gt;1,"DUPLICATE","OK")</f>
        <v>OK</v>
      </c>
      <c r="M1905" t="str">
        <f>IF(COUNTIF(role_data[role_id],role_course_map[[#This Row],[role_id]])=0, "INVALID","VALID")</f>
        <v>VALID</v>
      </c>
      <c r="N1905" t="str">
        <f>IF(COUNTIF(course_data[course_id],role_course_map[[#This Row],[course_id]])=0, "INVALID","VALID")</f>
        <v>VALID</v>
      </c>
    </row>
    <row r="1906" spans="1:14" x14ac:dyDescent="0.35">
      <c r="A1906" t="s">
        <v>367</v>
      </c>
      <c r="B1906" s="5" t="str">
        <f>_xlfn.XLOOKUP(role_course_map[[#This Row],[role_id]], role_data[role_id], role_data[Role],"")</f>
        <v>Head of Organisational Development</v>
      </c>
      <c r="C1906">
        <v>999062</v>
      </c>
      <c r="D1906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1906" s="5" t="str">
        <f>_xlfn.XLOOKUP(role_course_map[[#This Row],[course_id]],course_data[course_id],course_data[topic],"")</f>
        <v>SAS : Health and Safety</v>
      </c>
      <c r="F1906" s="5" t="str">
        <f>_xlfn.XLOOKUP(role_course_map[[#This Row],[course_id]],course_data[course_id],course_data[type],"")</f>
        <v>Course</v>
      </c>
      <c r="K1906" t="str">
        <f>role_course_map[[#This Row],[role_id]] &amp; "|" &amp; role_course_map[[#This Row],[course_id]]</f>
        <v>R0176|999062</v>
      </c>
      <c r="L1906" t="str">
        <f>IF(COUNTIF(role_course_map[mapping_key],role_course_map[[#This Row],[mapping_key]])&gt;1,"DUPLICATE","OK")</f>
        <v>OK</v>
      </c>
      <c r="M1906" t="str">
        <f>IF(COUNTIF(role_data[role_id],role_course_map[[#This Row],[role_id]])=0, "INVALID","VALID")</f>
        <v>VALID</v>
      </c>
      <c r="N1906" t="str">
        <f>IF(COUNTIF(course_data[course_id],role_course_map[[#This Row],[course_id]])=0, "INVALID","VALID")</f>
        <v>VALID</v>
      </c>
    </row>
    <row r="1907" spans="1:14" x14ac:dyDescent="0.35">
      <c r="A1907" t="s">
        <v>109</v>
      </c>
      <c r="B1907" s="5" t="str">
        <f>_xlfn.XLOOKUP(role_course_map[[#This Row],[role_id]], role_data[role_id], role_data[Role],"")</f>
        <v>Head of Procurement</v>
      </c>
      <c r="C1907">
        <v>999058</v>
      </c>
      <c r="D1907" s="5" t="str">
        <f>_xlfn.XLOOKUP(role_course_map[[#This Row],[course_id]],course_data[course_id],course_data[title],"")</f>
        <v>Stress Identification &amp; Stress Management</v>
      </c>
      <c r="E1907" s="5" t="str">
        <f>_xlfn.XLOOKUP(role_course_map[[#This Row],[course_id]],course_data[course_id],course_data[topic],"")</f>
        <v>SAS : Health and Safety</v>
      </c>
      <c r="F1907" s="5" t="str">
        <f>_xlfn.XLOOKUP(role_course_map[[#This Row],[course_id]],course_data[course_id],course_data[type],"")</f>
        <v>eLearning</v>
      </c>
      <c r="K1907" t="str">
        <f>role_course_map[[#This Row],[role_id]] &amp; "|" &amp; role_course_map[[#This Row],[course_id]]</f>
        <v>R0049|999058</v>
      </c>
      <c r="L1907" t="str">
        <f>IF(COUNTIF(role_course_map[mapping_key],role_course_map[[#This Row],[mapping_key]])&gt;1,"DUPLICATE","OK")</f>
        <v>OK</v>
      </c>
      <c r="M1907" t="str">
        <f>IF(COUNTIF(role_data[role_id],role_course_map[[#This Row],[role_id]])=0, "INVALID","VALID")</f>
        <v>VALID</v>
      </c>
      <c r="N1907" t="str">
        <f>IF(COUNTIF(course_data[course_id],role_course_map[[#This Row],[course_id]])=0, "INVALID","VALID")</f>
        <v>VALID</v>
      </c>
    </row>
    <row r="1908" spans="1:14" x14ac:dyDescent="0.35">
      <c r="A1908" t="s">
        <v>109</v>
      </c>
      <c r="B1908" s="5" t="str">
        <f>_xlfn.XLOOKUP(role_course_map[[#This Row],[role_id]], role_data[role_id], role_data[Role],"")</f>
        <v>Head of Procurement</v>
      </c>
      <c r="C1908">
        <v>79147</v>
      </c>
      <c r="D1908" s="5" t="str">
        <f>_xlfn.XLOOKUP(role_course_map[[#This Row],[course_id]],course_data[course_id],course_data[title],"")</f>
        <v>Driving risks at work</v>
      </c>
      <c r="E1908" s="5" t="str">
        <f>_xlfn.XLOOKUP(role_course_map[[#This Row],[course_id]],course_data[course_id],course_data[topic],"")</f>
        <v>SAS : Health and Safety</v>
      </c>
      <c r="F1908" s="5" t="str">
        <f>_xlfn.XLOOKUP(role_course_map[[#This Row],[course_id]],course_data[course_id],course_data[type],"")</f>
        <v>eLearning</v>
      </c>
      <c r="K1908" t="str">
        <f>role_course_map[[#This Row],[role_id]] &amp; "|" &amp; role_course_map[[#This Row],[course_id]]</f>
        <v>R0049|79147</v>
      </c>
      <c r="L1908" t="str">
        <f>IF(COUNTIF(role_course_map[mapping_key],role_course_map[[#This Row],[mapping_key]])&gt;1,"DUPLICATE","OK")</f>
        <v>OK</v>
      </c>
      <c r="M1908" t="str">
        <f>IF(COUNTIF(role_data[role_id],role_course_map[[#This Row],[role_id]])=0, "INVALID","VALID")</f>
        <v>VALID</v>
      </c>
      <c r="N1908" t="str">
        <f>IF(COUNTIF(course_data[course_id],role_course_map[[#This Row],[course_id]])=0, "INVALID","VALID")</f>
        <v>VALID</v>
      </c>
    </row>
    <row r="1909" spans="1:14" x14ac:dyDescent="0.35">
      <c r="A1909" t="s">
        <v>367</v>
      </c>
      <c r="B1909" s="5" t="str">
        <f>_xlfn.XLOOKUP(role_course_map[[#This Row],[role_id]], role_data[role_id], role_data[Role],"")</f>
        <v>Head of Organisational Development</v>
      </c>
      <c r="C1909">
        <v>999057</v>
      </c>
      <c r="D1909" s="5" t="str">
        <f>_xlfn.XLOOKUP(role_course_map[[#This Row],[course_id]],course_data[course_id],course_data[title],"")</f>
        <v>Fatigue Awareness</v>
      </c>
      <c r="E1909" s="5" t="str">
        <f>_xlfn.XLOOKUP(role_course_map[[#This Row],[course_id]],course_data[course_id],course_data[topic],"")</f>
        <v>SAS : Health and Safety</v>
      </c>
      <c r="F1909" s="5" t="str">
        <f>_xlfn.XLOOKUP(role_course_map[[#This Row],[course_id]],course_data[course_id],course_data[type],"")</f>
        <v>eLearning</v>
      </c>
      <c r="K1909" t="str">
        <f>role_course_map[[#This Row],[role_id]] &amp; "|" &amp; role_course_map[[#This Row],[course_id]]</f>
        <v>R0176|999057</v>
      </c>
      <c r="L1909" t="str">
        <f>IF(COUNTIF(role_course_map[mapping_key],role_course_map[[#This Row],[mapping_key]])&gt;1,"DUPLICATE","OK")</f>
        <v>OK</v>
      </c>
      <c r="M1909" t="str">
        <f>IF(COUNTIF(role_data[role_id],role_course_map[[#This Row],[role_id]])=0, "INVALID","VALID")</f>
        <v>VALID</v>
      </c>
      <c r="N1909" t="str">
        <f>IF(COUNTIF(course_data[course_id],role_course_map[[#This Row],[course_id]])=0, "INVALID","VALID")</f>
        <v>VALID</v>
      </c>
    </row>
    <row r="1910" spans="1:14" x14ac:dyDescent="0.35">
      <c r="A1910" t="s">
        <v>109</v>
      </c>
      <c r="B1910" s="5" t="str">
        <f>_xlfn.XLOOKUP(role_course_map[[#This Row],[role_id]], role_data[role_id], role_data[Role],"")</f>
        <v>Head of Procurement</v>
      </c>
      <c r="C1910">
        <v>999091</v>
      </c>
      <c r="D1910" s="5" t="str">
        <f>_xlfn.XLOOKUP(role_course_map[[#This Row],[course_id]],course_data[course_id],course_data[title],"")</f>
        <v>Intermediate Leadership Development Programme</v>
      </c>
      <c r="E1910" s="5" t="str">
        <f>_xlfn.XLOOKUP(role_course_map[[#This Row],[course_id]],course_data[course_id],course_data[topic],"")</f>
        <v>SAS: Staff development and experience</v>
      </c>
      <c r="F1910" s="5">
        <f>_xlfn.XLOOKUP(role_course_map[[#This Row],[course_id]],course_data[course_id],course_data[type],"")</f>
        <v>0</v>
      </c>
      <c r="K1910" t="str">
        <f>role_course_map[[#This Row],[role_id]] &amp; "|" &amp; role_course_map[[#This Row],[course_id]]</f>
        <v>R0049|999091</v>
      </c>
      <c r="L1910" t="str">
        <f>IF(COUNTIF(role_course_map[mapping_key],role_course_map[[#This Row],[mapping_key]])&gt;1,"DUPLICATE","OK")</f>
        <v>OK</v>
      </c>
      <c r="M1910" t="str">
        <f>IF(COUNTIF(role_data[role_id],role_course_map[[#This Row],[role_id]])=0, "INVALID","VALID")</f>
        <v>VALID</v>
      </c>
      <c r="N1910" t="str">
        <f>IF(COUNTIF(course_data[course_id],role_course_map[[#This Row],[course_id]])=0, "INVALID","VALID")</f>
        <v>VALID</v>
      </c>
    </row>
    <row r="1911" spans="1:14" x14ac:dyDescent="0.35">
      <c r="A1911" t="s">
        <v>109</v>
      </c>
      <c r="B1911" s="5" t="str">
        <f>_xlfn.XLOOKUP(role_course_map[[#This Row],[role_id]], role_data[role_id], role_data[Role],"")</f>
        <v>Head of Procurement</v>
      </c>
      <c r="C1911">
        <v>999090</v>
      </c>
      <c r="D1911" s="5" t="str">
        <f>_xlfn.XLOOKUP(role_course_map[[#This Row],[course_id]],course_data[course_id],course_data[title],"")</f>
        <v>Leading for the Future</v>
      </c>
      <c r="E1911" s="5" t="str">
        <f>_xlfn.XLOOKUP(role_course_map[[#This Row],[course_id]],course_data[course_id],course_data[topic],"")</f>
        <v>SAS: Staff development and experience</v>
      </c>
      <c r="F1911" s="5">
        <f>_xlfn.XLOOKUP(role_course_map[[#This Row],[course_id]],course_data[course_id],course_data[type],"")</f>
        <v>0</v>
      </c>
      <c r="K1911" t="str">
        <f>role_course_map[[#This Row],[role_id]] &amp; "|" &amp; role_course_map[[#This Row],[course_id]]</f>
        <v>R0049|999090</v>
      </c>
      <c r="L1911" t="str">
        <f>IF(COUNTIF(role_course_map[mapping_key],role_course_map[[#This Row],[mapping_key]])&gt;1,"DUPLICATE","OK")</f>
        <v>OK</v>
      </c>
      <c r="M1911" t="str">
        <f>IF(COUNTIF(role_data[role_id],role_course_map[[#This Row],[role_id]])=0, "INVALID","VALID")</f>
        <v>VALID</v>
      </c>
      <c r="N1911" t="str">
        <f>IF(COUNTIF(course_data[course_id],role_course_map[[#This Row],[course_id]])=0, "INVALID","VALID")</f>
        <v>VALID</v>
      </c>
    </row>
    <row r="1912" spans="1:14" x14ac:dyDescent="0.35">
      <c r="A1912" t="s">
        <v>367</v>
      </c>
      <c r="B1912" s="5" t="str">
        <f>_xlfn.XLOOKUP(role_course_map[[#This Row],[role_id]], role_data[role_id], role_data[Role],"")</f>
        <v>Head of Organisational Development</v>
      </c>
      <c r="C1912">
        <v>999092</v>
      </c>
      <c r="D1912" s="5" t="str">
        <f>_xlfn.XLOOKUP(role_course_map[[#This Row],[course_id]],course_data[course_id],course_data[title],"")</f>
        <v>Health &amp; Wellbeing Awareness for Managers</v>
      </c>
      <c r="E1912" s="5" t="str">
        <f>_xlfn.XLOOKUP(role_course_map[[#This Row],[course_id]],course_data[course_id],course_data[topic],"")</f>
        <v>SAS: Staff development and experience</v>
      </c>
      <c r="F1912" s="5" t="str">
        <f>_xlfn.XLOOKUP(role_course_map[[#This Row],[course_id]],course_data[course_id],course_data[type],"")</f>
        <v>eLearning</v>
      </c>
      <c r="K1912" t="str">
        <f>role_course_map[[#This Row],[role_id]] &amp; "|" &amp; role_course_map[[#This Row],[course_id]]</f>
        <v>R0176|999092</v>
      </c>
      <c r="L1912" t="str">
        <f>IF(COUNTIF(role_course_map[mapping_key],role_course_map[[#This Row],[mapping_key]])&gt;1,"DUPLICATE","OK")</f>
        <v>OK</v>
      </c>
      <c r="M1912" t="str">
        <f>IF(COUNTIF(role_data[role_id],role_course_map[[#This Row],[role_id]])=0, "INVALID","VALID")</f>
        <v>VALID</v>
      </c>
      <c r="N1912" t="str">
        <f>IF(COUNTIF(course_data[course_id],role_course_map[[#This Row],[course_id]])=0, "INVALID","VALID")</f>
        <v>VALID</v>
      </c>
    </row>
    <row r="1913" spans="1:14" x14ac:dyDescent="0.35">
      <c r="A1913" t="s">
        <v>109</v>
      </c>
      <c r="B1913" s="5" t="str">
        <f>_xlfn.XLOOKUP(role_course_map[[#This Row],[role_id]], role_data[role_id], role_data[Role],"")</f>
        <v>Head of Procurement</v>
      </c>
      <c r="C1913">
        <v>999093</v>
      </c>
      <c r="D1913" s="5" t="str">
        <f>_xlfn.XLOOKUP(role_course_map[[#This Row],[course_id]],course_data[course_id],course_data[title],"")</f>
        <v>Managing Wellbeing Refresher for Managers</v>
      </c>
      <c r="E1913" s="5" t="str">
        <f>_xlfn.XLOOKUP(role_course_map[[#This Row],[course_id]],course_data[course_id],course_data[topic],"")</f>
        <v>SAS: Staff development and experience</v>
      </c>
      <c r="F1913" s="5" t="str">
        <f>_xlfn.XLOOKUP(role_course_map[[#This Row],[course_id]],course_data[course_id],course_data[type],"")</f>
        <v>eLearning</v>
      </c>
      <c r="K1913" t="str">
        <f>role_course_map[[#This Row],[role_id]] &amp; "|" &amp; role_course_map[[#This Row],[course_id]]</f>
        <v>R0049|999093</v>
      </c>
      <c r="L1913" t="str">
        <f>IF(COUNTIF(role_course_map[mapping_key],role_course_map[[#This Row],[mapping_key]])&gt;1,"DUPLICATE","OK")</f>
        <v>OK</v>
      </c>
      <c r="M1913" t="str">
        <f>IF(COUNTIF(role_data[role_id],role_course_map[[#This Row],[role_id]])=0, "INVALID","VALID")</f>
        <v>VALID</v>
      </c>
      <c r="N1913" t="str">
        <f>IF(COUNTIF(course_data[course_id],role_course_map[[#This Row],[course_id]])=0, "INVALID","VALID")</f>
        <v>VALID</v>
      </c>
    </row>
    <row r="1914" spans="1:14" x14ac:dyDescent="0.35">
      <c r="A1914" t="s">
        <v>367</v>
      </c>
      <c r="B1914" s="5" t="str">
        <f>_xlfn.XLOOKUP(role_course_map[[#This Row],[role_id]], role_data[role_id], role_data[Role],"")</f>
        <v>Head of Organisational Development</v>
      </c>
      <c r="C1914">
        <v>999094</v>
      </c>
      <c r="D1914" s="5" t="str">
        <f>_xlfn.XLOOKUP(role_course_map[[#This Row],[course_id]],course_data[course_id],course_data[title],"")</f>
        <v>Being well, Mind, Body &amp; Workplace</v>
      </c>
      <c r="E1914" s="5" t="str">
        <f>_xlfn.XLOOKUP(role_course_map[[#This Row],[course_id]],course_data[course_id],course_data[topic],"")</f>
        <v>SAS: Staff development and experience</v>
      </c>
      <c r="F1914" s="5" t="str">
        <f>_xlfn.XLOOKUP(role_course_map[[#This Row],[course_id]],course_data[course_id],course_data[type],"")</f>
        <v>eLearning</v>
      </c>
      <c r="K1914" t="str">
        <f>role_course_map[[#This Row],[role_id]] &amp; "|" &amp; role_course_map[[#This Row],[course_id]]</f>
        <v>R0176|999094</v>
      </c>
      <c r="L1914" t="str">
        <f>IF(COUNTIF(role_course_map[mapping_key],role_course_map[[#This Row],[mapping_key]])&gt;1,"DUPLICATE","OK")</f>
        <v>OK</v>
      </c>
      <c r="M1914" t="str">
        <f>IF(COUNTIF(role_data[role_id],role_course_map[[#This Row],[role_id]])=0, "INVALID","VALID")</f>
        <v>VALID</v>
      </c>
      <c r="N1914" t="str">
        <f>IF(COUNTIF(course_data[course_id],role_course_map[[#This Row],[course_id]])=0, "INVALID","VALID")</f>
        <v>VALID</v>
      </c>
    </row>
    <row r="1915" spans="1:14" x14ac:dyDescent="0.35">
      <c r="A1915" t="s">
        <v>109</v>
      </c>
      <c r="B1915" s="5" t="str">
        <f>_xlfn.XLOOKUP(role_course_map[[#This Row],[role_id]], role_data[role_id], role_data[Role],"")</f>
        <v>Head of Procurement</v>
      </c>
      <c r="C1915">
        <v>999062</v>
      </c>
      <c r="D1915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1915" s="5" t="str">
        <f>_xlfn.XLOOKUP(role_course_map[[#This Row],[course_id]],course_data[course_id],course_data[topic],"")</f>
        <v>SAS : Health and Safety</v>
      </c>
      <c r="F1915" s="5" t="str">
        <f>_xlfn.XLOOKUP(role_course_map[[#This Row],[course_id]],course_data[course_id],course_data[type],"")</f>
        <v>Course</v>
      </c>
      <c r="K1915" t="str">
        <f>role_course_map[[#This Row],[role_id]] &amp; "|" &amp; role_course_map[[#This Row],[course_id]]</f>
        <v>R0049|999062</v>
      </c>
      <c r="L1915" t="str">
        <f>IF(COUNTIF(role_course_map[mapping_key],role_course_map[[#This Row],[mapping_key]])&gt;1,"DUPLICATE","OK")</f>
        <v>OK</v>
      </c>
      <c r="M1915" t="str">
        <f>IF(COUNTIF(role_data[role_id],role_course_map[[#This Row],[role_id]])=0, "INVALID","VALID")</f>
        <v>VALID</v>
      </c>
      <c r="N1915" t="str">
        <f>IF(COUNTIF(course_data[course_id],role_course_map[[#This Row],[course_id]])=0, "INVALID","VALID")</f>
        <v>VALID</v>
      </c>
    </row>
    <row r="1916" spans="1:14" x14ac:dyDescent="0.35">
      <c r="A1916" t="s">
        <v>325</v>
      </c>
      <c r="B1916" s="5" t="str">
        <f>_xlfn.XLOOKUP(role_course_map[[#This Row],[role_id]], role_data[role_id], role_data[Role],"")</f>
        <v>Assistant Head of Education and Professional Development</v>
      </c>
      <c r="C1916">
        <v>999058</v>
      </c>
      <c r="D1916" s="5" t="str">
        <f>_xlfn.XLOOKUP(role_course_map[[#This Row],[course_id]],course_data[course_id],course_data[title],"")</f>
        <v>Stress Identification &amp; Stress Management</v>
      </c>
      <c r="E1916" s="5" t="str">
        <f>_xlfn.XLOOKUP(role_course_map[[#This Row],[course_id]],course_data[course_id],course_data[topic],"")</f>
        <v>SAS : Health and Safety</v>
      </c>
      <c r="F1916" s="5" t="str">
        <f>_xlfn.XLOOKUP(role_course_map[[#This Row],[course_id]],course_data[course_id],course_data[type],"")</f>
        <v>eLearning</v>
      </c>
      <c r="K1916" t="str">
        <f>role_course_map[[#This Row],[role_id]] &amp; "|" &amp; role_course_map[[#This Row],[course_id]]</f>
        <v>R0156|999058</v>
      </c>
      <c r="L1916" t="str">
        <f>IF(COUNTIF(role_course_map[mapping_key],role_course_map[[#This Row],[mapping_key]])&gt;1,"DUPLICATE","OK")</f>
        <v>OK</v>
      </c>
      <c r="M1916" t="str">
        <f>IF(COUNTIF(role_data[role_id],role_course_map[[#This Row],[role_id]])=0, "INVALID","VALID")</f>
        <v>VALID</v>
      </c>
      <c r="N1916" t="str">
        <f>IF(COUNTIF(course_data[course_id],role_course_map[[#This Row],[course_id]])=0, "INVALID","VALID")</f>
        <v>VALID</v>
      </c>
    </row>
    <row r="1917" spans="1:14" x14ac:dyDescent="0.35">
      <c r="A1917" t="s">
        <v>325</v>
      </c>
      <c r="B1917" s="5" t="str">
        <f>_xlfn.XLOOKUP(role_course_map[[#This Row],[role_id]], role_data[role_id], role_data[Role],"")</f>
        <v>Assistant Head of Education and Professional Development</v>
      </c>
      <c r="C1917">
        <v>79147</v>
      </c>
      <c r="D1917" s="5" t="str">
        <f>_xlfn.XLOOKUP(role_course_map[[#This Row],[course_id]],course_data[course_id],course_data[title],"")</f>
        <v>Driving risks at work</v>
      </c>
      <c r="E1917" s="5" t="str">
        <f>_xlfn.XLOOKUP(role_course_map[[#This Row],[course_id]],course_data[course_id],course_data[topic],"")</f>
        <v>SAS : Health and Safety</v>
      </c>
      <c r="F1917" s="5" t="str">
        <f>_xlfn.XLOOKUP(role_course_map[[#This Row],[course_id]],course_data[course_id],course_data[type],"")</f>
        <v>eLearning</v>
      </c>
      <c r="K1917" t="str">
        <f>role_course_map[[#This Row],[role_id]] &amp; "|" &amp; role_course_map[[#This Row],[course_id]]</f>
        <v>R0156|79147</v>
      </c>
      <c r="L1917" t="str">
        <f>IF(COUNTIF(role_course_map[mapping_key],role_course_map[[#This Row],[mapping_key]])&gt;1,"DUPLICATE","OK")</f>
        <v>OK</v>
      </c>
      <c r="M1917" t="str">
        <f>IF(COUNTIF(role_data[role_id],role_course_map[[#This Row],[role_id]])=0, "INVALID","VALID")</f>
        <v>VALID</v>
      </c>
      <c r="N1917" t="str">
        <f>IF(COUNTIF(course_data[course_id],role_course_map[[#This Row],[course_id]])=0, "INVALID","VALID")</f>
        <v>VALID</v>
      </c>
    </row>
    <row r="1918" spans="1:14" x14ac:dyDescent="0.35">
      <c r="A1918" t="s">
        <v>109</v>
      </c>
      <c r="B1918" s="5" t="str">
        <f>_xlfn.XLOOKUP(role_course_map[[#This Row],[role_id]], role_data[role_id], role_data[Role],"")</f>
        <v>Head of Procurement</v>
      </c>
      <c r="C1918">
        <v>999057</v>
      </c>
      <c r="D1918" s="5" t="str">
        <f>_xlfn.XLOOKUP(role_course_map[[#This Row],[course_id]],course_data[course_id],course_data[title],"")</f>
        <v>Fatigue Awareness</v>
      </c>
      <c r="E1918" s="5" t="str">
        <f>_xlfn.XLOOKUP(role_course_map[[#This Row],[course_id]],course_data[course_id],course_data[topic],"")</f>
        <v>SAS : Health and Safety</v>
      </c>
      <c r="F1918" s="5" t="str">
        <f>_xlfn.XLOOKUP(role_course_map[[#This Row],[course_id]],course_data[course_id],course_data[type],"")</f>
        <v>eLearning</v>
      </c>
      <c r="K1918" t="str">
        <f>role_course_map[[#This Row],[role_id]] &amp; "|" &amp; role_course_map[[#This Row],[course_id]]</f>
        <v>R0049|999057</v>
      </c>
      <c r="L1918" t="str">
        <f>IF(COUNTIF(role_course_map[mapping_key],role_course_map[[#This Row],[mapping_key]])&gt;1,"DUPLICATE","OK")</f>
        <v>OK</v>
      </c>
      <c r="M1918" t="str">
        <f>IF(COUNTIF(role_data[role_id],role_course_map[[#This Row],[role_id]])=0, "INVALID","VALID")</f>
        <v>VALID</v>
      </c>
      <c r="N1918" t="str">
        <f>IF(COUNTIF(course_data[course_id],role_course_map[[#This Row],[course_id]])=0, "INVALID","VALID")</f>
        <v>VALID</v>
      </c>
    </row>
    <row r="1919" spans="1:14" x14ac:dyDescent="0.35">
      <c r="A1919" t="s">
        <v>325</v>
      </c>
      <c r="B1919" s="5" t="str">
        <f>_xlfn.XLOOKUP(role_course_map[[#This Row],[role_id]], role_data[role_id], role_data[Role],"")</f>
        <v>Assistant Head of Education and Professional Development</v>
      </c>
      <c r="C1919">
        <v>75406</v>
      </c>
      <c r="D1919" s="5" t="str">
        <f>_xlfn.XLOOKUP(role_course_map[[#This Row],[course_id]],course_data[course_id],course_data[title],"")</f>
        <v>Foundation Leadership and Management Programme (FLMP)</v>
      </c>
      <c r="E1919" s="5" t="str">
        <f>_xlfn.XLOOKUP(role_course_map[[#This Row],[course_id]],course_data[course_id],course_data[topic],"")</f>
        <v>SAS: Staff development and experience</v>
      </c>
      <c r="F1919" s="5" t="str">
        <f>_xlfn.XLOOKUP(role_course_map[[#This Row],[course_id]],course_data[course_id],course_data[type],"")</f>
        <v>Page</v>
      </c>
      <c r="K1919" t="str">
        <f>role_course_map[[#This Row],[role_id]] &amp; "|" &amp; role_course_map[[#This Row],[course_id]]</f>
        <v>R0156|75406</v>
      </c>
      <c r="L1919" t="str">
        <f>IF(COUNTIF(role_course_map[mapping_key],role_course_map[[#This Row],[mapping_key]])&gt;1,"DUPLICATE","OK")</f>
        <v>OK</v>
      </c>
      <c r="M1919" t="str">
        <f>IF(COUNTIF(role_data[role_id],role_course_map[[#This Row],[role_id]])=0, "INVALID","VALID")</f>
        <v>VALID</v>
      </c>
      <c r="N1919" t="str">
        <f>IF(COUNTIF(course_data[course_id],role_course_map[[#This Row],[course_id]])=0, "INVALID","VALID")</f>
        <v>VALID</v>
      </c>
    </row>
    <row r="1920" spans="1:14" x14ac:dyDescent="0.35">
      <c r="A1920" t="s">
        <v>109</v>
      </c>
      <c r="B1920" s="5" t="str">
        <f>_xlfn.XLOOKUP(role_course_map[[#This Row],[role_id]], role_data[role_id], role_data[Role],"")</f>
        <v>Head of Procurement</v>
      </c>
      <c r="C1920">
        <v>999092</v>
      </c>
      <c r="D1920" s="5" t="str">
        <f>_xlfn.XLOOKUP(role_course_map[[#This Row],[course_id]],course_data[course_id],course_data[title],"")</f>
        <v>Health &amp; Wellbeing Awareness for Managers</v>
      </c>
      <c r="E1920" s="5" t="str">
        <f>_xlfn.XLOOKUP(role_course_map[[#This Row],[course_id]],course_data[course_id],course_data[topic],"")</f>
        <v>SAS: Staff development and experience</v>
      </c>
      <c r="F1920" s="5" t="str">
        <f>_xlfn.XLOOKUP(role_course_map[[#This Row],[course_id]],course_data[course_id],course_data[type],"")</f>
        <v>eLearning</v>
      </c>
      <c r="K1920" t="str">
        <f>role_course_map[[#This Row],[role_id]] &amp; "|" &amp; role_course_map[[#This Row],[course_id]]</f>
        <v>R0049|999092</v>
      </c>
      <c r="L1920" t="str">
        <f>IF(COUNTIF(role_course_map[mapping_key],role_course_map[[#This Row],[mapping_key]])&gt;1,"DUPLICATE","OK")</f>
        <v>OK</v>
      </c>
      <c r="M1920" t="str">
        <f>IF(COUNTIF(role_data[role_id],role_course_map[[#This Row],[role_id]])=0, "INVALID","VALID")</f>
        <v>VALID</v>
      </c>
      <c r="N1920" t="str">
        <f>IF(COUNTIF(course_data[course_id],role_course_map[[#This Row],[course_id]])=0, "INVALID","VALID")</f>
        <v>VALID</v>
      </c>
    </row>
    <row r="1921" spans="1:14" x14ac:dyDescent="0.35">
      <c r="A1921" t="s">
        <v>325</v>
      </c>
      <c r="B1921" s="5" t="str">
        <f>_xlfn.XLOOKUP(role_course_map[[#This Row],[role_id]], role_data[role_id], role_data[Role],"")</f>
        <v>Assistant Head of Education and Professional Development</v>
      </c>
      <c r="C1921">
        <v>999093</v>
      </c>
      <c r="D1921" s="5" t="str">
        <f>_xlfn.XLOOKUP(role_course_map[[#This Row],[course_id]],course_data[course_id],course_data[title],"")</f>
        <v>Managing Wellbeing Refresher for Managers</v>
      </c>
      <c r="E1921" s="5" t="str">
        <f>_xlfn.XLOOKUP(role_course_map[[#This Row],[course_id]],course_data[course_id],course_data[topic],"")</f>
        <v>SAS: Staff development and experience</v>
      </c>
      <c r="F1921" s="5" t="str">
        <f>_xlfn.XLOOKUP(role_course_map[[#This Row],[course_id]],course_data[course_id],course_data[type],"")</f>
        <v>eLearning</v>
      </c>
      <c r="K1921" t="str">
        <f>role_course_map[[#This Row],[role_id]] &amp; "|" &amp; role_course_map[[#This Row],[course_id]]</f>
        <v>R0156|999093</v>
      </c>
      <c r="L1921" t="str">
        <f>IF(COUNTIF(role_course_map[mapping_key],role_course_map[[#This Row],[mapping_key]])&gt;1,"DUPLICATE","OK")</f>
        <v>OK</v>
      </c>
      <c r="M1921" t="str">
        <f>IF(COUNTIF(role_data[role_id],role_course_map[[#This Row],[role_id]])=0, "INVALID","VALID")</f>
        <v>VALID</v>
      </c>
      <c r="N1921" t="str">
        <f>IF(COUNTIF(course_data[course_id],role_course_map[[#This Row],[course_id]])=0, "INVALID","VALID")</f>
        <v>VALID</v>
      </c>
    </row>
    <row r="1922" spans="1:14" x14ac:dyDescent="0.35">
      <c r="A1922" t="s">
        <v>109</v>
      </c>
      <c r="B1922" s="5" t="str">
        <f>_xlfn.XLOOKUP(role_course_map[[#This Row],[role_id]], role_data[role_id], role_data[Role],"")</f>
        <v>Head of Procurement</v>
      </c>
      <c r="C1922">
        <v>999094</v>
      </c>
      <c r="D1922" s="5" t="str">
        <f>_xlfn.XLOOKUP(role_course_map[[#This Row],[course_id]],course_data[course_id],course_data[title],"")</f>
        <v>Being well, Mind, Body &amp; Workplace</v>
      </c>
      <c r="E1922" s="5" t="str">
        <f>_xlfn.XLOOKUP(role_course_map[[#This Row],[course_id]],course_data[course_id],course_data[topic],"")</f>
        <v>SAS: Staff development and experience</v>
      </c>
      <c r="F1922" s="5" t="str">
        <f>_xlfn.XLOOKUP(role_course_map[[#This Row],[course_id]],course_data[course_id],course_data[type],"")</f>
        <v>eLearning</v>
      </c>
      <c r="K1922" t="str">
        <f>role_course_map[[#This Row],[role_id]] &amp; "|" &amp; role_course_map[[#This Row],[course_id]]</f>
        <v>R0049|999094</v>
      </c>
      <c r="L1922" t="str">
        <f>IF(COUNTIF(role_course_map[mapping_key],role_course_map[[#This Row],[mapping_key]])&gt;1,"DUPLICATE","OK")</f>
        <v>OK</v>
      </c>
      <c r="M1922" t="str">
        <f>IF(COUNTIF(role_data[role_id],role_course_map[[#This Row],[role_id]])=0, "INVALID","VALID")</f>
        <v>VALID</v>
      </c>
      <c r="N1922" t="str">
        <f>IF(COUNTIF(course_data[course_id],role_course_map[[#This Row],[course_id]])=0, "INVALID","VALID")</f>
        <v>VALID</v>
      </c>
    </row>
    <row r="1923" spans="1:14" x14ac:dyDescent="0.35">
      <c r="A1923" t="s">
        <v>325</v>
      </c>
      <c r="B1923" s="5" t="str">
        <f>_xlfn.XLOOKUP(role_course_map[[#This Row],[role_id]], role_data[role_id], role_data[Role],"")</f>
        <v>Assistant Head of Education and Professional Development</v>
      </c>
      <c r="C1923">
        <v>999062</v>
      </c>
      <c r="D1923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1923" s="5" t="str">
        <f>_xlfn.XLOOKUP(role_course_map[[#This Row],[course_id]],course_data[course_id],course_data[topic],"")</f>
        <v>SAS : Health and Safety</v>
      </c>
      <c r="F1923" s="5" t="str">
        <f>_xlfn.XLOOKUP(role_course_map[[#This Row],[course_id]],course_data[course_id],course_data[type],"")</f>
        <v>Course</v>
      </c>
      <c r="K1923" t="str">
        <f>role_course_map[[#This Row],[role_id]] &amp; "|" &amp; role_course_map[[#This Row],[course_id]]</f>
        <v>R0156|999062</v>
      </c>
      <c r="L1923" t="str">
        <f>IF(COUNTIF(role_course_map[mapping_key],role_course_map[[#This Row],[mapping_key]])&gt;1,"DUPLICATE","OK")</f>
        <v>OK</v>
      </c>
      <c r="M1923" t="str">
        <f>IF(COUNTIF(role_data[role_id],role_course_map[[#This Row],[role_id]])=0, "INVALID","VALID")</f>
        <v>VALID</v>
      </c>
      <c r="N1923" t="str">
        <f>IF(COUNTIF(course_data[course_id],role_course_map[[#This Row],[course_id]])=0, "INVALID","VALID")</f>
        <v>VALID</v>
      </c>
    </row>
    <row r="1924" spans="1:14" x14ac:dyDescent="0.35">
      <c r="A1924" t="s">
        <v>107</v>
      </c>
      <c r="B1924" s="5" t="str">
        <f>_xlfn.XLOOKUP(role_course_map[[#This Row],[role_id]], role_data[role_id], role_data[Role],"")</f>
        <v>Deputy Head of Procurement</v>
      </c>
      <c r="C1924">
        <v>999058</v>
      </c>
      <c r="D1924" s="5" t="str">
        <f>_xlfn.XLOOKUP(role_course_map[[#This Row],[course_id]],course_data[course_id],course_data[title],"")</f>
        <v>Stress Identification &amp; Stress Management</v>
      </c>
      <c r="E1924" s="5" t="str">
        <f>_xlfn.XLOOKUP(role_course_map[[#This Row],[course_id]],course_data[course_id],course_data[topic],"")</f>
        <v>SAS : Health and Safety</v>
      </c>
      <c r="F1924" s="5" t="str">
        <f>_xlfn.XLOOKUP(role_course_map[[#This Row],[course_id]],course_data[course_id],course_data[type],"")</f>
        <v>eLearning</v>
      </c>
      <c r="K1924" t="str">
        <f>role_course_map[[#This Row],[role_id]] &amp; "|" &amp; role_course_map[[#This Row],[course_id]]</f>
        <v>R0048|999058</v>
      </c>
      <c r="L1924" t="str">
        <f>IF(COUNTIF(role_course_map[mapping_key],role_course_map[[#This Row],[mapping_key]])&gt;1,"DUPLICATE","OK")</f>
        <v>OK</v>
      </c>
      <c r="M1924" t="str">
        <f>IF(COUNTIF(role_data[role_id],role_course_map[[#This Row],[role_id]])=0, "INVALID","VALID")</f>
        <v>VALID</v>
      </c>
      <c r="N1924" t="str">
        <f>IF(COUNTIF(course_data[course_id],role_course_map[[#This Row],[course_id]])=0, "INVALID","VALID")</f>
        <v>VALID</v>
      </c>
    </row>
    <row r="1925" spans="1:14" x14ac:dyDescent="0.35">
      <c r="A1925" t="s">
        <v>107</v>
      </c>
      <c r="B1925" s="5" t="str">
        <f>_xlfn.XLOOKUP(role_course_map[[#This Row],[role_id]], role_data[role_id], role_data[Role],"")</f>
        <v>Deputy Head of Procurement</v>
      </c>
      <c r="C1925">
        <v>79147</v>
      </c>
      <c r="D1925" s="5" t="str">
        <f>_xlfn.XLOOKUP(role_course_map[[#This Row],[course_id]],course_data[course_id],course_data[title],"")</f>
        <v>Driving risks at work</v>
      </c>
      <c r="E1925" s="5" t="str">
        <f>_xlfn.XLOOKUP(role_course_map[[#This Row],[course_id]],course_data[course_id],course_data[topic],"")</f>
        <v>SAS : Health and Safety</v>
      </c>
      <c r="F1925" s="5" t="str">
        <f>_xlfn.XLOOKUP(role_course_map[[#This Row],[course_id]],course_data[course_id],course_data[type],"")</f>
        <v>eLearning</v>
      </c>
      <c r="K1925" t="str">
        <f>role_course_map[[#This Row],[role_id]] &amp; "|" &amp; role_course_map[[#This Row],[course_id]]</f>
        <v>R0048|79147</v>
      </c>
      <c r="L1925" t="str">
        <f>IF(COUNTIF(role_course_map[mapping_key],role_course_map[[#This Row],[mapping_key]])&gt;1,"DUPLICATE","OK")</f>
        <v>OK</v>
      </c>
      <c r="M1925" t="str">
        <f>IF(COUNTIF(role_data[role_id],role_course_map[[#This Row],[role_id]])=0, "INVALID","VALID")</f>
        <v>VALID</v>
      </c>
      <c r="N1925" t="str">
        <f>IF(COUNTIF(course_data[course_id],role_course_map[[#This Row],[course_id]])=0, "INVALID","VALID")</f>
        <v>VALID</v>
      </c>
    </row>
    <row r="1926" spans="1:14" x14ac:dyDescent="0.35">
      <c r="A1926" t="s">
        <v>325</v>
      </c>
      <c r="B1926" s="5" t="str">
        <f>_xlfn.XLOOKUP(role_course_map[[#This Row],[role_id]], role_data[role_id], role_data[Role],"")</f>
        <v>Assistant Head of Education and Professional Development</v>
      </c>
      <c r="C1926">
        <v>999057</v>
      </c>
      <c r="D1926" s="5" t="str">
        <f>_xlfn.XLOOKUP(role_course_map[[#This Row],[course_id]],course_data[course_id],course_data[title],"")</f>
        <v>Fatigue Awareness</v>
      </c>
      <c r="E1926" s="5" t="str">
        <f>_xlfn.XLOOKUP(role_course_map[[#This Row],[course_id]],course_data[course_id],course_data[topic],"")</f>
        <v>SAS : Health and Safety</v>
      </c>
      <c r="F1926" s="5" t="str">
        <f>_xlfn.XLOOKUP(role_course_map[[#This Row],[course_id]],course_data[course_id],course_data[type],"")</f>
        <v>eLearning</v>
      </c>
      <c r="K1926" t="str">
        <f>role_course_map[[#This Row],[role_id]] &amp; "|" &amp; role_course_map[[#This Row],[course_id]]</f>
        <v>R0156|999057</v>
      </c>
      <c r="L1926" t="str">
        <f>IF(COUNTIF(role_course_map[mapping_key],role_course_map[[#This Row],[mapping_key]])&gt;1,"DUPLICATE","OK")</f>
        <v>OK</v>
      </c>
      <c r="M1926" t="str">
        <f>IF(COUNTIF(role_data[role_id],role_course_map[[#This Row],[role_id]])=0, "INVALID","VALID")</f>
        <v>VALID</v>
      </c>
      <c r="N1926" t="str">
        <f>IF(COUNTIF(course_data[course_id],role_course_map[[#This Row],[course_id]])=0, "INVALID","VALID")</f>
        <v>VALID</v>
      </c>
    </row>
    <row r="1927" spans="1:14" x14ac:dyDescent="0.35">
      <c r="A1927" t="s">
        <v>160</v>
      </c>
      <c r="B1927" s="5" t="str">
        <f>_xlfn.XLOOKUP(role_course_map[[#This Row],[role_id]], role_data[role_id], role_data[Role],"")</f>
        <v>Performance Supervisor</v>
      </c>
      <c r="C1927">
        <v>75407</v>
      </c>
      <c r="D1927" s="5" t="str">
        <f>_xlfn.XLOOKUP(role_course_map[[#This Row],[course_id]],course_data[course_id],course_data[title],"")</f>
        <v>Aspirant Leader Development Programme (ALDP)</v>
      </c>
      <c r="E1927" s="5" t="str">
        <f>_xlfn.XLOOKUP(role_course_map[[#This Row],[course_id]],course_data[course_id],course_data[topic],"")</f>
        <v>SAS: Staff development and experience</v>
      </c>
      <c r="F1927" s="5" t="str">
        <f>_xlfn.XLOOKUP(role_course_map[[#This Row],[course_id]],course_data[course_id],course_data[type],"")</f>
        <v>Page</v>
      </c>
      <c r="K1927" t="str">
        <f>role_course_map[[#This Row],[role_id]] &amp; "|" &amp; role_course_map[[#This Row],[course_id]]</f>
        <v>R0074|75407</v>
      </c>
      <c r="L1927" t="str">
        <f>IF(COUNTIF(role_course_map[mapping_key],role_course_map[[#This Row],[mapping_key]])&gt;1,"DUPLICATE","OK")</f>
        <v>OK</v>
      </c>
      <c r="M1927" t="str">
        <f>IF(COUNTIF(role_data[role_id],role_course_map[[#This Row],[role_id]])=0, "INVALID","VALID")</f>
        <v>VALID</v>
      </c>
      <c r="N1927" t="str">
        <f>IF(COUNTIF(course_data[course_id],role_course_map[[#This Row],[course_id]])=0, "INVALID","VALID")</f>
        <v>VALID</v>
      </c>
    </row>
    <row r="1928" spans="1:14" x14ac:dyDescent="0.35">
      <c r="A1928" t="s">
        <v>138</v>
      </c>
      <c r="B1928" s="5" t="str">
        <f>_xlfn.XLOOKUP(role_course_map[[#This Row],[role_id]], role_data[role_id], role_data[Role],"")</f>
        <v>Dispatch Supervisor</v>
      </c>
      <c r="C1928">
        <v>75407</v>
      </c>
      <c r="D1928" s="5" t="str">
        <f>_xlfn.XLOOKUP(role_course_map[[#This Row],[course_id]],course_data[course_id],course_data[title],"")</f>
        <v>Aspirant Leader Development Programme (ALDP)</v>
      </c>
      <c r="E1928" s="5" t="str">
        <f>_xlfn.XLOOKUP(role_course_map[[#This Row],[course_id]],course_data[course_id],course_data[topic],"")</f>
        <v>SAS: Staff development and experience</v>
      </c>
      <c r="F1928" s="5" t="str">
        <f>_xlfn.XLOOKUP(role_course_map[[#This Row],[course_id]],course_data[course_id],course_data[type],"")</f>
        <v>Page</v>
      </c>
      <c r="K1928" t="str">
        <f>role_course_map[[#This Row],[role_id]] &amp; "|" &amp; role_course_map[[#This Row],[course_id]]</f>
        <v>R0063|75407</v>
      </c>
      <c r="L1928" t="str">
        <f>IF(COUNTIF(role_course_map[mapping_key],role_course_map[[#This Row],[mapping_key]])&gt;1,"DUPLICATE","OK")</f>
        <v>OK</v>
      </c>
      <c r="M1928" t="str">
        <f>IF(COUNTIF(role_data[role_id],role_course_map[[#This Row],[role_id]])=0, "INVALID","VALID")</f>
        <v>VALID</v>
      </c>
      <c r="N1928" t="str">
        <f>IF(COUNTIF(course_data[course_id],role_course_map[[#This Row],[course_id]])=0, "INVALID","VALID")</f>
        <v>VALID</v>
      </c>
    </row>
    <row r="1929" spans="1:14" x14ac:dyDescent="0.35">
      <c r="A1929" t="s">
        <v>142</v>
      </c>
      <c r="B1929" s="5" t="str">
        <f>_xlfn.XLOOKUP(role_course_map[[#This Row],[role_id]], role_data[role_id], role_data[Role],"")</f>
        <v>Dual Supervisor</v>
      </c>
      <c r="C1929">
        <v>75407</v>
      </c>
      <c r="D1929" s="5" t="str">
        <f>_xlfn.XLOOKUP(role_course_map[[#This Row],[course_id]],course_data[course_id],course_data[title],"")</f>
        <v>Aspirant Leader Development Programme (ALDP)</v>
      </c>
      <c r="E1929" s="5" t="str">
        <f>_xlfn.XLOOKUP(role_course_map[[#This Row],[course_id]],course_data[course_id],course_data[topic],"")</f>
        <v>SAS: Staff development and experience</v>
      </c>
      <c r="F1929" s="5" t="str">
        <f>_xlfn.XLOOKUP(role_course_map[[#This Row],[course_id]],course_data[course_id],course_data[type],"")</f>
        <v>Page</v>
      </c>
      <c r="K1929" t="str">
        <f>role_course_map[[#This Row],[role_id]] &amp; "|" &amp; role_course_map[[#This Row],[course_id]]</f>
        <v>R0065|75407</v>
      </c>
      <c r="L1929" t="str">
        <f>IF(COUNTIF(role_course_map[mapping_key],role_course_map[[#This Row],[mapping_key]])&gt;1,"DUPLICATE","OK")</f>
        <v>OK</v>
      </c>
      <c r="M1929" t="str">
        <f>IF(COUNTIF(role_data[role_id],role_course_map[[#This Row],[role_id]])=0, "INVALID","VALID")</f>
        <v>VALID</v>
      </c>
      <c r="N1929" t="str">
        <f>IF(COUNTIF(course_data[course_id],role_course_map[[#This Row],[course_id]])=0, "INVALID","VALID")</f>
        <v>VALID</v>
      </c>
    </row>
    <row r="1930" spans="1:14" x14ac:dyDescent="0.35">
      <c r="A1930" t="s">
        <v>178</v>
      </c>
      <c r="B1930" s="5" t="str">
        <f>_xlfn.XLOOKUP(role_course_map[[#This Row],[role_id]], role_data[role_id], role_data[Role],"")</f>
        <v>Specialist Services Desk Supervisor</v>
      </c>
      <c r="C1930">
        <v>75407</v>
      </c>
      <c r="D1930" s="5" t="str">
        <f>_xlfn.XLOOKUP(role_course_map[[#This Row],[course_id]],course_data[course_id],course_data[title],"")</f>
        <v>Aspirant Leader Development Programme (ALDP)</v>
      </c>
      <c r="E1930" s="5" t="str">
        <f>_xlfn.XLOOKUP(role_course_map[[#This Row],[course_id]],course_data[course_id],course_data[topic],"")</f>
        <v>SAS: Staff development and experience</v>
      </c>
      <c r="F1930" s="5" t="str">
        <f>_xlfn.XLOOKUP(role_course_map[[#This Row],[course_id]],course_data[course_id],course_data[type],"")</f>
        <v>Page</v>
      </c>
      <c r="K1930" t="str">
        <f>role_course_map[[#This Row],[role_id]] &amp; "|" &amp; role_course_map[[#This Row],[course_id]]</f>
        <v>R0083|75407</v>
      </c>
      <c r="L1930" t="str">
        <f>IF(COUNTIF(role_course_map[mapping_key],role_course_map[[#This Row],[mapping_key]])&gt;1,"DUPLICATE","OK")</f>
        <v>OK</v>
      </c>
      <c r="M1930" t="str">
        <f>IF(COUNTIF(role_data[role_id],role_course_map[[#This Row],[role_id]])=0, "INVALID","VALID")</f>
        <v>VALID</v>
      </c>
      <c r="N1930" t="str">
        <f>IF(COUNTIF(course_data[course_id],role_course_map[[#This Row],[course_id]])=0, "INVALID","VALID")</f>
        <v>VALID</v>
      </c>
    </row>
    <row r="1931" spans="1:14" x14ac:dyDescent="0.35">
      <c r="A1931" t="s">
        <v>184</v>
      </c>
      <c r="B1931" s="5" t="str">
        <f>_xlfn.XLOOKUP(role_course_map[[#This Row],[role_id]], role_data[role_id], role_data[Role],"")</f>
        <v>Workforce Planning Supervisor</v>
      </c>
      <c r="C1931">
        <v>75407</v>
      </c>
      <c r="D1931" s="5" t="str">
        <f>_xlfn.XLOOKUP(role_course_map[[#This Row],[course_id]],course_data[course_id],course_data[title],"")</f>
        <v>Aspirant Leader Development Programme (ALDP)</v>
      </c>
      <c r="E1931" s="5" t="str">
        <f>_xlfn.XLOOKUP(role_course_map[[#This Row],[course_id]],course_data[course_id],course_data[topic],"")</f>
        <v>SAS: Staff development and experience</v>
      </c>
      <c r="F1931" s="5" t="str">
        <f>_xlfn.XLOOKUP(role_course_map[[#This Row],[course_id]],course_data[course_id],course_data[type],"")</f>
        <v>Page</v>
      </c>
      <c r="K1931" t="str">
        <f>role_course_map[[#This Row],[role_id]] &amp; "|" &amp; role_course_map[[#This Row],[course_id]]</f>
        <v>R0086|75407</v>
      </c>
      <c r="L1931" t="str">
        <f>IF(COUNTIF(role_course_map[mapping_key],role_course_map[[#This Row],[mapping_key]])&gt;1,"DUPLICATE","OK")</f>
        <v>OK</v>
      </c>
      <c r="M1931" t="str">
        <f>IF(COUNTIF(role_data[role_id],role_course_map[[#This Row],[role_id]])=0, "INVALID","VALID")</f>
        <v>VALID</v>
      </c>
      <c r="N1931" t="str">
        <f>IF(COUNTIF(course_data[course_id],role_course_map[[#This Row],[course_id]])=0, "INVALID","VALID")</f>
        <v>VALID</v>
      </c>
    </row>
    <row r="1932" spans="1:14" x14ac:dyDescent="0.35">
      <c r="A1932" t="s">
        <v>162</v>
      </c>
      <c r="B1932" s="5" t="str">
        <f>_xlfn.XLOOKUP(role_course_map[[#This Row],[role_id]], role_data[role_id], role_data[Role],"")</f>
        <v>Practice Developer</v>
      </c>
      <c r="C1932">
        <v>75407</v>
      </c>
      <c r="D1932" s="5" t="str">
        <f>_xlfn.XLOOKUP(role_course_map[[#This Row],[course_id]],course_data[course_id],course_data[title],"")</f>
        <v>Aspirant Leader Development Programme (ALDP)</v>
      </c>
      <c r="E1932" s="5" t="str">
        <f>_xlfn.XLOOKUP(role_course_map[[#This Row],[course_id]],course_data[course_id],course_data[topic],"")</f>
        <v>SAS: Staff development and experience</v>
      </c>
      <c r="F1932" s="5" t="str">
        <f>_xlfn.XLOOKUP(role_course_map[[#This Row],[course_id]],course_data[course_id],course_data[type],"")</f>
        <v>Page</v>
      </c>
      <c r="K1932" t="str">
        <f>role_course_map[[#This Row],[role_id]] &amp; "|" &amp; role_course_map[[#This Row],[course_id]]</f>
        <v>R0075|75407</v>
      </c>
      <c r="L1932" t="str">
        <f>IF(COUNTIF(role_course_map[mapping_key],role_course_map[[#This Row],[mapping_key]])&gt;1,"DUPLICATE","OK")</f>
        <v>OK</v>
      </c>
      <c r="M1932" t="str">
        <f>IF(COUNTIF(role_data[role_id],role_course_map[[#This Row],[role_id]])=0, "INVALID","VALID")</f>
        <v>VALID</v>
      </c>
      <c r="N1932" t="str">
        <f>IF(COUNTIF(course_data[course_id],role_course_map[[#This Row],[course_id]])=0, "INVALID","VALID")</f>
        <v>VALID</v>
      </c>
    </row>
    <row r="1933" spans="1:14" x14ac:dyDescent="0.35">
      <c r="A1933" t="s">
        <v>172</v>
      </c>
      <c r="B1933" s="5" t="str">
        <f>_xlfn.XLOOKUP(role_course_map[[#This Row],[role_id]], role_data[role_id], role_data[Role],"")</f>
        <v>Scheduled Care Supervisor</v>
      </c>
      <c r="C1933">
        <v>75407</v>
      </c>
      <c r="D1933" s="5" t="str">
        <f>_xlfn.XLOOKUP(role_course_map[[#This Row],[course_id]],course_data[course_id],course_data[title],"")</f>
        <v>Aspirant Leader Development Programme (ALDP)</v>
      </c>
      <c r="E1933" s="5" t="str">
        <f>_xlfn.XLOOKUP(role_course_map[[#This Row],[course_id]],course_data[course_id],course_data[topic],"")</f>
        <v>SAS: Staff development and experience</v>
      </c>
      <c r="F1933" s="5" t="str">
        <f>_xlfn.XLOOKUP(role_course_map[[#This Row],[course_id]],course_data[course_id],course_data[type],"")</f>
        <v>Page</v>
      </c>
      <c r="K1933" t="str">
        <f>role_course_map[[#This Row],[role_id]] &amp; "|" &amp; role_course_map[[#This Row],[course_id]]</f>
        <v>R0080|75407</v>
      </c>
      <c r="L1933" t="str">
        <f>IF(COUNTIF(role_course_map[mapping_key],role_course_map[[#This Row],[mapping_key]])&gt;1,"DUPLICATE","OK")</f>
        <v>OK</v>
      </c>
      <c r="M1933" t="str">
        <f>IF(COUNTIF(role_data[role_id],role_course_map[[#This Row],[role_id]])=0, "INVALID","VALID")</f>
        <v>VALID</v>
      </c>
      <c r="N1933" t="str">
        <f>IF(COUNTIF(course_data[course_id],role_course_map[[#This Row],[course_id]])=0, "INVALID","VALID")</f>
        <v>VALID</v>
      </c>
    </row>
    <row r="1934" spans="1:14" x14ac:dyDescent="0.35">
      <c r="A1934" t="s">
        <v>278</v>
      </c>
      <c r="B1934" s="5" t="str">
        <f>_xlfn.XLOOKUP(role_course_map[[#This Row],[role_id]], role_data[role_id], role_data[Role],"")</f>
        <v>EMRS Consultant</v>
      </c>
      <c r="C1934">
        <v>75407</v>
      </c>
      <c r="D1934" s="5" t="str">
        <f>_xlfn.XLOOKUP(role_course_map[[#This Row],[course_id]],course_data[course_id],course_data[title],"")</f>
        <v>Aspirant Leader Development Programme (ALDP)</v>
      </c>
      <c r="E1934" s="5" t="str">
        <f>_xlfn.XLOOKUP(role_course_map[[#This Row],[course_id]],course_data[course_id],course_data[topic],"")</f>
        <v>SAS: Staff development and experience</v>
      </c>
      <c r="F1934" s="5" t="str">
        <f>_xlfn.XLOOKUP(role_course_map[[#This Row],[course_id]],course_data[course_id],course_data[type],"")</f>
        <v>Page</v>
      </c>
      <c r="K1934" t="str">
        <f>role_course_map[[#This Row],[role_id]] &amp; "|" &amp; role_course_map[[#This Row],[course_id]]</f>
        <v>R0133|75407</v>
      </c>
      <c r="L1934" t="str">
        <f>IF(COUNTIF(role_course_map[mapping_key],role_course_map[[#This Row],[mapping_key]])&gt;1,"DUPLICATE","OK")</f>
        <v>OK</v>
      </c>
      <c r="M1934" t="str">
        <f>IF(COUNTIF(role_data[role_id],role_course_map[[#This Row],[role_id]])=0, "INVALID","VALID")</f>
        <v>VALID</v>
      </c>
      <c r="N1934" t="str">
        <f>IF(COUNTIF(course_data[course_id],role_course_map[[#This Row],[course_id]])=0, "INVALID","VALID")</f>
        <v>VALID</v>
      </c>
    </row>
    <row r="1935" spans="1:14" x14ac:dyDescent="0.35">
      <c r="A1935" t="s">
        <v>292</v>
      </c>
      <c r="B1935" s="5" t="str">
        <f>_xlfn.XLOOKUP(role_course_map[[#This Row],[role_id]], role_data[role_id], role_data[Role],"")</f>
        <v>Neonatal Consultant</v>
      </c>
      <c r="C1935">
        <v>75407</v>
      </c>
      <c r="D1935" s="5" t="str">
        <f>_xlfn.XLOOKUP(role_course_map[[#This Row],[course_id]],course_data[course_id],course_data[title],"")</f>
        <v>Aspirant Leader Development Programme (ALDP)</v>
      </c>
      <c r="E1935" s="5" t="str">
        <f>_xlfn.XLOOKUP(role_course_map[[#This Row],[course_id]],course_data[course_id],course_data[topic],"")</f>
        <v>SAS: Staff development and experience</v>
      </c>
      <c r="F1935" s="5" t="str">
        <f>_xlfn.XLOOKUP(role_course_map[[#This Row],[course_id]],course_data[course_id],course_data[type],"")</f>
        <v>Page</v>
      </c>
      <c r="K1935" t="str">
        <f>role_course_map[[#This Row],[role_id]] &amp; "|" &amp; role_course_map[[#This Row],[course_id]]</f>
        <v>R0140|75407</v>
      </c>
      <c r="L1935" t="str">
        <f>IF(COUNTIF(role_course_map[mapping_key],role_course_map[[#This Row],[mapping_key]])&gt;1,"DUPLICATE","OK")</f>
        <v>OK</v>
      </c>
      <c r="M1935" t="str">
        <f>IF(COUNTIF(role_data[role_id],role_course_map[[#This Row],[role_id]])=0, "INVALID","VALID")</f>
        <v>VALID</v>
      </c>
      <c r="N1935" t="str">
        <f>IF(COUNTIF(course_data[course_id],role_course_map[[#This Row],[course_id]])=0, "INVALID","VALID")</f>
        <v>VALID</v>
      </c>
    </row>
    <row r="1936" spans="1:14" x14ac:dyDescent="0.35">
      <c r="A1936" t="s">
        <v>296</v>
      </c>
      <c r="B1936" s="5" t="str">
        <f>_xlfn.XLOOKUP(role_course_map[[#This Row],[role_id]], role_data[role_id], role_data[Role],"")</f>
        <v>Neonatal Nurse Consultant</v>
      </c>
      <c r="C1936">
        <v>75407</v>
      </c>
      <c r="D1936" s="5" t="str">
        <f>_xlfn.XLOOKUP(role_course_map[[#This Row],[course_id]],course_data[course_id],course_data[title],"")</f>
        <v>Aspirant Leader Development Programme (ALDP)</v>
      </c>
      <c r="E1936" s="5" t="str">
        <f>_xlfn.XLOOKUP(role_course_map[[#This Row],[course_id]],course_data[course_id],course_data[topic],"")</f>
        <v>SAS: Staff development and experience</v>
      </c>
      <c r="F1936" s="5" t="str">
        <f>_xlfn.XLOOKUP(role_course_map[[#This Row],[course_id]],course_data[course_id],course_data[type],"")</f>
        <v>Page</v>
      </c>
      <c r="K1936" t="str">
        <f>role_course_map[[#This Row],[role_id]] &amp; "|" &amp; role_course_map[[#This Row],[course_id]]</f>
        <v>R0142|75407</v>
      </c>
      <c r="L1936" t="str">
        <f>IF(COUNTIF(role_course_map[mapping_key],role_course_map[[#This Row],[mapping_key]])&gt;1,"DUPLICATE","OK")</f>
        <v>OK</v>
      </c>
      <c r="M1936" t="str">
        <f>IF(COUNTIF(role_data[role_id],role_course_map[[#This Row],[role_id]])=0, "INVALID","VALID")</f>
        <v>VALID</v>
      </c>
      <c r="N1936" t="str">
        <f>IF(COUNTIF(course_data[course_id],role_course_map[[#This Row],[course_id]])=0, "INVALID","VALID")</f>
        <v>VALID</v>
      </c>
    </row>
    <row r="1937" spans="1:14" x14ac:dyDescent="0.35">
      <c r="A1937" t="s">
        <v>302</v>
      </c>
      <c r="B1937" s="5" t="str">
        <f>_xlfn.XLOOKUP(role_course_map[[#This Row],[role_id]], role_data[role_id], role_data[Role],"")</f>
        <v>Nurse Consultant</v>
      </c>
      <c r="C1937">
        <v>75407</v>
      </c>
      <c r="D1937" s="5" t="str">
        <f>_xlfn.XLOOKUP(role_course_map[[#This Row],[course_id]],course_data[course_id],course_data[title],"")</f>
        <v>Aspirant Leader Development Programme (ALDP)</v>
      </c>
      <c r="E1937" s="5" t="str">
        <f>_xlfn.XLOOKUP(role_course_map[[#This Row],[course_id]],course_data[course_id],course_data[topic],"")</f>
        <v>SAS: Staff development and experience</v>
      </c>
      <c r="F1937" s="5" t="str">
        <f>_xlfn.XLOOKUP(role_course_map[[#This Row],[course_id]],course_data[course_id],course_data[type],"")</f>
        <v>Page</v>
      </c>
      <c r="K1937" t="str">
        <f>role_course_map[[#This Row],[role_id]] &amp; "|" &amp; role_course_map[[#This Row],[course_id]]</f>
        <v>R0145|75407</v>
      </c>
      <c r="L1937" t="str">
        <f>IF(COUNTIF(role_course_map[mapping_key],role_course_map[[#This Row],[mapping_key]])&gt;1,"DUPLICATE","OK")</f>
        <v>OK</v>
      </c>
      <c r="M1937" t="str">
        <f>IF(COUNTIF(role_data[role_id],role_course_map[[#This Row],[role_id]])=0, "INVALID","VALID")</f>
        <v>VALID</v>
      </c>
      <c r="N1937" t="str">
        <f>IF(COUNTIF(course_data[course_id],role_course_map[[#This Row],[course_id]])=0, "INVALID","VALID")</f>
        <v>VALID</v>
      </c>
    </row>
    <row r="1938" spans="1:14" x14ac:dyDescent="0.35">
      <c r="A1938" t="s">
        <v>306</v>
      </c>
      <c r="B1938" s="5" t="str">
        <f>_xlfn.XLOOKUP(role_course_map[[#This Row],[role_id]], role_data[role_id], role_data[Role],"")</f>
        <v>Paediatric Consultant</v>
      </c>
      <c r="C1938">
        <v>75407</v>
      </c>
      <c r="D1938" s="5" t="str">
        <f>_xlfn.XLOOKUP(role_course_map[[#This Row],[course_id]],course_data[course_id],course_data[title],"")</f>
        <v>Aspirant Leader Development Programme (ALDP)</v>
      </c>
      <c r="E1938" s="5" t="str">
        <f>_xlfn.XLOOKUP(role_course_map[[#This Row],[course_id]],course_data[course_id],course_data[topic],"")</f>
        <v>SAS: Staff development and experience</v>
      </c>
      <c r="F1938" s="5" t="str">
        <f>_xlfn.XLOOKUP(role_course_map[[#This Row],[course_id]],course_data[course_id],course_data[type],"")</f>
        <v>Page</v>
      </c>
      <c r="K1938" t="str">
        <f>role_course_map[[#This Row],[role_id]] &amp; "|" &amp; role_course_map[[#This Row],[course_id]]</f>
        <v>R0147|75407</v>
      </c>
      <c r="L1938" t="str">
        <f>IF(COUNTIF(role_course_map[mapping_key],role_course_map[[#This Row],[mapping_key]])&gt;1,"DUPLICATE","OK")</f>
        <v>OK</v>
      </c>
      <c r="M1938" t="str">
        <f>IF(COUNTIF(role_data[role_id],role_course_map[[#This Row],[role_id]])=0, "INVALID","VALID")</f>
        <v>VALID</v>
      </c>
      <c r="N1938" t="str">
        <f>IF(COUNTIF(course_data[course_id],role_course_map[[#This Row],[course_id]])=0, "INVALID","VALID")</f>
        <v>VALID</v>
      </c>
    </row>
    <row r="1939" spans="1:14" x14ac:dyDescent="0.35">
      <c r="A1939" t="s">
        <v>308</v>
      </c>
      <c r="B1939" s="5" t="str">
        <f>_xlfn.XLOOKUP(role_course_map[[#This Row],[role_id]], role_data[role_id], role_data[Role],"")</f>
        <v>Paediatric Fellow</v>
      </c>
      <c r="C1939">
        <v>75407</v>
      </c>
      <c r="D1939" s="5" t="str">
        <f>_xlfn.XLOOKUP(role_course_map[[#This Row],[course_id]],course_data[course_id],course_data[title],"")</f>
        <v>Aspirant Leader Development Programme (ALDP)</v>
      </c>
      <c r="E1939" s="5" t="str">
        <f>_xlfn.XLOOKUP(role_course_map[[#This Row],[course_id]],course_data[course_id],course_data[topic],"")</f>
        <v>SAS: Staff development and experience</v>
      </c>
      <c r="F1939" s="5" t="str">
        <f>_xlfn.XLOOKUP(role_course_map[[#This Row],[course_id]],course_data[course_id],course_data[type],"")</f>
        <v>Page</v>
      </c>
      <c r="K1939" t="str">
        <f>role_course_map[[#This Row],[role_id]] &amp; "|" &amp; role_course_map[[#This Row],[course_id]]</f>
        <v>R0148|75407</v>
      </c>
      <c r="L1939" t="str">
        <f>IF(COUNTIF(role_course_map[mapping_key],role_course_map[[#This Row],[mapping_key]])&gt;1,"DUPLICATE","OK")</f>
        <v>OK</v>
      </c>
      <c r="M1939" t="str">
        <f>IF(COUNTIF(role_data[role_id],role_course_map[[#This Row],[role_id]])=0, "INVALID","VALID")</f>
        <v>VALID</v>
      </c>
      <c r="N1939" t="str">
        <f>IF(COUNTIF(course_data[course_id],role_course_map[[#This Row],[course_id]])=0, "INVALID","VALID")</f>
        <v>VALID</v>
      </c>
    </row>
    <row r="1940" spans="1:14" x14ac:dyDescent="0.35">
      <c r="A1940" t="s">
        <v>312</v>
      </c>
      <c r="B1940" s="5" t="str">
        <f>_xlfn.XLOOKUP(role_course_map[[#This Row],[role_id]], role_data[role_id], role_data[Role],"")</f>
        <v>Paediatric Nurse Consultant</v>
      </c>
      <c r="C1940">
        <v>75407</v>
      </c>
      <c r="D1940" s="5" t="str">
        <f>_xlfn.XLOOKUP(role_course_map[[#This Row],[course_id]],course_data[course_id],course_data[title],"")</f>
        <v>Aspirant Leader Development Programme (ALDP)</v>
      </c>
      <c r="E1940" s="5" t="str">
        <f>_xlfn.XLOOKUP(role_course_map[[#This Row],[course_id]],course_data[course_id],course_data[topic],"")</f>
        <v>SAS: Staff development and experience</v>
      </c>
      <c r="F1940" s="5" t="str">
        <f>_xlfn.XLOOKUP(role_course_map[[#This Row],[course_id]],course_data[course_id],course_data[type],"")</f>
        <v>Page</v>
      </c>
      <c r="K1940" t="str">
        <f>role_course_map[[#This Row],[role_id]] &amp; "|" &amp; role_course_map[[#This Row],[course_id]]</f>
        <v>R0150|75407</v>
      </c>
      <c r="L1940" t="str">
        <f>IF(COUNTIF(role_course_map[mapping_key],role_course_map[[#This Row],[mapping_key]])&gt;1,"DUPLICATE","OK")</f>
        <v>OK</v>
      </c>
      <c r="M1940" t="str">
        <f>IF(COUNTIF(role_data[role_id],role_course_map[[#This Row],[role_id]])=0, "INVALID","VALID")</f>
        <v>VALID</v>
      </c>
      <c r="N1940" t="str">
        <f>IF(COUNTIF(course_data[course_id],role_course_map[[#This Row],[course_id]])=0, "INVALID","VALID")</f>
        <v>VALID</v>
      </c>
    </row>
    <row r="1941" spans="1:14" x14ac:dyDescent="0.35">
      <c r="A1941" t="s">
        <v>325</v>
      </c>
      <c r="B1941" s="5" t="str">
        <f>_xlfn.XLOOKUP(role_course_map[[#This Row],[role_id]], role_data[role_id], role_data[Role],"")</f>
        <v>Assistant Head of Education and Professional Development</v>
      </c>
      <c r="C1941">
        <v>75407</v>
      </c>
      <c r="D1941" s="5" t="str">
        <f>_xlfn.XLOOKUP(role_course_map[[#This Row],[course_id]],course_data[course_id],course_data[title],"")</f>
        <v>Aspirant Leader Development Programme (ALDP)</v>
      </c>
      <c r="E1941" s="5" t="str">
        <f>_xlfn.XLOOKUP(role_course_map[[#This Row],[course_id]],course_data[course_id],course_data[topic],"")</f>
        <v>SAS: Staff development and experience</v>
      </c>
      <c r="F1941" s="5" t="str">
        <f>_xlfn.XLOOKUP(role_course_map[[#This Row],[course_id]],course_data[course_id],course_data[type],"")</f>
        <v>Page</v>
      </c>
      <c r="K1941" t="str">
        <f>role_course_map[[#This Row],[role_id]] &amp; "|" &amp; role_course_map[[#This Row],[course_id]]</f>
        <v>R0156|75407</v>
      </c>
      <c r="L1941" t="str">
        <f>IF(COUNTIF(role_course_map[mapping_key],role_course_map[[#This Row],[mapping_key]])&gt;1,"DUPLICATE","OK")</f>
        <v>OK</v>
      </c>
      <c r="M1941" t="str">
        <f>IF(COUNTIF(role_data[role_id],role_course_map[[#This Row],[role_id]])=0, "INVALID","VALID")</f>
        <v>VALID</v>
      </c>
      <c r="N1941" t="str">
        <f>IF(COUNTIF(course_data[course_id],role_course_map[[#This Row],[course_id]])=0, "INVALID","VALID")</f>
        <v>VALID</v>
      </c>
    </row>
    <row r="1942" spans="1:14" x14ac:dyDescent="0.35">
      <c r="A1942" t="s">
        <v>107</v>
      </c>
      <c r="B1942" s="5" t="str">
        <f>_xlfn.XLOOKUP(role_course_map[[#This Row],[role_id]], role_data[role_id], role_data[Role],"")</f>
        <v>Deputy Head of Procurement</v>
      </c>
      <c r="C1942">
        <v>75407</v>
      </c>
      <c r="D1942" s="5" t="str">
        <f>_xlfn.XLOOKUP(role_course_map[[#This Row],[course_id]],course_data[course_id],course_data[title],"")</f>
        <v>Aspirant Leader Development Programme (ALDP)</v>
      </c>
      <c r="E1942" s="5" t="str">
        <f>_xlfn.XLOOKUP(role_course_map[[#This Row],[course_id]],course_data[course_id],course_data[topic],"")</f>
        <v>SAS: Staff development and experience</v>
      </c>
      <c r="F1942" s="5" t="str">
        <f>_xlfn.XLOOKUP(role_course_map[[#This Row],[course_id]],course_data[course_id],course_data[type],"")</f>
        <v>Page</v>
      </c>
      <c r="K1942" t="str">
        <f>role_course_map[[#This Row],[role_id]] &amp; "|" &amp; role_course_map[[#This Row],[course_id]]</f>
        <v>R0048|75407</v>
      </c>
      <c r="L1942" t="str">
        <f>IF(COUNTIF(role_course_map[mapping_key],role_course_map[[#This Row],[mapping_key]])&gt;1,"DUPLICATE","OK")</f>
        <v>OK</v>
      </c>
      <c r="M1942" t="str">
        <f>IF(COUNTIF(role_data[role_id],role_course_map[[#This Row],[role_id]])=0, "INVALID","VALID")</f>
        <v>VALID</v>
      </c>
      <c r="N1942" t="str">
        <f>IF(COUNTIF(course_data[course_id],role_course_map[[#This Row],[course_id]])=0, "INVALID","VALID")</f>
        <v>VALID</v>
      </c>
    </row>
    <row r="1943" spans="1:14" x14ac:dyDescent="0.35">
      <c r="A1943" t="s">
        <v>107</v>
      </c>
      <c r="B1943" s="5" t="str">
        <f>_xlfn.XLOOKUP(role_course_map[[#This Row],[role_id]], role_data[role_id], role_data[Role],"")</f>
        <v>Deputy Head of Procurement</v>
      </c>
      <c r="C1943">
        <v>75406</v>
      </c>
      <c r="D1943" s="5" t="str">
        <f>_xlfn.XLOOKUP(role_course_map[[#This Row],[course_id]],course_data[course_id],course_data[title],"")</f>
        <v>Foundation Leadership and Management Programme (FLMP)</v>
      </c>
      <c r="E1943" s="5" t="str">
        <f>_xlfn.XLOOKUP(role_course_map[[#This Row],[course_id]],course_data[course_id],course_data[topic],"")</f>
        <v>SAS: Staff development and experience</v>
      </c>
      <c r="F1943" s="5" t="str">
        <f>_xlfn.XLOOKUP(role_course_map[[#This Row],[course_id]],course_data[course_id],course_data[type],"")</f>
        <v>Page</v>
      </c>
      <c r="K1943" t="str">
        <f>role_course_map[[#This Row],[role_id]] &amp; "|" &amp; role_course_map[[#This Row],[course_id]]</f>
        <v>R0048|75406</v>
      </c>
      <c r="L1943" t="str">
        <f>IF(COUNTIF(role_course_map[mapping_key],role_course_map[[#This Row],[mapping_key]])&gt;1,"DUPLICATE","OK")</f>
        <v>OK</v>
      </c>
      <c r="M1943" t="str">
        <f>IF(COUNTIF(role_data[role_id],role_course_map[[#This Row],[role_id]])=0, "INVALID","VALID")</f>
        <v>VALID</v>
      </c>
      <c r="N1943" t="str">
        <f>IF(COUNTIF(course_data[course_id],role_course_map[[#This Row],[course_id]])=0, "INVALID","VALID")</f>
        <v>VALID</v>
      </c>
    </row>
    <row r="1944" spans="1:14" x14ac:dyDescent="0.35">
      <c r="A1944" t="s">
        <v>325</v>
      </c>
      <c r="B1944" s="5" t="str">
        <f>_xlfn.XLOOKUP(role_course_map[[#This Row],[role_id]], role_data[role_id], role_data[Role],"")</f>
        <v>Assistant Head of Education and Professional Development</v>
      </c>
      <c r="C1944">
        <v>999092</v>
      </c>
      <c r="D1944" s="5" t="str">
        <f>_xlfn.XLOOKUP(role_course_map[[#This Row],[course_id]],course_data[course_id],course_data[title],"")</f>
        <v>Health &amp; Wellbeing Awareness for Managers</v>
      </c>
      <c r="E1944" s="5" t="str">
        <f>_xlfn.XLOOKUP(role_course_map[[#This Row],[course_id]],course_data[course_id],course_data[topic],"")</f>
        <v>SAS: Staff development and experience</v>
      </c>
      <c r="F1944" s="5" t="str">
        <f>_xlfn.XLOOKUP(role_course_map[[#This Row],[course_id]],course_data[course_id],course_data[type],"")</f>
        <v>eLearning</v>
      </c>
      <c r="K1944" t="str">
        <f>role_course_map[[#This Row],[role_id]] &amp; "|" &amp; role_course_map[[#This Row],[course_id]]</f>
        <v>R0156|999092</v>
      </c>
      <c r="L1944" t="str">
        <f>IF(COUNTIF(role_course_map[mapping_key],role_course_map[[#This Row],[mapping_key]])&gt;1,"DUPLICATE","OK")</f>
        <v>OK</v>
      </c>
      <c r="M1944" t="str">
        <f>IF(COUNTIF(role_data[role_id],role_course_map[[#This Row],[role_id]])=0, "INVALID","VALID")</f>
        <v>VALID</v>
      </c>
      <c r="N1944" t="str">
        <f>IF(COUNTIF(course_data[course_id],role_course_map[[#This Row],[course_id]])=0, "INVALID","VALID")</f>
        <v>VALID</v>
      </c>
    </row>
    <row r="1945" spans="1:14" x14ac:dyDescent="0.35">
      <c r="A1945" t="s">
        <v>107</v>
      </c>
      <c r="B1945" s="5" t="str">
        <f>_xlfn.XLOOKUP(role_course_map[[#This Row],[role_id]], role_data[role_id], role_data[Role],"")</f>
        <v>Deputy Head of Procurement</v>
      </c>
      <c r="C1945">
        <v>999093</v>
      </c>
      <c r="D1945" s="5" t="str">
        <f>_xlfn.XLOOKUP(role_course_map[[#This Row],[course_id]],course_data[course_id],course_data[title],"")</f>
        <v>Managing Wellbeing Refresher for Managers</v>
      </c>
      <c r="E1945" s="5" t="str">
        <f>_xlfn.XLOOKUP(role_course_map[[#This Row],[course_id]],course_data[course_id],course_data[topic],"")</f>
        <v>SAS: Staff development and experience</v>
      </c>
      <c r="F1945" s="5" t="str">
        <f>_xlfn.XLOOKUP(role_course_map[[#This Row],[course_id]],course_data[course_id],course_data[type],"")</f>
        <v>eLearning</v>
      </c>
      <c r="K1945" t="str">
        <f>role_course_map[[#This Row],[role_id]] &amp; "|" &amp; role_course_map[[#This Row],[course_id]]</f>
        <v>R0048|999093</v>
      </c>
      <c r="L1945" t="str">
        <f>IF(COUNTIF(role_course_map[mapping_key],role_course_map[[#This Row],[mapping_key]])&gt;1,"DUPLICATE","OK")</f>
        <v>OK</v>
      </c>
      <c r="M1945" t="str">
        <f>IF(COUNTIF(role_data[role_id],role_course_map[[#This Row],[role_id]])=0, "INVALID","VALID")</f>
        <v>VALID</v>
      </c>
      <c r="N1945" t="str">
        <f>IF(COUNTIF(course_data[course_id],role_course_map[[#This Row],[course_id]])=0, "INVALID","VALID")</f>
        <v>VALID</v>
      </c>
    </row>
    <row r="1946" spans="1:14" x14ac:dyDescent="0.35">
      <c r="A1946" t="s">
        <v>325</v>
      </c>
      <c r="B1946" s="5" t="str">
        <f>_xlfn.XLOOKUP(role_course_map[[#This Row],[role_id]], role_data[role_id], role_data[Role],"")</f>
        <v>Assistant Head of Education and Professional Development</v>
      </c>
      <c r="C1946">
        <v>999094</v>
      </c>
      <c r="D1946" s="5" t="str">
        <f>_xlfn.XLOOKUP(role_course_map[[#This Row],[course_id]],course_data[course_id],course_data[title],"")</f>
        <v>Being well, Mind, Body &amp; Workplace</v>
      </c>
      <c r="E1946" s="5" t="str">
        <f>_xlfn.XLOOKUP(role_course_map[[#This Row],[course_id]],course_data[course_id],course_data[topic],"")</f>
        <v>SAS: Staff development and experience</v>
      </c>
      <c r="F1946" s="5" t="str">
        <f>_xlfn.XLOOKUP(role_course_map[[#This Row],[course_id]],course_data[course_id],course_data[type],"")</f>
        <v>eLearning</v>
      </c>
      <c r="K1946" t="str">
        <f>role_course_map[[#This Row],[role_id]] &amp; "|" &amp; role_course_map[[#This Row],[course_id]]</f>
        <v>R0156|999094</v>
      </c>
      <c r="L1946" t="str">
        <f>IF(COUNTIF(role_course_map[mapping_key],role_course_map[[#This Row],[mapping_key]])&gt;1,"DUPLICATE","OK")</f>
        <v>OK</v>
      </c>
      <c r="M1946" t="str">
        <f>IF(COUNTIF(role_data[role_id],role_course_map[[#This Row],[role_id]])=0, "INVALID","VALID")</f>
        <v>VALID</v>
      </c>
      <c r="N1946" t="str">
        <f>IF(COUNTIF(course_data[course_id],role_course_map[[#This Row],[course_id]])=0, "INVALID","VALID")</f>
        <v>VALID</v>
      </c>
    </row>
    <row r="1947" spans="1:14" x14ac:dyDescent="0.35">
      <c r="A1947" t="s">
        <v>107</v>
      </c>
      <c r="B1947" s="5" t="str">
        <f>_xlfn.XLOOKUP(role_course_map[[#This Row],[role_id]], role_data[role_id], role_data[Role],"")</f>
        <v>Deputy Head of Procurement</v>
      </c>
      <c r="C1947">
        <v>999062</v>
      </c>
      <c r="D1947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1947" s="5" t="str">
        <f>_xlfn.XLOOKUP(role_course_map[[#This Row],[course_id]],course_data[course_id],course_data[topic],"")</f>
        <v>SAS : Health and Safety</v>
      </c>
      <c r="F1947" s="5" t="str">
        <f>_xlfn.XLOOKUP(role_course_map[[#This Row],[course_id]],course_data[course_id],course_data[type],"")</f>
        <v>Course</v>
      </c>
      <c r="K1947" t="str">
        <f>role_course_map[[#This Row],[role_id]] &amp; "|" &amp; role_course_map[[#This Row],[course_id]]</f>
        <v>R0048|999062</v>
      </c>
      <c r="L1947" t="str">
        <f>IF(COUNTIF(role_course_map[mapping_key],role_course_map[[#This Row],[mapping_key]])&gt;1,"DUPLICATE","OK")</f>
        <v>OK</v>
      </c>
      <c r="M1947" t="str">
        <f>IF(COUNTIF(role_data[role_id],role_course_map[[#This Row],[role_id]])=0, "INVALID","VALID")</f>
        <v>VALID</v>
      </c>
      <c r="N1947" t="str">
        <f>IF(COUNTIF(course_data[course_id],role_course_map[[#This Row],[course_id]])=0, "INVALID","VALID")</f>
        <v>VALID</v>
      </c>
    </row>
    <row r="1948" spans="1:14" x14ac:dyDescent="0.35">
      <c r="A1948" t="s">
        <v>381</v>
      </c>
      <c r="B1948" s="5" t="str">
        <f>_xlfn.XLOOKUP(role_course_map[[#This Row],[role_id]], role_data[role_id], role_data[Role],"")</f>
        <v>Head of Business Intelligence</v>
      </c>
      <c r="C1948">
        <v>999062</v>
      </c>
      <c r="D1948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1948" s="5" t="str">
        <f>_xlfn.XLOOKUP(role_course_map[[#This Row],[course_id]],course_data[course_id],course_data[topic],"")</f>
        <v>SAS : Health and Safety</v>
      </c>
      <c r="F1948" s="5" t="str">
        <f>_xlfn.XLOOKUP(role_course_map[[#This Row],[course_id]],course_data[course_id],course_data[type],"")</f>
        <v>Course</v>
      </c>
      <c r="K1948" t="str">
        <f>role_course_map[[#This Row],[role_id]] &amp; "|" &amp; role_course_map[[#This Row],[course_id]]</f>
        <v>R0182|999062</v>
      </c>
      <c r="L1948" t="str">
        <f>IF(COUNTIF(role_course_map[mapping_key],role_course_map[[#This Row],[mapping_key]])&gt;1,"DUPLICATE","OK")</f>
        <v>OK</v>
      </c>
      <c r="M1948" t="str">
        <f>IF(COUNTIF(role_data[role_id],role_course_map[[#This Row],[role_id]])=0, "INVALID","VALID")</f>
        <v>VALID</v>
      </c>
      <c r="N1948" t="str">
        <f>IF(COUNTIF(course_data[course_id],role_course_map[[#This Row],[course_id]])=0, "INVALID","VALID")</f>
        <v>VALID</v>
      </c>
    </row>
    <row r="1949" spans="1:14" x14ac:dyDescent="0.35">
      <c r="A1949" t="s">
        <v>381</v>
      </c>
      <c r="B1949" s="5" t="str">
        <f>_xlfn.XLOOKUP(role_course_map[[#This Row],[role_id]], role_data[role_id], role_data[Role],"")</f>
        <v>Head of Business Intelligence</v>
      </c>
      <c r="C1949">
        <v>999058</v>
      </c>
      <c r="D1949" s="5" t="str">
        <f>_xlfn.XLOOKUP(role_course_map[[#This Row],[course_id]],course_data[course_id],course_data[title],"")</f>
        <v>Stress Identification &amp; Stress Management</v>
      </c>
      <c r="E1949" s="5" t="str">
        <f>_xlfn.XLOOKUP(role_course_map[[#This Row],[course_id]],course_data[course_id],course_data[topic],"")</f>
        <v>SAS : Health and Safety</v>
      </c>
      <c r="F1949" s="5" t="str">
        <f>_xlfn.XLOOKUP(role_course_map[[#This Row],[course_id]],course_data[course_id],course_data[type],"")</f>
        <v>eLearning</v>
      </c>
      <c r="K1949" t="str">
        <f>role_course_map[[#This Row],[role_id]] &amp; "|" &amp; role_course_map[[#This Row],[course_id]]</f>
        <v>R0182|999058</v>
      </c>
      <c r="L1949" t="str">
        <f>IF(COUNTIF(role_course_map[mapping_key],role_course_map[[#This Row],[mapping_key]])&gt;1,"DUPLICATE","OK")</f>
        <v>OK</v>
      </c>
      <c r="M1949" t="str">
        <f>IF(COUNTIF(role_data[role_id],role_course_map[[#This Row],[role_id]])=0, "INVALID","VALID")</f>
        <v>VALID</v>
      </c>
      <c r="N1949" t="str">
        <f>IF(COUNTIF(course_data[course_id],role_course_map[[#This Row],[course_id]])=0, "INVALID","VALID")</f>
        <v>VALID</v>
      </c>
    </row>
    <row r="1950" spans="1:14" x14ac:dyDescent="0.35">
      <c r="A1950" t="s">
        <v>381</v>
      </c>
      <c r="B1950" s="5" t="str">
        <f>_xlfn.XLOOKUP(role_course_map[[#This Row],[role_id]], role_data[role_id], role_data[Role],"")</f>
        <v>Head of Business Intelligence</v>
      </c>
      <c r="C1950">
        <v>79147</v>
      </c>
      <c r="D1950" s="5" t="str">
        <f>_xlfn.XLOOKUP(role_course_map[[#This Row],[course_id]],course_data[course_id],course_data[title],"")</f>
        <v>Driving risks at work</v>
      </c>
      <c r="E1950" s="5" t="str">
        <f>_xlfn.XLOOKUP(role_course_map[[#This Row],[course_id]],course_data[course_id],course_data[topic],"")</f>
        <v>SAS : Health and Safety</v>
      </c>
      <c r="F1950" s="5" t="str">
        <f>_xlfn.XLOOKUP(role_course_map[[#This Row],[course_id]],course_data[course_id],course_data[type],"")</f>
        <v>eLearning</v>
      </c>
      <c r="K1950" t="str">
        <f>role_course_map[[#This Row],[role_id]] &amp; "|" &amp; role_course_map[[#This Row],[course_id]]</f>
        <v>R0182|79147</v>
      </c>
      <c r="L1950" t="str">
        <f>IF(COUNTIF(role_course_map[mapping_key],role_course_map[[#This Row],[mapping_key]])&gt;1,"DUPLICATE","OK")</f>
        <v>OK</v>
      </c>
      <c r="M1950" t="str">
        <f>IF(COUNTIF(role_data[role_id],role_course_map[[#This Row],[role_id]])=0, "INVALID","VALID")</f>
        <v>VALID</v>
      </c>
      <c r="N1950" t="str">
        <f>IF(COUNTIF(course_data[course_id],role_course_map[[#This Row],[course_id]])=0, "INVALID","VALID")</f>
        <v>VALID</v>
      </c>
    </row>
    <row r="1951" spans="1:14" x14ac:dyDescent="0.35">
      <c r="A1951" t="s">
        <v>107</v>
      </c>
      <c r="B1951" s="5" t="str">
        <f>_xlfn.XLOOKUP(role_course_map[[#This Row],[role_id]], role_data[role_id], role_data[Role],"")</f>
        <v>Deputy Head of Procurement</v>
      </c>
      <c r="C1951">
        <v>999057</v>
      </c>
      <c r="D1951" s="5" t="str">
        <f>_xlfn.XLOOKUP(role_course_map[[#This Row],[course_id]],course_data[course_id],course_data[title],"")</f>
        <v>Fatigue Awareness</v>
      </c>
      <c r="E1951" s="5" t="str">
        <f>_xlfn.XLOOKUP(role_course_map[[#This Row],[course_id]],course_data[course_id],course_data[topic],"")</f>
        <v>SAS : Health and Safety</v>
      </c>
      <c r="F1951" s="5" t="str">
        <f>_xlfn.XLOOKUP(role_course_map[[#This Row],[course_id]],course_data[course_id],course_data[type],"")</f>
        <v>eLearning</v>
      </c>
      <c r="K1951" t="str">
        <f>role_course_map[[#This Row],[role_id]] &amp; "|" &amp; role_course_map[[#This Row],[course_id]]</f>
        <v>R0048|999057</v>
      </c>
      <c r="L1951" t="str">
        <f>IF(COUNTIF(role_course_map[mapping_key],role_course_map[[#This Row],[mapping_key]])&gt;1,"DUPLICATE","OK")</f>
        <v>OK</v>
      </c>
      <c r="M1951" t="str">
        <f>IF(COUNTIF(role_data[role_id],role_course_map[[#This Row],[role_id]])=0, "INVALID","VALID")</f>
        <v>VALID</v>
      </c>
      <c r="N1951" t="str">
        <f>IF(COUNTIF(course_data[course_id],role_course_map[[#This Row],[course_id]])=0, "INVALID","VALID")</f>
        <v>VALID</v>
      </c>
    </row>
    <row r="1952" spans="1:14" x14ac:dyDescent="0.35">
      <c r="A1952" t="s">
        <v>381</v>
      </c>
      <c r="B1952" s="5" t="str">
        <f>_xlfn.XLOOKUP(role_course_map[[#This Row],[role_id]], role_data[role_id], role_data[Role],"")</f>
        <v>Head of Business Intelligence</v>
      </c>
      <c r="C1952">
        <v>999057</v>
      </c>
      <c r="D1952" s="5" t="str">
        <f>_xlfn.XLOOKUP(role_course_map[[#This Row],[course_id]],course_data[course_id],course_data[title],"")</f>
        <v>Fatigue Awareness</v>
      </c>
      <c r="E1952" s="5" t="str">
        <f>_xlfn.XLOOKUP(role_course_map[[#This Row],[course_id]],course_data[course_id],course_data[topic],"")</f>
        <v>SAS : Health and Safety</v>
      </c>
      <c r="F1952" s="5" t="str">
        <f>_xlfn.XLOOKUP(role_course_map[[#This Row],[course_id]],course_data[course_id],course_data[type],"")</f>
        <v>eLearning</v>
      </c>
      <c r="K1952" t="str">
        <f>role_course_map[[#This Row],[role_id]] &amp; "|" &amp; role_course_map[[#This Row],[course_id]]</f>
        <v>R0182|999057</v>
      </c>
      <c r="L1952" t="str">
        <f>IF(COUNTIF(role_course_map[mapping_key],role_course_map[[#This Row],[mapping_key]])&gt;1,"DUPLICATE","OK")</f>
        <v>OK</v>
      </c>
      <c r="M1952" t="str">
        <f>IF(COUNTIF(role_data[role_id],role_course_map[[#This Row],[role_id]])=0, "INVALID","VALID")</f>
        <v>VALID</v>
      </c>
      <c r="N1952" t="str">
        <f>IF(COUNTIF(course_data[course_id],role_course_map[[#This Row],[course_id]])=0, "INVALID","VALID")</f>
        <v>VALID</v>
      </c>
    </row>
    <row r="1953" spans="1:14" x14ac:dyDescent="0.35">
      <c r="A1953" t="s">
        <v>381</v>
      </c>
      <c r="B1953" s="5" t="str">
        <f>_xlfn.XLOOKUP(role_course_map[[#This Row],[role_id]], role_data[role_id], role_data[Role],"")</f>
        <v>Head of Business Intelligence</v>
      </c>
      <c r="C1953">
        <v>999091</v>
      </c>
      <c r="D1953" s="5" t="str">
        <f>_xlfn.XLOOKUP(role_course_map[[#This Row],[course_id]],course_data[course_id],course_data[title],"")</f>
        <v>Intermediate Leadership Development Programme</v>
      </c>
      <c r="E1953" s="5" t="str">
        <f>_xlfn.XLOOKUP(role_course_map[[#This Row],[course_id]],course_data[course_id],course_data[topic],"")</f>
        <v>SAS: Staff development and experience</v>
      </c>
      <c r="F1953" s="5">
        <f>_xlfn.XLOOKUP(role_course_map[[#This Row],[course_id]],course_data[course_id],course_data[type],"")</f>
        <v>0</v>
      </c>
      <c r="K1953" t="str">
        <f>role_course_map[[#This Row],[role_id]] &amp; "|" &amp; role_course_map[[#This Row],[course_id]]</f>
        <v>R0182|999091</v>
      </c>
      <c r="L1953" t="str">
        <f>IF(COUNTIF(role_course_map[mapping_key],role_course_map[[#This Row],[mapping_key]])&gt;1,"DUPLICATE","OK")</f>
        <v>OK</v>
      </c>
      <c r="M1953" t="str">
        <f>IF(COUNTIF(role_data[role_id],role_course_map[[#This Row],[role_id]])=0, "INVALID","VALID")</f>
        <v>VALID</v>
      </c>
      <c r="N1953" t="str">
        <f>IF(COUNTIF(course_data[course_id],role_course_map[[#This Row],[course_id]])=0, "INVALID","VALID")</f>
        <v>VALID</v>
      </c>
    </row>
    <row r="1954" spans="1:14" x14ac:dyDescent="0.35">
      <c r="A1954" t="s">
        <v>381</v>
      </c>
      <c r="B1954" s="5" t="str">
        <f>_xlfn.XLOOKUP(role_course_map[[#This Row],[role_id]], role_data[role_id], role_data[Role],"")</f>
        <v>Head of Business Intelligence</v>
      </c>
      <c r="C1954">
        <v>999090</v>
      </c>
      <c r="D1954" s="5" t="str">
        <f>_xlfn.XLOOKUP(role_course_map[[#This Row],[course_id]],course_data[course_id],course_data[title],"")</f>
        <v>Leading for the Future</v>
      </c>
      <c r="E1954" s="5" t="str">
        <f>_xlfn.XLOOKUP(role_course_map[[#This Row],[course_id]],course_data[course_id],course_data[topic],"")</f>
        <v>SAS: Staff development and experience</v>
      </c>
      <c r="F1954" s="5">
        <f>_xlfn.XLOOKUP(role_course_map[[#This Row],[course_id]],course_data[course_id],course_data[type],"")</f>
        <v>0</v>
      </c>
      <c r="K1954" t="str">
        <f>role_course_map[[#This Row],[role_id]] &amp; "|" &amp; role_course_map[[#This Row],[course_id]]</f>
        <v>R0182|999090</v>
      </c>
      <c r="L1954" t="str">
        <f>IF(COUNTIF(role_course_map[mapping_key],role_course_map[[#This Row],[mapping_key]])&gt;1,"DUPLICATE","OK")</f>
        <v>OK</v>
      </c>
      <c r="M1954" t="str">
        <f>IF(COUNTIF(role_data[role_id],role_course_map[[#This Row],[role_id]])=0, "INVALID","VALID")</f>
        <v>VALID</v>
      </c>
      <c r="N1954" t="str">
        <f>IF(COUNTIF(course_data[course_id],role_course_map[[#This Row],[course_id]])=0, "INVALID","VALID")</f>
        <v>VALID</v>
      </c>
    </row>
    <row r="1955" spans="1:14" x14ac:dyDescent="0.35">
      <c r="A1955" t="s">
        <v>107</v>
      </c>
      <c r="B1955" s="5" t="str">
        <f>_xlfn.XLOOKUP(role_course_map[[#This Row],[role_id]], role_data[role_id], role_data[Role],"")</f>
        <v>Deputy Head of Procurement</v>
      </c>
      <c r="C1955">
        <v>999092</v>
      </c>
      <c r="D1955" s="5" t="str">
        <f>_xlfn.XLOOKUP(role_course_map[[#This Row],[course_id]],course_data[course_id],course_data[title],"")</f>
        <v>Health &amp; Wellbeing Awareness for Managers</v>
      </c>
      <c r="E1955" s="5" t="str">
        <f>_xlfn.XLOOKUP(role_course_map[[#This Row],[course_id]],course_data[course_id],course_data[topic],"")</f>
        <v>SAS: Staff development and experience</v>
      </c>
      <c r="F1955" s="5" t="str">
        <f>_xlfn.XLOOKUP(role_course_map[[#This Row],[course_id]],course_data[course_id],course_data[type],"")</f>
        <v>eLearning</v>
      </c>
      <c r="K1955" t="str">
        <f>role_course_map[[#This Row],[role_id]] &amp; "|" &amp; role_course_map[[#This Row],[course_id]]</f>
        <v>R0048|999092</v>
      </c>
      <c r="L1955" t="str">
        <f>IF(COUNTIF(role_course_map[mapping_key],role_course_map[[#This Row],[mapping_key]])&gt;1,"DUPLICATE","OK")</f>
        <v>OK</v>
      </c>
      <c r="M1955" t="str">
        <f>IF(COUNTIF(role_data[role_id],role_course_map[[#This Row],[role_id]])=0, "INVALID","VALID")</f>
        <v>VALID</v>
      </c>
      <c r="N1955" t="str">
        <f>IF(COUNTIF(course_data[course_id],role_course_map[[#This Row],[course_id]])=0, "INVALID","VALID")</f>
        <v>VALID</v>
      </c>
    </row>
    <row r="1956" spans="1:14" x14ac:dyDescent="0.35">
      <c r="A1956" t="s">
        <v>381</v>
      </c>
      <c r="B1956" s="5" t="str">
        <f>_xlfn.XLOOKUP(role_course_map[[#This Row],[role_id]], role_data[role_id], role_data[Role],"")</f>
        <v>Head of Business Intelligence</v>
      </c>
      <c r="C1956">
        <v>999092</v>
      </c>
      <c r="D1956" s="5" t="str">
        <f>_xlfn.XLOOKUP(role_course_map[[#This Row],[course_id]],course_data[course_id],course_data[title],"")</f>
        <v>Health &amp; Wellbeing Awareness for Managers</v>
      </c>
      <c r="E1956" s="5" t="str">
        <f>_xlfn.XLOOKUP(role_course_map[[#This Row],[course_id]],course_data[course_id],course_data[topic],"")</f>
        <v>SAS: Staff development and experience</v>
      </c>
      <c r="F1956" s="5" t="str">
        <f>_xlfn.XLOOKUP(role_course_map[[#This Row],[course_id]],course_data[course_id],course_data[type],"")</f>
        <v>eLearning</v>
      </c>
      <c r="K1956" t="str">
        <f>role_course_map[[#This Row],[role_id]] &amp; "|" &amp; role_course_map[[#This Row],[course_id]]</f>
        <v>R0182|999092</v>
      </c>
      <c r="L1956" t="str">
        <f>IF(COUNTIF(role_course_map[mapping_key],role_course_map[[#This Row],[mapping_key]])&gt;1,"DUPLICATE","OK")</f>
        <v>OK</v>
      </c>
      <c r="M1956" t="str">
        <f>IF(COUNTIF(role_data[role_id],role_course_map[[#This Row],[role_id]])=0, "INVALID","VALID")</f>
        <v>VALID</v>
      </c>
      <c r="N1956" t="str">
        <f>IF(COUNTIF(course_data[course_id],role_course_map[[#This Row],[course_id]])=0, "INVALID","VALID")</f>
        <v>VALID</v>
      </c>
    </row>
    <row r="1957" spans="1:14" x14ac:dyDescent="0.35">
      <c r="A1957" t="s">
        <v>381</v>
      </c>
      <c r="B1957" s="5" t="str">
        <f>_xlfn.XLOOKUP(role_course_map[[#This Row],[role_id]], role_data[role_id], role_data[Role],"")</f>
        <v>Head of Business Intelligence</v>
      </c>
      <c r="C1957">
        <v>999093</v>
      </c>
      <c r="D1957" s="5" t="str">
        <f>_xlfn.XLOOKUP(role_course_map[[#This Row],[course_id]],course_data[course_id],course_data[title],"")</f>
        <v>Managing Wellbeing Refresher for Managers</v>
      </c>
      <c r="E1957" s="5" t="str">
        <f>_xlfn.XLOOKUP(role_course_map[[#This Row],[course_id]],course_data[course_id],course_data[topic],"")</f>
        <v>SAS: Staff development and experience</v>
      </c>
      <c r="F1957" s="5" t="str">
        <f>_xlfn.XLOOKUP(role_course_map[[#This Row],[course_id]],course_data[course_id],course_data[type],"")</f>
        <v>eLearning</v>
      </c>
      <c r="K1957" t="str">
        <f>role_course_map[[#This Row],[role_id]] &amp; "|" &amp; role_course_map[[#This Row],[course_id]]</f>
        <v>R0182|999093</v>
      </c>
      <c r="L1957" t="str">
        <f>IF(COUNTIF(role_course_map[mapping_key],role_course_map[[#This Row],[mapping_key]])&gt;1,"DUPLICATE","OK")</f>
        <v>OK</v>
      </c>
      <c r="M1957" t="str">
        <f>IF(COUNTIF(role_data[role_id],role_course_map[[#This Row],[role_id]])=0, "INVALID","VALID")</f>
        <v>VALID</v>
      </c>
      <c r="N1957" t="str">
        <f>IF(COUNTIF(course_data[course_id],role_course_map[[#This Row],[course_id]])=0, "INVALID","VALID")</f>
        <v>VALID</v>
      </c>
    </row>
    <row r="1958" spans="1:14" x14ac:dyDescent="0.35">
      <c r="A1958" t="s">
        <v>381</v>
      </c>
      <c r="B1958" s="5" t="str">
        <f>_xlfn.XLOOKUP(role_course_map[[#This Row],[role_id]], role_data[role_id], role_data[Role],"")</f>
        <v>Head of Business Intelligence</v>
      </c>
      <c r="C1958">
        <v>999094</v>
      </c>
      <c r="D1958" s="5" t="str">
        <f>_xlfn.XLOOKUP(role_course_map[[#This Row],[course_id]],course_data[course_id],course_data[title],"")</f>
        <v>Being well, Mind, Body &amp; Workplace</v>
      </c>
      <c r="E1958" s="5" t="str">
        <f>_xlfn.XLOOKUP(role_course_map[[#This Row],[course_id]],course_data[course_id],course_data[topic],"")</f>
        <v>SAS: Staff development and experience</v>
      </c>
      <c r="F1958" s="5" t="str">
        <f>_xlfn.XLOOKUP(role_course_map[[#This Row],[course_id]],course_data[course_id],course_data[type],"")</f>
        <v>eLearning</v>
      </c>
      <c r="K1958" t="str">
        <f>role_course_map[[#This Row],[role_id]] &amp; "|" &amp; role_course_map[[#This Row],[course_id]]</f>
        <v>R0182|999094</v>
      </c>
      <c r="L1958" t="str">
        <f>IF(COUNTIF(role_course_map[mapping_key],role_course_map[[#This Row],[mapping_key]])&gt;1,"DUPLICATE","OK")</f>
        <v>OK</v>
      </c>
      <c r="M1958" t="str">
        <f>IF(COUNTIF(role_data[role_id],role_course_map[[#This Row],[role_id]])=0, "INVALID","VALID")</f>
        <v>VALID</v>
      </c>
      <c r="N1958" t="str">
        <f>IF(COUNTIF(course_data[course_id],role_course_map[[#This Row],[course_id]])=0, "INVALID","VALID")</f>
        <v>VALID</v>
      </c>
    </row>
    <row r="1959" spans="1:14" x14ac:dyDescent="0.35">
      <c r="A1959" t="s">
        <v>107</v>
      </c>
      <c r="B1959" s="5" t="str">
        <f>_xlfn.XLOOKUP(role_course_map[[#This Row],[role_id]], role_data[role_id], role_data[Role],"")</f>
        <v>Deputy Head of Procurement</v>
      </c>
      <c r="C1959">
        <v>999094</v>
      </c>
      <c r="D1959" s="5" t="str">
        <f>_xlfn.XLOOKUP(role_course_map[[#This Row],[course_id]],course_data[course_id],course_data[title],"")</f>
        <v>Being well, Mind, Body &amp; Workplace</v>
      </c>
      <c r="E1959" s="5" t="str">
        <f>_xlfn.XLOOKUP(role_course_map[[#This Row],[course_id]],course_data[course_id],course_data[topic],"")</f>
        <v>SAS: Staff development and experience</v>
      </c>
      <c r="F1959" s="5" t="str">
        <f>_xlfn.XLOOKUP(role_course_map[[#This Row],[course_id]],course_data[course_id],course_data[type],"")</f>
        <v>eLearning</v>
      </c>
      <c r="K1959" t="str">
        <f>role_course_map[[#This Row],[role_id]] &amp; "|" &amp; role_course_map[[#This Row],[course_id]]</f>
        <v>R0048|999094</v>
      </c>
      <c r="L1959" t="str">
        <f>IF(COUNTIF(role_course_map[mapping_key],role_course_map[[#This Row],[mapping_key]])&gt;1,"DUPLICATE","OK")</f>
        <v>OK</v>
      </c>
      <c r="M1959" t="str">
        <f>IF(COUNTIF(role_data[role_id],role_course_map[[#This Row],[role_id]])=0, "INVALID","VALID")</f>
        <v>VALID</v>
      </c>
      <c r="N1959" t="str">
        <f>IF(COUNTIF(course_data[course_id],role_course_map[[#This Row],[course_id]])=0, "INVALID","VALID")</f>
        <v>VALID</v>
      </c>
    </row>
    <row r="1960" spans="1:14" x14ac:dyDescent="0.35">
      <c r="A1960" t="s">
        <v>24</v>
      </c>
      <c r="B1960" s="5" t="str">
        <f>_xlfn.XLOOKUP(role_course_map[[#This Row],[role_id]], role_data[role_id], role_data[Role],"")</f>
        <v>Deputy Head of Estates</v>
      </c>
      <c r="C1960">
        <v>999062</v>
      </c>
      <c r="D1960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1960" s="5" t="str">
        <f>_xlfn.XLOOKUP(role_course_map[[#This Row],[course_id]],course_data[course_id],course_data[topic],"")</f>
        <v>SAS : Health and Safety</v>
      </c>
      <c r="F1960" s="5" t="str">
        <f>_xlfn.XLOOKUP(role_course_map[[#This Row],[course_id]],course_data[course_id],course_data[type],"")</f>
        <v>Course</v>
      </c>
      <c r="K1960" t="str">
        <f>role_course_map[[#This Row],[role_id]] &amp; "|" &amp; role_course_map[[#This Row],[course_id]]</f>
        <v>R0009|999062</v>
      </c>
      <c r="L1960" t="str">
        <f>IF(COUNTIF(role_course_map[mapping_key],role_course_map[[#This Row],[mapping_key]])&gt;1,"DUPLICATE","OK")</f>
        <v>OK</v>
      </c>
      <c r="M1960" t="str">
        <f>IF(COUNTIF(role_data[role_id],role_course_map[[#This Row],[role_id]])=0, "INVALID","VALID")</f>
        <v>VALID</v>
      </c>
      <c r="N1960" t="str">
        <f>IF(COUNTIF(course_data[course_id],role_course_map[[#This Row],[course_id]])=0, "INVALID","VALID")</f>
        <v>VALID</v>
      </c>
    </row>
    <row r="1961" spans="1:14" x14ac:dyDescent="0.35">
      <c r="A1961" t="s">
        <v>24</v>
      </c>
      <c r="B1961" s="5" t="str">
        <f>_xlfn.XLOOKUP(role_course_map[[#This Row],[role_id]], role_data[role_id], role_data[Role],"")</f>
        <v>Deputy Head of Estates</v>
      </c>
      <c r="C1961">
        <v>999058</v>
      </c>
      <c r="D1961" s="5" t="str">
        <f>_xlfn.XLOOKUP(role_course_map[[#This Row],[course_id]],course_data[course_id],course_data[title],"")</f>
        <v>Stress Identification &amp; Stress Management</v>
      </c>
      <c r="E1961" s="5" t="str">
        <f>_xlfn.XLOOKUP(role_course_map[[#This Row],[course_id]],course_data[course_id],course_data[topic],"")</f>
        <v>SAS : Health and Safety</v>
      </c>
      <c r="F1961" s="5" t="str">
        <f>_xlfn.XLOOKUP(role_course_map[[#This Row],[course_id]],course_data[course_id],course_data[type],"")</f>
        <v>eLearning</v>
      </c>
      <c r="K1961" t="str">
        <f>role_course_map[[#This Row],[role_id]] &amp; "|" &amp; role_course_map[[#This Row],[course_id]]</f>
        <v>R0009|999058</v>
      </c>
      <c r="L1961" t="str">
        <f>IF(COUNTIF(role_course_map[mapping_key],role_course_map[[#This Row],[mapping_key]])&gt;1,"DUPLICATE","OK")</f>
        <v>OK</v>
      </c>
      <c r="M1961" t="str">
        <f>IF(COUNTIF(role_data[role_id],role_course_map[[#This Row],[role_id]])=0, "INVALID","VALID")</f>
        <v>VALID</v>
      </c>
      <c r="N1961" t="str">
        <f>IF(COUNTIF(course_data[course_id],role_course_map[[#This Row],[course_id]])=0, "INVALID","VALID")</f>
        <v>VALID</v>
      </c>
    </row>
    <row r="1962" spans="1:14" x14ac:dyDescent="0.35">
      <c r="A1962" t="s">
        <v>24</v>
      </c>
      <c r="B1962" s="5" t="str">
        <f>_xlfn.XLOOKUP(role_course_map[[#This Row],[role_id]], role_data[role_id], role_data[Role],"")</f>
        <v>Deputy Head of Estates</v>
      </c>
      <c r="C1962">
        <v>999056</v>
      </c>
      <c r="D1962" s="5" t="str">
        <f>_xlfn.XLOOKUP(role_course_map[[#This Row],[course_id]],course_data[course_id],course_data[title],"")</f>
        <v>Driver Assessment &amp; Training</v>
      </c>
      <c r="E1962" s="5" t="str">
        <f>_xlfn.XLOOKUP(role_course_map[[#This Row],[course_id]],course_data[course_id],course_data[topic],"")</f>
        <v>SAS : Health and Safety</v>
      </c>
      <c r="F1962" s="5" t="str">
        <f>_xlfn.XLOOKUP(role_course_map[[#This Row],[course_id]],course_data[course_id],course_data[type],"")</f>
        <v>eLearning</v>
      </c>
      <c r="K1962" t="str">
        <f>role_course_map[[#This Row],[role_id]] &amp; "|" &amp; role_course_map[[#This Row],[course_id]]</f>
        <v>R0009|999056</v>
      </c>
      <c r="L1962" t="str">
        <f>IF(COUNTIF(role_course_map[mapping_key],role_course_map[[#This Row],[mapping_key]])&gt;1,"DUPLICATE","OK")</f>
        <v>OK</v>
      </c>
      <c r="M1962" t="str">
        <f>IF(COUNTIF(role_data[role_id],role_course_map[[#This Row],[role_id]])=0, "INVALID","VALID")</f>
        <v>VALID</v>
      </c>
      <c r="N1962" t="str">
        <f>IF(COUNTIF(course_data[course_id],role_course_map[[#This Row],[course_id]])=0, "INVALID","VALID")</f>
        <v>VALID</v>
      </c>
    </row>
    <row r="1963" spans="1:14" x14ac:dyDescent="0.35">
      <c r="A1963" t="s">
        <v>24</v>
      </c>
      <c r="B1963" s="5" t="str">
        <f>_xlfn.XLOOKUP(role_course_map[[#This Row],[role_id]], role_data[role_id], role_data[Role],"")</f>
        <v>Deputy Head of Estates</v>
      </c>
      <c r="C1963">
        <v>999057</v>
      </c>
      <c r="D1963" s="5" t="str">
        <f>_xlfn.XLOOKUP(role_course_map[[#This Row],[course_id]],course_data[course_id],course_data[title],"")</f>
        <v>Fatigue Awareness</v>
      </c>
      <c r="E1963" s="5" t="str">
        <f>_xlfn.XLOOKUP(role_course_map[[#This Row],[course_id]],course_data[course_id],course_data[topic],"")</f>
        <v>SAS : Health and Safety</v>
      </c>
      <c r="F1963" s="5" t="str">
        <f>_xlfn.XLOOKUP(role_course_map[[#This Row],[course_id]],course_data[course_id],course_data[type],"")</f>
        <v>eLearning</v>
      </c>
      <c r="K1963" t="str">
        <f>role_course_map[[#This Row],[role_id]] &amp; "|" &amp; role_course_map[[#This Row],[course_id]]</f>
        <v>R0009|999057</v>
      </c>
      <c r="L1963" t="str">
        <f>IF(COUNTIF(role_course_map[mapping_key],role_course_map[[#This Row],[mapping_key]])&gt;1,"DUPLICATE","OK")</f>
        <v>OK</v>
      </c>
      <c r="M1963" t="str">
        <f>IF(COUNTIF(role_data[role_id],role_course_map[[#This Row],[role_id]])=0, "INVALID","VALID")</f>
        <v>VALID</v>
      </c>
      <c r="N1963" t="str">
        <f>IF(COUNTIF(course_data[course_id],role_course_map[[#This Row],[course_id]])=0, "INVALID","VALID")</f>
        <v>VALID</v>
      </c>
    </row>
    <row r="1964" spans="1:14" x14ac:dyDescent="0.35">
      <c r="A1964" t="s">
        <v>24</v>
      </c>
      <c r="B1964" s="5" t="str">
        <f>_xlfn.XLOOKUP(role_course_map[[#This Row],[role_id]], role_data[role_id], role_data[Role],"")</f>
        <v>Deputy Head of Estates</v>
      </c>
      <c r="C1964">
        <v>999092</v>
      </c>
      <c r="D1964" s="5" t="str">
        <f>_xlfn.XLOOKUP(role_course_map[[#This Row],[course_id]],course_data[course_id],course_data[title],"")</f>
        <v>Health &amp; Wellbeing Awareness for Managers</v>
      </c>
      <c r="E1964" s="5" t="str">
        <f>_xlfn.XLOOKUP(role_course_map[[#This Row],[course_id]],course_data[course_id],course_data[topic],"")</f>
        <v>SAS: Staff development and experience</v>
      </c>
      <c r="F1964" s="5" t="str">
        <f>_xlfn.XLOOKUP(role_course_map[[#This Row],[course_id]],course_data[course_id],course_data[type],"")</f>
        <v>eLearning</v>
      </c>
      <c r="K1964" t="str">
        <f>role_course_map[[#This Row],[role_id]] &amp; "|" &amp; role_course_map[[#This Row],[course_id]]</f>
        <v>R0009|999092</v>
      </c>
      <c r="L1964" t="str">
        <f>IF(COUNTIF(role_course_map[mapping_key],role_course_map[[#This Row],[mapping_key]])&gt;1,"DUPLICATE","OK")</f>
        <v>OK</v>
      </c>
      <c r="M1964" t="str">
        <f>IF(COUNTIF(role_data[role_id],role_course_map[[#This Row],[role_id]])=0, "INVALID","VALID")</f>
        <v>VALID</v>
      </c>
      <c r="N1964" t="str">
        <f>IF(COUNTIF(course_data[course_id],role_course_map[[#This Row],[course_id]])=0, "INVALID","VALID")</f>
        <v>VALID</v>
      </c>
    </row>
    <row r="1965" spans="1:14" x14ac:dyDescent="0.35">
      <c r="A1965" t="s">
        <v>24</v>
      </c>
      <c r="B1965" s="5" t="str">
        <f>_xlfn.XLOOKUP(role_course_map[[#This Row],[role_id]], role_data[role_id], role_data[Role],"")</f>
        <v>Deputy Head of Estates</v>
      </c>
      <c r="C1965">
        <v>999093</v>
      </c>
      <c r="D1965" s="5" t="str">
        <f>_xlfn.XLOOKUP(role_course_map[[#This Row],[course_id]],course_data[course_id],course_data[title],"")</f>
        <v>Managing Wellbeing Refresher for Managers</v>
      </c>
      <c r="E1965" s="5" t="str">
        <f>_xlfn.XLOOKUP(role_course_map[[#This Row],[course_id]],course_data[course_id],course_data[topic],"")</f>
        <v>SAS: Staff development and experience</v>
      </c>
      <c r="F1965" s="5" t="str">
        <f>_xlfn.XLOOKUP(role_course_map[[#This Row],[course_id]],course_data[course_id],course_data[type],"")</f>
        <v>eLearning</v>
      </c>
      <c r="K1965" t="str">
        <f>role_course_map[[#This Row],[role_id]] &amp; "|" &amp; role_course_map[[#This Row],[course_id]]</f>
        <v>R0009|999093</v>
      </c>
      <c r="L1965" t="str">
        <f>IF(COUNTIF(role_course_map[mapping_key],role_course_map[[#This Row],[mapping_key]])&gt;1,"DUPLICATE","OK")</f>
        <v>OK</v>
      </c>
      <c r="M1965" t="str">
        <f>IF(COUNTIF(role_data[role_id],role_course_map[[#This Row],[role_id]])=0, "INVALID","VALID")</f>
        <v>VALID</v>
      </c>
      <c r="N1965" t="str">
        <f>IF(COUNTIF(course_data[course_id],role_course_map[[#This Row],[course_id]])=0, "INVALID","VALID")</f>
        <v>VALID</v>
      </c>
    </row>
    <row r="1966" spans="1:14" x14ac:dyDescent="0.35">
      <c r="A1966" t="s">
        <v>24</v>
      </c>
      <c r="B1966" s="5" t="str">
        <f>_xlfn.XLOOKUP(role_course_map[[#This Row],[role_id]], role_data[role_id], role_data[Role],"")</f>
        <v>Deputy Head of Estates</v>
      </c>
      <c r="C1966">
        <v>999094</v>
      </c>
      <c r="D1966" s="5" t="str">
        <f>_xlfn.XLOOKUP(role_course_map[[#This Row],[course_id]],course_data[course_id],course_data[title],"")</f>
        <v>Being well, Mind, Body &amp; Workplace</v>
      </c>
      <c r="E1966" s="5" t="str">
        <f>_xlfn.XLOOKUP(role_course_map[[#This Row],[course_id]],course_data[course_id],course_data[topic],"")</f>
        <v>SAS: Staff development and experience</v>
      </c>
      <c r="F1966" s="5" t="str">
        <f>_xlfn.XLOOKUP(role_course_map[[#This Row],[course_id]],course_data[course_id],course_data[type],"")</f>
        <v>eLearning</v>
      </c>
      <c r="K1966" t="str">
        <f>role_course_map[[#This Row],[role_id]] &amp; "|" &amp; role_course_map[[#This Row],[course_id]]</f>
        <v>R0009|999094</v>
      </c>
      <c r="L1966" t="str">
        <f>IF(COUNTIF(role_course_map[mapping_key],role_course_map[[#This Row],[mapping_key]])&gt;1,"DUPLICATE","OK")</f>
        <v>OK</v>
      </c>
      <c r="M1966" t="str">
        <f>IF(COUNTIF(role_data[role_id],role_course_map[[#This Row],[role_id]])=0, "INVALID","VALID")</f>
        <v>VALID</v>
      </c>
      <c r="N1966" t="str">
        <f>IF(COUNTIF(course_data[course_id],role_course_map[[#This Row],[course_id]])=0, "INVALID","VALID")</f>
        <v>VALID</v>
      </c>
    </row>
    <row r="1967" spans="1:14" x14ac:dyDescent="0.35">
      <c r="A1967" t="s">
        <v>24</v>
      </c>
      <c r="B1967" s="5" t="str">
        <f>_xlfn.XLOOKUP(role_course_map[[#This Row],[role_id]], role_data[role_id], role_data[Role],"")</f>
        <v>Deputy Head of Estates</v>
      </c>
      <c r="C1967">
        <v>75407</v>
      </c>
      <c r="D1967" s="5" t="str">
        <f>_xlfn.XLOOKUP(role_course_map[[#This Row],[course_id]],course_data[course_id],course_data[title],"")</f>
        <v>Aspirant Leader Development Programme (ALDP)</v>
      </c>
      <c r="E1967" s="5" t="str">
        <f>_xlfn.XLOOKUP(role_course_map[[#This Row],[course_id]],course_data[course_id],course_data[topic],"")</f>
        <v>SAS: Staff development and experience</v>
      </c>
      <c r="F1967" s="5" t="str">
        <f>_xlfn.XLOOKUP(role_course_map[[#This Row],[course_id]],course_data[course_id],course_data[type],"")</f>
        <v>Page</v>
      </c>
      <c r="K1967" t="str">
        <f>role_course_map[[#This Row],[role_id]] &amp; "|" &amp; role_course_map[[#This Row],[course_id]]</f>
        <v>R0009|75407</v>
      </c>
      <c r="L1967" t="str">
        <f>IF(COUNTIF(role_course_map[mapping_key],role_course_map[[#This Row],[mapping_key]])&gt;1,"DUPLICATE","OK")</f>
        <v>OK</v>
      </c>
      <c r="M1967" t="str">
        <f>IF(COUNTIF(role_data[role_id],role_course_map[[#This Row],[role_id]])=0, "INVALID","VALID")</f>
        <v>VALID</v>
      </c>
      <c r="N1967" t="str">
        <f>IF(COUNTIF(course_data[course_id],role_course_map[[#This Row],[course_id]])=0, "INVALID","VALID")</f>
        <v>VALID</v>
      </c>
    </row>
    <row r="1968" spans="1:14" x14ac:dyDescent="0.35">
      <c r="A1968" t="s">
        <v>24</v>
      </c>
      <c r="B1968" s="5" t="str">
        <f>_xlfn.XLOOKUP(role_course_map[[#This Row],[role_id]], role_data[role_id], role_data[Role],"")</f>
        <v>Deputy Head of Estates</v>
      </c>
      <c r="C1968">
        <v>75406</v>
      </c>
      <c r="D1968" s="5" t="str">
        <f>_xlfn.XLOOKUP(role_course_map[[#This Row],[course_id]],course_data[course_id],course_data[title],"")</f>
        <v>Foundation Leadership and Management Programme (FLMP)</v>
      </c>
      <c r="E1968" s="5" t="str">
        <f>_xlfn.XLOOKUP(role_course_map[[#This Row],[course_id]],course_data[course_id],course_data[topic],"")</f>
        <v>SAS: Staff development and experience</v>
      </c>
      <c r="F1968" s="5" t="str">
        <f>_xlfn.XLOOKUP(role_course_map[[#This Row],[course_id]],course_data[course_id],course_data[type],"")</f>
        <v>Page</v>
      </c>
      <c r="K1968" t="str">
        <f>role_course_map[[#This Row],[role_id]] &amp; "|" &amp; role_course_map[[#This Row],[course_id]]</f>
        <v>R0009|75406</v>
      </c>
      <c r="L1968" t="str">
        <f>IF(COUNTIF(role_course_map[mapping_key],role_course_map[[#This Row],[mapping_key]])&gt;1,"DUPLICATE","OK")</f>
        <v>OK</v>
      </c>
      <c r="M1968" t="str">
        <f>IF(COUNTIF(role_data[role_id],role_course_map[[#This Row],[role_id]])=0, "INVALID","VALID")</f>
        <v>VALID</v>
      </c>
      <c r="N1968" t="str">
        <f>IF(COUNTIF(course_data[course_id],role_course_map[[#This Row],[course_id]])=0, "INVALID","VALID")</f>
        <v>VALID</v>
      </c>
    </row>
    <row r="1969" spans="1:14" x14ac:dyDescent="0.35">
      <c r="A1969" t="s">
        <v>24</v>
      </c>
      <c r="B1969" s="5" t="str">
        <f>_xlfn.XLOOKUP(role_course_map[[#This Row],[role_id]], role_data[role_id], role_data[Role],"")</f>
        <v>Deputy Head of Estates</v>
      </c>
      <c r="C1969">
        <v>999031</v>
      </c>
      <c r="D1969" s="5" t="str">
        <f>_xlfn.XLOOKUP(role_course_map[[#This Row],[course_id]],course_data[course_id],course_data[title],"")</f>
        <v>Water Safety Awareness</v>
      </c>
      <c r="E1969" s="5" t="str">
        <f>_xlfn.XLOOKUP(role_course_map[[#This Row],[course_id]],course_data[course_id],course_data[topic],"")</f>
        <v>SAS : Estates</v>
      </c>
      <c r="F1969" s="5" t="str">
        <f>_xlfn.XLOOKUP(role_course_map[[#This Row],[course_id]],course_data[course_id],course_data[type],"")</f>
        <v>eLearning</v>
      </c>
      <c r="K1969" t="str">
        <f>role_course_map[[#This Row],[role_id]] &amp; "|" &amp; role_course_map[[#This Row],[course_id]]</f>
        <v>R0009|999031</v>
      </c>
      <c r="L1969" t="str">
        <f>IF(COUNTIF(role_course_map[mapping_key],role_course_map[[#This Row],[mapping_key]])&gt;1,"DUPLICATE","OK")</f>
        <v>OK</v>
      </c>
      <c r="M1969" t="str">
        <f>IF(COUNTIF(role_data[role_id],role_course_map[[#This Row],[role_id]])=0, "INVALID","VALID")</f>
        <v>VALID</v>
      </c>
      <c r="N1969" t="str">
        <f>IF(COUNTIF(course_data[course_id],role_course_map[[#This Row],[course_id]])=0, "INVALID","VALID")</f>
        <v>VALID</v>
      </c>
    </row>
    <row r="1970" spans="1:14" x14ac:dyDescent="0.35">
      <c r="A1970" t="s">
        <v>24</v>
      </c>
      <c r="B1970" s="5" t="str">
        <f>_xlfn.XLOOKUP(role_course_map[[#This Row],[role_id]], role_data[role_id], role_data[Role],"")</f>
        <v>Deputy Head of Estates</v>
      </c>
      <c r="C1970">
        <v>999033</v>
      </c>
      <c r="D1970" s="5" t="str">
        <f>_xlfn.XLOOKUP(role_course_map[[#This Row],[course_id]],course_data[course_id],course_data[title],"")</f>
        <v xml:space="preserve">Water Safety Responsible Person </v>
      </c>
      <c r="E1970" s="5" t="str">
        <f>_xlfn.XLOOKUP(role_course_map[[#This Row],[course_id]],course_data[course_id],course_data[topic],"")</f>
        <v>SAS : Estates</v>
      </c>
      <c r="F1970" s="5" t="str">
        <f>_xlfn.XLOOKUP(role_course_map[[#This Row],[course_id]],course_data[course_id],course_data[type],"")</f>
        <v>Course</v>
      </c>
      <c r="K1970" t="str">
        <f>role_course_map[[#This Row],[role_id]] &amp; "|" &amp; role_course_map[[#This Row],[course_id]]</f>
        <v>R0009|999033</v>
      </c>
      <c r="L1970" t="str">
        <f>IF(COUNTIF(role_course_map[mapping_key],role_course_map[[#This Row],[mapping_key]])&gt;1,"DUPLICATE","OK")</f>
        <v>OK</v>
      </c>
      <c r="M1970" t="str">
        <f>IF(COUNTIF(role_data[role_id],role_course_map[[#This Row],[role_id]])=0, "INVALID","VALID")</f>
        <v>VALID</v>
      </c>
      <c r="N1970" t="str">
        <f>IF(COUNTIF(course_data[course_id],role_course_map[[#This Row],[course_id]])=0, "INVALID","VALID")</f>
        <v>VALID</v>
      </c>
    </row>
    <row r="1971" spans="1:14" x14ac:dyDescent="0.35">
      <c r="A1971" t="s">
        <v>24</v>
      </c>
      <c r="B1971" s="5" t="str">
        <f>_xlfn.XLOOKUP(role_course_map[[#This Row],[role_id]], role_data[role_id], role_data[Role],"")</f>
        <v>Deputy Head of Estates</v>
      </c>
      <c r="C1971">
        <v>999034</v>
      </c>
      <c r="D1971" s="5" t="str">
        <f>_xlfn.XLOOKUP(role_course_map[[#This Row],[course_id]],course_data[course_id],course_data[title],"")</f>
        <v>Water Safety Nominated Person</v>
      </c>
      <c r="E1971" s="5" t="str">
        <f>_xlfn.XLOOKUP(role_course_map[[#This Row],[course_id]],course_data[course_id],course_data[topic],"")</f>
        <v>SAS : Estates</v>
      </c>
      <c r="F1971" s="5" t="str">
        <f>_xlfn.XLOOKUP(role_course_map[[#This Row],[course_id]],course_data[course_id],course_data[type],"")</f>
        <v>Course</v>
      </c>
      <c r="K1971" t="str">
        <f>role_course_map[[#This Row],[role_id]] &amp; "|" &amp; role_course_map[[#This Row],[course_id]]</f>
        <v>R0009|999034</v>
      </c>
      <c r="L1971" t="str">
        <f>IF(COUNTIF(role_course_map[mapping_key],role_course_map[[#This Row],[mapping_key]])&gt;1,"DUPLICATE","OK")</f>
        <v>OK</v>
      </c>
      <c r="M1971" t="str">
        <f>IF(COUNTIF(role_data[role_id],role_course_map[[#This Row],[role_id]])=0, "INVALID","VALID")</f>
        <v>VALID</v>
      </c>
      <c r="N1971" t="str">
        <f>IF(COUNTIF(course_data[course_id],role_course_map[[#This Row],[course_id]])=0, "INVALID","VALID")</f>
        <v>VALID</v>
      </c>
    </row>
    <row r="1972" spans="1:14" x14ac:dyDescent="0.35">
      <c r="A1972" t="s">
        <v>24</v>
      </c>
      <c r="B1972" s="5" t="str">
        <f>_xlfn.XLOOKUP(role_course_map[[#This Row],[role_id]], role_data[role_id], role_data[Role],"")</f>
        <v>Deputy Head of Estates</v>
      </c>
      <c r="C1972">
        <v>999035</v>
      </c>
      <c r="D1972" s="5" t="str">
        <f>_xlfn.XLOOKUP(role_course_map[[#This Row],[course_id]],course_data[course_id],course_data[title],"")</f>
        <v>Asbestos Awareness</v>
      </c>
      <c r="E1972" s="5" t="str">
        <f>_xlfn.XLOOKUP(role_course_map[[#This Row],[course_id]],course_data[course_id],course_data[topic],"")</f>
        <v>SAS : Estates</v>
      </c>
      <c r="F1972" s="5" t="str">
        <f>_xlfn.XLOOKUP(role_course_map[[#This Row],[course_id]],course_data[course_id],course_data[type],"")</f>
        <v>eLearning</v>
      </c>
      <c r="K1972" t="str">
        <f>role_course_map[[#This Row],[role_id]] &amp; "|" &amp; role_course_map[[#This Row],[course_id]]</f>
        <v>R0009|999035</v>
      </c>
      <c r="L1972" t="str">
        <f>IF(COUNTIF(role_course_map[mapping_key],role_course_map[[#This Row],[mapping_key]])&gt;1,"DUPLICATE","OK")</f>
        <v>OK</v>
      </c>
      <c r="M1972" t="str">
        <f>IF(COUNTIF(role_data[role_id],role_course_map[[#This Row],[role_id]])=0, "INVALID","VALID")</f>
        <v>VALID</v>
      </c>
      <c r="N1972" t="str">
        <f>IF(COUNTIF(course_data[course_id],role_course_map[[#This Row],[course_id]])=0, "INVALID","VALID")</f>
        <v>VALID</v>
      </c>
    </row>
    <row r="1973" spans="1:14" x14ac:dyDescent="0.35">
      <c r="A1973" t="s">
        <v>32</v>
      </c>
      <c r="B1973" s="5" t="str">
        <f>_xlfn.XLOOKUP(role_course_map[[#This Row],[role_id]], role_data[role_id], role_data[Role],"")</f>
        <v>Estates Manager</v>
      </c>
      <c r="C1973">
        <v>999062</v>
      </c>
      <c r="D1973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1973" s="5" t="str">
        <f>_xlfn.XLOOKUP(role_course_map[[#This Row],[course_id]],course_data[course_id],course_data[topic],"")</f>
        <v>SAS : Health and Safety</v>
      </c>
      <c r="F1973" s="5" t="str">
        <f>_xlfn.XLOOKUP(role_course_map[[#This Row],[course_id]],course_data[course_id],course_data[type],"")</f>
        <v>Course</v>
      </c>
      <c r="K1973" t="str">
        <f>role_course_map[[#This Row],[role_id]] &amp; "|" &amp; role_course_map[[#This Row],[course_id]]</f>
        <v>R0012|999062</v>
      </c>
      <c r="L1973" t="str">
        <f>IF(COUNTIF(role_course_map[mapping_key],role_course_map[[#This Row],[mapping_key]])&gt;1,"DUPLICATE","OK")</f>
        <v>OK</v>
      </c>
      <c r="M1973" t="str">
        <f>IF(COUNTIF(role_data[role_id],role_course_map[[#This Row],[role_id]])=0, "INVALID","VALID")</f>
        <v>VALID</v>
      </c>
      <c r="N1973" t="str">
        <f>IF(COUNTIF(course_data[course_id],role_course_map[[#This Row],[course_id]])=0, "INVALID","VALID")</f>
        <v>VALID</v>
      </c>
    </row>
    <row r="1974" spans="1:14" x14ac:dyDescent="0.35">
      <c r="A1974" t="s">
        <v>32</v>
      </c>
      <c r="B1974" s="5" t="str">
        <f>_xlfn.XLOOKUP(role_course_map[[#This Row],[role_id]], role_data[role_id], role_data[Role],"")</f>
        <v>Estates Manager</v>
      </c>
      <c r="C1974">
        <v>999058</v>
      </c>
      <c r="D1974" s="5" t="str">
        <f>_xlfn.XLOOKUP(role_course_map[[#This Row],[course_id]],course_data[course_id],course_data[title],"")</f>
        <v>Stress Identification &amp; Stress Management</v>
      </c>
      <c r="E1974" s="5" t="str">
        <f>_xlfn.XLOOKUP(role_course_map[[#This Row],[course_id]],course_data[course_id],course_data[topic],"")</f>
        <v>SAS : Health and Safety</v>
      </c>
      <c r="F1974" s="5" t="str">
        <f>_xlfn.XLOOKUP(role_course_map[[#This Row],[course_id]],course_data[course_id],course_data[type],"")</f>
        <v>eLearning</v>
      </c>
      <c r="K1974" t="str">
        <f>role_course_map[[#This Row],[role_id]] &amp; "|" &amp; role_course_map[[#This Row],[course_id]]</f>
        <v>R0012|999058</v>
      </c>
      <c r="L1974" t="str">
        <f>IF(COUNTIF(role_course_map[mapping_key],role_course_map[[#This Row],[mapping_key]])&gt;1,"DUPLICATE","OK")</f>
        <v>OK</v>
      </c>
      <c r="M1974" t="str">
        <f>IF(COUNTIF(role_data[role_id],role_course_map[[#This Row],[role_id]])=0, "INVALID","VALID")</f>
        <v>VALID</v>
      </c>
      <c r="N1974" t="str">
        <f>IF(COUNTIF(course_data[course_id],role_course_map[[#This Row],[course_id]])=0, "INVALID","VALID")</f>
        <v>VALID</v>
      </c>
    </row>
    <row r="1975" spans="1:14" x14ac:dyDescent="0.35">
      <c r="A1975" t="s">
        <v>32</v>
      </c>
      <c r="B1975" s="5" t="str">
        <f>_xlfn.XLOOKUP(role_course_map[[#This Row],[role_id]], role_data[role_id], role_data[Role],"")</f>
        <v>Estates Manager</v>
      </c>
      <c r="C1975">
        <v>999056</v>
      </c>
      <c r="D1975" s="5" t="str">
        <f>_xlfn.XLOOKUP(role_course_map[[#This Row],[course_id]],course_data[course_id],course_data[title],"")</f>
        <v>Driver Assessment &amp; Training</v>
      </c>
      <c r="E1975" s="5" t="str">
        <f>_xlfn.XLOOKUP(role_course_map[[#This Row],[course_id]],course_data[course_id],course_data[topic],"")</f>
        <v>SAS : Health and Safety</v>
      </c>
      <c r="F1975" s="5" t="str">
        <f>_xlfn.XLOOKUP(role_course_map[[#This Row],[course_id]],course_data[course_id],course_data[type],"")</f>
        <v>eLearning</v>
      </c>
      <c r="K1975" t="str">
        <f>role_course_map[[#This Row],[role_id]] &amp; "|" &amp; role_course_map[[#This Row],[course_id]]</f>
        <v>R0012|999056</v>
      </c>
      <c r="L1975" t="str">
        <f>IF(COUNTIF(role_course_map[mapping_key],role_course_map[[#This Row],[mapping_key]])&gt;1,"DUPLICATE","OK")</f>
        <v>OK</v>
      </c>
      <c r="M1975" t="str">
        <f>IF(COUNTIF(role_data[role_id],role_course_map[[#This Row],[role_id]])=0, "INVALID","VALID")</f>
        <v>VALID</v>
      </c>
      <c r="N1975" t="str">
        <f>IF(COUNTIF(course_data[course_id],role_course_map[[#This Row],[course_id]])=0, "INVALID","VALID")</f>
        <v>VALID</v>
      </c>
    </row>
    <row r="1976" spans="1:14" x14ac:dyDescent="0.35">
      <c r="A1976" t="s">
        <v>32</v>
      </c>
      <c r="B1976" s="5" t="str">
        <f>_xlfn.XLOOKUP(role_course_map[[#This Row],[role_id]], role_data[role_id], role_data[Role],"")</f>
        <v>Estates Manager</v>
      </c>
      <c r="C1976">
        <v>999057</v>
      </c>
      <c r="D1976" s="5" t="str">
        <f>_xlfn.XLOOKUP(role_course_map[[#This Row],[course_id]],course_data[course_id],course_data[title],"")</f>
        <v>Fatigue Awareness</v>
      </c>
      <c r="E1976" s="5" t="str">
        <f>_xlfn.XLOOKUP(role_course_map[[#This Row],[course_id]],course_data[course_id],course_data[topic],"")</f>
        <v>SAS : Health and Safety</v>
      </c>
      <c r="F1976" s="5" t="str">
        <f>_xlfn.XLOOKUP(role_course_map[[#This Row],[course_id]],course_data[course_id],course_data[type],"")</f>
        <v>eLearning</v>
      </c>
      <c r="K1976" t="str">
        <f>role_course_map[[#This Row],[role_id]] &amp; "|" &amp; role_course_map[[#This Row],[course_id]]</f>
        <v>R0012|999057</v>
      </c>
      <c r="L1976" t="str">
        <f>IF(COUNTIF(role_course_map[mapping_key],role_course_map[[#This Row],[mapping_key]])&gt;1,"DUPLICATE","OK")</f>
        <v>OK</v>
      </c>
      <c r="M1976" t="str">
        <f>IF(COUNTIF(role_data[role_id],role_course_map[[#This Row],[role_id]])=0, "INVALID","VALID")</f>
        <v>VALID</v>
      </c>
      <c r="N1976" t="str">
        <f>IF(COUNTIF(course_data[course_id],role_course_map[[#This Row],[course_id]])=0, "INVALID","VALID")</f>
        <v>VALID</v>
      </c>
    </row>
    <row r="1977" spans="1:14" x14ac:dyDescent="0.35">
      <c r="A1977" t="s">
        <v>32</v>
      </c>
      <c r="B1977" s="5" t="str">
        <f>_xlfn.XLOOKUP(role_course_map[[#This Row],[role_id]], role_data[role_id], role_data[Role],"")</f>
        <v>Estates Manager</v>
      </c>
      <c r="C1977">
        <v>999094</v>
      </c>
      <c r="D1977" s="5" t="str">
        <f>_xlfn.XLOOKUP(role_course_map[[#This Row],[course_id]],course_data[course_id],course_data[title],"")</f>
        <v>Being well, Mind, Body &amp; Workplace</v>
      </c>
      <c r="E1977" s="5" t="str">
        <f>_xlfn.XLOOKUP(role_course_map[[#This Row],[course_id]],course_data[course_id],course_data[topic],"")</f>
        <v>SAS: Staff development and experience</v>
      </c>
      <c r="F1977" s="5" t="str">
        <f>_xlfn.XLOOKUP(role_course_map[[#This Row],[course_id]],course_data[course_id],course_data[type],"")</f>
        <v>eLearning</v>
      </c>
      <c r="K1977" t="str">
        <f>role_course_map[[#This Row],[role_id]] &amp; "|" &amp; role_course_map[[#This Row],[course_id]]</f>
        <v>R0012|999094</v>
      </c>
      <c r="L1977" t="str">
        <f>IF(COUNTIF(role_course_map[mapping_key],role_course_map[[#This Row],[mapping_key]])&gt;1,"DUPLICATE","OK")</f>
        <v>OK</v>
      </c>
      <c r="M1977" t="str">
        <f>IF(COUNTIF(role_data[role_id],role_course_map[[#This Row],[role_id]])=0, "INVALID","VALID")</f>
        <v>VALID</v>
      </c>
      <c r="N1977" t="str">
        <f>IF(COUNTIF(course_data[course_id],role_course_map[[#This Row],[course_id]])=0, "INVALID","VALID")</f>
        <v>VALID</v>
      </c>
    </row>
    <row r="1978" spans="1:14" x14ac:dyDescent="0.35">
      <c r="A1978" t="s">
        <v>32</v>
      </c>
      <c r="B1978" s="5" t="str">
        <f>_xlfn.XLOOKUP(role_course_map[[#This Row],[role_id]], role_data[role_id], role_data[Role],"")</f>
        <v>Estates Manager</v>
      </c>
      <c r="C1978">
        <v>75407</v>
      </c>
      <c r="D1978" s="5" t="str">
        <f>_xlfn.XLOOKUP(role_course_map[[#This Row],[course_id]],course_data[course_id],course_data[title],"")</f>
        <v>Aspirant Leader Development Programme (ALDP)</v>
      </c>
      <c r="E1978" s="5" t="str">
        <f>_xlfn.XLOOKUP(role_course_map[[#This Row],[course_id]],course_data[course_id],course_data[topic],"")</f>
        <v>SAS: Staff development and experience</v>
      </c>
      <c r="F1978" s="5" t="str">
        <f>_xlfn.XLOOKUP(role_course_map[[#This Row],[course_id]],course_data[course_id],course_data[type],"")</f>
        <v>Page</v>
      </c>
      <c r="K1978" t="str">
        <f>role_course_map[[#This Row],[role_id]] &amp; "|" &amp; role_course_map[[#This Row],[course_id]]</f>
        <v>R0012|75407</v>
      </c>
      <c r="L1978" t="str">
        <f>IF(COUNTIF(role_course_map[mapping_key],role_course_map[[#This Row],[mapping_key]])&gt;1,"DUPLICATE","OK")</f>
        <v>OK</v>
      </c>
      <c r="M1978" t="str">
        <f>IF(COUNTIF(role_data[role_id],role_course_map[[#This Row],[role_id]])=0, "INVALID","VALID")</f>
        <v>VALID</v>
      </c>
      <c r="N1978" t="str">
        <f>IF(COUNTIF(course_data[course_id],role_course_map[[#This Row],[course_id]])=0, "INVALID","VALID")</f>
        <v>VALID</v>
      </c>
    </row>
    <row r="1979" spans="1:14" x14ac:dyDescent="0.35">
      <c r="A1979" t="s">
        <v>32</v>
      </c>
      <c r="B1979" s="5" t="str">
        <f>_xlfn.XLOOKUP(role_course_map[[#This Row],[role_id]], role_data[role_id], role_data[Role],"")</f>
        <v>Estates Manager</v>
      </c>
      <c r="C1979">
        <v>75406</v>
      </c>
      <c r="D1979" s="5" t="str">
        <f>_xlfn.XLOOKUP(role_course_map[[#This Row],[course_id]],course_data[course_id],course_data[title],"")</f>
        <v>Foundation Leadership and Management Programme (FLMP)</v>
      </c>
      <c r="E1979" s="5" t="str">
        <f>_xlfn.XLOOKUP(role_course_map[[#This Row],[course_id]],course_data[course_id],course_data[topic],"")</f>
        <v>SAS: Staff development and experience</v>
      </c>
      <c r="F1979" s="5" t="str">
        <f>_xlfn.XLOOKUP(role_course_map[[#This Row],[course_id]],course_data[course_id],course_data[type],"")</f>
        <v>Page</v>
      </c>
      <c r="K1979" t="str">
        <f>role_course_map[[#This Row],[role_id]] &amp; "|" &amp; role_course_map[[#This Row],[course_id]]</f>
        <v>R0012|75406</v>
      </c>
      <c r="L1979" t="str">
        <f>IF(COUNTIF(role_course_map[mapping_key],role_course_map[[#This Row],[mapping_key]])&gt;1,"DUPLICATE","OK")</f>
        <v>OK</v>
      </c>
      <c r="M1979" t="str">
        <f>IF(COUNTIF(role_data[role_id],role_course_map[[#This Row],[role_id]])=0, "INVALID","VALID")</f>
        <v>VALID</v>
      </c>
      <c r="N1979" t="str">
        <f>IF(COUNTIF(course_data[course_id],role_course_map[[#This Row],[course_id]])=0, "INVALID","VALID")</f>
        <v>VALID</v>
      </c>
    </row>
    <row r="1980" spans="1:14" x14ac:dyDescent="0.35">
      <c r="A1980" t="s">
        <v>34</v>
      </c>
      <c r="B1980" s="5" t="str">
        <f>_xlfn.XLOOKUP(role_course_map[[#This Row],[role_id]], role_data[role_id], role_data[Role],"")</f>
        <v>Estates Officer</v>
      </c>
      <c r="C1980">
        <v>999056</v>
      </c>
      <c r="D1980" s="5" t="str">
        <f>_xlfn.XLOOKUP(role_course_map[[#This Row],[course_id]],course_data[course_id],course_data[title],"")</f>
        <v>Driver Assessment &amp; Training</v>
      </c>
      <c r="E1980" s="5" t="str">
        <f>_xlfn.XLOOKUP(role_course_map[[#This Row],[course_id]],course_data[course_id],course_data[topic],"")</f>
        <v>SAS : Health and Safety</v>
      </c>
      <c r="F1980" s="5" t="str">
        <f>_xlfn.XLOOKUP(role_course_map[[#This Row],[course_id]],course_data[course_id],course_data[type],"")</f>
        <v>eLearning</v>
      </c>
      <c r="K1980" t="str">
        <f>role_course_map[[#This Row],[role_id]] &amp; "|" &amp; role_course_map[[#This Row],[course_id]]</f>
        <v>R0013|999056</v>
      </c>
      <c r="L1980" t="str">
        <f>IF(COUNTIF(role_course_map[mapping_key],role_course_map[[#This Row],[mapping_key]])&gt;1,"DUPLICATE","OK")</f>
        <v>OK</v>
      </c>
      <c r="M1980" t="str">
        <f>IF(COUNTIF(role_data[role_id],role_course_map[[#This Row],[role_id]])=0, "INVALID","VALID")</f>
        <v>VALID</v>
      </c>
      <c r="N1980" t="str">
        <f>IF(COUNTIF(course_data[course_id],role_course_map[[#This Row],[course_id]])=0, "INVALID","VALID")</f>
        <v>VALID</v>
      </c>
    </row>
    <row r="1981" spans="1:14" x14ac:dyDescent="0.35">
      <c r="A1981" t="s">
        <v>34</v>
      </c>
      <c r="B1981" s="5" t="str">
        <f>_xlfn.XLOOKUP(role_course_map[[#This Row],[role_id]], role_data[role_id], role_data[Role],"")</f>
        <v>Estates Officer</v>
      </c>
      <c r="C1981">
        <v>999057</v>
      </c>
      <c r="D1981" s="5" t="str">
        <f>_xlfn.XLOOKUP(role_course_map[[#This Row],[course_id]],course_data[course_id],course_data[title],"")</f>
        <v>Fatigue Awareness</v>
      </c>
      <c r="E1981" s="5" t="str">
        <f>_xlfn.XLOOKUP(role_course_map[[#This Row],[course_id]],course_data[course_id],course_data[topic],"")</f>
        <v>SAS : Health and Safety</v>
      </c>
      <c r="F1981" s="5" t="str">
        <f>_xlfn.XLOOKUP(role_course_map[[#This Row],[course_id]],course_data[course_id],course_data[type],"")</f>
        <v>eLearning</v>
      </c>
      <c r="K1981" t="str">
        <f>role_course_map[[#This Row],[role_id]] &amp; "|" &amp; role_course_map[[#This Row],[course_id]]</f>
        <v>R0013|999057</v>
      </c>
      <c r="L1981" t="str">
        <f>IF(COUNTIF(role_course_map[mapping_key],role_course_map[[#This Row],[mapping_key]])&gt;1,"DUPLICATE","OK")</f>
        <v>OK</v>
      </c>
      <c r="M1981" t="str">
        <f>IF(COUNTIF(role_data[role_id],role_course_map[[#This Row],[role_id]])=0, "INVALID","VALID")</f>
        <v>VALID</v>
      </c>
      <c r="N1981" t="str">
        <f>IF(COUNTIF(course_data[course_id],role_course_map[[#This Row],[course_id]])=0, "INVALID","VALID")</f>
        <v>VALID</v>
      </c>
    </row>
    <row r="1982" spans="1:14" x14ac:dyDescent="0.35">
      <c r="A1982" t="s">
        <v>34</v>
      </c>
      <c r="B1982" s="5" t="str">
        <f>_xlfn.XLOOKUP(role_course_map[[#This Row],[role_id]], role_data[role_id], role_data[Role],"")</f>
        <v>Estates Officer</v>
      </c>
      <c r="C1982">
        <v>999058</v>
      </c>
      <c r="D1982" s="5" t="str">
        <f>_xlfn.XLOOKUP(role_course_map[[#This Row],[course_id]],course_data[course_id],course_data[title],"")</f>
        <v>Stress Identification &amp; Stress Management</v>
      </c>
      <c r="E1982" s="5" t="str">
        <f>_xlfn.XLOOKUP(role_course_map[[#This Row],[course_id]],course_data[course_id],course_data[topic],"")</f>
        <v>SAS : Health and Safety</v>
      </c>
      <c r="F1982" s="5" t="str">
        <f>_xlfn.XLOOKUP(role_course_map[[#This Row],[course_id]],course_data[course_id],course_data[type],"")</f>
        <v>eLearning</v>
      </c>
      <c r="K1982" t="str">
        <f>role_course_map[[#This Row],[role_id]] &amp; "|" &amp; role_course_map[[#This Row],[course_id]]</f>
        <v>R0013|999058</v>
      </c>
      <c r="L1982" t="str">
        <f>IF(COUNTIF(role_course_map[mapping_key],role_course_map[[#This Row],[mapping_key]])&gt;1,"DUPLICATE","OK")</f>
        <v>OK</v>
      </c>
      <c r="M1982" t="str">
        <f>IF(COUNTIF(role_data[role_id],role_course_map[[#This Row],[role_id]])=0, "INVALID","VALID")</f>
        <v>VALID</v>
      </c>
      <c r="N1982" t="str">
        <f>IF(COUNTIF(course_data[course_id],role_course_map[[#This Row],[course_id]])=0, "INVALID","VALID")</f>
        <v>VALID</v>
      </c>
    </row>
    <row r="1983" spans="1:14" x14ac:dyDescent="0.35">
      <c r="A1983" t="s">
        <v>34</v>
      </c>
      <c r="B1983" s="5" t="str">
        <f>_xlfn.XLOOKUP(role_course_map[[#This Row],[role_id]], role_data[role_id], role_data[Role],"")</f>
        <v>Estates Officer</v>
      </c>
      <c r="C1983">
        <v>999094</v>
      </c>
      <c r="D1983" s="5" t="str">
        <f>_xlfn.XLOOKUP(role_course_map[[#This Row],[course_id]],course_data[course_id],course_data[title],"")</f>
        <v>Being well, Mind, Body &amp; Workplace</v>
      </c>
      <c r="E1983" s="5" t="str">
        <f>_xlfn.XLOOKUP(role_course_map[[#This Row],[course_id]],course_data[course_id],course_data[topic],"")</f>
        <v>SAS: Staff development and experience</v>
      </c>
      <c r="F1983" s="5" t="str">
        <f>_xlfn.XLOOKUP(role_course_map[[#This Row],[course_id]],course_data[course_id],course_data[type],"")</f>
        <v>eLearning</v>
      </c>
      <c r="K1983" t="str">
        <f>role_course_map[[#This Row],[role_id]] &amp; "|" &amp; role_course_map[[#This Row],[course_id]]</f>
        <v>R0013|999094</v>
      </c>
      <c r="L1983" t="str">
        <f>IF(COUNTIF(role_course_map[mapping_key],role_course_map[[#This Row],[mapping_key]])&gt;1,"DUPLICATE","OK")</f>
        <v>OK</v>
      </c>
      <c r="M1983" t="str">
        <f>IF(COUNTIF(role_data[role_id],role_course_map[[#This Row],[role_id]])=0, "INVALID","VALID")</f>
        <v>VALID</v>
      </c>
      <c r="N1983" t="str">
        <f>IF(COUNTIF(course_data[course_id],role_course_map[[#This Row],[course_id]])=0, "INVALID","VALID")</f>
        <v>VALID</v>
      </c>
    </row>
    <row r="1984" spans="1:14" x14ac:dyDescent="0.35">
      <c r="A1984" t="s">
        <v>34</v>
      </c>
      <c r="B1984" s="5" t="str">
        <f>_xlfn.XLOOKUP(role_course_map[[#This Row],[role_id]], role_data[role_id], role_data[Role],"")</f>
        <v>Estates Officer</v>
      </c>
      <c r="C1984">
        <v>999035</v>
      </c>
      <c r="D1984" s="5" t="str">
        <f>_xlfn.XLOOKUP(role_course_map[[#This Row],[course_id]],course_data[course_id],course_data[title],"")</f>
        <v>Asbestos Awareness</v>
      </c>
      <c r="E1984" s="5" t="str">
        <f>_xlfn.XLOOKUP(role_course_map[[#This Row],[course_id]],course_data[course_id],course_data[topic],"")</f>
        <v>SAS : Estates</v>
      </c>
      <c r="F1984" s="5" t="str">
        <f>_xlfn.XLOOKUP(role_course_map[[#This Row],[course_id]],course_data[course_id],course_data[type],"")</f>
        <v>eLearning</v>
      </c>
      <c r="K1984" t="str">
        <f>role_course_map[[#This Row],[role_id]] &amp; "|" &amp; role_course_map[[#This Row],[course_id]]</f>
        <v>R0013|999035</v>
      </c>
      <c r="L1984" t="str">
        <f>IF(COUNTIF(role_course_map[mapping_key],role_course_map[[#This Row],[mapping_key]])&gt;1,"DUPLICATE","OK")</f>
        <v>OK</v>
      </c>
      <c r="M1984" t="str">
        <f>IF(COUNTIF(role_data[role_id],role_course_map[[#This Row],[role_id]])=0, "INVALID","VALID")</f>
        <v>VALID</v>
      </c>
      <c r="N1984" t="str">
        <f>IF(COUNTIF(course_data[course_id],role_course_map[[#This Row],[course_id]])=0, "INVALID","VALID")</f>
        <v>VALID</v>
      </c>
    </row>
    <row r="1985" spans="1:14" x14ac:dyDescent="0.35">
      <c r="A1985" t="s">
        <v>30</v>
      </c>
      <c r="B1985" s="5" t="str">
        <f>_xlfn.XLOOKUP(role_course_map[[#This Row],[role_id]], role_data[role_id], role_data[Role],"")</f>
        <v>Estates Helpdesk Manager</v>
      </c>
      <c r="C1985">
        <v>999062</v>
      </c>
      <c r="D1985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1985" s="5" t="str">
        <f>_xlfn.XLOOKUP(role_course_map[[#This Row],[course_id]],course_data[course_id],course_data[topic],"")</f>
        <v>SAS : Health and Safety</v>
      </c>
      <c r="F1985" s="5" t="str">
        <f>_xlfn.XLOOKUP(role_course_map[[#This Row],[course_id]],course_data[course_id],course_data[type],"")</f>
        <v>Course</v>
      </c>
      <c r="K1985" t="str">
        <f>role_course_map[[#This Row],[role_id]] &amp; "|" &amp; role_course_map[[#This Row],[course_id]]</f>
        <v>R0011|999062</v>
      </c>
      <c r="L1985" t="str">
        <f>IF(COUNTIF(role_course_map[mapping_key],role_course_map[[#This Row],[mapping_key]])&gt;1,"DUPLICATE","OK")</f>
        <v>OK</v>
      </c>
      <c r="M1985" t="str">
        <f>IF(COUNTIF(role_data[role_id],role_course_map[[#This Row],[role_id]])=0, "INVALID","VALID")</f>
        <v>VALID</v>
      </c>
      <c r="N1985" t="str">
        <f>IF(COUNTIF(course_data[course_id],role_course_map[[#This Row],[course_id]])=0, "INVALID","VALID")</f>
        <v>VALID</v>
      </c>
    </row>
    <row r="1986" spans="1:14" x14ac:dyDescent="0.35">
      <c r="A1986" t="s">
        <v>30</v>
      </c>
      <c r="B1986" s="5" t="str">
        <f>_xlfn.XLOOKUP(role_course_map[[#This Row],[role_id]], role_data[role_id], role_data[Role],"")</f>
        <v>Estates Helpdesk Manager</v>
      </c>
      <c r="C1986">
        <v>999058</v>
      </c>
      <c r="D1986" s="5" t="str">
        <f>_xlfn.XLOOKUP(role_course_map[[#This Row],[course_id]],course_data[course_id],course_data[title],"")</f>
        <v>Stress Identification &amp; Stress Management</v>
      </c>
      <c r="E1986" s="5" t="str">
        <f>_xlfn.XLOOKUP(role_course_map[[#This Row],[course_id]],course_data[course_id],course_data[topic],"")</f>
        <v>SAS : Health and Safety</v>
      </c>
      <c r="F1986" s="5" t="str">
        <f>_xlfn.XLOOKUP(role_course_map[[#This Row],[course_id]],course_data[course_id],course_data[type],"")</f>
        <v>eLearning</v>
      </c>
      <c r="K1986" t="str">
        <f>role_course_map[[#This Row],[role_id]] &amp; "|" &amp; role_course_map[[#This Row],[course_id]]</f>
        <v>R0011|999058</v>
      </c>
      <c r="L1986" t="str">
        <f>IF(COUNTIF(role_course_map[mapping_key],role_course_map[[#This Row],[mapping_key]])&gt;1,"DUPLICATE","OK")</f>
        <v>OK</v>
      </c>
      <c r="M1986" t="str">
        <f>IF(COUNTIF(role_data[role_id],role_course_map[[#This Row],[role_id]])=0, "INVALID","VALID")</f>
        <v>VALID</v>
      </c>
      <c r="N1986" t="str">
        <f>IF(COUNTIF(course_data[course_id],role_course_map[[#This Row],[course_id]])=0, "INVALID","VALID")</f>
        <v>VALID</v>
      </c>
    </row>
    <row r="1987" spans="1:14" x14ac:dyDescent="0.35">
      <c r="A1987" t="s">
        <v>30</v>
      </c>
      <c r="B1987" s="5" t="str">
        <f>_xlfn.XLOOKUP(role_course_map[[#This Row],[role_id]], role_data[role_id], role_data[Role],"")</f>
        <v>Estates Helpdesk Manager</v>
      </c>
      <c r="C1987">
        <v>999056</v>
      </c>
      <c r="D1987" s="5" t="str">
        <f>_xlfn.XLOOKUP(role_course_map[[#This Row],[course_id]],course_data[course_id],course_data[title],"")</f>
        <v>Driver Assessment &amp; Training</v>
      </c>
      <c r="E1987" s="5" t="str">
        <f>_xlfn.XLOOKUP(role_course_map[[#This Row],[course_id]],course_data[course_id],course_data[topic],"")</f>
        <v>SAS : Health and Safety</v>
      </c>
      <c r="F1987" s="5" t="str">
        <f>_xlfn.XLOOKUP(role_course_map[[#This Row],[course_id]],course_data[course_id],course_data[type],"")</f>
        <v>eLearning</v>
      </c>
      <c r="K1987" t="str">
        <f>role_course_map[[#This Row],[role_id]] &amp; "|" &amp; role_course_map[[#This Row],[course_id]]</f>
        <v>R0011|999056</v>
      </c>
      <c r="L1987" t="str">
        <f>IF(COUNTIF(role_course_map[mapping_key],role_course_map[[#This Row],[mapping_key]])&gt;1,"DUPLICATE","OK")</f>
        <v>OK</v>
      </c>
      <c r="M1987" t="str">
        <f>IF(COUNTIF(role_data[role_id],role_course_map[[#This Row],[role_id]])=0, "INVALID","VALID")</f>
        <v>VALID</v>
      </c>
      <c r="N1987" t="str">
        <f>IF(COUNTIF(course_data[course_id],role_course_map[[#This Row],[course_id]])=0, "INVALID","VALID")</f>
        <v>VALID</v>
      </c>
    </row>
    <row r="1988" spans="1:14" x14ac:dyDescent="0.35">
      <c r="A1988" t="s">
        <v>30</v>
      </c>
      <c r="B1988" s="5" t="str">
        <f>_xlfn.XLOOKUP(role_course_map[[#This Row],[role_id]], role_data[role_id], role_data[Role],"")</f>
        <v>Estates Helpdesk Manager</v>
      </c>
      <c r="C1988">
        <v>999057</v>
      </c>
      <c r="D1988" s="5" t="str">
        <f>_xlfn.XLOOKUP(role_course_map[[#This Row],[course_id]],course_data[course_id],course_data[title],"")</f>
        <v>Fatigue Awareness</v>
      </c>
      <c r="E1988" s="5" t="str">
        <f>_xlfn.XLOOKUP(role_course_map[[#This Row],[course_id]],course_data[course_id],course_data[topic],"")</f>
        <v>SAS : Health and Safety</v>
      </c>
      <c r="F1988" s="5" t="str">
        <f>_xlfn.XLOOKUP(role_course_map[[#This Row],[course_id]],course_data[course_id],course_data[type],"")</f>
        <v>eLearning</v>
      </c>
      <c r="K1988" t="str">
        <f>role_course_map[[#This Row],[role_id]] &amp; "|" &amp; role_course_map[[#This Row],[course_id]]</f>
        <v>R0011|999057</v>
      </c>
      <c r="L1988" t="str">
        <f>IF(COUNTIF(role_course_map[mapping_key],role_course_map[[#This Row],[mapping_key]])&gt;1,"DUPLICATE","OK")</f>
        <v>OK</v>
      </c>
      <c r="M1988" t="str">
        <f>IF(COUNTIF(role_data[role_id],role_course_map[[#This Row],[role_id]])=0, "INVALID","VALID")</f>
        <v>VALID</v>
      </c>
      <c r="N1988" t="str">
        <f>IF(COUNTIF(course_data[course_id],role_course_map[[#This Row],[course_id]])=0, "INVALID","VALID")</f>
        <v>VALID</v>
      </c>
    </row>
    <row r="1989" spans="1:14" x14ac:dyDescent="0.35">
      <c r="A1989" t="s">
        <v>30</v>
      </c>
      <c r="B1989" s="5" t="str">
        <f>_xlfn.XLOOKUP(role_course_map[[#This Row],[role_id]], role_data[role_id], role_data[Role],"")</f>
        <v>Estates Helpdesk Manager</v>
      </c>
      <c r="C1989">
        <v>999094</v>
      </c>
      <c r="D1989" s="5" t="str">
        <f>_xlfn.XLOOKUP(role_course_map[[#This Row],[course_id]],course_data[course_id],course_data[title],"")</f>
        <v>Being well, Mind, Body &amp; Workplace</v>
      </c>
      <c r="E1989" s="5" t="str">
        <f>_xlfn.XLOOKUP(role_course_map[[#This Row],[course_id]],course_data[course_id],course_data[topic],"")</f>
        <v>SAS: Staff development and experience</v>
      </c>
      <c r="F1989" s="5" t="str">
        <f>_xlfn.XLOOKUP(role_course_map[[#This Row],[course_id]],course_data[course_id],course_data[type],"")</f>
        <v>eLearning</v>
      </c>
      <c r="K1989" t="str">
        <f>role_course_map[[#This Row],[role_id]] &amp; "|" &amp; role_course_map[[#This Row],[course_id]]</f>
        <v>R0011|999094</v>
      </c>
      <c r="L1989" t="str">
        <f>IF(COUNTIF(role_course_map[mapping_key],role_course_map[[#This Row],[mapping_key]])&gt;1,"DUPLICATE","OK")</f>
        <v>OK</v>
      </c>
      <c r="M1989" t="str">
        <f>IF(COUNTIF(role_data[role_id],role_course_map[[#This Row],[role_id]])=0, "INVALID","VALID")</f>
        <v>VALID</v>
      </c>
      <c r="N1989" t="str">
        <f>IF(COUNTIF(course_data[course_id],role_course_map[[#This Row],[course_id]])=0, "INVALID","VALID")</f>
        <v>VALID</v>
      </c>
    </row>
    <row r="1990" spans="1:14" x14ac:dyDescent="0.35">
      <c r="A1990" t="s">
        <v>30</v>
      </c>
      <c r="B1990" s="5" t="str">
        <f>_xlfn.XLOOKUP(role_course_map[[#This Row],[role_id]], role_data[role_id], role_data[Role],"")</f>
        <v>Estates Helpdesk Manager</v>
      </c>
      <c r="C1990">
        <v>999035</v>
      </c>
      <c r="D1990" s="5" t="str">
        <f>_xlfn.XLOOKUP(role_course_map[[#This Row],[course_id]],course_data[course_id],course_data[title],"")</f>
        <v>Asbestos Awareness</v>
      </c>
      <c r="E1990" s="5" t="str">
        <f>_xlfn.XLOOKUP(role_course_map[[#This Row],[course_id]],course_data[course_id],course_data[topic],"")</f>
        <v>SAS : Estates</v>
      </c>
      <c r="F1990" s="5" t="str">
        <f>_xlfn.XLOOKUP(role_course_map[[#This Row],[course_id]],course_data[course_id],course_data[type],"")</f>
        <v>eLearning</v>
      </c>
      <c r="K1990" t="str">
        <f>role_course_map[[#This Row],[role_id]] &amp; "|" &amp; role_course_map[[#This Row],[course_id]]</f>
        <v>R0011|999035</v>
      </c>
      <c r="L1990" t="str">
        <f>IF(COUNTIF(role_course_map[mapping_key],role_course_map[[#This Row],[mapping_key]])&gt;1,"DUPLICATE","OK")</f>
        <v>OK</v>
      </c>
      <c r="M1990" t="str">
        <f>IF(COUNTIF(role_data[role_id],role_course_map[[#This Row],[role_id]])=0, "INVALID","VALID")</f>
        <v>VALID</v>
      </c>
      <c r="N1990" t="str">
        <f>IF(COUNTIF(course_data[course_id],role_course_map[[#This Row],[course_id]])=0, "INVALID","VALID")</f>
        <v>VALID</v>
      </c>
    </row>
    <row r="1991" spans="1:14" x14ac:dyDescent="0.35">
      <c r="A1991" t="s">
        <v>30</v>
      </c>
      <c r="B1991" s="5" t="str">
        <f>_xlfn.XLOOKUP(role_course_map[[#This Row],[role_id]], role_data[role_id], role_data[Role],"")</f>
        <v>Estates Helpdesk Manager</v>
      </c>
      <c r="C1991">
        <v>999031</v>
      </c>
      <c r="D1991" s="5" t="str">
        <f>_xlfn.XLOOKUP(role_course_map[[#This Row],[course_id]],course_data[course_id],course_data[title],"")</f>
        <v>Water Safety Awareness</v>
      </c>
      <c r="E1991" s="5" t="str">
        <f>_xlfn.XLOOKUP(role_course_map[[#This Row],[course_id]],course_data[course_id],course_data[topic],"")</f>
        <v>SAS : Estates</v>
      </c>
      <c r="F1991" s="5" t="str">
        <f>_xlfn.XLOOKUP(role_course_map[[#This Row],[course_id]],course_data[course_id],course_data[type],"")</f>
        <v>eLearning</v>
      </c>
      <c r="K1991" t="str">
        <f>role_course_map[[#This Row],[role_id]] &amp; "|" &amp; role_course_map[[#This Row],[course_id]]</f>
        <v>R0011|999031</v>
      </c>
      <c r="L1991" t="str">
        <f>IF(COUNTIF(role_course_map[mapping_key],role_course_map[[#This Row],[mapping_key]])&gt;1,"DUPLICATE","OK")</f>
        <v>OK</v>
      </c>
      <c r="M1991" t="str">
        <f>IF(COUNTIF(role_data[role_id],role_course_map[[#This Row],[role_id]])=0, "INVALID","VALID")</f>
        <v>VALID</v>
      </c>
      <c r="N1991" t="str">
        <f>IF(COUNTIF(course_data[course_id],role_course_map[[#This Row],[course_id]])=0, "INVALID","VALID")</f>
        <v>VALID</v>
      </c>
    </row>
    <row r="1992" spans="1:14" x14ac:dyDescent="0.35">
      <c r="A1992" t="s">
        <v>28</v>
      </c>
      <c r="B1992" s="5" t="str">
        <f>_xlfn.XLOOKUP(role_course_map[[#This Row],[role_id]], role_data[role_id], role_data[Role],"")</f>
        <v>Estates Administrator</v>
      </c>
      <c r="C1992">
        <v>999056</v>
      </c>
      <c r="D1992" s="5" t="str">
        <f>_xlfn.XLOOKUP(role_course_map[[#This Row],[course_id]],course_data[course_id],course_data[title],"")</f>
        <v>Driver Assessment &amp; Training</v>
      </c>
      <c r="E1992" s="5" t="str">
        <f>_xlfn.XLOOKUP(role_course_map[[#This Row],[course_id]],course_data[course_id],course_data[topic],"")</f>
        <v>SAS : Health and Safety</v>
      </c>
      <c r="F1992" s="5" t="str">
        <f>_xlfn.XLOOKUP(role_course_map[[#This Row],[course_id]],course_data[course_id],course_data[type],"")</f>
        <v>eLearning</v>
      </c>
      <c r="K1992" t="str">
        <f>role_course_map[[#This Row],[role_id]] &amp; "|" &amp; role_course_map[[#This Row],[course_id]]</f>
        <v>R0010|999056</v>
      </c>
      <c r="L1992" t="str">
        <f>IF(COUNTIF(role_course_map[mapping_key],role_course_map[[#This Row],[mapping_key]])&gt;1,"DUPLICATE","OK")</f>
        <v>OK</v>
      </c>
      <c r="M1992" t="str">
        <f>IF(COUNTIF(role_data[role_id],role_course_map[[#This Row],[role_id]])=0, "INVALID","VALID")</f>
        <v>VALID</v>
      </c>
      <c r="N1992" t="str">
        <f>IF(COUNTIF(course_data[course_id],role_course_map[[#This Row],[course_id]])=0, "INVALID","VALID")</f>
        <v>VALID</v>
      </c>
    </row>
    <row r="1993" spans="1:14" x14ac:dyDescent="0.35">
      <c r="A1993" t="s">
        <v>28</v>
      </c>
      <c r="B1993" s="5" t="str">
        <f>_xlfn.XLOOKUP(role_course_map[[#This Row],[role_id]], role_data[role_id], role_data[Role],"")</f>
        <v>Estates Administrator</v>
      </c>
      <c r="C1993">
        <v>999057</v>
      </c>
      <c r="D1993" s="5" t="str">
        <f>_xlfn.XLOOKUP(role_course_map[[#This Row],[course_id]],course_data[course_id],course_data[title],"")</f>
        <v>Fatigue Awareness</v>
      </c>
      <c r="E1993" s="5" t="str">
        <f>_xlfn.XLOOKUP(role_course_map[[#This Row],[course_id]],course_data[course_id],course_data[topic],"")</f>
        <v>SAS : Health and Safety</v>
      </c>
      <c r="F1993" s="5" t="str">
        <f>_xlfn.XLOOKUP(role_course_map[[#This Row],[course_id]],course_data[course_id],course_data[type],"")</f>
        <v>eLearning</v>
      </c>
      <c r="K1993" t="str">
        <f>role_course_map[[#This Row],[role_id]] &amp; "|" &amp; role_course_map[[#This Row],[course_id]]</f>
        <v>R0010|999057</v>
      </c>
      <c r="L1993" t="str">
        <f>IF(COUNTIF(role_course_map[mapping_key],role_course_map[[#This Row],[mapping_key]])&gt;1,"DUPLICATE","OK")</f>
        <v>OK</v>
      </c>
      <c r="M1993" t="str">
        <f>IF(COUNTIF(role_data[role_id],role_course_map[[#This Row],[role_id]])=0, "INVALID","VALID")</f>
        <v>VALID</v>
      </c>
      <c r="N1993" t="str">
        <f>IF(COUNTIF(course_data[course_id],role_course_map[[#This Row],[course_id]])=0, "INVALID","VALID")</f>
        <v>VALID</v>
      </c>
    </row>
    <row r="1994" spans="1:14" x14ac:dyDescent="0.35">
      <c r="A1994" t="s">
        <v>28</v>
      </c>
      <c r="B1994" s="5" t="str">
        <f>_xlfn.XLOOKUP(role_course_map[[#This Row],[role_id]], role_data[role_id], role_data[Role],"")</f>
        <v>Estates Administrator</v>
      </c>
      <c r="C1994">
        <v>999058</v>
      </c>
      <c r="D1994" s="5" t="str">
        <f>_xlfn.XLOOKUP(role_course_map[[#This Row],[course_id]],course_data[course_id],course_data[title],"")</f>
        <v>Stress Identification &amp; Stress Management</v>
      </c>
      <c r="E1994" s="5" t="str">
        <f>_xlfn.XLOOKUP(role_course_map[[#This Row],[course_id]],course_data[course_id],course_data[topic],"")</f>
        <v>SAS : Health and Safety</v>
      </c>
      <c r="F1994" s="5" t="str">
        <f>_xlfn.XLOOKUP(role_course_map[[#This Row],[course_id]],course_data[course_id],course_data[type],"")</f>
        <v>eLearning</v>
      </c>
      <c r="K1994" t="str">
        <f>role_course_map[[#This Row],[role_id]] &amp; "|" &amp; role_course_map[[#This Row],[course_id]]</f>
        <v>R0010|999058</v>
      </c>
      <c r="L1994" t="str">
        <f>IF(COUNTIF(role_course_map[mapping_key],role_course_map[[#This Row],[mapping_key]])&gt;1,"DUPLICATE","OK")</f>
        <v>OK</v>
      </c>
      <c r="M1994" t="str">
        <f>IF(COUNTIF(role_data[role_id],role_course_map[[#This Row],[role_id]])=0, "INVALID","VALID")</f>
        <v>VALID</v>
      </c>
      <c r="N1994" t="str">
        <f>IF(COUNTIF(course_data[course_id],role_course_map[[#This Row],[course_id]])=0, "INVALID","VALID")</f>
        <v>VALID</v>
      </c>
    </row>
    <row r="1995" spans="1:14" x14ac:dyDescent="0.35">
      <c r="A1995" t="s">
        <v>28</v>
      </c>
      <c r="B1995" s="5" t="str">
        <f>_xlfn.XLOOKUP(role_course_map[[#This Row],[role_id]], role_data[role_id], role_data[Role],"")</f>
        <v>Estates Administrator</v>
      </c>
      <c r="C1995">
        <v>999094</v>
      </c>
      <c r="D1995" s="5" t="str">
        <f>_xlfn.XLOOKUP(role_course_map[[#This Row],[course_id]],course_data[course_id],course_data[title],"")</f>
        <v>Being well, Mind, Body &amp; Workplace</v>
      </c>
      <c r="E1995" s="5" t="str">
        <f>_xlfn.XLOOKUP(role_course_map[[#This Row],[course_id]],course_data[course_id],course_data[topic],"")</f>
        <v>SAS: Staff development and experience</v>
      </c>
      <c r="F1995" s="5" t="str">
        <f>_xlfn.XLOOKUP(role_course_map[[#This Row],[course_id]],course_data[course_id],course_data[type],"")</f>
        <v>eLearning</v>
      </c>
      <c r="K1995" t="str">
        <f>role_course_map[[#This Row],[role_id]] &amp; "|" &amp; role_course_map[[#This Row],[course_id]]</f>
        <v>R0010|999094</v>
      </c>
      <c r="L1995" t="str">
        <f>IF(COUNTIF(role_course_map[mapping_key],role_course_map[[#This Row],[mapping_key]])&gt;1,"DUPLICATE","OK")</f>
        <v>OK</v>
      </c>
      <c r="M1995" t="str">
        <f>IF(COUNTIF(role_data[role_id],role_course_map[[#This Row],[role_id]])=0, "INVALID","VALID")</f>
        <v>VALID</v>
      </c>
      <c r="N1995" t="str">
        <f>IF(COUNTIF(course_data[course_id],role_course_map[[#This Row],[course_id]])=0, "INVALID","VALID")</f>
        <v>VALID</v>
      </c>
    </row>
    <row r="1996" spans="1:14" x14ac:dyDescent="0.35">
      <c r="A1996" t="s">
        <v>59</v>
      </c>
      <c r="B1996" s="5" t="str">
        <f>_xlfn.XLOOKUP(role_course_map[[#This Row],[role_id]], role_data[role_id], role_data[Role],"")</f>
        <v>Chargehand</v>
      </c>
      <c r="C1996">
        <v>999037</v>
      </c>
      <c r="D1996" s="5" t="str">
        <f>_xlfn.XLOOKUP(role_course_map[[#This Row],[course_id]],course_data[course_id],course_data[title],"")</f>
        <v>Grindstone Wheel Training</v>
      </c>
      <c r="E1996" s="5" t="str">
        <f>_xlfn.XLOOKUP(role_course_map[[#This Row],[course_id]],course_data[course_id],course_data[topic],"")</f>
        <v>SAS : Fleet</v>
      </c>
      <c r="F1996" s="5" t="str">
        <f>_xlfn.XLOOKUP(role_course_map[[#This Row],[course_id]],course_data[course_id],course_data[type],"")</f>
        <v>Course</v>
      </c>
      <c r="K1996" t="str">
        <f>role_course_map[[#This Row],[role_id]] &amp; "|" &amp; role_course_map[[#This Row],[course_id]]</f>
        <v>R0025|999037</v>
      </c>
      <c r="L1996" t="str">
        <f>IF(COUNTIF(role_course_map[mapping_key],role_course_map[[#This Row],[mapping_key]])&gt;1,"DUPLICATE","OK")</f>
        <v>OK</v>
      </c>
      <c r="M1996" t="str">
        <f>IF(COUNTIF(role_data[role_id],role_course_map[[#This Row],[role_id]])=0, "INVALID","VALID")</f>
        <v>VALID</v>
      </c>
      <c r="N1996" t="str">
        <f>IF(COUNTIF(course_data[course_id],role_course_map[[#This Row],[course_id]])=0, "INVALID","VALID")</f>
        <v>VALID</v>
      </c>
    </row>
    <row r="1997" spans="1:14" x14ac:dyDescent="0.35">
      <c r="A1997" t="s">
        <v>59</v>
      </c>
      <c r="B1997" s="5" t="str">
        <f>_xlfn.XLOOKUP(role_course_map[[#This Row],[role_id]], role_data[role_id], role_data[Role],"")</f>
        <v>Chargehand</v>
      </c>
      <c r="C1997">
        <v>999038</v>
      </c>
      <c r="D1997" s="5" t="str">
        <f>_xlfn.XLOOKUP(role_course_map[[#This Row],[course_id]],course_data[course_id],course_data[title],"")</f>
        <v>Monthly Workshop Inspection (Evotix)</v>
      </c>
      <c r="E1997" s="5" t="str">
        <f>_xlfn.XLOOKUP(role_course_map[[#This Row],[course_id]],course_data[course_id],course_data[topic],"")</f>
        <v>SAS : Fleet</v>
      </c>
      <c r="F1997" s="5" t="str">
        <f>_xlfn.XLOOKUP(role_course_map[[#This Row],[course_id]],course_data[course_id],course_data[type],"")</f>
        <v>Course</v>
      </c>
      <c r="K1997" t="str">
        <f>role_course_map[[#This Row],[role_id]] &amp; "|" &amp; role_course_map[[#This Row],[course_id]]</f>
        <v>R0025|999038</v>
      </c>
      <c r="L1997" t="str">
        <f>IF(COUNTIF(role_course_map[mapping_key],role_course_map[[#This Row],[mapping_key]])&gt;1,"DUPLICATE","OK")</f>
        <v>OK</v>
      </c>
      <c r="M1997" t="str">
        <f>IF(COUNTIF(role_data[role_id],role_course_map[[#This Row],[role_id]])=0, "INVALID","VALID")</f>
        <v>VALID</v>
      </c>
      <c r="N1997" t="str">
        <f>IF(COUNTIF(course_data[course_id],role_course_map[[#This Row],[course_id]])=0, "INVALID","VALID")</f>
        <v>VALID</v>
      </c>
    </row>
    <row r="1998" spans="1:14" x14ac:dyDescent="0.35">
      <c r="A1998" t="s">
        <v>59</v>
      </c>
      <c r="B1998" s="5" t="str">
        <f>_xlfn.XLOOKUP(role_course_map[[#This Row],[role_id]], role_data[role_id], role_data[Role],"")</f>
        <v>Chargehand</v>
      </c>
      <c r="C1998">
        <v>999039</v>
      </c>
      <c r="D1998" s="5" t="str">
        <f>_xlfn.XLOOKUP(role_course_map[[#This Row],[course_id]],course_data[course_id],course_data[title],"")</f>
        <v>AAT CMax (Stair climber)</v>
      </c>
      <c r="E1998" s="5" t="str">
        <f>_xlfn.XLOOKUP(role_course_map[[#This Row],[course_id]],course_data[course_id],course_data[topic],"")</f>
        <v>SAS : Fleet</v>
      </c>
      <c r="F1998" s="5" t="str">
        <f>_xlfn.XLOOKUP(role_course_map[[#This Row],[course_id]],course_data[course_id],course_data[type],"")</f>
        <v>Course</v>
      </c>
      <c r="K1998" t="str">
        <f>role_course_map[[#This Row],[role_id]] &amp; "|" &amp; role_course_map[[#This Row],[course_id]]</f>
        <v>R0025|999039</v>
      </c>
      <c r="L1998" t="str">
        <f>IF(COUNTIF(role_course_map[mapping_key],role_course_map[[#This Row],[mapping_key]])&gt;1,"DUPLICATE","OK")</f>
        <v>OK</v>
      </c>
      <c r="M1998" t="str">
        <f>IF(COUNTIF(role_data[role_id],role_course_map[[#This Row],[role_id]])=0, "INVALID","VALID")</f>
        <v>VALID</v>
      </c>
      <c r="N1998" t="str">
        <f>IF(COUNTIF(course_data[course_id],role_course_map[[#This Row],[course_id]])=0, "INVALID","VALID")</f>
        <v>VALID</v>
      </c>
    </row>
    <row r="1999" spans="1:14" x14ac:dyDescent="0.35">
      <c r="A1999" t="s">
        <v>59</v>
      </c>
      <c r="B1999" s="5" t="str">
        <f>_xlfn.XLOOKUP(role_course_map[[#This Row],[role_id]], role_data[role_id], role_data[Role],"")</f>
        <v>Chargehand</v>
      </c>
      <c r="C1999">
        <v>999040</v>
      </c>
      <c r="D1999" s="5" t="str">
        <f>_xlfn.XLOOKUP(role_course_map[[#This Row],[course_id]],course_data[course_id],course_data[title],"")</f>
        <v>Eberspaecher heater and aircon</v>
      </c>
      <c r="E1999" s="5" t="str">
        <f>_xlfn.XLOOKUP(role_course_map[[#This Row],[course_id]],course_data[course_id],course_data[topic],"")</f>
        <v>SAS : Fleet</v>
      </c>
      <c r="F1999" s="5" t="str">
        <f>_xlfn.XLOOKUP(role_course_map[[#This Row],[course_id]],course_data[course_id],course_data[type],"")</f>
        <v>Course</v>
      </c>
      <c r="K1999" t="str">
        <f>role_course_map[[#This Row],[role_id]] &amp; "|" &amp; role_course_map[[#This Row],[course_id]]</f>
        <v>R0025|999040</v>
      </c>
      <c r="L1999" t="str">
        <f>IF(COUNTIF(role_course_map[mapping_key],role_course_map[[#This Row],[mapping_key]])&gt;1,"DUPLICATE","OK")</f>
        <v>OK</v>
      </c>
      <c r="M1999" t="str">
        <f>IF(COUNTIF(role_data[role_id],role_course_map[[#This Row],[role_id]])=0, "INVALID","VALID")</f>
        <v>VALID</v>
      </c>
      <c r="N1999" t="str">
        <f>IF(COUNTIF(course_data[course_id],role_course_map[[#This Row],[course_id]])=0, "INVALID","VALID")</f>
        <v>VALID</v>
      </c>
    </row>
    <row r="2000" spans="1:14" x14ac:dyDescent="0.35">
      <c r="A2000" t="s">
        <v>59</v>
      </c>
      <c r="B2000" s="5" t="str">
        <f>_xlfn.XLOOKUP(role_course_map[[#This Row],[role_id]], role_data[role_id], role_data[Role],"")</f>
        <v>Chargehand</v>
      </c>
      <c r="C2000">
        <v>999041</v>
      </c>
      <c r="D2000" s="5" t="str">
        <f>_xlfn.XLOOKUP(role_course_map[[#This Row],[course_id]],course_data[course_id],course_data[title],"")</f>
        <v>EV (IMI L1) Charging</v>
      </c>
      <c r="E2000" s="5" t="str">
        <f>_xlfn.XLOOKUP(role_course_map[[#This Row],[course_id]],course_data[course_id],course_data[topic],"")</f>
        <v>SAS : Fleet</v>
      </c>
      <c r="F2000" s="5" t="str">
        <f>_xlfn.XLOOKUP(role_course_map[[#This Row],[course_id]],course_data[course_id],course_data[type],"")</f>
        <v>Course</v>
      </c>
      <c r="K2000" t="str">
        <f>role_course_map[[#This Row],[role_id]] &amp; "|" &amp; role_course_map[[#This Row],[course_id]]</f>
        <v>R0025|999041</v>
      </c>
      <c r="L2000" t="str">
        <f>IF(COUNTIF(role_course_map[mapping_key],role_course_map[[#This Row],[mapping_key]])&gt;1,"DUPLICATE","OK")</f>
        <v>OK</v>
      </c>
      <c r="M2000" t="str">
        <f>IF(COUNTIF(role_data[role_id],role_course_map[[#This Row],[role_id]])=0, "INVALID","VALID")</f>
        <v>VALID</v>
      </c>
      <c r="N2000" t="str">
        <f>IF(COUNTIF(course_data[course_id],role_course_map[[#This Row],[course_id]])=0, "INVALID","VALID")</f>
        <v>VALID</v>
      </c>
    </row>
    <row r="2001" spans="1:14" x14ac:dyDescent="0.35">
      <c r="A2001" t="s">
        <v>59</v>
      </c>
      <c r="B2001" s="5" t="str">
        <f>_xlfn.XLOOKUP(role_course_map[[#This Row],[role_id]], role_data[role_id], role_data[Role],"")</f>
        <v>Chargehand</v>
      </c>
      <c r="C2001">
        <v>999042</v>
      </c>
      <c r="D2001" s="5" t="str">
        <f>_xlfn.XLOOKUP(role_course_map[[#This Row],[course_id]],course_data[course_id],course_data[title],"")</f>
        <v>EV (IMI L2)</v>
      </c>
      <c r="E2001" s="5" t="str">
        <f>_xlfn.XLOOKUP(role_course_map[[#This Row],[course_id]],course_data[course_id],course_data[topic],"")</f>
        <v>SAS : Fleet</v>
      </c>
      <c r="F2001" s="5" t="str">
        <f>_xlfn.XLOOKUP(role_course_map[[#This Row],[course_id]],course_data[course_id],course_data[type],"")</f>
        <v>Course</v>
      </c>
      <c r="K2001" t="str">
        <f>role_course_map[[#This Row],[role_id]] &amp; "|" &amp; role_course_map[[#This Row],[course_id]]</f>
        <v>R0025|999042</v>
      </c>
      <c r="L2001" t="str">
        <f>IF(COUNTIF(role_course_map[mapping_key],role_course_map[[#This Row],[mapping_key]])&gt;1,"DUPLICATE","OK")</f>
        <v>OK</v>
      </c>
      <c r="M2001" t="str">
        <f>IF(COUNTIF(role_data[role_id],role_course_map[[#This Row],[role_id]])=0, "INVALID","VALID")</f>
        <v>VALID</v>
      </c>
      <c r="N2001" t="str">
        <f>IF(COUNTIF(course_data[course_id],role_course_map[[#This Row],[course_id]])=0, "INVALID","VALID")</f>
        <v>VALID</v>
      </c>
    </row>
    <row r="2002" spans="1:14" x14ac:dyDescent="0.35">
      <c r="A2002" t="s">
        <v>59</v>
      </c>
      <c r="B2002" s="5" t="str">
        <f>_xlfn.XLOOKUP(role_course_map[[#This Row],[role_id]], role_data[role_id], role_data[Role],"")</f>
        <v>Chargehand</v>
      </c>
      <c r="C2002">
        <v>999043</v>
      </c>
      <c r="D2002" s="5" t="str">
        <f>_xlfn.XLOOKUP(role_course_map[[#This Row],[course_id]],course_data[course_id],course_data[title],"")</f>
        <v>Ferno Equipment</v>
      </c>
      <c r="E2002" s="5" t="str">
        <f>_xlfn.XLOOKUP(role_course_map[[#This Row],[course_id]],course_data[course_id],course_data[topic],"")</f>
        <v>SAS : Fleet</v>
      </c>
      <c r="F2002" s="5" t="str">
        <f>_xlfn.XLOOKUP(role_course_map[[#This Row],[course_id]],course_data[course_id],course_data[type],"")</f>
        <v>Course</v>
      </c>
      <c r="K2002" t="str">
        <f>role_course_map[[#This Row],[role_id]] &amp; "|" &amp; role_course_map[[#This Row],[course_id]]</f>
        <v>R0025|999043</v>
      </c>
      <c r="L2002" t="str">
        <f>IF(COUNTIF(role_course_map[mapping_key],role_course_map[[#This Row],[mapping_key]])&gt;1,"DUPLICATE","OK")</f>
        <v>OK</v>
      </c>
      <c r="M2002" t="str">
        <f>IF(COUNTIF(role_data[role_id],role_course_map[[#This Row],[role_id]])=0, "INVALID","VALID")</f>
        <v>VALID</v>
      </c>
      <c r="N2002" t="str">
        <f>IF(COUNTIF(course_data[course_id],role_course_map[[#This Row],[course_id]])=0, "INVALID","VALID")</f>
        <v>VALID</v>
      </c>
    </row>
    <row r="2003" spans="1:14" x14ac:dyDescent="0.35">
      <c r="A2003" t="s">
        <v>59</v>
      </c>
      <c r="B2003" s="5" t="str">
        <f>_xlfn.XLOOKUP(role_course_map[[#This Row],[role_id]], role_data[role_id], role_data[Role],"")</f>
        <v>Chargehand</v>
      </c>
      <c r="C2003">
        <v>999044</v>
      </c>
      <c r="D2003" s="5" t="str">
        <f>_xlfn.XLOOKUP(role_course_map[[#This Row],[course_id]],course_data[course_id],course_data[title],"")</f>
        <v>Ibex (Mk 5 chair)</v>
      </c>
      <c r="E2003" s="5" t="str">
        <f>_xlfn.XLOOKUP(role_course_map[[#This Row],[course_id]],course_data[course_id],course_data[topic],"")</f>
        <v>SAS : Fleet</v>
      </c>
      <c r="F2003" s="5" t="str">
        <f>_xlfn.XLOOKUP(role_course_map[[#This Row],[course_id]],course_data[course_id],course_data[type],"")</f>
        <v>Course</v>
      </c>
      <c r="K2003" t="str">
        <f>role_course_map[[#This Row],[role_id]] &amp; "|" &amp; role_course_map[[#This Row],[course_id]]</f>
        <v>R0025|999044</v>
      </c>
      <c r="L2003" t="str">
        <f>IF(COUNTIF(role_course_map[mapping_key],role_course_map[[#This Row],[mapping_key]])&gt;1,"DUPLICATE","OK")</f>
        <v>OK</v>
      </c>
      <c r="M2003" t="str">
        <f>IF(COUNTIF(role_data[role_id],role_course_map[[#This Row],[role_id]])=0, "INVALID","VALID")</f>
        <v>VALID</v>
      </c>
      <c r="N2003" t="str">
        <f>IF(COUNTIF(course_data[course_id],role_course_map[[#This Row],[course_id]])=0, "INVALID","VALID")</f>
        <v>VALID</v>
      </c>
    </row>
    <row r="2004" spans="1:14" x14ac:dyDescent="0.35">
      <c r="A2004" t="s">
        <v>59</v>
      </c>
      <c r="B2004" s="5" t="str">
        <f>_xlfn.XLOOKUP(role_course_map[[#This Row],[role_id]], role_data[role_id], role_data[Role],"")</f>
        <v>Chargehand</v>
      </c>
      <c r="C2004">
        <v>999045</v>
      </c>
      <c r="D2004" s="5" t="str">
        <f>_xlfn.XLOOKUP(role_course_map[[#This Row],[course_id]],course_data[course_id],course_data[title],"")</f>
        <v>Mangar (Airflo)</v>
      </c>
      <c r="E2004" s="5" t="str">
        <f>_xlfn.XLOOKUP(role_course_map[[#This Row],[course_id]],course_data[course_id],course_data[topic],"")</f>
        <v>SAS : Fleet</v>
      </c>
      <c r="F2004" s="5" t="str">
        <f>_xlfn.XLOOKUP(role_course_map[[#This Row],[course_id]],course_data[course_id],course_data[type],"")</f>
        <v>Course</v>
      </c>
      <c r="K2004" t="str">
        <f>role_course_map[[#This Row],[role_id]] &amp; "|" &amp; role_course_map[[#This Row],[course_id]]</f>
        <v>R0025|999045</v>
      </c>
      <c r="L2004" t="str">
        <f>IF(COUNTIF(role_course_map[mapping_key],role_course_map[[#This Row],[mapping_key]])&gt;1,"DUPLICATE","OK")</f>
        <v>OK</v>
      </c>
      <c r="M2004" t="str">
        <f>IF(COUNTIF(role_data[role_id],role_course_map[[#This Row],[role_id]])=0, "INVALID","VALID")</f>
        <v>VALID</v>
      </c>
      <c r="N2004" t="str">
        <f>IF(COUNTIF(course_data[course_id],role_course_map[[#This Row],[course_id]])=0, "INVALID","VALID")</f>
        <v>VALID</v>
      </c>
    </row>
    <row r="2005" spans="1:14" x14ac:dyDescent="0.35">
      <c r="A2005" t="s">
        <v>59</v>
      </c>
      <c r="B2005" s="5" t="str">
        <f>_xlfn.XLOOKUP(role_course_map[[#This Row],[role_id]], role_data[role_id], role_data[Role],"")</f>
        <v>Chargehand</v>
      </c>
      <c r="C2005">
        <v>999046</v>
      </c>
      <c r="D2005" s="5" t="str">
        <f>_xlfn.XLOOKUP(role_course_map[[#This Row],[course_id]],course_data[course_id],course_data[title],"")</f>
        <v>Mercedes Diagnostics (XENTRY)</v>
      </c>
      <c r="E2005" s="5" t="str">
        <f>_xlfn.XLOOKUP(role_course_map[[#This Row],[course_id]],course_data[course_id],course_data[topic],"")</f>
        <v>SAS : Fleet</v>
      </c>
      <c r="F2005" s="5" t="str">
        <f>_xlfn.XLOOKUP(role_course_map[[#This Row],[course_id]],course_data[course_id],course_data[type],"")</f>
        <v>Course</v>
      </c>
      <c r="K2005" t="str">
        <f>role_course_map[[#This Row],[role_id]] &amp; "|" &amp; role_course_map[[#This Row],[course_id]]</f>
        <v>R0025|999046</v>
      </c>
      <c r="L2005" t="str">
        <f>IF(COUNTIF(role_course_map[mapping_key],role_course_map[[#This Row],[mapping_key]])&gt;1,"DUPLICATE","OK")</f>
        <v>OK</v>
      </c>
      <c r="M2005" t="str">
        <f>IF(COUNTIF(role_data[role_id],role_course_map[[#This Row],[role_id]])=0, "INVALID","VALID")</f>
        <v>VALID</v>
      </c>
      <c r="N2005" t="str">
        <f>IF(COUNTIF(course_data[course_id],role_course_map[[#This Row],[course_id]])=0, "INVALID","VALID")</f>
        <v>VALID</v>
      </c>
    </row>
    <row r="2006" spans="1:14" x14ac:dyDescent="0.35">
      <c r="A2006" t="s">
        <v>59</v>
      </c>
      <c r="B2006" s="5" t="str">
        <f>_xlfn.XLOOKUP(role_course_map[[#This Row],[role_id]], role_data[role_id], role_data[Role],"")</f>
        <v>Chargehand</v>
      </c>
      <c r="C2006">
        <v>999047</v>
      </c>
      <c r="D2006" s="5" t="str">
        <f>_xlfn.XLOOKUP(role_course_map[[#This Row],[course_id]],course_data[course_id],course_data[title],"")</f>
        <v>Peugeot Diagnostics (DIAGBOX)</v>
      </c>
      <c r="E2006" s="5" t="str">
        <f>_xlfn.XLOOKUP(role_course_map[[#This Row],[course_id]],course_data[course_id],course_data[topic],"")</f>
        <v>SAS : Fleet</v>
      </c>
      <c r="F2006" s="5" t="str">
        <f>_xlfn.XLOOKUP(role_course_map[[#This Row],[course_id]],course_data[course_id],course_data[type],"")</f>
        <v>Course</v>
      </c>
      <c r="K2006" t="str">
        <f>role_course_map[[#This Row],[role_id]] &amp; "|" &amp; role_course_map[[#This Row],[course_id]]</f>
        <v>R0025|999047</v>
      </c>
      <c r="L2006" t="str">
        <f>IF(COUNTIF(role_course_map[mapping_key],role_course_map[[#This Row],[mapping_key]])&gt;1,"DUPLICATE","OK")</f>
        <v>OK</v>
      </c>
      <c r="M2006" t="str">
        <f>IF(COUNTIF(role_data[role_id],role_course_map[[#This Row],[role_id]])=0, "INVALID","VALID")</f>
        <v>VALID</v>
      </c>
      <c r="N2006" t="str">
        <f>IF(COUNTIF(course_data[course_id],role_course_map[[#This Row],[course_id]])=0, "INVALID","VALID")</f>
        <v>VALID</v>
      </c>
    </row>
    <row r="2007" spans="1:14" x14ac:dyDescent="0.35">
      <c r="A2007" t="s">
        <v>59</v>
      </c>
      <c r="B2007" s="5" t="str">
        <f>_xlfn.XLOOKUP(role_course_map[[#This Row],[role_id]], role_data[role_id], role_data[Role],"")</f>
        <v>Chargehand</v>
      </c>
      <c r="C2007">
        <v>999048</v>
      </c>
      <c r="D2007" s="5" t="str">
        <f>_xlfn.XLOOKUP(role_course_map[[#This Row],[course_id]],course_data[course_id],course_data[title],"")</f>
        <v>Stryker Equipment</v>
      </c>
      <c r="E2007" s="5" t="str">
        <f>_xlfn.XLOOKUP(role_course_map[[#This Row],[course_id]],course_data[course_id],course_data[topic],"")</f>
        <v>SAS : Fleet</v>
      </c>
      <c r="F2007" s="5" t="str">
        <f>_xlfn.XLOOKUP(role_course_map[[#This Row],[course_id]],course_data[course_id],course_data[type],"")</f>
        <v>Course</v>
      </c>
      <c r="K2007" t="str">
        <f>role_course_map[[#This Row],[role_id]] &amp; "|" &amp; role_course_map[[#This Row],[course_id]]</f>
        <v>R0025|999048</v>
      </c>
      <c r="L2007" t="str">
        <f>IF(COUNTIF(role_course_map[mapping_key],role_course_map[[#This Row],[mapping_key]])&gt;1,"DUPLICATE","OK")</f>
        <v>OK</v>
      </c>
      <c r="M2007" t="str">
        <f>IF(COUNTIF(role_data[role_id],role_course_map[[#This Row],[role_id]])=0, "INVALID","VALID")</f>
        <v>VALID</v>
      </c>
      <c r="N2007" t="str">
        <f>IF(COUNTIF(course_data[course_id],role_course_map[[#This Row],[course_id]])=0, "INVALID","VALID")</f>
        <v>VALID</v>
      </c>
    </row>
    <row r="2008" spans="1:14" x14ac:dyDescent="0.35">
      <c r="A2008" t="s">
        <v>59</v>
      </c>
      <c r="B2008" s="5" t="str">
        <f>_xlfn.XLOOKUP(role_course_map[[#This Row],[role_id]], role_data[role_id], role_data[Role],"")</f>
        <v>Chargehand</v>
      </c>
      <c r="C2008">
        <v>999049</v>
      </c>
      <c r="D2008" s="5" t="str">
        <f>_xlfn.XLOOKUP(role_course_map[[#This Row],[course_id]],course_data[course_id],course_data[title],"")</f>
        <v>VB Suspension</v>
      </c>
      <c r="E2008" s="5" t="str">
        <f>_xlfn.XLOOKUP(role_course_map[[#This Row],[course_id]],course_data[course_id],course_data[topic],"")</f>
        <v>SAS : Fleet</v>
      </c>
      <c r="F2008" s="5" t="str">
        <f>_xlfn.XLOOKUP(role_course_map[[#This Row],[course_id]],course_data[course_id],course_data[type],"")</f>
        <v>Course</v>
      </c>
      <c r="K2008" t="str">
        <f>role_course_map[[#This Row],[role_id]] &amp; "|" &amp; role_course_map[[#This Row],[course_id]]</f>
        <v>R0025|999049</v>
      </c>
      <c r="L2008" t="str">
        <f>IF(COUNTIF(role_course_map[mapping_key],role_course_map[[#This Row],[mapping_key]])&gt;1,"DUPLICATE","OK")</f>
        <v>OK</v>
      </c>
      <c r="M2008" t="str">
        <f>IF(COUNTIF(role_data[role_id],role_course_map[[#This Row],[role_id]])=0, "INVALID","VALID")</f>
        <v>VALID</v>
      </c>
      <c r="N2008" t="str">
        <f>IF(COUNTIF(course_data[course_id],role_course_map[[#This Row],[course_id]])=0, "INVALID","VALID")</f>
        <v>VALID</v>
      </c>
    </row>
    <row r="2009" spans="1:14" x14ac:dyDescent="0.35">
      <c r="A2009" t="s">
        <v>59</v>
      </c>
      <c r="B2009" s="5" t="str">
        <f>_xlfn.XLOOKUP(role_course_map[[#This Row],[role_id]], role_data[role_id], role_data[Role],"")</f>
        <v>Chargehand</v>
      </c>
      <c r="C2009">
        <v>999050</v>
      </c>
      <c r="D2009" s="5" t="str">
        <f>_xlfn.XLOOKUP(role_course_map[[#This Row],[course_id]],course_data[course_id],course_data[title],"")</f>
        <v>W.A.S. &amp; Palfinger</v>
      </c>
      <c r="E2009" s="5" t="str">
        <f>_xlfn.XLOOKUP(role_course_map[[#This Row],[course_id]],course_data[course_id],course_data[topic],"")</f>
        <v>SAS : Fleet</v>
      </c>
      <c r="F2009" s="5" t="str">
        <f>_xlfn.XLOOKUP(role_course_map[[#This Row],[course_id]],course_data[course_id],course_data[type],"")</f>
        <v>Course</v>
      </c>
      <c r="K2009" t="str">
        <f>role_course_map[[#This Row],[role_id]] &amp; "|" &amp; role_course_map[[#This Row],[course_id]]</f>
        <v>R0025|999050</v>
      </c>
      <c r="L2009" t="str">
        <f>IF(COUNTIF(role_course_map[mapping_key],role_course_map[[#This Row],[mapping_key]])&gt;1,"DUPLICATE","OK")</f>
        <v>OK</v>
      </c>
      <c r="M2009" t="str">
        <f>IF(COUNTIF(role_data[role_id],role_course_map[[#This Row],[role_id]])=0, "INVALID","VALID")</f>
        <v>VALID</v>
      </c>
      <c r="N2009" t="str">
        <f>IF(COUNTIF(course_data[course_id],role_course_map[[#This Row],[course_id]])=0, "INVALID","VALID")</f>
        <v>VALID</v>
      </c>
    </row>
    <row r="2010" spans="1:14" x14ac:dyDescent="0.35">
      <c r="A2010" t="s">
        <v>59</v>
      </c>
      <c r="B2010" s="5" t="str">
        <f>_xlfn.XLOOKUP(role_course_map[[#This Row],[role_id]], role_data[role_id], role_data[Role],"")</f>
        <v>Chargehand</v>
      </c>
      <c r="C2010">
        <v>999051</v>
      </c>
      <c r="D2010" s="5" t="str">
        <f>_xlfn.XLOOKUP(role_course_map[[#This Row],[course_id]],course_data[course_id],course_data[title],"")</f>
        <v>XL (Access XL APD500 Tail lift)</v>
      </c>
      <c r="E2010" s="5" t="str">
        <f>_xlfn.XLOOKUP(role_course_map[[#This Row],[course_id]],course_data[course_id],course_data[topic],"")</f>
        <v>SAS : Fleet</v>
      </c>
      <c r="F2010" s="5" t="str">
        <f>_xlfn.XLOOKUP(role_course_map[[#This Row],[course_id]],course_data[course_id],course_data[type],"")</f>
        <v>Course</v>
      </c>
      <c r="K2010" t="str">
        <f>role_course_map[[#This Row],[role_id]] &amp; "|" &amp; role_course_map[[#This Row],[course_id]]</f>
        <v>R0025|999051</v>
      </c>
      <c r="L2010" t="str">
        <f>IF(COUNTIF(role_course_map[mapping_key],role_course_map[[#This Row],[mapping_key]])&gt;1,"DUPLICATE","OK")</f>
        <v>OK</v>
      </c>
      <c r="M2010" t="str">
        <f>IF(COUNTIF(role_data[role_id],role_course_map[[#This Row],[role_id]])=0, "INVALID","VALID")</f>
        <v>VALID</v>
      </c>
      <c r="N2010" t="str">
        <f>IF(COUNTIF(course_data[course_id],role_course_map[[#This Row],[course_id]])=0, "INVALID","VALID")</f>
        <v>VALID</v>
      </c>
    </row>
    <row r="2011" spans="1:14" x14ac:dyDescent="0.35">
      <c r="A2011" t="s">
        <v>59</v>
      </c>
      <c r="B2011" s="5" t="str">
        <f>_xlfn.XLOOKUP(role_course_map[[#This Row],[role_id]], role_data[role_id], role_data[Role],"")</f>
        <v>Chargehand</v>
      </c>
      <c r="C2011">
        <v>999052</v>
      </c>
      <c r="D2011" s="5" t="str">
        <f>_xlfn.XLOOKUP(role_course_map[[#This Row],[course_id]],course_data[course_id],course_data[title],"")</f>
        <v>McCauly's Tail lift</v>
      </c>
      <c r="E2011" s="5" t="str">
        <f>_xlfn.XLOOKUP(role_course_map[[#This Row],[course_id]],course_data[course_id],course_data[topic],"")</f>
        <v>SAS : Fleet</v>
      </c>
      <c r="F2011" s="5" t="str">
        <f>_xlfn.XLOOKUP(role_course_map[[#This Row],[course_id]],course_data[course_id],course_data[type],"")</f>
        <v>Course</v>
      </c>
      <c r="K2011" t="str">
        <f>role_course_map[[#This Row],[role_id]] &amp; "|" &amp; role_course_map[[#This Row],[course_id]]</f>
        <v>R0025|999052</v>
      </c>
      <c r="L2011" t="str">
        <f>IF(COUNTIF(role_course_map[mapping_key],role_course_map[[#This Row],[mapping_key]])&gt;1,"DUPLICATE","OK")</f>
        <v>OK</v>
      </c>
      <c r="M2011" t="str">
        <f>IF(COUNTIF(role_data[role_id],role_course_map[[#This Row],[role_id]])=0, "INVALID","VALID")</f>
        <v>VALID</v>
      </c>
      <c r="N2011" t="str">
        <f>IF(COUNTIF(course_data[course_id],role_course_map[[#This Row],[course_id]])=0, "INVALID","VALID")</f>
        <v>VALID</v>
      </c>
    </row>
    <row r="2012" spans="1:14" x14ac:dyDescent="0.35">
      <c r="A2012" t="s">
        <v>59</v>
      </c>
      <c r="B2012" s="5" t="str">
        <f>_xlfn.XLOOKUP(role_course_map[[#This Row],[role_id]], role_data[role_id], role_data[Role],"")</f>
        <v>Chargehand</v>
      </c>
      <c r="C2012">
        <v>999053</v>
      </c>
      <c r="D2012" s="5" t="str">
        <f>_xlfn.XLOOKUP(role_course_map[[#This Row],[course_id]],course_data[course_id],course_data[title],"")</f>
        <v>Webasto heater and aircon</v>
      </c>
      <c r="E2012" s="5" t="str">
        <f>_xlfn.XLOOKUP(role_course_map[[#This Row],[course_id]],course_data[course_id],course_data[topic],"")</f>
        <v>SAS : Fleet</v>
      </c>
      <c r="F2012" s="5" t="str">
        <f>_xlfn.XLOOKUP(role_course_map[[#This Row],[course_id]],course_data[course_id],course_data[type],"")</f>
        <v>Course</v>
      </c>
      <c r="K2012" t="str">
        <f>role_course_map[[#This Row],[role_id]] &amp; "|" &amp; role_course_map[[#This Row],[course_id]]</f>
        <v>R0025|999053</v>
      </c>
      <c r="L2012" t="str">
        <f>IF(COUNTIF(role_course_map[mapping_key],role_course_map[[#This Row],[mapping_key]])&gt;1,"DUPLICATE","OK")</f>
        <v>OK</v>
      </c>
      <c r="M2012" t="str">
        <f>IF(COUNTIF(role_data[role_id],role_course_map[[#This Row],[role_id]])=0, "INVALID","VALID")</f>
        <v>VALID</v>
      </c>
      <c r="N2012" t="str">
        <f>IF(COUNTIF(course_data[course_id],role_course_map[[#This Row],[course_id]])=0, "INVALID","VALID")</f>
        <v>VALID</v>
      </c>
    </row>
    <row r="2013" spans="1:14" x14ac:dyDescent="0.35">
      <c r="A2013" t="s">
        <v>59</v>
      </c>
      <c r="B2013" s="5" t="str">
        <f>_xlfn.XLOOKUP(role_course_map[[#This Row],[role_id]], role_data[role_id], role_data[Role],"")</f>
        <v>Chargehand</v>
      </c>
      <c r="C2013">
        <v>999054</v>
      </c>
      <c r="D2013" s="5" t="str">
        <f>_xlfn.XLOOKUP(role_course_map[[#This Row],[course_id]],course_data[course_id],course_data[title],"")</f>
        <v>IMI Level 3 award in automotive refrigerant handling</v>
      </c>
      <c r="E2013" s="5" t="str">
        <f>_xlfn.XLOOKUP(role_course_map[[#This Row],[course_id]],course_data[course_id],course_data[topic],"")</f>
        <v>SAS : Fleet</v>
      </c>
      <c r="F2013" s="5" t="str">
        <f>_xlfn.XLOOKUP(role_course_map[[#This Row],[course_id]],course_data[course_id],course_data[type],"")</f>
        <v>Course</v>
      </c>
      <c r="K2013" t="str">
        <f>role_course_map[[#This Row],[role_id]] &amp; "|" &amp; role_course_map[[#This Row],[course_id]]</f>
        <v>R0025|999054</v>
      </c>
      <c r="L2013" t="str">
        <f>IF(COUNTIF(role_course_map[mapping_key],role_course_map[[#This Row],[mapping_key]])&gt;1,"DUPLICATE","OK")</f>
        <v>OK</v>
      </c>
      <c r="M2013" t="str">
        <f>IF(COUNTIF(role_data[role_id],role_course_map[[#This Row],[role_id]])=0, "INVALID","VALID")</f>
        <v>VALID</v>
      </c>
      <c r="N2013" t="str">
        <f>IF(COUNTIF(course_data[course_id],role_course_map[[#This Row],[course_id]])=0, "INVALID","VALID")</f>
        <v>VALID</v>
      </c>
    </row>
    <row r="2014" spans="1:14" x14ac:dyDescent="0.35">
      <c r="A2014" t="s">
        <v>59</v>
      </c>
      <c r="B2014" s="5" t="str">
        <f>_xlfn.XLOOKUP(role_course_map[[#This Row],[role_id]], role_data[role_id], role_data[Role],"")</f>
        <v>Chargehand</v>
      </c>
      <c r="C2014">
        <v>999094</v>
      </c>
      <c r="D2014" s="5" t="str">
        <f>_xlfn.XLOOKUP(role_course_map[[#This Row],[course_id]],course_data[course_id],course_data[title],"")</f>
        <v>Being well, Mind, Body &amp; Workplace</v>
      </c>
      <c r="E2014" s="5" t="str">
        <f>_xlfn.XLOOKUP(role_course_map[[#This Row],[course_id]],course_data[course_id],course_data[topic],"")</f>
        <v>SAS: Staff development and experience</v>
      </c>
      <c r="F2014" s="5" t="str">
        <f>_xlfn.XLOOKUP(role_course_map[[#This Row],[course_id]],course_data[course_id],course_data[type],"")</f>
        <v>eLearning</v>
      </c>
      <c r="K2014" t="str">
        <f>role_course_map[[#This Row],[role_id]] &amp; "|" &amp; role_course_map[[#This Row],[course_id]]</f>
        <v>R0025|999094</v>
      </c>
      <c r="L2014" t="str">
        <f>IF(COUNTIF(role_course_map[mapping_key],role_course_map[[#This Row],[mapping_key]])&gt;1,"DUPLICATE","OK")</f>
        <v>OK</v>
      </c>
      <c r="M2014" t="str">
        <f>IF(COUNTIF(role_data[role_id],role_course_map[[#This Row],[role_id]])=0, "INVALID","VALID")</f>
        <v>VALID</v>
      </c>
      <c r="N2014" t="str">
        <f>IF(COUNTIF(course_data[course_id],role_course_map[[#This Row],[course_id]])=0, "INVALID","VALID")</f>
        <v>VALID</v>
      </c>
    </row>
    <row r="2015" spans="1:14" x14ac:dyDescent="0.35">
      <c r="A2015" t="s">
        <v>59</v>
      </c>
      <c r="B2015" s="5" t="str">
        <f>_xlfn.XLOOKUP(role_course_map[[#This Row],[role_id]], role_data[role_id], role_data[Role],"")</f>
        <v>Chargehand</v>
      </c>
      <c r="C2015">
        <v>999056</v>
      </c>
      <c r="D2015" s="5" t="str">
        <f>_xlfn.XLOOKUP(role_course_map[[#This Row],[course_id]],course_data[course_id],course_data[title],"")</f>
        <v>Driver Assessment &amp; Training</v>
      </c>
      <c r="E2015" s="5" t="str">
        <f>_xlfn.XLOOKUP(role_course_map[[#This Row],[course_id]],course_data[course_id],course_data[topic],"")</f>
        <v>SAS : Health and Safety</v>
      </c>
      <c r="F2015" s="5" t="str">
        <f>_xlfn.XLOOKUP(role_course_map[[#This Row],[course_id]],course_data[course_id],course_data[type],"")</f>
        <v>eLearning</v>
      </c>
      <c r="K2015" t="str">
        <f>role_course_map[[#This Row],[role_id]] &amp; "|" &amp; role_course_map[[#This Row],[course_id]]</f>
        <v>R0025|999056</v>
      </c>
      <c r="L2015" t="str">
        <f>IF(COUNTIF(role_course_map[mapping_key],role_course_map[[#This Row],[mapping_key]])&gt;1,"DUPLICATE","OK")</f>
        <v>OK</v>
      </c>
      <c r="M2015" t="str">
        <f>IF(COUNTIF(role_data[role_id],role_course_map[[#This Row],[role_id]])=0, "INVALID","VALID")</f>
        <v>VALID</v>
      </c>
      <c r="N2015" t="str">
        <f>IF(COUNTIF(course_data[course_id],role_course_map[[#This Row],[course_id]])=0, "INVALID","VALID")</f>
        <v>VALID</v>
      </c>
    </row>
    <row r="2016" spans="1:14" x14ac:dyDescent="0.35">
      <c r="A2016" t="s">
        <v>59</v>
      </c>
      <c r="B2016" s="5" t="str">
        <f>_xlfn.XLOOKUP(role_course_map[[#This Row],[role_id]], role_data[role_id], role_data[Role],"")</f>
        <v>Chargehand</v>
      </c>
      <c r="C2016">
        <v>999057</v>
      </c>
      <c r="D2016" s="5" t="str">
        <f>_xlfn.XLOOKUP(role_course_map[[#This Row],[course_id]],course_data[course_id],course_data[title],"")</f>
        <v>Fatigue Awareness</v>
      </c>
      <c r="E2016" s="5" t="str">
        <f>_xlfn.XLOOKUP(role_course_map[[#This Row],[course_id]],course_data[course_id],course_data[topic],"")</f>
        <v>SAS : Health and Safety</v>
      </c>
      <c r="F2016" s="5" t="str">
        <f>_xlfn.XLOOKUP(role_course_map[[#This Row],[course_id]],course_data[course_id],course_data[type],"")</f>
        <v>eLearning</v>
      </c>
      <c r="K2016" t="str">
        <f>role_course_map[[#This Row],[role_id]] &amp; "|" &amp; role_course_map[[#This Row],[course_id]]</f>
        <v>R0025|999057</v>
      </c>
      <c r="L2016" t="str">
        <f>IF(COUNTIF(role_course_map[mapping_key],role_course_map[[#This Row],[mapping_key]])&gt;1,"DUPLICATE","OK")</f>
        <v>OK</v>
      </c>
      <c r="M2016" t="str">
        <f>IF(COUNTIF(role_data[role_id],role_course_map[[#This Row],[role_id]])=0, "INVALID","VALID")</f>
        <v>VALID</v>
      </c>
      <c r="N2016" t="str">
        <f>IF(COUNTIF(course_data[course_id],role_course_map[[#This Row],[course_id]])=0, "INVALID","VALID")</f>
        <v>VALID</v>
      </c>
    </row>
    <row r="2017" spans="1:14" x14ac:dyDescent="0.35">
      <c r="A2017" t="s">
        <v>59</v>
      </c>
      <c r="B2017" s="5" t="str">
        <f>_xlfn.XLOOKUP(role_course_map[[#This Row],[role_id]], role_data[role_id], role_data[Role],"")</f>
        <v>Chargehand</v>
      </c>
      <c r="C2017">
        <v>999058</v>
      </c>
      <c r="D2017" s="5" t="str">
        <f>_xlfn.XLOOKUP(role_course_map[[#This Row],[course_id]],course_data[course_id],course_data[title],"")</f>
        <v>Stress Identification &amp; Stress Management</v>
      </c>
      <c r="E2017" s="5" t="str">
        <f>_xlfn.XLOOKUP(role_course_map[[#This Row],[course_id]],course_data[course_id],course_data[topic],"")</f>
        <v>SAS : Health and Safety</v>
      </c>
      <c r="F2017" s="5" t="str">
        <f>_xlfn.XLOOKUP(role_course_map[[#This Row],[course_id]],course_data[course_id],course_data[type],"")</f>
        <v>eLearning</v>
      </c>
      <c r="K2017" t="str">
        <f>role_course_map[[#This Row],[role_id]] &amp; "|" &amp; role_course_map[[#This Row],[course_id]]</f>
        <v>R0025|999058</v>
      </c>
      <c r="L2017" t="str">
        <f>IF(COUNTIF(role_course_map[mapping_key],role_course_map[[#This Row],[mapping_key]])&gt;1,"DUPLICATE","OK")</f>
        <v>OK</v>
      </c>
      <c r="M2017" t="str">
        <f>IF(COUNTIF(role_data[role_id],role_course_map[[#This Row],[role_id]])=0, "INVALID","VALID")</f>
        <v>VALID</v>
      </c>
      <c r="N2017" t="str">
        <f>IF(COUNTIF(course_data[course_id],role_course_map[[#This Row],[course_id]])=0, "INVALID","VALID")</f>
        <v>VALID</v>
      </c>
    </row>
    <row r="2018" spans="1:14" x14ac:dyDescent="0.35">
      <c r="A2018" t="s">
        <v>59</v>
      </c>
      <c r="B2018" s="5" t="str">
        <f>_xlfn.XLOOKUP(role_course_map[[#This Row],[role_id]], role_data[role_id], role_data[Role],"")</f>
        <v>Chargehand</v>
      </c>
      <c r="C2018">
        <v>999061</v>
      </c>
      <c r="D2018" s="5" t="str">
        <f>_xlfn.XLOOKUP(role_course_map[[#This Row],[course_id]],course_data[course_id],course_data[title],"")</f>
        <v>Skin Awareness</v>
      </c>
      <c r="E2018" s="5" t="str">
        <f>_xlfn.XLOOKUP(role_course_map[[#This Row],[course_id]],course_data[course_id],course_data[topic],"")</f>
        <v>SAS : Health and Safety</v>
      </c>
      <c r="F2018" s="5" t="str">
        <f>_xlfn.XLOOKUP(role_course_map[[#This Row],[course_id]],course_data[course_id],course_data[type],"")</f>
        <v>eLearning</v>
      </c>
      <c r="K2018" t="str">
        <f>role_course_map[[#This Row],[role_id]] &amp; "|" &amp; role_course_map[[#This Row],[course_id]]</f>
        <v>R0025|999061</v>
      </c>
      <c r="L2018" t="str">
        <f>IF(COUNTIF(role_course_map[mapping_key],role_course_map[[#This Row],[mapping_key]])&gt;1,"DUPLICATE","OK")</f>
        <v>OK</v>
      </c>
      <c r="M2018" t="str">
        <f>IF(COUNTIF(role_data[role_id],role_course_map[[#This Row],[role_id]])=0, "INVALID","VALID")</f>
        <v>VALID</v>
      </c>
      <c r="N2018" t="str">
        <f>IF(COUNTIF(course_data[course_id],role_course_map[[#This Row],[course_id]])=0, "INVALID","VALID")</f>
        <v>VALID</v>
      </c>
    </row>
    <row r="2019" spans="1:14" x14ac:dyDescent="0.35">
      <c r="A2019" t="s">
        <v>62</v>
      </c>
      <c r="B2019" s="5" t="str">
        <f>_xlfn.XLOOKUP(role_course_map[[#This Row],[role_id]], role_data[role_id], role_data[Role],"")</f>
        <v>Fleet Administrator</v>
      </c>
      <c r="C2019">
        <v>999056</v>
      </c>
      <c r="D2019" s="5" t="str">
        <f>_xlfn.XLOOKUP(role_course_map[[#This Row],[course_id]],course_data[course_id],course_data[title],"")</f>
        <v>Driver Assessment &amp; Training</v>
      </c>
      <c r="E2019" s="5" t="str">
        <f>_xlfn.XLOOKUP(role_course_map[[#This Row],[course_id]],course_data[course_id],course_data[topic],"")</f>
        <v>SAS : Health and Safety</v>
      </c>
      <c r="F2019" s="5" t="str">
        <f>_xlfn.XLOOKUP(role_course_map[[#This Row],[course_id]],course_data[course_id],course_data[type],"")</f>
        <v>eLearning</v>
      </c>
      <c r="K2019" t="str">
        <f>role_course_map[[#This Row],[role_id]] &amp; "|" &amp; role_course_map[[#This Row],[course_id]]</f>
        <v>R0026|999056</v>
      </c>
      <c r="L2019" t="str">
        <f>IF(COUNTIF(role_course_map[mapping_key],role_course_map[[#This Row],[mapping_key]])&gt;1,"DUPLICATE","OK")</f>
        <v>OK</v>
      </c>
      <c r="M2019" t="str">
        <f>IF(COUNTIF(role_data[role_id],role_course_map[[#This Row],[role_id]])=0, "INVALID","VALID")</f>
        <v>VALID</v>
      </c>
      <c r="N2019" t="str">
        <f>IF(COUNTIF(course_data[course_id],role_course_map[[#This Row],[course_id]])=0, "INVALID","VALID")</f>
        <v>VALID</v>
      </c>
    </row>
    <row r="2020" spans="1:14" x14ac:dyDescent="0.35">
      <c r="A2020" t="s">
        <v>62</v>
      </c>
      <c r="B2020" s="5" t="str">
        <f>_xlfn.XLOOKUP(role_course_map[[#This Row],[role_id]], role_data[role_id], role_data[Role],"")</f>
        <v>Fleet Administrator</v>
      </c>
      <c r="C2020">
        <v>999057</v>
      </c>
      <c r="D2020" s="5" t="str">
        <f>_xlfn.XLOOKUP(role_course_map[[#This Row],[course_id]],course_data[course_id],course_data[title],"")</f>
        <v>Fatigue Awareness</v>
      </c>
      <c r="E2020" s="5" t="str">
        <f>_xlfn.XLOOKUP(role_course_map[[#This Row],[course_id]],course_data[course_id],course_data[topic],"")</f>
        <v>SAS : Health and Safety</v>
      </c>
      <c r="F2020" s="5" t="str">
        <f>_xlfn.XLOOKUP(role_course_map[[#This Row],[course_id]],course_data[course_id],course_data[type],"")</f>
        <v>eLearning</v>
      </c>
      <c r="K2020" t="str">
        <f>role_course_map[[#This Row],[role_id]] &amp; "|" &amp; role_course_map[[#This Row],[course_id]]</f>
        <v>R0026|999057</v>
      </c>
      <c r="L2020" t="str">
        <f>IF(COUNTIF(role_course_map[mapping_key],role_course_map[[#This Row],[mapping_key]])&gt;1,"DUPLICATE","OK")</f>
        <v>OK</v>
      </c>
      <c r="M2020" t="str">
        <f>IF(COUNTIF(role_data[role_id],role_course_map[[#This Row],[role_id]])=0, "INVALID","VALID")</f>
        <v>VALID</v>
      </c>
      <c r="N2020" t="str">
        <f>IF(COUNTIF(course_data[course_id],role_course_map[[#This Row],[course_id]])=0, "INVALID","VALID")</f>
        <v>VALID</v>
      </c>
    </row>
    <row r="2021" spans="1:14" x14ac:dyDescent="0.35">
      <c r="A2021" t="s">
        <v>62</v>
      </c>
      <c r="B2021" s="5" t="str">
        <f>_xlfn.XLOOKUP(role_course_map[[#This Row],[role_id]], role_data[role_id], role_data[Role],"")</f>
        <v>Fleet Administrator</v>
      </c>
      <c r="C2021">
        <v>999058</v>
      </c>
      <c r="D2021" s="5" t="str">
        <f>_xlfn.XLOOKUP(role_course_map[[#This Row],[course_id]],course_data[course_id],course_data[title],"")</f>
        <v>Stress Identification &amp; Stress Management</v>
      </c>
      <c r="E2021" s="5" t="str">
        <f>_xlfn.XLOOKUP(role_course_map[[#This Row],[course_id]],course_data[course_id],course_data[topic],"")</f>
        <v>SAS : Health and Safety</v>
      </c>
      <c r="F2021" s="5" t="str">
        <f>_xlfn.XLOOKUP(role_course_map[[#This Row],[course_id]],course_data[course_id],course_data[type],"")</f>
        <v>eLearning</v>
      </c>
      <c r="K2021" t="str">
        <f>role_course_map[[#This Row],[role_id]] &amp; "|" &amp; role_course_map[[#This Row],[course_id]]</f>
        <v>R0026|999058</v>
      </c>
      <c r="L2021" t="str">
        <f>IF(COUNTIF(role_course_map[mapping_key],role_course_map[[#This Row],[mapping_key]])&gt;1,"DUPLICATE","OK")</f>
        <v>OK</v>
      </c>
      <c r="M2021" t="str">
        <f>IF(COUNTIF(role_data[role_id],role_course_map[[#This Row],[role_id]])=0, "INVALID","VALID")</f>
        <v>VALID</v>
      </c>
      <c r="N2021" t="str">
        <f>IF(COUNTIF(course_data[course_id],role_course_map[[#This Row],[course_id]])=0, "INVALID","VALID")</f>
        <v>VALID</v>
      </c>
    </row>
    <row r="2022" spans="1:14" x14ac:dyDescent="0.35">
      <c r="A2022" t="s">
        <v>62</v>
      </c>
      <c r="B2022" s="5" t="str">
        <f>_xlfn.XLOOKUP(role_course_map[[#This Row],[role_id]], role_data[role_id], role_data[Role],"")</f>
        <v>Fleet Administrator</v>
      </c>
      <c r="C2022">
        <v>999061</v>
      </c>
      <c r="D2022" s="5" t="str">
        <f>_xlfn.XLOOKUP(role_course_map[[#This Row],[course_id]],course_data[course_id],course_data[title],"")</f>
        <v>Skin Awareness</v>
      </c>
      <c r="E2022" s="5" t="str">
        <f>_xlfn.XLOOKUP(role_course_map[[#This Row],[course_id]],course_data[course_id],course_data[topic],"")</f>
        <v>SAS : Health and Safety</v>
      </c>
      <c r="F2022" s="5" t="str">
        <f>_xlfn.XLOOKUP(role_course_map[[#This Row],[course_id]],course_data[course_id],course_data[type],"")</f>
        <v>eLearning</v>
      </c>
      <c r="K2022" t="str">
        <f>role_course_map[[#This Row],[role_id]] &amp; "|" &amp; role_course_map[[#This Row],[course_id]]</f>
        <v>R0026|999061</v>
      </c>
      <c r="L2022" t="str">
        <f>IF(COUNTIF(role_course_map[mapping_key],role_course_map[[#This Row],[mapping_key]])&gt;1,"DUPLICATE","OK")</f>
        <v>OK</v>
      </c>
      <c r="M2022" t="str">
        <f>IF(COUNTIF(role_data[role_id],role_course_map[[#This Row],[role_id]])=0, "INVALID","VALID")</f>
        <v>VALID</v>
      </c>
      <c r="N2022" t="str">
        <f>IF(COUNTIF(course_data[course_id],role_course_map[[#This Row],[course_id]])=0, "INVALID","VALID")</f>
        <v>VALID</v>
      </c>
    </row>
    <row r="2023" spans="1:14" x14ac:dyDescent="0.35">
      <c r="A2023" t="s">
        <v>62</v>
      </c>
      <c r="B2023" s="5" t="str">
        <f>_xlfn.XLOOKUP(role_course_map[[#This Row],[role_id]], role_data[role_id], role_data[Role],"")</f>
        <v>Fleet Administrator</v>
      </c>
      <c r="C2023">
        <v>999041</v>
      </c>
      <c r="D2023" s="5" t="str">
        <f>_xlfn.XLOOKUP(role_course_map[[#This Row],[course_id]],course_data[course_id],course_data[title],"")</f>
        <v>EV (IMI L1) Charging</v>
      </c>
      <c r="E2023" s="5" t="str">
        <f>_xlfn.XLOOKUP(role_course_map[[#This Row],[course_id]],course_data[course_id],course_data[topic],"")</f>
        <v>SAS : Fleet</v>
      </c>
      <c r="F2023" s="5" t="str">
        <f>_xlfn.XLOOKUP(role_course_map[[#This Row],[course_id]],course_data[course_id],course_data[type],"")</f>
        <v>Course</v>
      </c>
      <c r="K2023" t="str">
        <f>role_course_map[[#This Row],[role_id]] &amp; "|" &amp; role_course_map[[#This Row],[course_id]]</f>
        <v>R0026|999041</v>
      </c>
      <c r="L2023" t="str">
        <f>IF(COUNTIF(role_course_map[mapping_key],role_course_map[[#This Row],[mapping_key]])&gt;1,"DUPLICATE","OK")</f>
        <v>OK</v>
      </c>
      <c r="M2023" t="str">
        <f>IF(COUNTIF(role_data[role_id],role_course_map[[#This Row],[role_id]])=0, "INVALID","VALID")</f>
        <v>VALID</v>
      </c>
      <c r="N2023" t="str">
        <f>IF(COUNTIF(course_data[course_id],role_course_map[[#This Row],[course_id]])=0, "INVALID","VALID")</f>
        <v>VALID</v>
      </c>
    </row>
    <row r="2024" spans="1:14" x14ac:dyDescent="0.35">
      <c r="A2024" t="s">
        <v>62</v>
      </c>
      <c r="B2024" s="5" t="str">
        <f>_xlfn.XLOOKUP(role_course_map[[#This Row],[role_id]], role_data[role_id], role_data[Role],"")</f>
        <v>Fleet Administrator</v>
      </c>
      <c r="C2024">
        <v>999094</v>
      </c>
      <c r="D2024" s="5" t="str">
        <f>_xlfn.XLOOKUP(role_course_map[[#This Row],[course_id]],course_data[course_id],course_data[title],"")</f>
        <v>Being well, Mind, Body &amp; Workplace</v>
      </c>
      <c r="E2024" s="5" t="str">
        <f>_xlfn.XLOOKUP(role_course_map[[#This Row],[course_id]],course_data[course_id],course_data[topic],"")</f>
        <v>SAS: Staff development and experience</v>
      </c>
      <c r="F2024" s="5" t="str">
        <f>_xlfn.XLOOKUP(role_course_map[[#This Row],[course_id]],course_data[course_id],course_data[type],"")</f>
        <v>eLearning</v>
      </c>
      <c r="K2024" t="str">
        <f>role_course_map[[#This Row],[role_id]] &amp; "|" &amp; role_course_map[[#This Row],[course_id]]</f>
        <v>R0026|999094</v>
      </c>
      <c r="L2024" t="str">
        <f>IF(COUNTIF(role_course_map[mapping_key],role_course_map[[#This Row],[mapping_key]])&gt;1,"DUPLICATE","OK")</f>
        <v>OK</v>
      </c>
      <c r="M2024" t="str">
        <f>IF(COUNTIF(role_data[role_id],role_course_map[[#This Row],[role_id]])=0, "INVALID","VALID")</f>
        <v>VALID</v>
      </c>
      <c r="N2024" t="str">
        <f>IF(COUNTIF(course_data[course_id],role_course_map[[#This Row],[course_id]])=0, "INVALID","VALID")</f>
        <v>VALID</v>
      </c>
    </row>
    <row r="2025" spans="1:14" x14ac:dyDescent="0.35">
      <c r="A2025" t="s">
        <v>64</v>
      </c>
      <c r="B2025" s="5" t="str">
        <f>_xlfn.XLOOKUP(role_course_map[[#This Row],[role_id]], role_data[role_id], role_data[Role],"")</f>
        <v>Fleet Administrator Higher Level</v>
      </c>
      <c r="C2025">
        <v>999062</v>
      </c>
      <c r="D2025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2025" s="5" t="str">
        <f>_xlfn.XLOOKUP(role_course_map[[#This Row],[course_id]],course_data[course_id],course_data[topic],"")</f>
        <v>SAS : Health and Safety</v>
      </c>
      <c r="F2025" s="5" t="str">
        <f>_xlfn.XLOOKUP(role_course_map[[#This Row],[course_id]],course_data[course_id],course_data[type],"")</f>
        <v>Course</v>
      </c>
      <c r="K2025" t="str">
        <f>role_course_map[[#This Row],[role_id]] &amp; "|" &amp; role_course_map[[#This Row],[course_id]]</f>
        <v>R0027|999062</v>
      </c>
      <c r="L2025" t="str">
        <f>IF(COUNTIF(role_course_map[mapping_key],role_course_map[[#This Row],[mapping_key]])&gt;1,"DUPLICATE","OK")</f>
        <v>OK</v>
      </c>
      <c r="M2025" t="str">
        <f>IF(COUNTIF(role_data[role_id],role_course_map[[#This Row],[role_id]])=0, "INVALID","VALID")</f>
        <v>VALID</v>
      </c>
      <c r="N2025" t="str">
        <f>IF(COUNTIF(course_data[course_id],role_course_map[[#This Row],[course_id]])=0, "INVALID","VALID")</f>
        <v>VALID</v>
      </c>
    </row>
    <row r="2026" spans="1:14" x14ac:dyDescent="0.35">
      <c r="A2026" t="s">
        <v>64</v>
      </c>
      <c r="B2026" s="5" t="str">
        <f>_xlfn.XLOOKUP(role_course_map[[#This Row],[role_id]], role_data[role_id], role_data[Role],"")</f>
        <v>Fleet Administrator Higher Level</v>
      </c>
      <c r="C2026">
        <v>999056</v>
      </c>
      <c r="D2026" s="5" t="str">
        <f>_xlfn.XLOOKUP(role_course_map[[#This Row],[course_id]],course_data[course_id],course_data[title],"")</f>
        <v>Driver Assessment &amp; Training</v>
      </c>
      <c r="E2026" s="5" t="str">
        <f>_xlfn.XLOOKUP(role_course_map[[#This Row],[course_id]],course_data[course_id],course_data[topic],"")</f>
        <v>SAS : Health and Safety</v>
      </c>
      <c r="F2026" s="5" t="str">
        <f>_xlfn.XLOOKUP(role_course_map[[#This Row],[course_id]],course_data[course_id],course_data[type],"")</f>
        <v>eLearning</v>
      </c>
      <c r="K2026" t="str">
        <f>role_course_map[[#This Row],[role_id]] &amp; "|" &amp; role_course_map[[#This Row],[course_id]]</f>
        <v>R0027|999056</v>
      </c>
      <c r="L2026" t="str">
        <f>IF(COUNTIF(role_course_map[mapping_key],role_course_map[[#This Row],[mapping_key]])&gt;1,"DUPLICATE","OK")</f>
        <v>OK</v>
      </c>
      <c r="M2026" t="str">
        <f>IF(COUNTIF(role_data[role_id],role_course_map[[#This Row],[role_id]])=0, "INVALID","VALID")</f>
        <v>VALID</v>
      </c>
      <c r="N2026" t="str">
        <f>IF(COUNTIF(course_data[course_id],role_course_map[[#This Row],[course_id]])=0, "INVALID","VALID")</f>
        <v>VALID</v>
      </c>
    </row>
    <row r="2027" spans="1:14" x14ac:dyDescent="0.35">
      <c r="A2027" t="s">
        <v>64</v>
      </c>
      <c r="B2027" s="5" t="str">
        <f>_xlfn.XLOOKUP(role_course_map[[#This Row],[role_id]], role_data[role_id], role_data[Role],"")</f>
        <v>Fleet Administrator Higher Level</v>
      </c>
      <c r="C2027">
        <v>999057</v>
      </c>
      <c r="D2027" s="5" t="str">
        <f>_xlfn.XLOOKUP(role_course_map[[#This Row],[course_id]],course_data[course_id],course_data[title],"")</f>
        <v>Fatigue Awareness</v>
      </c>
      <c r="E2027" s="5" t="str">
        <f>_xlfn.XLOOKUP(role_course_map[[#This Row],[course_id]],course_data[course_id],course_data[topic],"")</f>
        <v>SAS : Health and Safety</v>
      </c>
      <c r="F2027" s="5" t="str">
        <f>_xlfn.XLOOKUP(role_course_map[[#This Row],[course_id]],course_data[course_id],course_data[type],"")</f>
        <v>eLearning</v>
      </c>
      <c r="K2027" t="str">
        <f>role_course_map[[#This Row],[role_id]] &amp; "|" &amp; role_course_map[[#This Row],[course_id]]</f>
        <v>R0027|999057</v>
      </c>
      <c r="L2027" t="str">
        <f>IF(COUNTIF(role_course_map[mapping_key],role_course_map[[#This Row],[mapping_key]])&gt;1,"DUPLICATE","OK")</f>
        <v>OK</v>
      </c>
      <c r="M2027" t="str">
        <f>IF(COUNTIF(role_data[role_id],role_course_map[[#This Row],[role_id]])=0, "INVALID","VALID")</f>
        <v>VALID</v>
      </c>
      <c r="N2027" t="str">
        <f>IF(COUNTIF(course_data[course_id],role_course_map[[#This Row],[course_id]])=0, "INVALID","VALID")</f>
        <v>VALID</v>
      </c>
    </row>
    <row r="2028" spans="1:14" x14ac:dyDescent="0.35">
      <c r="A2028" t="s">
        <v>64</v>
      </c>
      <c r="B2028" s="5" t="str">
        <f>_xlfn.XLOOKUP(role_course_map[[#This Row],[role_id]], role_data[role_id], role_data[Role],"")</f>
        <v>Fleet Administrator Higher Level</v>
      </c>
      <c r="C2028">
        <v>999058</v>
      </c>
      <c r="D2028" s="5" t="str">
        <f>_xlfn.XLOOKUP(role_course_map[[#This Row],[course_id]],course_data[course_id],course_data[title],"")</f>
        <v>Stress Identification &amp; Stress Management</v>
      </c>
      <c r="E2028" s="5" t="str">
        <f>_xlfn.XLOOKUP(role_course_map[[#This Row],[course_id]],course_data[course_id],course_data[topic],"")</f>
        <v>SAS : Health and Safety</v>
      </c>
      <c r="F2028" s="5" t="str">
        <f>_xlfn.XLOOKUP(role_course_map[[#This Row],[course_id]],course_data[course_id],course_data[type],"")</f>
        <v>eLearning</v>
      </c>
      <c r="K2028" t="str">
        <f>role_course_map[[#This Row],[role_id]] &amp; "|" &amp; role_course_map[[#This Row],[course_id]]</f>
        <v>R0027|999058</v>
      </c>
      <c r="L2028" t="str">
        <f>IF(COUNTIF(role_course_map[mapping_key],role_course_map[[#This Row],[mapping_key]])&gt;1,"DUPLICATE","OK")</f>
        <v>OK</v>
      </c>
      <c r="M2028" t="str">
        <f>IF(COUNTIF(role_data[role_id],role_course_map[[#This Row],[role_id]])=0, "INVALID","VALID")</f>
        <v>VALID</v>
      </c>
      <c r="N2028" t="str">
        <f>IF(COUNTIF(course_data[course_id],role_course_map[[#This Row],[course_id]])=0, "INVALID","VALID")</f>
        <v>VALID</v>
      </c>
    </row>
    <row r="2029" spans="1:14" x14ac:dyDescent="0.35">
      <c r="A2029" t="s">
        <v>64</v>
      </c>
      <c r="B2029" s="5" t="str">
        <f>_xlfn.XLOOKUP(role_course_map[[#This Row],[role_id]], role_data[role_id], role_data[Role],"")</f>
        <v>Fleet Administrator Higher Level</v>
      </c>
      <c r="C2029">
        <v>999061</v>
      </c>
      <c r="D2029" s="5" t="str">
        <f>_xlfn.XLOOKUP(role_course_map[[#This Row],[course_id]],course_data[course_id],course_data[title],"")</f>
        <v>Skin Awareness</v>
      </c>
      <c r="E2029" s="5" t="str">
        <f>_xlfn.XLOOKUP(role_course_map[[#This Row],[course_id]],course_data[course_id],course_data[topic],"")</f>
        <v>SAS : Health and Safety</v>
      </c>
      <c r="F2029" s="5" t="str">
        <f>_xlfn.XLOOKUP(role_course_map[[#This Row],[course_id]],course_data[course_id],course_data[type],"")</f>
        <v>eLearning</v>
      </c>
      <c r="K2029" t="str">
        <f>role_course_map[[#This Row],[role_id]] &amp; "|" &amp; role_course_map[[#This Row],[course_id]]</f>
        <v>R0027|999061</v>
      </c>
      <c r="L2029" t="str">
        <f>IF(COUNTIF(role_course_map[mapping_key],role_course_map[[#This Row],[mapping_key]])&gt;1,"DUPLICATE","OK")</f>
        <v>OK</v>
      </c>
      <c r="M2029" t="str">
        <f>IF(COUNTIF(role_data[role_id],role_course_map[[#This Row],[role_id]])=0, "INVALID","VALID")</f>
        <v>VALID</v>
      </c>
      <c r="N2029" t="str">
        <f>IF(COUNTIF(course_data[course_id],role_course_map[[#This Row],[course_id]])=0, "INVALID","VALID")</f>
        <v>VALID</v>
      </c>
    </row>
    <row r="2030" spans="1:14" x14ac:dyDescent="0.35">
      <c r="A2030" t="s">
        <v>64</v>
      </c>
      <c r="B2030" s="5" t="str">
        <f>_xlfn.XLOOKUP(role_course_map[[#This Row],[role_id]], role_data[role_id], role_data[Role],"")</f>
        <v>Fleet Administrator Higher Level</v>
      </c>
      <c r="C2030">
        <v>999094</v>
      </c>
      <c r="D2030" s="5" t="str">
        <f>_xlfn.XLOOKUP(role_course_map[[#This Row],[course_id]],course_data[course_id],course_data[title],"")</f>
        <v>Being well, Mind, Body &amp; Workplace</v>
      </c>
      <c r="E2030" s="5" t="str">
        <f>_xlfn.XLOOKUP(role_course_map[[#This Row],[course_id]],course_data[course_id],course_data[topic],"")</f>
        <v>SAS: Staff development and experience</v>
      </c>
      <c r="F2030" s="5" t="str">
        <f>_xlfn.XLOOKUP(role_course_map[[#This Row],[course_id]],course_data[course_id],course_data[type],"")</f>
        <v>eLearning</v>
      </c>
      <c r="K2030" t="str">
        <f>role_course_map[[#This Row],[role_id]] &amp; "|" &amp; role_course_map[[#This Row],[course_id]]</f>
        <v>R0027|999094</v>
      </c>
      <c r="L2030" t="str">
        <f>IF(COUNTIF(role_course_map[mapping_key],role_course_map[[#This Row],[mapping_key]])&gt;1,"DUPLICATE","OK")</f>
        <v>OK</v>
      </c>
      <c r="M2030" t="str">
        <f>IF(COUNTIF(role_data[role_id],role_course_map[[#This Row],[role_id]])=0, "INVALID","VALID")</f>
        <v>VALID</v>
      </c>
      <c r="N2030" t="str">
        <f>IF(COUNTIF(course_data[course_id],role_course_map[[#This Row],[course_id]])=0, "INVALID","VALID")</f>
        <v>VALID</v>
      </c>
    </row>
    <row r="2031" spans="1:14" x14ac:dyDescent="0.35">
      <c r="A2031" t="s">
        <v>66</v>
      </c>
      <c r="B2031" s="5" t="str">
        <f>_xlfn.XLOOKUP(role_course_map[[#This Row],[role_id]], role_data[role_id], role_data[Role],"")</f>
        <v>Fleet Manager</v>
      </c>
      <c r="C2031">
        <v>999056</v>
      </c>
      <c r="D2031" s="5" t="str">
        <f>_xlfn.XLOOKUP(role_course_map[[#This Row],[course_id]],course_data[course_id],course_data[title],"")</f>
        <v>Driver Assessment &amp; Training</v>
      </c>
      <c r="E2031" s="5" t="str">
        <f>_xlfn.XLOOKUP(role_course_map[[#This Row],[course_id]],course_data[course_id],course_data[topic],"")</f>
        <v>SAS : Health and Safety</v>
      </c>
      <c r="F2031" s="5" t="str">
        <f>_xlfn.XLOOKUP(role_course_map[[#This Row],[course_id]],course_data[course_id],course_data[type],"")</f>
        <v>eLearning</v>
      </c>
      <c r="K2031" t="str">
        <f>role_course_map[[#This Row],[role_id]] &amp; "|" &amp; role_course_map[[#This Row],[course_id]]</f>
        <v>R0028|999056</v>
      </c>
      <c r="L2031" t="str">
        <f>IF(COUNTIF(role_course_map[mapping_key],role_course_map[[#This Row],[mapping_key]])&gt;1,"DUPLICATE","OK")</f>
        <v>OK</v>
      </c>
      <c r="M2031" t="str">
        <f>IF(COUNTIF(role_data[role_id],role_course_map[[#This Row],[role_id]])=0, "INVALID","VALID")</f>
        <v>VALID</v>
      </c>
      <c r="N2031" t="str">
        <f>IF(COUNTIF(course_data[course_id],role_course_map[[#This Row],[course_id]])=0, "INVALID","VALID")</f>
        <v>VALID</v>
      </c>
    </row>
    <row r="2032" spans="1:14" x14ac:dyDescent="0.35">
      <c r="A2032" t="s">
        <v>66</v>
      </c>
      <c r="B2032" s="5" t="str">
        <f>_xlfn.XLOOKUP(role_course_map[[#This Row],[role_id]], role_data[role_id], role_data[Role],"")</f>
        <v>Fleet Manager</v>
      </c>
      <c r="C2032">
        <v>999057</v>
      </c>
      <c r="D2032" s="5" t="str">
        <f>_xlfn.XLOOKUP(role_course_map[[#This Row],[course_id]],course_data[course_id],course_data[title],"")</f>
        <v>Fatigue Awareness</v>
      </c>
      <c r="E2032" s="5" t="str">
        <f>_xlfn.XLOOKUP(role_course_map[[#This Row],[course_id]],course_data[course_id],course_data[topic],"")</f>
        <v>SAS : Health and Safety</v>
      </c>
      <c r="F2032" s="5" t="str">
        <f>_xlfn.XLOOKUP(role_course_map[[#This Row],[course_id]],course_data[course_id],course_data[type],"")</f>
        <v>eLearning</v>
      </c>
      <c r="K2032" t="str">
        <f>role_course_map[[#This Row],[role_id]] &amp; "|" &amp; role_course_map[[#This Row],[course_id]]</f>
        <v>R0028|999057</v>
      </c>
      <c r="L2032" t="str">
        <f>IF(COUNTIF(role_course_map[mapping_key],role_course_map[[#This Row],[mapping_key]])&gt;1,"DUPLICATE","OK")</f>
        <v>OK</v>
      </c>
      <c r="M2032" t="str">
        <f>IF(COUNTIF(role_data[role_id],role_course_map[[#This Row],[role_id]])=0, "INVALID","VALID")</f>
        <v>VALID</v>
      </c>
      <c r="N2032" t="str">
        <f>IF(COUNTIF(course_data[course_id],role_course_map[[#This Row],[course_id]])=0, "INVALID","VALID")</f>
        <v>VALID</v>
      </c>
    </row>
    <row r="2033" spans="1:14" x14ac:dyDescent="0.35">
      <c r="A2033" t="s">
        <v>66</v>
      </c>
      <c r="B2033" s="5" t="str">
        <f>_xlfn.XLOOKUP(role_course_map[[#This Row],[role_id]], role_data[role_id], role_data[Role],"")</f>
        <v>Fleet Manager</v>
      </c>
      <c r="C2033">
        <v>999058</v>
      </c>
      <c r="D2033" s="5" t="str">
        <f>_xlfn.XLOOKUP(role_course_map[[#This Row],[course_id]],course_data[course_id],course_data[title],"")</f>
        <v>Stress Identification &amp; Stress Management</v>
      </c>
      <c r="E2033" s="5" t="str">
        <f>_xlfn.XLOOKUP(role_course_map[[#This Row],[course_id]],course_data[course_id],course_data[topic],"")</f>
        <v>SAS : Health and Safety</v>
      </c>
      <c r="F2033" s="5" t="str">
        <f>_xlfn.XLOOKUP(role_course_map[[#This Row],[course_id]],course_data[course_id],course_data[type],"")</f>
        <v>eLearning</v>
      </c>
      <c r="K2033" t="str">
        <f>role_course_map[[#This Row],[role_id]] &amp; "|" &amp; role_course_map[[#This Row],[course_id]]</f>
        <v>R0028|999058</v>
      </c>
      <c r="L2033" t="str">
        <f>IF(COUNTIF(role_course_map[mapping_key],role_course_map[[#This Row],[mapping_key]])&gt;1,"DUPLICATE","OK")</f>
        <v>OK</v>
      </c>
      <c r="M2033" t="str">
        <f>IF(COUNTIF(role_data[role_id],role_course_map[[#This Row],[role_id]])=0, "INVALID","VALID")</f>
        <v>VALID</v>
      </c>
      <c r="N2033" t="str">
        <f>IF(COUNTIF(course_data[course_id],role_course_map[[#This Row],[course_id]])=0, "INVALID","VALID")</f>
        <v>VALID</v>
      </c>
    </row>
    <row r="2034" spans="1:14" x14ac:dyDescent="0.35">
      <c r="A2034" t="s">
        <v>66</v>
      </c>
      <c r="B2034" s="5" t="str">
        <f>_xlfn.XLOOKUP(role_course_map[[#This Row],[role_id]], role_data[role_id], role_data[Role],"")</f>
        <v>Fleet Manager</v>
      </c>
      <c r="C2034">
        <v>999061</v>
      </c>
      <c r="D2034" s="5" t="str">
        <f>_xlfn.XLOOKUP(role_course_map[[#This Row],[course_id]],course_data[course_id],course_data[title],"")</f>
        <v>Skin Awareness</v>
      </c>
      <c r="E2034" s="5" t="str">
        <f>_xlfn.XLOOKUP(role_course_map[[#This Row],[course_id]],course_data[course_id],course_data[topic],"")</f>
        <v>SAS : Health and Safety</v>
      </c>
      <c r="F2034" s="5" t="str">
        <f>_xlfn.XLOOKUP(role_course_map[[#This Row],[course_id]],course_data[course_id],course_data[type],"")</f>
        <v>eLearning</v>
      </c>
      <c r="K2034" t="str">
        <f>role_course_map[[#This Row],[role_id]] &amp; "|" &amp; role_course_map[[#This Row],[course_id]]</f>
        <v>R0028|999061</v>
      </c>
      <c r="L2034" t="str">
        <f>IF(COUNTIF(role_course_map[mapping_key],role_course_map[[#This Row],[mapping_key]])&gt;1,"DUPLICATE","OK")</f>
        <v>OK</v>
      </c>
      <c r="M2034" t="str">
        <f>IF(COUNTIF(role_data[role_id],role_course_map[[#This Row],[role_id]])=0, "INVALID","VALID")</f>
        <v>VALID</v>
      </c>
      <c r="N2034" t="str">
        <f>IF(COUNTIF(course_data[course_id],role_course_map[[#This Row],[course_id]])=0, "INVALID","VALID")</f>
        <v>VALID</v>
      </c>
    </row>
    <row r="2035" spans="1:14" x14ac:dyDescent="0.35">
      <c r="A2035" t="s">
        <v>66</v>
      </c>
      <c r="B2035" s="5" t="str">
        <f>_xlfn.XLOOKUP(role_course_map[[#This Row],[role_id]], role_data[role_id], role_data[Role],"")</f>
        <v>Fleet Manager</v>
      </c>
      <c r="C2035">
        <v>999062</v>
      </c>
      <c r="D2035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2035" s="5" t="str">
        <f>_xlfn.XLOOKUP(role_course_map[[#This Row],[course_id]],course_data[course_id],course_data[topic],"")</f>
        <v>SAS : Health and Safety</v>
      </c>
      <c r="F2035" s="5" t="str">
        <f>_xlfn.XLOOKUP(role_course_map[[#This Row],[course_id]],course_data[course_id],course_data[type],"")</f>
        <v>Course</v>
      </c>
      <c r="K2035" t="str">
        <f>role_course_map[[#This Row],[role_id]] &amp; "|" &amp; role_course_map[[#This Row],[course_id]]</f>
        <v>R0028|999062</v>
      </c>
      <c r="L2035" t="str">
        <f>IF(COUNTIF(role_course_map[mapping_key],role_course_map[[#This Row],[mapping_key]])&gt;1,"DUPLICATE","OK")</f>
        <v>OK</v>
      </c>
      <c r="M2035" t="str">
        <f>IF(COUNTIF(role_data[role_id],role_course_map[[#This Row],[role_id]])=0, "INVALID","VALID")</f>
        <v>VALID</v>
      </c>
      <c r="N2035" t="str">
        <f>IF(COUNTIF(course_data[course_id],role_course_map[[#This Row],[course_id]])=0, "INVALID","VALID")</f>
        <v>VALID</v>
      </c>
    </row>
    <row r="2036" spans="1:14" x14ac:dyDescent="0.35">
      <c r="A2036" t="s">
        <v>66</v>
      </c>
      <c r="B2036" s="5" t="str">
        <f>_xlfn.XLOOKUP(role_course_map[[#This Row],[role_id]], role_data[role_id], role_data[Role],"")</f>
        <v>Fleet Manager</v>
      </c>
      <c r="C2036">
        <v>999094</v>
      </c>
      <c r="D2036" s="5" t="str">
        <f>_xlfn.XLOOKUP(role_course_map[[#This Row],[course_id]],course_data[course_id],course_data[title],"")</f>
        <v>Being well, Mind, Body &amp; Workplace</v>
      </c>
      <c r="E2036" s="5" t="str">
        <f>_xlfn.XLOOKUP(role_course_map[[#This Row],[course_id]],course_data[course_id],course_data[topic],"")</f>
        <v>SAS: Staff development and experience</v>
      </c>
      <c r="F2036" s="5" t="str">
        <f>_xlfn.XLOOKUP(role_course_map[[#This Row],[course_id]],course_data[course_id],course_data[type],"")</f>
        <v>eLearning</v>
      </c>
      <c r="K2036" t="str">
        <f>role_course_map[[#This Row],[role_id]] &amp; "|" &amp; role_course_map[[#This Row],[course_id]]</f>
        <v>R0028|999094</v>
      </c>
      <c r="L2036" t="str">
        <f>IF(COUNTIF(role_course_map[mapping_key],role_course_map[[#This Row],[mapping_key]])&gt;1,"DUPLICATE","OK")</f>
        <v>OK</v>
      </c>
      <c r="M2036" t="str">
        <f>IF(COUNTIF(role_data[role_id],role_course_map[[#This Row],[role_id]])=0, "INVALID","VALID")</f>
        <v>VALID</v>
      </c>
      <c r="N2036" t="str">
        <f>IF(COUNTIF(course_data[course_id],role_course_map[[#This Row],[course_id]])=0, "INVALID","VALID")</f>
        <v>VALID</v>
      </c>
    </row>
    <row r="2037" spans="1:14" x14ac:dyDescent="0.35">
      <c r="A2037" t="s">
        <v>68</v>
      </c>
      <c r="B2037" s="5" t="str">
        <f>_xlfn.XLOOKUP(role_course_map[[#This Row],[role_id]], role_data[role_id], role_data[Role],"")</f>
        <v>Fleet Senior Management</v>
      </c>
      <c r="C2037">
        <v>999056</v>
      </c>
      <c r="D2037" s="5" t="str">
        <f>_xlfn.XLOOKUP(role_course_map[[#This Row],[course_id]],course_data[course_id],course_data[title],"")</f>
        <v>Driver Assessment &amp; Training</v>
      </c>
      <c r="E2037" s="5" t="str">
        <f>_xlfn.XLOOKUP(role_course_map[[#This Row],[course_id]],course_data[course_id],course_data[topic],"")</f>
        <v>SAS : Health and Safety</v>
      </c>
      <c r="F2037" s="5" t="str">
        <f>_xlfn.XLOOKUP(role_course_map[[#This Row],[course_id]],course_data[course_id],course_data[type],"")</f>
        <v>eLearning</v>
      </c>
      <c r="K2037" t="str">
        <f>role_course_map[[#This Row],[role_id]] &amp; "|" &amp; role_course_map[[#This Row],[course_id]]</f>
        <v>R0029|999056</v>
      </c>
      <c r="L2037" t="str">
        <f>IF(COUNTIF(role_course_map[mapping_key],role_course_map[[#This Row],[mapping_key]])&gt;1,"DUPLICATE","OK")</f>
        <v>OK</v>
      </c>
      <c r="M2037" t="str">
        <f>IF(COUNTIF(role_data[role_id],role_course_map[[#This Row],[role_id]])=0, "INVALID","VALID")</f>
        <v>VALID</v>
      </c>
      <c r="N2037" t="str">
        <f>IF(COUNTIF(course_data[course_id],role_course_map[[#This Row],[course_id]])=0, "INVALID","VALID")</f>
        <v>VALID</v>
      </c>
    </row>
    <row r="2038" spans="1:14" x14ac:dyDescent="0.35">
      <c r="A2038" t="s">
        <v>68</v>
      </c>
      <c r="B2038" s="5" t="str">
        <f>_xlfn.XLOOKUP(role_course_map[[#This Row],[role_id]], role_data[role_id], role_data[Role],"")</f>
        <v>Fleet Senior Management</v>
      </c>
      <c r="C2038">
        <v>999057</v>
      </c>
      <c r="D2038" s="5" t="str">
        <f>_xlfn.XLOOKUP(role_course_map[[#This Row],[course_id]],course_data[course_id],course_data[title],"")</f>
        <v>Fatigue Awareness</v>
      </c>
      <c r="E2038" s="5" t="str">
        <f>_xlfn.XLOOKUP(role_course_map[[#This Row],[course_id]],course_data[course_id],course_data[topic],"")</f>
        <v>SAS : Health and Safety</v>
      </c>
      <c r="F2038" s="5" t="str">
        <f>_xlfn.XLOOKUP(role_course_map[[#This Row],[course_id]],course_data[course_id],course_data[type],"")</f>
        <v>eLearning</v>
      </c>
      <c r="K2038" t="str">
        <f>role_course_map[[#This Row],[role_id]] &amp; "|" &amp; role_course_map[[#This Row],[course_id]]</f>
        <v>R0029|999057</v>
      </c>
      <c r="L2038" t="str">
        <f>IF(COUNTIF(role_course_map[mapping_key],role_course_map[[#This Row],[mapping_key]])&gt;1,"DUPLICATE","OK")</f>
        <v>OK</v>
      </c>
      <c r="M2038" t="str">
        <f>IF(COUNTIF(role_data[role_id],role_course_map[[#This Row],[role_id]])=0, "INVALID","VALID")</f>
        <v>VALID</v>
      </c>
      <c r="N2038" t="str">
        <f>IF(COUNTIF(course_data[course_id],role_course_map[[#This Row],[course_id]])=0, "INVALID","VALID")</f>
        <v>VALID</v>
      </c>
    </row>
    <row r="2039" spans="1:14" x14ac:dyDescent="0.35">
      <c r="A2039" t="s">
        <v>68</v>
      </c>
      <c r="B2039" s="5" t="str">
        <f>_xlfn.XLOOKUP(role_course_map[[#This Row],[role_id]], role_data[role_id], role_data[Role],"")</f>
        <v>Fleet Senior Management</v>
      </c>
      <c r="C2039">
        <v>999058</v>
      </c>
      <c r="D2039" s="5" t="str">
        <f>_xlfn.XLOOKUP(role_course_map[[#This Row],[course_id]],course_data[course_id],course_data[title],"")</f>
        <v>Stress Identification &amp; Stress Management</v>
      </c>
      <c r="E2039" s="5" t="str">
        <f>_xlfn.XLOOKUP(role_course_map[[#This Row],[course_id]],course_data[course_id],course_data[topic],"")</f>
        <v>SAS : Health and Safety</v>
      </c>
      <c r="F2039" s="5" t="str">
        <f>_xlfn.XLOOKUP(role_course_map[[#This Row],[course_id]],course_data[course_id],course_data[type],"")</f>
        <v>eLearning</v>
      </c>
      <c r="K2039" t="str">
        <f>role_course_map[[#This Row],[role_id]] &amp; "|" &amp; role_course_map[[#This Row],[course_id]]</f>
        <v>R0029|999058</v>
      </c>
      <c r="L2039" t="str">
        <f>IF(COUNTIF(role_course_map[mapping_key],role_course_map[[#This Row],[mapping_key]])&gt;1,"DUPLICATE","OK")</f>
        <v>OK</v>
      </c>
      <c r="M2039" t="str">
        <f>IF(COUNTIF(role_data[role_id],role_course_map[[#This Row],[role_id]])=0, "INVALID","VALID")</f>
        <v>VALID</v>
      </c>
      <c r="N2039" t="str">
        <f>IF(COUNTIF(course_data[course_id],role_course_map[[#This Row],[course_id]])=0, "INVALID","VALID")</f>
        <v>VALID</v>
      </c>
    </row>
    <row r="2040" spans="1:14" x14ac:dyDescent="0.35">
      <c r="A2040" t="s">
        <v>68</v>
      </c>
      <c r="B2040" s="5" t="str">
        <f>_xlfn.XLOOKUP(role_course_map[[#This Row],[role_id]], role_data[role_id], role_data[Role],"")</f>
        <v>Fleet Senior Management</v>
      </c>
      <c r="C2040">
        <v>999061</v>
      </c>
      <c r="D2040" s="5" t="str">
        <f>_xlfn.XLOOKUP(role_course_map[[#This Row],[course_id]],course_data[course_id],course_data[title],"")</f>
        <v>Skin Awareness</v>
      </c>
      <c r="E2040" s="5" t="str">
        <f>_xlfn.XLOOKUP(role_course_map[[#This Row],[course_id]],course_data[course_id],course_data[topic],"")</f>
        <v>SAS : Health and Safety</v>
      </c>
      <c r="F2040" s="5" t="str">
        <f>_xlfn.XLOOKUP(role_course_map[[#This Row],[course_id]],course_data[course_id],course_data[type],"")</f>
        <v>eLearning</v>
      </c>
      <c r="K2040" t="str">
        <f>role_course_map[[#This Row],[role_id]] &amp; "|" &amp; role_course_map[[#This Row],[course_id]]</f>
        <v>R0029|999061</v>
      </c>
      <c r="L2040" t="str">
        <f>IF(COUNTIF(role_course_map[mapping_key],role_course_map[[#This Row],[mapping_key]])&gt;1,"DUPLICATE","OK")</f>
        <v>OK</v>
      </c>
      <c r="M2040" t="str">
        <f>IF(COUNTIF(role_data[role_id],role_course_map[[#This Row],[role_id]])=0, "INVALID","VALID")</f>
        <v>VALID</v>
      </c>
      <c r="N2040" t="str">
        <f>IF(COUNTIF(course_data[course_id],role_course_map[[#This Row],[course_id]])=0, "INVALID","VALID")</f>
        <v>VALID</v>
      </c>
    </row>
    <row r="2041" spans="1:14" x14ac:dyDescent="0.35">
      <c r="A2041" t="s">
        <v>68</v>
      </c>
      <c r="B2041" s="5" t="str">
        <f>_xlfn.XLOOKUP(role_course_map[[#This Row],[role_id]], role_data[role_id], role_data[Role],"")</f>
        <v>Fleet Senior Management</v>
      </c>
      <c r="C2041">
        <v>999094</v>
      </c>
      <c r="D2041" s="5" t="str">
        <f>_xlfn.XLOOKUP(role_course_map[[#This Row],[course_id]],course_data[course_id],course_data[title],"")</f>
        <v>Being well, Mind, Body &amp; Workplace</v>
      </c>
      <c r="E2041" s="5" t="str">
        <f>_xlfn.XLOOKUP(role_course_map[[#This Row],[course_id]],course_data[course_id],course_data[topic],"")</f>
        <v>SAS: Staff development and experience</v>
      </c>
      <c r="F2041" s="5" t="str">
        <f>_xlfn.XLOOKUP(role_course_map[[#This Row],[course_id]],course_data[course_id],course_data[type],"")</f>
        <v>eLearning</v>
      </c>
      <c r="K2041" t="str">
        <f>role_course_map[[#This Row],[role_id]] &amp; "|" &amp; role_course_map[[#This Row],[course_id]]</f>
        <v>R0029|999094</v>
      </c>
      <c r="L2041" t="str">
        <f>IF(COUNTIF(role_course_map[mapping_key],role_course_map[[#This Row],[mapping_key]])&gt;1,"DUPLICATE","OK")</f>
        <v>OK</v>
      </c>
      <c r="M2041" t="str">
        <f>IF(COUNTIF(role_data[role_id],role_course_map[[#This Row],[role_id]])=0, "INVALID","VALID")</f>
        <v>VALID</v>
      </c>
      <c r="N2041" t="str">
        <f>IF(COUNTIF(course_data[course_id],role_course_map[[#This Row],[course_id]])=0, "INVALID","VALID")</f>
        <v>VALID</v>
      </c>
    </row>
    <row r="2042" spans="1:14" x14ac:dyDescent="0.35">
      <c r="A2042" t="s">
        <v>70</v>
      </c>
      <c r="B2042" s="5" t="str">
        <f>_xlfn.XLOOKUP(role_course_map[[#This Row],[role_id]], role_data[role_id], role_data[Role],"")</f>
        <v>Fleet Supervisor</v>
      </c>
      <c r="C2042">
        <v>999056</v>
      </c>
      <c r="D2042" s="5" t="str">
        <f>_xlfn.XLOOKUP(role_course_map[[#This Row],[course_id]],course_data[course_id],course_data[title],"")</f>
        <v>Driver Assessment &amp; Training</v>
      </c>
      <c r="E2042" s="5" t="str">
        <f>_xlfn.XLOOKUP(role_course_map[[#This Row],[course_id]],course_data[course_id],course_data[topic],"")</f>
        <v>SAS : Health and Safety</v>
      </c>
      <c r="F2042" s="5" t="str">
        <f>_xlfn.XLOOKUP(role_course_map[[#This Row],[course_id]],course_data[course_id],course_data[type],"")</f>
        <v>eLearning</v>
      </c>
      <c r="K2042" t="str">
        <f>role_course_map[[#This Row],[role_id]] &amp; "|" &amp; role_course_map[[#This Row],[course_id]]</f>
        <v>R0030|999056</v>
      </c>
      <c r="L2042" t="str">
        <f>IF(COUNTIF(role_course_map[mapping_key],role_course_map[[#This Row],[mapping_key]])&gt;1,"DUPLICATE","OK")</f>
        <v>OK</v>
      </c>
      <c r="M2042" t="str">
        <f>IF(COUNTIF(role_data[role_id],role_course_map[[#This Row],[role_id]])=0, "INVALID","VALID")</f>
        <v>VALID</v>
      </c>
      <c r="N2042" t="str">
        <f>IF(COUNTIF(course_data[course_id],role_course_map[[#This Row],[course_id]])=0, "INVALID","VALID")</f>
        <v>VALID</v>
      </c>
    </row>
    <row r="2043" spans="1:14" x14ac:dyDescent="0.35">
      <c r="A2043" t="s">
        <v>70</v>
      </c>
      <c r="B2043" s="5" t="str">
        <f>_xlfn.XLOOKUP(role_course_map[[#This Row],[role_id]], role_data[role_id], role_data[Role],"")</f>
        <v>Fleet Supervisor</v>
      </c>
      <c r="C2043">
        <v>999057</v>
      </c>
      <c r="D2043" s="5" t="str">
        <f>_xlfn.XLOOKUP(role_course_map[[#This Row],[course_id]],course_data[course_id],course_data[title],"")</f>
        <v>Fatigue Awareness</v>
      </c>
      <c r="E2043" s="5" t="str">
        <f>_xlfn.XLOOKUP(role_course_map[[#This Row],[course_id]],course_data[course_id],course_data[topic],"")</f>
        <v>SAS : Health and Safety</v>
      </c>
      <c r="F2043" s="5" t="str">
        <f>_xlfn.XLOOKUP(role_course_map[[#This Row],[course_id]],course_data[course_id],course_data[type],"")</f>
        <v>eLearning</v>
      </c>
      <c r="K2043" t="str">
        <f>role_course_map[[#This Row],[role_id]] &amp; "|" &amp; role_course_map[[#This Row],[course_id]]</f>
        <v>R0030|999057</v>
      </c>
      <c r="L2043" t="str">
        <f>IF(COUNTIF(role_course_map[mapping_key],role_course_map[[#This Row],[mapping_key]])&gt;1,"DUPLICATE","OK")</f>
        <v>OK</v>
      </c>
      <c r="M2043" t="str">
        <f>IF(COUNTIF(role_data[role_id],role_course_map[[#This Row],[role_id]])=0, "INVALID","VALID")</f>
        <v>VALID</v>
      </c>
      <c r="N2043" t="str">
        <f>IF(COUNTIF(course_data[course_id],role_course_map[[#This Row],[course_id]])=0, "INVALID","VALID")</f>
        <v>VALID</v>
      </c>
    </row>
    <row r="2044" spans="1:14" x14ac:dyDescent="0.35">
      <c r="A2044" t="s">
        <v>70</v>
      </c>
      <c r="B2044" s="5" t="str">
        <f>_xlfn.XLOOKUP(role_course_map[[#This Row],[role_id]], role_data[role_id], role_data[Role],"")</f>
        <v>Fleet Supervisor</v>
      </c>
      <c r="C2044">
        <v>999058</v>
      </c>
      <c r="D2044" s="5" t="str">
        <f>_xlfn.XLOOKUP(role_course_map[[#This Row],[course_id]],course_data[course_id],course_data[title],"")</f>
        <v>Stress Identification &amp; Stress Management</v>
      </c>
      <c r="E2044" s="5" t="str">
        <f>_xlfn.XLOOKUP(role_course_map[[#This Row],[course_id]],course_data[course_id],course_data[topic],"")</f>
        <v>SAS : Health and Safety</v>
      </c>
      <c r="F2044" s="5" t="str">
        <f>_xlfn.XLOOKUP(role_course_map[[#This Row],[course_id]],course_data[course_id],course_data[type],"")</f>
        <v>eLearning</v>
      </c>
      <c r="K2044" t="str">
        <f>role_course_map[[#This Row],[role_id]] &amp; "|" &amp; role_course_map[[#This Row],[course_id]]</f>
        <v>R0030|999058</v>
      </c>
      <c r="L2044" t="str">
        <f>IF(COUNTIF(role_course_map[mapping_key],role_course_map[[#This Row],[mapping_key]])&gt;1,"DUPLICATE","OK")</f>
        <v>OK</v>
      </c>
      <c r="M2044" t="str">
        <f>IF(COUNTIF(role_data[role_id],role_course_map[[#This Row],[role_id]])=0, "INVALID","VALID")</f>
        <v>VALID</v>
      </c>
      <c r="N2044" t="str">
        <f>IF(COUNTIF(course_data[course_id],role_course_map[[#This Row],[course_id]])=0, "INVALID","VALID")</f>
        <v>VALID</v>
      </c>
    </row>
    <row r="2045" spans="1:14" x14ac:dyDescent="0.35">
      <c r="A2045" t="s">
        <v>70</v>
      </c>
      <c r="B2045" s="5" t="str">
        <f>_xlfn.XLOOKUP(role_course_map[[#This Row],[role_id]], role_data[role_id], role_data[Role],"")</f>
        <v>Fleet Supervisor</v>
      </c>
      <c r="C2045">
        <v>999061</v>
      </c>
      <c r="D2045" s="5" t="str">
        <f>_xlfn.XLOOKUP(role_course_map[[#This Row],[course_id]],course_data[course_id],course_data[title],"")</f>
        <v>Skin Awareness</v>
      </c>
      <c r="E2045" s="5" t="str">
        <f>_xlfn.XLOOKUP(role_course_map[[#This Row],[course_id]],course_data[course_id],course_data[topic],"")</f>
        <v>SAS : Health and Safety</v>
      </c>
      <c r="F2045" s="5" t="str">
        <f>_xlfn.XLOOKUP(role_course_map[[#This Row],[course_id]],course_data[course_id],course_data[type],"")</f>
        <v>eLearning</v>
      </c>
      <c r="K2045" t="str">
        <f>role_course_map[[#This Row],[role_id]] &amp; "|" &amp; role_course_map[[#This Row],[course_id]]</f>
        <v>R0030|999061</v>
      </c>
      <c r="L2045" t="str">
        <f>IF(COUNTIF(role_course_map[mapping_key],role_course_map[[#This Row],[mapping_key]])&gt;1,"DUPLICATE","OK")</f>
        <v>OK</v>
      </c>
      <c r="M2045" t="str">
        <f>IF(COUNTIF(role_data[role_id],role_course_map[[#This Row],[role_id]])=0, "INVALID","VALID")</f>
        <v>VALID</v>
      </c>
      <c r="N2045" t="str">
        <f>IF(COUNTIF(course_data[course_id],role_course_map[[#This Row],[course_id]])=0, "INVALID","VALID")</f>
        <v>VALID</v>
      </c>
    </row>
    <row r="2046" spans="1:14" x14ac:dyDescent="0.35">
      <c r="A2046" t="s">
        <v>70</v>
      </c>
      <c r="B2046" s="5" t="str">
        <f>_xlfn.XLOOKUP(role_course_map[[#This Row],[role_id]], role_data[role_id], role_data[Role],"")</f>
        <v>Fleet Supervisor</v>
      </c>
      <c r="C2046">
        <v>999041</v>
      </c>
      <c r="D2046" s="5" t="str">
        <f>_xlfn.XLOOKUP(role_course_map[[#This Row],[course_id]],course_data[course_id],course_data[title],"")</f>
        <v>EV (IMI L1) Charging</v>
      </c>
      <c r="E2046" s="5" t="str">
        <f>_xlfn.XLOOKUP(role_course_map[[#This Row],[course_id]],course_data[course_id],course_data[topic],"")</f>
        <v>SAS : Fleet</v>
      </c>
      <c r="F2046" s="5" t="str">
        <f>_xlfn.XLOOKUP(role_course_map[[#This Row],[course_id]],course_data[course_id],course_data[type],"")</f>
        <v>Course</v>
      </c>
      <c r="K2046" t="str">
        <f>role_course_map[[#This Row],[role_id]] &amp; "|" &amp; role_course_map[[#This Row],[course_id]]</f>
        <v>R0030|999041</v>
      </c>
      <c r="L2046" t="str">
        <f>IF(COUNTIF(role_course_map[mapping_key],role_course_map[[#This Row],[mapping_key]])&gt;1,"DUPLICATE","OK")</f>
        <v>OK</v>
      </c>
      <c r="M2046" t="str">
        <f>IF(COUNTIF(role_data[role_id],role_course_map[[#This Row],[role_id]])=0, "INVALID","VALID")</f>
        <v>VALID</v>
      </c>
      <c r="N2046" t="str">
        <f>IF(COUNTIF(course_data[course_id],role_course_map[[#This Row],[course_id]])=0, "INVALID","VALID")</f>
        <v>VALID</v>
      </c>
    </row>
    <row r="2047" spans="1:14" x14ac:dyDescent="0.35">
      <c r="A2047" t="s">
        <v>70</v>
      </c>
      <c r="B2047" s="5" t="str">
        <f>_xlfn.XLOOKUP(role_course_map[[#This Row],[role_id]], role_data[role_id], role_data[Role],"")</f>
        <v>Fleet Supervisor</v>
      </c>
      <c r="C2047">
        <v>999092</v>
      </c>
      <c r="D2047" s="5" t="str">
        <f>_xlfn.XLOOKUP(role_course_map[[#This Row],[course_id]],course_data[course_id],course_data[title],"")</f>
        <v>Health &amp; Wellbeing Awareness for Managers</v>
      </c>
      <c r="E2047" s="5" t="str">
        <f>_xlfn.XLOOKUP(role_course_map[[#This Row],[course_id]],course_data[course_id],course_data[topic],"")</f>
        <v>SAS: Staff development and experience</v>
      </c>
      <c r="F2047" s="5" t="str">
        <f>_xlfn.XLOOKUP(role_course_map[[#This Row],[course_id]],course_data[course_id],course_data[type],"")</f>
        <v>eLearning</v>
      </c>
      <c r="K2047" t="str">
        <f>role_course_map[[#This Row],[role_id]] &amp; "|" &amp; role_course_map[[#This Row],[course_id]]</f>
        <v>R0030|999092</v>
      </c>
      <c r="L2047" t="str">
        <f>IF(COUNTIF(role_course_map[mapping_key],role_course_map[[#This Row],[mapping_key]])&gt;1,"DUPLICATE","OK")</f>
        <v>OK</v>
      </c>
      <c r="M2047" t="str">
        <f>IF(COUNTIF(role_data[role_id],role_course_map[[#This Row],[role_id]])=0, "INVALID","VALID")</f>
        <v>VALID</v>
      </c>
      <c r="N2047" t="str">
        <f>IF(COUNTIF(course_data[course_id],role_course_map[[#This Row],[course_id]])=0, "INVALID","VALID")</f>
        <v>VALID</v>
      </c>
    </row>
    <row r="2048" spans="1:14" x14ac:dyDescent="0.35">
      <c r="A2048" t="s">
        <v>70</v>
      </c>
      <c r="B2048" s="5" t="str">
        <f>_xlfn.XLOOKUP(role_course_map[[#This Row],[role_id]], role_data[role_id], role_data[Role],"")</f>
        <v>Fleet Supervisor</v>
      </c>
      <c r="C2048">
        <v>999093</v>
      </c>
      <c r="D2048" s="5" t="str">
        <f>_xlfn.XLOOKUP(role_course_map[[#This Row],[course_id]],course_data[course_id],course_data[title],"")</f>
        <v>Managing Wellbeing Refresher for Managers</v>
      </c>
      <c r="E2048" s="5" t="str">
        <f>_xlfn.XLOOKUP(role_course_map[[#This Row],[course_id]],course_data[course_id],course_data[topic],"")</f>
        <v>SAS: Staff development and experience</v>
      </c>
      <c r="F2048" s="5" t="str">
        <f>_xlfn.XLOOKUP(role_course_map[[#This Row],[course_id]],course_data[course_id],course_data[type],"")</f>
        <v>eLearning</v>
      </c>
      <c r="K2048" t="str">
        <f>role_course_map[[#This Row],[role_id]] &amp; "|" &amp; role_course_map[[#This Row],[course_id]]</f>
        <v>R0030|999093</v>
      </c>
      <c r="L2048" t="str">
        <f>IF(COUNTIF(role_course_map[mapping_key],role_course_map[[#This Row],[mapping_key]])&gt;1,"DUPLICATE","OK")</f>
        <v>OK</v>
      </c>
      <c r="M2048" t="str">
        <f>IF(COUNTIF(role_data[role_id],role_course_map[[#This Row],[role_id]])=0, "INVALID","VALID")</f>
        <v>VALID</v>
      </c>
      <c r="N2048" t="str">
        <f>IF(COUNTIF(course_data[course_id],role_course_map[[#This Row],[course_id]])=0, "INVALID","VALID")</f>
        <v>VALID</v>
      </c>
    </row>
    <row r="2049" spans="1:14" x14ac:dyDescent="0.35">
      <c r="A2049" t="s">
        <v>70</v>
      </c>
      <c r="B2049" s="5" t="str">
        <f>_xlfn.XLOOKUP(role_course_map[[#This Row],[role_id]], role_data[role_id], role_data[Role],"")</f>
        <v>Fleet Supervisor</v>
      </c>
      <c r="C2049">
        <v>999094</v>
      </c>
      <c r="D2049" s="5" t="str">
        <f>_xlfn.XLOOKUP(role_course_map[[#This Row],[course_id]],course_data[course_id],course_data[title],"")</f>
        <v>Being well, Mind, Body &amp; Workplace</v>
      </c>
      <c r="E2049" s="5" t="str">
        <f>_xlfn.XLOOKUP(role_course_map[[#This Row],[course_id]],course_data[course_id],course_data[topic],"")</f>
        <v>SAS: Staff development and experience</v>
      </c>
      <c r="F2049" s="5" t="str">
        <f>_xlfn.XLOOKUP(role_course_map[[#This Row],[course_id]],course_data[course_id],course_data[type],"")</f>
        <v>eLearning</v>
      </c>
      <c r="K2049" t="str">
        <f>role_course_map[[#This Row],[role_id]] &amp; "|" &amp; role_course_map[[#This Row],[course_id]]</f>
        <v>R0030|999094</v>
      </c>
      <c r="L2049" t="str">
        <f>IF(COUNTIF(role_course_map[mapping_key],role_course_map[[#This Row],[mapping_key]])&gt;1,"DUPLICATE","OK")</f>
        <v>OK</v>
      </c>
      <c r="M2049" t="str">
        <f>IF(COUNTIF(role_data[role_id],role_course_map[[#This Row],[role_id]])=0, "INVALID","VALID")</f>
        <v>VALID</v>
      </c>
      <c r="N2049" t="str">
        <f>IF(COUNTIF(course_data[course_id],role_course_map[[#This Row],[course_id]])=0, "INVALID","VALID")</f>
        <v>VALID</v>
      </c>
    </row>
    <row r="2050" spans="1:14" x14ac:dyDescent="0.35">
      <c r="A2050" t="s">
        <v>74</v>
      </c>
      <c r="B2050" s="5" t="str">
        <f>_xlfn.XLOOKUP(role_course_map[[#This Row],[role_id]], role_data[role_id], role_data[Role],"")</f>
        <v>Fleet Systems and Administration Manager</v>
      </c>
      <c r="C2050">
        <v>999056</v>
      </c>
      <c r="D2050" s="5" t="str">
        <f>_xlfn.XLOOKUP(role_course_map[[#This Row],[course_id]],course_data[course_id],course_data[title],"")</f>
        <v>Driver Assessment &amp; Training</v>
      </c>
      <c r="E2050" s="5" t="str">
        <f>_xlfn.XLOOKUP(role_course_map[[#This Row],[course_id]],course_data[course_id],course_data[topic],"")</f>
        <v>SAS : Health and Safety</v>
      </c>
      <c r="F2050" s="5" t="str">
        <f>_xlfn.XLOOKUP(role_course_map[[#This Row],[course_id]],course_data[course_id],course_data[type],"")</f>
        <v>eLearning</v>
      </c>
      <c r="K2050" t="str">
        <f>role_course_map[[#This Row],[role_id]] &amp; "|" &amp; role_course_map[[#This Row],[course_id]]</f>
        <v>R0032|999056</v>
      </c>
      <c r="L2050" t="str">
        <f>IF(COUNTIF(role_course_map[mapping_key],role_course_map[[#This Row],[mapping_key]])&gt;1,"DUPLICATE","OK")</f>
        <v>OK</v>
      </c>
      <c r="M2050" t="str">
        <f>IF(COUNTIF(role_data[role_id],role_course_map[[#This Row],[role_id]])=0, "INVALID","VALID")</f>
        <v>VALID</v>
      </c>
      <c r="N2050" t="str">
        <f>IF(COUNTIF(course_data[course_id],role_course_map[[#This Row],[course_id]])=0, "INVALID","VALID")</f>
        <v>VALID</v>
      </c>
    </row>
    <row r="2051" spans="1:14" x14ac:dyDescent="0.35">
      <c r="A2051" t="s">
        <v>74</v>
      </c>
      <c r="B2051" s="5" t="str">
        <f>_xlfn.XLOOKUP(role_course_map[[#This Row],[role_id]], role_data[role_id], role_data[Role],"")</f>
        <v>Fleet Systems and Administration Manager</v>
      </c>
      <c r="C2051">
        <v>999057</v>
      </c>
      <c r="D2051" s="5" t="str">
        <f>_xlfn.XLOOKUP(role_course_map[[#This Row],[course_id]],course_data[course_id],course_data[title],"")</f>
        <v>Fatigue Awareness</v>
      </c>
      <c r="E2051" s="5" t="str">
        <f>_xlfn.XLOOKUP(role_course_map[[#This Row],[course_id]],course_data[course_id],course_data[topic],"")</f>
        <v>SAS : Health and Safety</v>
      </c>
      <c r="F2051" s="5" t="str">
        <f>_xlfn.XLOOKUP(role_course_map[[#This Row],[course_id]],course_data[course_id],course_data[type],"")</f>
        <v>eLearning</v>
      </c>
      <c r="K2051" t="str">
        <f>role_course_map[[#This Row],[role_id]] &amp; "|" &amp; role_course_map[[#This Row],[course_id]]</f>
        <v>R0032|999057</v>
      </c>
      <c r="L2051" t="str">
        <f>IF(COUNTIF(role_course_map[mapping_key],role_course_map[[#This Row],[mapping_key]])&gt;1,"DUPLICATE","OK")</f>
        <v>OK</v>
      </c>
      <c r="M2051" t="str">
        <f>IF(COUNTIF(role_data[role_id],role_course_map[[#This Row],[role_id]])=0, "INVALID","VALID")</f>
        <v>VALID</v>
      </c>
      <c r="N2051" t="str">
        <f>IF(COUNTIF(course_data[course_id],role_course_map[[#This Row],[course_id]])=0, "INVALID","VALID")</f>
        <v>VALID</v>
      </c>
    </row>
    <row r="2052" spans="1:14" x14ac:dyDescent="0.35">
      <c r="A2052" t="s">
        <v>74</v>
      </c>
      <c r="B2052" s="5" t="str">
        <f>_xlfn.XLOOKUP(role_course_map[[#This Row],[role_id]], role_data[role_id], role_data[Role],"")</f>
        <v>Fleet Systems and Administration Manager</v>
      </c>
      <c r="C2052">
        <v>999058</v>
      </c>
      <c r="D2052" s="5" t="str">
        <f>_xlfn.XLOOKUP(role_course_map[[#This Row],[course_id]],course_data[course_id],course_data[title],"")</f>
        <v>Stress Identification &amp; Stress Management</v>
      </c>
      <c r="E2052" s="5" t="str">
        <f>_xlfn.XLOOKUP(role_course_map[[#This Row],[course_id]],course_data[course_id],course_data[topic],"")</f>
        <v>SAS : Health and Safety</v>
      </c>
      <c r="F2052" s="5" t="str">
        <f>_xlfn.XLOOKUP(role_course_map[[#This Row],[course_id]],course_data[course_id],course_data[type],"")</f>
        <v>eLearning</v>
      </c>
      <c r="K2052" t="str">
        <f>role_course_map[[#This Row],[role_id]] &amp; "|" &amp; role_course_map[[#This Row],[course_id]]</f>
        <v>R0032|999058</v>
      </c>
      <c r="L2052" t="str">
        <f>IF(COUNTIF(role_course_map[mapping_key],role_course_map[[#This Row],[mapping_key]])&gt;1,"DUPLICATE","OK")</f>
        <v>OK</v>
      </c>
      <c r="M2052" t="str">
        <f>IF(COUNTIF(role_data[role_id],role_course_map[[#This Row],[role_id]])=0, "INVALID","VALID")</f>
        <v>VALID</v>
      </c>
      <c r="N2052" t="str">
        <f>IF(COUNTIF(course_data[course_id],role_course_map[[#This Row],[course_id]])=0, "INVALID","VALID")</f>
        <v>VALID</v>
      </c>
    </row>
    <row r="2053" spans="1:14" x14ac:dyDescent="0.35">
      <c r="A2053" t="s">
        <v>74</v>
      </c>
      <c r="B2053" s="5" t="str">
        <f>_xlfn.XLOOKUP(role_course_map[[#This Row],[role_id]], role_data[role_id], role_data[Role],"")</f>
        <v>Fleet Systems and Administration Manager</v>
      </c>
      <c r="C2053">
        <v>999061</v>
      </c>
      <c r="D2053" s="5" t="str">
        <f>_xlfn.XLOOKUP(role_course_map[[#This Row],[course_id]],course_data[course_id],course_data[title],"")</f>
        <v>Skin Awareness</v>
      </c>
      <c r="E2053" s="5" t="str">
        <f>_xlfn.XLOOKUP(role_course_map[[#This Row],[course_id]],course_data[course_id],course_data[topic],"")</f>
        <v>SAS : Health and Safety</v>
      </c>
      <c r="F2053" s="5" t="str">
        <f>_xlfn.XLOOKUP(role_course_map[[#This Row],[course_id]],course_data[course_id],course_data[type],"")</f>
        <v>eLearning</v>
      </c>
      <c r="K2053" t="str">
        <f>role_course_map[[#This Row],[role_id]] &amp; "|" &amp; role_course_map[[#This Row],[course_id]]</f>
        <v>R0032|999061</v>
      </c>
      <c r="L2053" t="str">
        <f>IF(COUNTIF(role_course_map[mapping_key],role_course_map[[#This Row],[mapping_key]])&gt;1,"DUPLICATE","OK")</f>
        <v>OK</v>
      </c>
      <c r="M2053" t="str">
        <f>IF(COUNTIF(role_data[role_id],role_course_map[[#This Row],[role_id]])=0, "INVALID","VALID")</f>
        <v>VALID</v>
      </c>
      <c r="N2053" t="str">
        <f>IF(COUNTIF(course_data[course_id],role_course_map[[#This Row],[course_id]])=0, "INVALID","VALID")</f>
        <v>VALID</v>
      </c>
    </row>
    <row r="2054" spans="1:14" x14ac:dyDescent="0.35">
      <c r="A2054" t="s">
        <v>74</v>
      </c>
      <c r="B2054" s="5" t="str">
        <f>_xlfn.XLOOKUP(role_course_map[[#This Row],[role_id]], role_data[role_id], role_data[Role],"")</f>
        <v>Fleet Systems and Administration Manager</v>
      </c>
      <c r="C2054">
        <v>999062</v>
      </c>
      <c r="D2054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2054" s="5" t="str">
        <f>_xlfn.XLOOKUP(role_course_map[[#This Row],[course_id]],course_data[course_id],course_data[topic],"")</f>
        <v>SAS : Health and Safety</v>
      </c>
      <c r="F2054" s="5" t="str">
        <f>_xlfn.XLOOKUP(role_course_map[[#This Row],[course_id]],course_data[course_id],course_data[type],"")</f>
        <v>Course</v>
      </c>
      <c r="K2054" t="str">
        <f>role_course_map[[#This Row],[role_id]] &amp; "|" &amp; role_course_map[[#This Row],[course_id]]</f>
        <v>R0032|999062</v>
      </c>
      <c r="L2054" t="str">
        <f>IF(COUNTIF(role_course_map[mapping_key],role_course_map[[#This Row],[mapping_key]])&gt;1,"DUPLICATE","OK")</f>
        <v>OK</v>
      </c>
      <c r="M2054" t="str">
        <f>IF(COUNTIF(role_data[role_id],role_course_map[[#This Row],[role_id]])=0, "INVALID","VALID")</f>
        <v>VALID</v>
      </c>
      <c r="N2054" t="str">
        <f>IF(COUNTIF(course_data[course_id],role_course_map[[#This Row],[course_id]])=0, "INVALID","VALID")</f>
        <v>VALID</v>
      </c>
    </row>
    <row r="2055" spans="1:14" x14ac:dyDescent="0.35">
      <c r="A2055" t="s">
        <v>74</v>
      </c>
      <c r="B2055" s="5" t="str">
        <f>_xlfn.XLOOKUP(role_course_map[[#This Row],[role_id]], role_data[role_id], role_data[Role],"")</f>
        <v>Fleet Systems and Administration Manager</v>
      </c>
      <c r="C2055">
        <v>999041</v>
      </c>
      <c r="D2055" s="5" t="str">
        <f>_xlfn.XLOOKUP(role_course_map[[#This Row],[course_id]],course_data[course_id],course_data[title],"")</f>
        <v>EV (IMI L1) Charging</v>
      </c>
      <c r="E2055" s="5" t="str">
        <f>_xlfn.XLOOKUP(role_course_map[[#This Row],[course_id]],course_data[course_id],course_data[topic],"")</f>
        <v>SAS : Fleet</v>
      </c>
      <c r="F2055" s="5" t="str">
        <f>_xlfn.XLOOKUP(role_course_map[[#This Row],[course_id]],course_data[course_id],course_data[type],"")</f>
        <v>Course</v>
      </c>
      <c r="K2055" t="str">
        <f>role_course_map[[#This Row],[role_id]] &amp; "|" &amp; role_course_map[[#This Row],[course_id]]</f>
        <v>R0032|999041</v>
      </c>
      <c r="L2055" t="str">
        <f>IF(COUNTIF(role_course_map[mapping_key],role_course_map[[#This Row],[mapping_key]])&gt;1,"DUPLICATE","OK")</f>
        <v>OK</v>
      </c>
      <c r="M2055" t="str">
        <f>IF(COUNTIF(role_data[role_id],role_course_map[[#This Row],[role_id]])=0, "INVALID","VALID")</f>
        <v>VALID</v>
      </c>
      <c r="N2055" t="str">
        <f>IF(COUNTIF(course_data[course_id],role_course_map[[#This Row],[course_id]])=0, "INVALID","VALID")</f>
        <v>VALID</v>
      </c>
    </row>
    <row r="2056" spans="1:14" x14ac:dyDescent="0.35">
      <c r="A2056" t="s">
        <v>74</v>
      </c>
      <c r="B2056" s="5" t="str">
        <f>_xlfn.XLOOKUP(role_course_map[[#This Row],[role_id]], role_data[role_id], role_data[Role],"")</f>
        <v>Fleet Systems and Administration Manager</v>
      </c>
      <c r="C2056">
        <v>999092</v>
      </c>
      <c r="D2056" s="5" t="str">
        <f>_xlfn.XLOOKUP(role_course_map[[#This Row],[course_id]],course_data[course_id],course_data[title],"")</f>
        <v>Health &amp; Wellbeing Awareness for Managers</v>
      </c>
      <c r="E2056" s="5" t="str">
        <f>_xlfn.XLOOKUP(role_course_map[[#This Row],[course_id]],course_data[course_id],course_data[topic],"")</f>
        <v>SAS: Staff development and experience</v>
      </c>
      <c r="F2056" s="5" t="str">
        <f>_xlfn.XLOOKUP(role_course_map[[#This Row],[course_id]],course_data[course_id],course_data[type],"")</f>
        <v>eLearning</v>
      </c>
      <c r="K2056" t="str">
        <f>role_course_map[[#This Row],[role_id]] &amp; "|" &amp; role_course_map[[#This Row],[course_id]]</f>
        <v>R0032|999092</v>
      </c>
      <c r="L2056" t="str">
        <f>IF(COUNTIF(role_course_map[mapping_key],role_course_map[[#This Row],[mapping_key]])&gt;1,"DUPLICATE","OK")</f>
        <v>OK</v>
      </c>
      <c r="M2056" t="str">
        <f>IF(COUNTIF(role_data[role_id],role_course_map[[#This Row],[role_id]])=0, "INVALID","VALID")</f>
        <v>VALID</v>
      </c>
      <c r="N2056" t="str">
        <f>IF(COUNTIF(course_data[course_id],role_course_map[[#This Row],[course_id]])=0, "INVALID","VALID")</f>
        <v>VALID</v>
      </c>
    </row>
    <row r="2057" spans="1:14" x14ac:dyDescent="0.35">
      <c r="A2057" t="s">
        <v>74</v>
      </c>
      <c r="B2057" s="5" t="str">
        <f>_xlfn.XLOOKUP(role_course_map[[#This Row],[role_id]], role_data[role_id], role_data[Role],"")</f>
        <v>Fleet Systems and Administration Manager</v>
      </c>
      <c r="C2057">
        <v>999093</v>
      </c>
      <c r="D2057" s="5" t="str">
        <f>_xlfn.XLOOKUP(role_course_map[[#This Row],[course_id]],course_data[course_id],course_data[title],"")</f>
        <v>Managing Wellbeing Refresher for Managers</v>
      </c>
      <c r="E2057" s="5" t="str">
        <f>_xlfn.XLOOKUP(role_course_map[[#This Row],[course_id]],course_data[course_id],course_data[topic],"")</f>
        <v>SAS: Staff development and experience</v>
      </c>
      <c r="F2057" s="5" t="str">
        <f>_xlfn.XLOOKUP(role_course_map[[#This Row],[course_id]],course_data[course_id],course_data[type],"")</f>
        <v>eLearning</v>
      </c>
      <c r="K2057" t="str">
        <f>role_course_map[[#This Row],[role_id]] &amp; "|" &amp; role_course_map[[#This Row],[course_id]]</f>
        <v>R0032|999093</v>
      </c>
      <c r="L2057" t="str">
        <f>IF(COUNTIF(role_course_map[mapping_key],role_course_map[[#This Row],[mapping_key]])&gt;1,"DUPLICATE","OK")</f>
        <v>OK</v>
      </c>
      <c r="M2057" t="str">
        <f>IF(COUNTIF(role_data[role_id],role_course_map[[#This Row],[role_id]])=0, "INVALID","VALID")</f>
        <v>VALID</v>
      </c>
      <c r="N2057" t="str">
        <f>IF(COUNTIF(course_data[course_id],role_course_map[[#This Row],[course_id]])=0, "INVALID","VALID")</f>
        <v>VALID</v>
      </c>
    </row>
    <row r="2058" spans="1:14" x14ac:dyDescent="0.35">
      <c r="A2058" t="s">
        <v>74</v>
      </c>
      <c r="B2058" s="5" t="str">
        <f>_xlfn.XLOOKUP(role_course_map[[#This Row],[role_id]], role_data[role_id], role_data[Role],"")</f>
        <v>Fleet Systems and Administration Manager</v>
      </c>
      <c r="C2058">
        <v>999094</v>
      </c>
      <c r="D2058" s="5" t="str">
        <f>_xlfn.XLOOKUP(role_course_map[[#This Row],[course_id]],course_data[course_id],course_data[title],"")</f>
        <v>Being well, Mind, Body &amp; Workplace</v>
      </c>
      <c r="E2058" s="5" t="str">
        <f>_xlfn.XLOOKUP(role_course_map[[#This Row],[course_id]],course_data[course_id],course_data[topic],"")</f>
        <v>SAS: Staff development and experience</v>
      </c>
      <c r="F2058" s="5" t="str">
        <f>_xlfn.XLOOKUP(role_course_map[[#This Row],[course_id]],course_data[course_id],course_data[type],"")</f>
        <v>eLearning</v>
      </c>
      <c r="K2058" t="str">
        <f>role_course_map[[#This Row],[role_id]] &amp; "|" &amp; role_course_map[[#This Row],[course_id]]</f>
        <v>R0032|999094</v>
      </c>
      <c r="L2058" t="str">
        <f>IF(COUNTIF(role_course_map[mapping_key],role_course_map[[#This Row],[mapping_key]])&gt;1,"DUPLICATE","OK")</f>
        <v>OK</v>
      </c>
      <c r="M2058" t="str">
        <f>IF(COUNTIF(role_data[role_id],role_course_map[[#This Row],[role_id]])=0, "INVALID","VALID")</f>
        <v>VALID</v>
      </c>
      <c r="N2058" t="str">
        <f>IF(COUNTIF(course_data[course_id],role_course_map[[#This Row],[course_id]])=0, "INVALID","VALID")</f>
        <v>VALID</v>
      </c>
    </row>
    <row r="2059" spans="1:14" x14ac:dyDescent="0.35">
      <c r="A2059" t="s">
        <v>76</v>
      </c>
      <c r="B2059" s="5" t="str">
        <f>_xlfn.XLOOKUP(role_course_map[[#This Row],[role_id]], role_data[role_id], role_data[Role],"")</f>
        <v>Fleet Workshop Administrator</v>
      </c>
      <c r="C2059">
        <v>999056</v>
      </c>
      <c r="D2059" s="5" t="str">
        <f>_xlfn.XLOOKUP(role_course_map[[#This Row],[course_id]],course_data[course_id],course_data[title],"")</f>
        <v>Driver Assessment &amp; Training</v>
      </c>
      <c r="E2059" s="5" t="str">
        <f>_xlfn.XLOOKUP(role_course_map[[#This Row],[course_id]],course_data[course_id],course_data[topic],"")</f>
        <v>SAS : Health and Safety</v>
      </c>
      <c r="F2059" s="5" t="str">
        <f>_xlfn.XLOOKUP(role_course_map[[#This Row],[course_id]],course_data[course_id],course_data[type],"")</f>
        <v>eLearning</v>
      </c>
      <c r="K2059" t="str">
        <f>role_course_map[[#This Row],[role_id]] &amp; "|" &amp; role_course_map[[#This Row],[course_id]]</f>
        <v>R0033|999056</v>
      </c>
      <c r="L2059" t="str">
        <f>IF(COUNTIF(role_course_map[mapping_key],role_course_map[[#This Row],[mapping_key]])&gt;1,"DUPLICATE","OK")</f>
        <v>OK</v>
      </c>
      <c r="M2059" t="str">
        <f>IF(COUNTIF(role_data[role_id],role_course_map[[#This Row],[role_id]])=0, "INVALID","VALID")</f>
        <v>VALID</v>
      </c>
      <c r="N2059" t="str">
        <f>IF(COUNTIF(course_data[course_id],role_course_map[[#This Row],[course_id]])=0, "INVALID","VALID")</f>
        <v>VALID</v>
      </c>
    </row>
    <row r="2060" spans="1:14" x14ac:dyDescent="0.35">
      <c r="A2060" t="s">
        <v>76</v>
      </c>
      <c r="B2060" s="5" t="str">
        <f>_xlfn.XLOOKUP(role_course_map[[#This Row],[role_id]], role_data[role_id], role_data[Role],"")</f>
        <v>Fleet Workshop Administrator</v>
      </c>
      <c r="C2060">
        <v>999057</v>
      </c>
      <c r="D2060" s="5" t="str">
        <f>_xlfn.XLOOKUP(role_course_map[[#This Row],[course_id]],course_data[course_id],course_data[title],"")</f>
        <v>Fatigue Awareness</v>
      </c>
      <c r="E2060" s="5" t="str">
        <f>_xlfn.XLOOKUP(role_course_map[[#This Row],[course_id]],course_data[course_id],course_data[topic],"")</f>
        <v>SAS : Health and Safety</v>
      </c>
      <c r="F2060" s="5" t="str">
        <f>_xlfn.XLOOKUP(role_course_map[[#This Row],[course_id]],course_data[course_id],course_data[type],"")</f>
        <v>eLearning</v>
      </c>
      <c r="K2060" t="str">
        <f>role_course_map[[#This Row],[role_id]] &amp; "|" &amp; role_course_map[[#This Row],[course_id]]</f>
        <v>R0033|999057</v>
      </c>
      <c r="L2060" t="str">
        <f>IF(COUNTIF(role_course_map[mapping_key],role_course_map[[#This Row],[mapping_key]])&gt;1,"DUPLICATE","OK")</f>
        <v>OK</v>
      </c>
      <c r="M2060" t="str">
        <f>IF(COUNTIF(role_data[role_id],role_course_map[[#This Row],[role_id]])=0, "INVALID","VALID")</f>
        <v>VALID</v>
      </c>
      <c r="N2060" t="str">
        <f>IF(COUNTIF(course_data[course_id],role_course_map[[#This Row],[course_id]])=0, "INVALID","VALID")</f>
        <v>VALID</v>
      </c>
    </row>
    <row r="2061" spans="1:14" x14ac:dyDescent="0.35">
      <c r="A2061" t="s">
        <v>76</v>
      </c>
      <c r="B2061" s="5" t="str">
        <f>_xlfn.XLOOKUP(role_course_map[[#This Row],[role_id]], role_data[role_id], role_data[Role],"")</f>
        <v>Fleet Workshop Administrator</v>
      </c>
      <c r="C2061">
        <v>999058</v>
      </c>
      <c r="D2061" s="5" t="str">
        <f>_xlfn.XLOOKUP(role_course_map[[#This Row],[course_id]],course_data[course_id],course_data[title],"")</f>
        <v>Stress Identification &amp; Stress Management</v>
      </c>
      <c r="E2061" s="5" t="str">
        <f>_xlfn.XLOOKUP(role_course_map[[#This Row],[course_id]],course_data[course_id],course_data[topic],"")</f>
        <v>SAS : Health and Safety</v>
      </c>
      <c r="F2061" s="5" t="str">
        <f>_xlfn.XLOOKUP(role_course_map[[#This Row],[course_id]],course_data[course_id],course_data[type],"")</f>
        <v>eLearning</v>
      </c>
      <c r="K2061" t="str">
        <f>role_course_map[[#This Row],[role_id]] &amp; "|" &amp; role_course_map[[#This Row],[course_id]]</f>
        <v>R0033|999058</v>
      </c>
      <c r="L2061" t="str">
        <f>IF(COUNTIF(role_course_map[mapping_key],role_course_map[[#This Row],[mapping_key]])&gt;1,"DUPLICATE","OK")</f>
        <v>OK</v>
      </c>
      <c r="M2061" t="str">
        <f>IF(COUNTIF(role_data[role_id],role_course_map[[#This Row],[role_id]])=0, "INVALID","VALID")</f>
        <v>VALID</v>
      </c>
      <c r="N2061" t="str">
        <f>IF(COUNTIF(course_data[course_id],role_course_map[[#This Row],[course_id]])=0, "INVALID","VALID")</f>
        <v>VALID</v>
      </c>
    </row>
    <row r="2062" spans="1:14" x14ac:dyDescent="0.35">
      <c r="A2062" t="s">
        <v>76</v>
      </c>
      <c r="B2062" s="5" t="str">
        <f>_xlfn.XLOOKUP(role_course_map[[#This Row],[role_id]], role_data[role_id], role_data[Role],"")</f>
        <v>Fleet Workshop Administrator</v>
      </c>
      <c r="C2062">
        <v>999061</v>
      </c>
      <c r="D2062" s="5" t="str">
        <f>_xlfn.XLOOKUP(role_course_map[[#This Row],[course_id]],course_data[course_id],course_data[title],"")</f>
        <v>Skin Awareness</v>
      </c>
      <c r="E2062" s="5" t="str">
        <f>_xlfn.XLOOKUP(role_course_map[[#This Row],[course_id]],course_data[course_id],course_data[topic],"")</f>
        <v>SAS : Health and Safety</v>
      </c>
      <c r="F2062" s="5" t="str">
        <f>_xlfn.XLOOKUP(role_course_map[[#This Row],[course_id]],course_data[course_id],course_data[type],"")</f>
        <v>eLearning</v>
      </c>
      <c r="K2062" t="str">
        <f>role_course_map[[#This Row],[role_id]] &amp; "|" &amp; role_course_map[[#This Row],[course_id]]</f>
        <v>R0033|999061</v>
      </c>
      <c r="L2062" t="str">
        <f>IF(COUNTIF(role_course_map[mapping_key],role_course_map[[#This Row],[mapping_key]])&gt;1,"DUPLICATE","OK")</f>
        <v>OK</v>
      </c>
      <c r="M2062" t="str">
        <f>IF(COUNTIF(role_data[role_id],role_course_map[[#This Row],[role_id]])=0, "INVALID","VALID")</f>
        <v>VALID</v>
      </c>
      <c r="N2062" t="str">
        <f>IF(COUNTIF(course_data[course_id],role_course_map[[#This Row],[course_id]])=0, "INVALID","VALID")</f>
        <v>VALID</v>
      </c>
    </row>
    <row r="2063" spans="1:14" x14ac:dyDescent="0.35">
      <c r="A2063" t="s">
        <v>76</v>
      </c>
      <c r="B2063" s="5" t="str">
        <f>_xlfn.XLOOKUP(role_course_map[[#This Row],[role_id]], role_data[role_id], role_data[Role],"")</f>
        <v>Fleet Workshop Administrator</v>
      </c>
      <c r="C2063">
        <v>999094</v>
      </c>
      <c r="D2063" s="5" t="str">
        <f>_xlfn.XLOOKUP(role_course_map[[#This Row],[course_id]],course_data[course_id],course_data[title],"")</f>
        <v>Being well, Mind, Body &amp; Workplace</v>
      </c>
      <c r="E2063" s="5" t="str">
        <f>_xlfn.XLOOKUP(role_course_map[[#This Row],[course_id]],course_data[course_id],course_data[topic],"")</f>
        <v>SAS: Staff development and experience</v>
      </c>
      <c r="F2063" s="5" t="str">
        <f>_xlfn.XLOOKUP(role_course_map[[#This Row],[course_id]],course_data[course_id],course_data[type],"")</f>
        <v>eLearning</v>
      </c>
      <c r="K2063" t="str">
        <f>role_course_map[[#This Row],[role_id]] &amp; "|" &amp; role_course_map[[#This Row],[course_id]]</f>
        <v>R0033|999094</v>
      </c>
      <c r="L2063" t="str">
        <f>IF(COUNTIF(role_course_map[mapping_key],role_course_map[[#This Row],[mapping_key]])&gt;1,"DUPLICATE","OK")</f>
        <v>OK</v>
      </c>
      <c r="M2063" t="str">
        <f>IF(COUNTIF(role_data[role_id],role_course_map[[#This Row],[role_id]])=0, "INVALID","VALID")</f>
        <v>VALID</v>
      </c>
      <c r="N2063" t="str">
        <f>IF(COUNTIF(course_data[course_id],role_course_map[[#This Row],[course_id]])=0, "INVALID","VALID")</f>
        <v>VALID</v>
      </c>
    </row>
    <row r="2064" spans="1:14" x14ac:dyDescent="0.35">
      <c r="A2064" t="s">
        <v>78</v>
      </c>
      <c r="B2064" s="5" t="str">
        <f>_xlfn.XLOOKUP(role_course_map[[#This Row],[role_id]], role_data[role_id], role_data[Role],"")</f>
        <v>Handy Person</v>
      </c>
      <c r="C2064">
        <v>999056</v>
      </c>
      <c r="D2064" s="5" t="str">
        <f>_xlfn.XLOOKUP(role_course_map[[#This Row],[course_id]],course_data[course_id],course_data[title],"")</f>
        <v>Driver Assessment &amp; Training</v>
      </c>
      <c r="E2064" s="5" t="str">
        <f>_xlfn.XLOOKUP(role_course_map[[#This Row],[course_id]],course_data[course_id],course_data[topic],"")</f>
        <v>SAS : Health and Safety</v>
      </c>
      <c r="F2064" s="5" t="str">
        <f>_xlfn.XLOOKUP(role_course_map[[#This Row],[course_id]],course_data[course_id],course_data[type],"")</f>
        <v>eLearning</v>
      </c>
      <c r="K2064" t="str">
        <f>role_course_map[[#This Row],[role_id]] &amp; "|" &amp; role_course_map[[#This Row],[course_id]]</f>
        <v>R0034|999056</v>
      </c>
      <c r="L2064" t="str">
        <f>IF(COUNTIF(role_course_map[mapping_key],role_course_map[[#This Row],[mapping_key]])&gt;1,"DUPLICATE","OK")</f>
        <v>OK</v>
      </c>
      <c r="M2064" t="str">
        <f>IF(COUNTIF(role_data[role_id],role_course_map[[#This Row],[role_id]])=0, "INVALID","VALID")</f>
        <v>VALID</v>
      </c>
      <c r="N2064" t="str">
        <f>IF(COUNTIF(course_data[course_id],role_course_map[[#This Row],[course_id]])=0, "INVALID","VALID")</f>
        <v>VALID</v>
      </c>
    </row>
    <row r="2065" spans="1:14" x14ac:dyDescent="0.35">
      <c r="A2065" t="s">
        <v>78</v>
      </c>
      <c r="B2065" s="5" t="str">
        <f>_xlfn.XLOOKUP(role_course_map[[#This Row],[role_id]], role_data[role_id], role_data[Role],"")</f>
        <v>Handy Person</v>
      </c>
      <c r="C2065">
        <v>999057</v>
      </c>
      <c r="D2065" s="5" t="str">
        <f>_xlfn.XLOOKUP(role_course_map[[#This Row],[course_id]],course_data[course_id],course_data[title],"")</f>
        <v>Fatigue Awareness</v>
      </c>
      <c r="E2065" s="5" t="str">
        <f>_xlfn.XLOOKUP(role_course_map[[#This Row],[course_id]],course_data[course_id],course_data[topic],"")</f>
        <v>SAS : Health and Safety</v>
      </c>
      <c r="F2065" s="5" t="str">
        <f>_xlfn.XLOOKUP(role_course_map[[#This Row],[course_id]],course_data[course_id],course_data[type],"")</f>
        <v>eLearning</v>
      </c>
      <c r="K2065" t="str">
        <f>role_course_map[[#This Row],[role_id]] &amp; "|" &amp; role_course_map[[#This Row],[course_id]]</f>
        <v>R0034|999057</v>
      </c>
      <c r="L2065" t="str">
        <f>IF(COUNTIF(role_course_map[mapping_key],role_course_map[[#This Row],[mapping_key]])&gt;1,"DUPLICATE","OK")</f>
        <v>OK</v>
      </c>
      <c r="M2065" t="str">
        <f>IF(COUNTIF(role_data[role_id],role_course_map[[#This Row],[role_id]])=0, "INVALID","VALID")</f>
        <v>VALID</v>
      </c>
      <c r="N2065" t="str">
        <f>IF(COUNTIF(course_data[course_id],role_course_map[[#This Row],[course_id]])=0, "INVALID","VALID")</f>
        <v>VALID</v>
      </c>
    </row>
    <row r="2066" spans="1:14" x14ac:dyDescent="0.35">
      <c r="A2066" t="s">
        <v>78</v>
      </c>
      <c r="B2066" s="5" t="str">
        <f>_xlfn.XLOOKUP(role_course_map[[#This Row],[role_id]], role_data[role_id], role_data[Role],"")</f>
        <v>Handy Person</v>
      </c>
      <c r="C2066">
        <v>999058</v>
      </c>
      <c r="D2066" s="5" t="str">
        <f>_xlfn.XLOOKUP(role_course_map[[#This Row],[course_id]],course_data[course_id],course_data[title],"")</f>
        <v>Stress Identification &amp; Stress Management</v>
      </c>
      <c r="E2066" s="5" t="str">
        <f>_xlfn.XLOOKUP(role_course_map[[#This Row],[course_id]],course_data[course_id],course_data[topic],"")</f>
        <v>SAS : Health and Safety</v>
      </c>
      <c r="F2066" s="5" t="str">
        <f>_xlfn.XLOOKUP(role_course_map[[#This Row],[course_id]],course_data[course_id],course_data[type],"")</f>
        <v>eLearning</v>
      </c>
      <c r="K2066" t="str">
        <f>role_course_map[[#This Row],[role_id]] &amp; "|" &amp; role_course_map[[#This Row],[course_id]]</f>
        <v>R0034|999058</v>
      </c>
      <c r="L2066" t="str">
        <f>IF(COUNTIF(role_course_map[mapping_key],role_course_map[[#This Row],[mapping_key]])&gt;1,"DUPLICATE","OK")</f>
        <v>OK</v>
      </c>
      <c r="M2066" t="str">
        <f>IF(COUNTIF(role_data[role_id],role_course_map[[#This Row],[role_id]])=0, "INVALID","VALID")</f>
        <v>VALID</v>
      </c>
      <c r="N2066" t="str">
        <f>IF(COUNTIF(course_data[course_id],role_course_map[[#This Row],[course_id]])=0, "INVALID","VALID")</f>
        <v>VALID</v>
      </c>
    </row>
    <row r="2067" spans="1:14" x14ac:dyDescent="0.35">
      <c r="A2067" t="s">
        <v>78</v>
      </c>
      <c r="B2067" s="5" t="str">
        <f>_xlfn.XLOOKUP(role_course_map[[#This Row],[role_id]], role_data[role_id], role_data[Role],"")</f>
        <v>Handy Person</v>
      </c>
      <c r="C2067">
        <v>999061</v>
      </c>
      <c r="D2067" s="5" t="str">
        <f>_xlfn.XLOOKUP(role_course_map[[#This Row],[course_id]],course_data[course_id],course_data[title],"")</f>
        <v>Skin Awareness</v>
      </c>
      <c r="E2067" s="5" t="str">
        <f>_xlfn.XLOOKUP(role_course_map[[#This Row],[course_id]],course_data[course_id],course_data[topic],"")</f>
        <v>SAS : Health and Safety</v>
      </c>
      <c r="F2067" s="5" t="str">
        <f>_xlfn.XLOOKUP(role_course_map[[#This Row],[course_id]],course_data[course_id],course_data[type],"")</f>
        <v>eLearning</v>
      </c>
      <c r="K2067" t="str">
        <f>role_course_map[[#This Row],[role_id]] &amp; "|" &amp; role_course_map[[#This Row],[course_id]]</f>
        <v>R0034|999061</v>
      </c>
      <c r="L2067" t="str">
        <f>IF(COUNTIF(role_course_map[mapping_key],role_course_map[[#This Row],[mapping_key]])&gt;1,"DUPLICATE","OK")</f>
        <v>OK</v>
      </c>
      <c r="M2067" t="str">
        <f>IF(COUNTIF(role_data[role_id],role_course_map[[#This Row],[role_id]])=0, "INVALID","VALID")</f>
        <v>VALID</v>
      </c>
      <c r="N2067" t="str">
        <f>IF(COUNTIF(course_data[course_id],role_course_map[[#This Row],[course_id]])=0, "INVALID","VALID")</f>
        <v>VALID</v>
      </c>
    </row>
    <row r="2068" spans="1:14" x14ac:dyDescent="0.35">
      <c r="A2068" t="s">
        <v>78</v>
      </c>
      <c r="B2068" s="5" t="str">
        <f>_xlfn.XLOOKUP(role_course_map[[#This Row],[role_id]], role_data[role_id], role_data[Role],"")</f>
        <v>Handy Person</v>
      </c>
      <c r="C2068">
        <v>999037</v>
      </c>
      <c r="D2068" s="5" t="str">
        <f>_xlfn.XLOOKUP(role_course_map[[#This Row],[course_id]],course_data[course_id],course_data[title],"")</f>
        <v>Grindstone Wheel Training</v>
      </c>
      <c r="E2068" s="5" t="str">
        <f>_xlfn.XLOOKUP(role_course_map[[#This Row],[course_id]],course_data[course_id],course_data[topic],"")</f>
        <v>SAS : Fleet</v>
      </c>
      <c r="F2068" s="5" t="str">
        <f>_xlfn.XLOOKUP(role_course_map[[#This Row],[course_id]],course_data[course_id],course_data[type],"")</f>
        <v>Course</v>
      </c>
      <c r="K2068" t="str">
        <f>role_course_map[[#This Row],[role_id]] &amp; "|" &amp; role_course_map[[#This Row],[course_id]]</f>
        <v>R0034|999037</v>
      </c>
      <c r="L2068" t="str">
        <f>IF(COUNTIF(role_course_map[mapping_key],role_course_map[[#This Row],[mapping_key]])&gt;1,"DUPLICATE","OK")</f>
        <v>OK</v>
      </c>
      <c r="M2068" t="str">
        <f>IF(COUNTIF(role_data[role_id],role_course_map[[#This Row],[role_id]])=0, "INVALID","VALID")</f>
        <v>VALID</v>
      </c>
      <c r="N2068" t="str">
        <f>IF(COUNTIF(course_data[course_id],role_course_map[[#This Row],[course_id]])=0, "INVALID","VALID")</f>
        <v>VALID</v>
      </c>
    </row>
    <row r="2069" spans="1:14" x14ac:dyDescent="0.35">
      <c r="A2069" t="s">
        <v>78</v>
      </c>
      <c r="B2069" s="5" t="str">
        <f>_xlfn.XLOOKUP(role_course_map[[#This Row],[role_id]], role_data[role_id], role_data[Role],"")</f>
        <v>Handy Person</v>
      </c>
      <c r="C2069">
        <v>999040</v>
      </c>
      <c r="D2069" s="5" t="str">
        <f>_xlfn.XLOOKUP(role_course_map[[#This Row],[course_id]],course_data[course_id],course_data[title],"")</f>
        <v>Eberspaecher heater and aircon</v>
      </c>
      <c r="E2069" s="5" t="str">
        <f>_xlfn.XLOOKUP(role_course_map[[#This Row],[course_id]],course_data[course_id],course_data[topic],"")</f>
        <v>SAS : Fleet</v>
      </c>
      <c r="F2069" s="5" t="str">
        <f>_xlfn.XLOOKUP(role_course_map[[#This Row],[course_id]],course_data[course_id],course_data[type],"")</f>
        <v>Course</v>
      </c>
      <c r="K2069" t="str">
        <f>role_course_map[[#This Row],[role_id]] &amp; "|" &amp; role_course_map[[#This Row],[course_id]]</f>
        <v>R0034|999040</v>
      </c>
      <c r="L2069" t="str">
        <f>IF(COUNTIF(role_course_map[mapping_key],role_course_map[[#This Row],[mapping_key]])&gt;1,"DUPLICATE","OK")</f>
        <v>OK</v>
      </c>
      <c r="M2069" t="str">
        <f>IF(COUNTIF(role_data[role_id],role_course_map[[#This Row],[role_id]])=0, "INVALID","VALID")</f>
        <v>VALID</v>
      </c>
      <c r="N2069" t="str">
        <f>IF(COUNTIF(course_data[course_id],role_course_map[[#This Row],[course_id]])=0, "INVALID","VALID")</f>
        <v>VALID</v>
      </c>
    </row>
    <row r="2070" spans="1:14" x14ac:dyDescent="0.35">
      <c r="A2070" t="s">
        <v>78</v>
      </c>
      <c r="B2070" s="5" t="str">
        <f>_xlfn.XLOOKUP(role_course_map[[#This Row],[role_id]], role_data[role_id], role_data[Role],"")</f>
        <v>Handy Person</v>
      </c>
      <c r="C2070">
        <v>999041</v>
      </c>
      <c r="D2070" s="5" t="str">
        <f>_xlfn.XLOOKUP(role_course_map[[#This Row],[course_id]],course_data[course_id],course_data[title],"")</f>
        <v>EV (IMI L1) Charging</v>
      </c>
      <c r="E2070" s="5" t="str">
        <f>_xlfn.XLOOKUP(role_course_map[[#This Row],[course_id]],course_data[course_id],course_data[topic],"")</f>
        <v>SAS : Fleet</v>
      </c>
      <c r="F2070" s="5" t="str">
        <f>_xlfn.XLOOKUP(role_course_map[[#This Row],[course_id]],course_data[course_id],course_data[type],"")</f>
        <v>Course</v>
      </c>
      <c r="K2070" t="str">
        <f>role_course_map[[#This Row],[role_id]] &amp; "|" &amp; role_course_map[[#This Row],[course_id]]</f>
        <v>R0034|999041</v>
      </c>
      <c r="L2070" t="str">
        <f>IF(COUNTIF(role_course_map[mapping_key],role_course_map[[#This Row],[mapping_key]])&gt;1,"DUPLICATE","OK")</f>
        <v>OK</v>
      </c>
      <c r="M2070" t="str">
        <f>IF(COUNTIF(role_data[role_id],role_course_map[[#This Row],[role_id]])=0, "INVALID","VALID")</f>
        <v>VALID</v>
      </c>
      <c r="N2070" t="str">
        <f>IF(COUNTIF(course_data[course_id],role_course_map[[#This Row],[course_id]])=0, "INVALID","VALID")</f>
        <v>VALID</v>
      </c>
    </row>
    <row r="2071" spans="1:14" x14ac:dyDescent="0.35">
      <c r="A2071" t="s">
        <v>78</v>
      </c>
      <c r="B2071" s="5" t="str">
        <f>_xlfn.XLOOKUP(role_course_map[[#This Row],[role_id]], role_data[role_id], role_data[Role],"")</f>
        <v>Handy Person</v>
      </c>
      <c r="C2071">
        <v>999053</v>
      </c>
      <c r="D2071" s="5" t="str">
        <f>_xlfn.XLOOKUP(role_course_map[[#This Row],[course_id]],course_data[course_id],course_data[title],"")</f>
        <v>Webasto heater and aircon</v>
      </c>
      <c r="E2071" s="5" t="str">
        <f>_xlfn.XLOOKUP(role_course_map[[#This Row],[course_id]],course_data[course_id],course_data[topic],"")</f>
        <v>SAS : Fleet</v>
      </c>
      <c r="F2071" s="5" t="str">
        <f>_xlfn.XLOOKUP(role_course_map[[#This Row],[course_id]],course_data[course_id],course_data[type],"")</f>
        <v>Course</v>
      </c>
      <c r="K2071" t="str">
        <f>role_course_map[[#This Row],[role_id]] &amp; "|" &amp; role_course_map[[#This Row],[course_id]]</f>
        <v>R0034|999053</v>
      </c>
      <c r="L2071" t="str">
        <f>IF(COUNTIF(role_course_map[mapping_key],role_course_map[[#This Row],[mapping_key]])&gt;1,"DUPLICATE","OK")</f>
        <v>OK</v>
      </c>
      <c r="M2071" t="str">
        <f>IF(COUNTIF(role_data[role_id],role_course_map[[#This Row],[role_id]])=0, "INVALID","VALID")</f>
        <v>VALID</v>
      </c>
      <c r="N2071" t="str">
        <f>IF(COUNTIF(course_data[course_id],role_course_map[[#This Row],[course_id]])=0, "INVALID","VALID")</f>
        <v>VALID</v>
      </c>
    </row>
    <row r="2072" spans="1:14" x14ac:dyDescent="0.35">
      <c r="A2072" t="s">
        <v>78</v>
      </c>
      <c r="B2072" s="5" t="str">
        <f>_xlfn.XLOOKUP(role_course_map[[#This Row],[role_id]], role_data[role_id], role_data[Role],"")</f>
        <v>Handy Person</v>
      </c>
      <c r="C2072">
        <v>999094</v>
      </c>
      <c r="D2072" s="5" t="str">
        <f>_xlfn.XLOOKUP(role_course_map[[#This Row],[course_id]],course_data[course_id],course_data[title],"")</f>
        <v>Being well, Mind, Body &amp; Workplace</v>
      </c>
      <c r="E2072" s="5" t="str">
        <f>_xlfn.XLOOKUP(role_course_map[[#This Row],[course_id]],course_data[course_id],course_data[topic],"")</f>
        <v>SAS: Staff development and experience</v>
      </c>
      <c r="F2072" s="5" t="str">
        <f>_xlfn.XLOOKUP(role_course_map[[#This Row],[course_id]],course_data[course_id],course_data[type],"")</f>
        <v>eLearning</v>
      </c>
      <c r="K2072" t="str">
        <f>role_course_map[[#This Row],[role_id]] &amp; "|" &amp; role_course_map[[#This Row],[course_id]]</f>
        <v>R0034|999094</v>
      </c>
      <c r="L2072" t="str">
        <f>IF(COUNTIF(role_course_map[mapping_key],role_course_map[[#This Row],[mapping_key]])&gt;1,"DUPLICATE","OK")</f>
        <v>OK</v>
      </c>
      <c r="M2072" t="str">
        <f>IF(COUNTIF(role_data[role_id],role_course_map[[#This Row],[role_id]])=0, "INVALID","VALID")</f>
        <v>VALID</v>
      </c>
      <c r="N2072" t="str">
        <f>IF(COUNTIF(course_data[course_id],role_course_map[[#This Row],[course_id]])=0, "INVALID","VALID")</f>
        <v>VALID</v>
      </c>
    </row>
    <row r="2073" spans="1:14" x14ac:dyDescent="0.35">
      <c r="A2073" t="s">
        <v>80</v>
      </c>
      <c r="B2073" s="5" t="str">
        <f>_xlfn.XLOOKUP(role_course_map[[#This Row],[role_id]], role_data[role_id], role_data[Role],"")</f>
        <v>Planner</v>
      </c>
      <c r="C2073">
        <v>999056</v>
      </c>
      <c r="D2073" s="5" t="str">
        <f>_xlfn.XLOOKUP(role_course_map[[#This Row],[course_id]],course_data[course_id],course_data[title],"")</f>
        <v>Driver Assessment &amp; Training</v>
      </c>
      <c r="E2073" s="5" t="str">
        <f>_xlfn.XLOOKUP(role_course_map[[#This Row],[course_id]],course_data[course_id],course_data[topic],"")</f>
        <v>SAS : Health and Safety</v>
      </c>
      <c r="F2073" s="5" t="str">
        <f>_xlfn.XLOOKUP(role_course_map[[#This Row],[course_id]],course_data[course_id],course_data[type],"")</f>
        <v>eLearning</v>
      </c>
      <c r="K2073" t="str">
        <f>role_course_map[[#This Row],[role_id]] &amp; "|" &amp; role_course_map[[#This Row],[course_id]]</f>
        <v>R0035|999056</v>
      </c>
      <c r="L2073" t="str">
        <f>IF(COUNTIF(role_course_map[mapping_key],role_course_map[[#This Row],[mapping_key]])&gt;1,"DUPLICATE","OK")</f>
        <v>OK</v>
      </c>
      <c r="M2073" t="str">
        <f>IF(COUNTIF(role_data[role_id],role_course_map[[#This Row],[role_id]])=0, "INVALID","VALID")</f>
        <v>VALID</v>
      </c>
      <c r="N2073" t="str">
        <f>IF(COUNTIF(course_data[course_id],role_course_map[[#This Row],[course_id]])=0, "INVALID","VALID")</f>
        <v>VALID</v>
      </c>
    </row>
    <row r="2074" spans="1:14" x14ac:dyDescent="0.35">
      <c r="A2074" t="s">
        <v>80</v>
      </c>
      <c r="B2074" s="5" t="str">
        <f>_xlfn.XLOOKUP(role_course_map[[#This Row],[role_id]], role_data[role_id], role_data[Role],"")</f>
        <v>Planner</v>
      </c>
      <c r="C2074">
        <v>999057</v>
      </c>
      <c r="D2074" s="5" t="str">
        <f>_xlfn.XLOOKUP(role_course_map[[#This Row],[course_id]],course_data[course_id],course_data[title],"")</f>
        <v>Fatigue Awareness</v>
      </c>
      <c r="E2074" s="5" t="str">
        <f>_xlfn.XLOOKUP(role_course_map[[#This Row],[course_id]],course_data[course_id],course_data[topic],"")</f>
        <v>SAS : Health and Safety</v>
      </c>
      <c r="F2074" s="5" t="str">
        <f>_xlfn.XLOOKUP(role_course_map[[#This Row],[course_id]],course_data[course_id],course_data[type],"")</f>
        <v>eLearning</v>
      </c>
      <c r="K2074" t="str">
        <f>role_course_map[[#This Row],[role_id]] &amp; "|" &amp; role_course_map[[#This Row],[course_id]]</f>
        <v>R0035|999057</v>
      </c>
      <c r="L2074" t="str">
        <f>IF(COUNTIF(role_course_map[mapping_key],role_course_map[[#This Row],[mapping_key]])&gt;1,"DUPLICATE","OK")</f>
        <v>OK</v>
      </c>
      <c r="M2074" t="str">
        <f>IF(COUNTIF(role_data[role_id],role_course_map[[#This Row],[role_id]])=0, "INVALID","VALID")</f>
        <v>VALID</v>
      </c>
      <c r="N2074" t="str">
        <f>IF(COUNTIF(course_data[course_id],role_course_map[[#This Row],[course_id]])=0, "INVALID","VALID")</f>
        <v>VALID</v>
      </c>
    </row>
    <row r="2075" spans="1:14" x14ac:dyDescent="0.35">
      <c r="A2075" t="s">
        <v>80</v>
      </c>
      <c r="B2075" s="5" t="str">
        <f>_xlfn.XLOOKUP(role_course_map[[#This Row],[role_id]], role_data[role_id], role_data[Role],"")</f>
        <v>Planner</v>
      </c>
      <c r="C2075">
        <v>999058</v>
      </c>
      <c r="D2075" s="5" t="str">
        <f>_xlfn.XLOOKUP(role_course_map[[#This Row],[course_id]],course_data[course_id],course_data[title],"")</f>
        <v>Stress Identification &amp; Stress Management</v>
      </c>
      <c r="E2075" s="5" t="str">
        <f>_xlfn.XLOOKUP(role_course_map[[#This Row],[course_id]],course_data[course_id],course_data[topic],"")</f>
        <v>SAS : Health and Safety</v>
      </c>
      <c r="F2075" s="5" t="str">
        <f>_xlfn.XLOOKUP(role_course_map[[#This Row],[course_id]],course_data[course_id],course_data[type],"")</f>
        <v>eLearning</v>
      </c>
      <c r="K2075" t="str">
        <f>role_course_map[[#This Row],[role_id]] &amp; "|" &amp; role_course_map[[#This Row],[course_id]]</f>
        <v>R0035|999058</v>
      </c>
      <c r="L2075" t="str">
        <f>IF(COUNTIF(role_course_map[mapping_key],role_course_map[[#This Row],[mapping_key]])&gt;1,"DUPLICATE","OK")</f>
        <v>OK</v>
      </c>
      <c r="M2075" t="str">
        <f>IF(COUNTIF(role_data[role_id],role_course_map[[#This Row],[role_id]])=0, "INVALID","VALID")</f>
        <v>VALID</v>
      </c>
      <c r="N2075" t="str">
        <f>IF(COUNTIF(course_data[course_id],role_course_map[[#This Row],[course_id]])=0, "INVALID","VALID")</f>
        <v>VALID</v>
      </c>
    </row>
    <row r="2076" spans="1:14" x14ac:dyDescent="0.35">
      <c r="A2076" t="s">
        <v>80</v>
      </c>
      <c r="B2076" s="5" t="str">
        <f>_xlfn.XLOOKUP(role_course_map[[#This Row],[role_id]], role_data[role_id], role_data[Role],"")</f>
        <v>Planner</v>
      </c>
      <c r="C2076">
        <v>999061</v>
      </c>
      <c r="D2076" s="5" t="str">
        <f>_xlfn.XLOOKUP(role_course_map[[#This Row],[course_id]],course_data[course_id],course_data[title],"")</f>
        <v>Skin Awareness</v>
      </c>
      <c r="E2076" s="5" t="str">
        <f>_xlfn.XLOOKUP(role_course_map[[#This Row],[course_id]],course_data[course_id],course_data[topic],"")</f>
        <v>SAS : Health and Safety</v>
      </c>
      <c r="F2076" s="5" t="str">
        <f>_xlfn.XLOOKUP(role_course_map[[#This Row],[course_id]],course_data[course_id],course_data[type],"")</f>
        <v>eLearning</v>
      </c>
      <c r="K2076" t="str">
        <f>role_course_map[[#This Row],[role_id]] &amp; "|" &amp; role_course_map[[#This Row],[course_id]]</f>
        <v>R0035|999061</v>
      </c>
      <c r="L2076" t="str">
        <f>IF(COUNTIF(role_course_map[mapping_key],role_course_map[[#This Row],[mapping_key]])&gt;1,"DUPLICATE","OK")</f>
        <v>OK</v>
      </c>
      <c r="M2076" t="str">
        <f>IF(COUNTIF(role_data[role_id],role_course_map[[#This Row],[role_id]])=0, "INVALID","VALID")</f>
        <v>VALID</v>
      </c>
      <c r="N2076" t="str">
        <f>IF(COUNTIF(course_data[course_id],role_course_map[[#This Row],[course_id]])=0, "INVALID","VALID")</f>
        <v>VALID</v>
      </c>
    </row>
    <row r="2077" spans="1:14" x14ac:dyDescent="0.35">
      <c r="A2077" t="s">
        <v>80</v>
      </c>
      <c r="B2077" s="5" t="str">
        <f>_xlfn.XLOOKUP(role_course_map[[#This Row],[role_id]], role_data[role_id], role_data[Role],"")</f>
        <v>Planner</v>
      </c>
      <c r="C2077">
        <v>999037</v>
      </c>
      <c r="D2077" s="5" t="str">
        <f>_xlfn.XLOOKUP(role_course_map[[#This Row],[course_id]],course_data[course_id],course_data[title],"")</f>
        <v>Grindstone Wheel Training</v>
      </c>
      <c r="E2077" s="5" t="str">
        <f>_xlfn.XLOOKUP(role_course_map[[#This Row],[course_id]],course_data[course_id],course_data[topic],"")</f>
        <v>SAS : Fleet</v>
      </c>
      <c r="F2077" s="5" t="str">
        <f>_xlfn.XLOOKUP(role_course_map[[#This Row],[course_id]],course_data[course_id],course_data[type],"")</f>
        <v>Course</v>
      </c>
      <c r="K2077" t="str">
        <f>role_course_map[[#This Row],[role_id]] &amp; "|" &amp; role_course_map[[#This Row],[course_id]]</f>
        <v>R0035|999037</v>
      </c>
      <c r="L2077" t="str">
        <f>IF(COUNTIF(role_course_map[mapping_key],role_course_map[[#This Row],[mapping_key]])&gt;1,"DUPLICATE","OK")</f>
        <v>OK</v>
      </c>
      <c r="M2077" t="str">
        <f>IF(COUNTIF(role_data[role_id],role_course_map[[#This Row],[role_id]])=0, "INVALID","VALID")</f>
        <v>VALID</v>
      </c>
      <c r="N2077" t="str">
        <f>IF(COUNTIF(course_data[course_id],role_course_map[[#This Row],[course_id]])=0, "INVALID","VALID")</f>
        <v>VALID</v>
      </c>
    </row>
    <row r="2078" spans="1:14" x14ac:dyDescent="0.35">
      <c r="A2078" t="s">
        <v>80</v>
      </c>
      <c r="B2078" s="5" t="str">
        <f>_xlfn.XLOOKUP(role_course_map[[#This Row],[role_id]], role_data[role_id], role_data[Role],"")</f>
        <v>Planner</v>
      </c>
      <c r="C2078">
        <v>999038</v>
      </c>
      <c r="D2078" s="5" t="str">
        <f>_xlfn.XLOOKUP(role_course_map[[#This Row],[course_id]],course_data[course_id],course_data[title],"")</f>
        <v>Monthly Workshop Inspection (Evotix)</v>
      </c>
      <c r="E2078" s="5" t="str">
        <f>_xlfn.XLOOKUP(role_course_map[[#This Row],[course_id]],course_data[course_id],course_data[topic],"")</f>
        <v>SAS : Fleet</v>
      </c>
      <c r="F2078" s="5" t="str">
        <f>_xlfn.XLOOKUP(role_course_map[[#This Row],[course_id]],course_data[course_id],course_data[type],"")</f>
        <v>Course</v>
      </c>
      <c r="K2078" t="str">
        <f>role_course_map[[#This Row],[role_id]] &amp; "|" &amp; role_course_map[[#This Row],[course_id]]</f>
        <v>R0035|999038</v>
      </c>
      <c r="L2078" t="str">
        <f>IF(COUNTIF(role_course_map[mapping_key],role_course_map[[#This Row],[mapping_key]])&gt;1,"DUPLICATE","OK")</f>
        <v>OK</v>
      </c>
      <c r="M2078" t="str">
        <f>IF(COUNTIF(role_data[role_id],role_course_map[[#This Row],[role_id]])=0, "INVALID","VALID")</f>
        <v>VALID</v>
      </c>
      <c r="N2078" t="str">
        <f>IF(COUNTIF(course_data[course_id],role_course_map[[#This Row],[course_id]])=0, "INVALID","VALID")</f>
        <v>VALID</v>
      </c>
    </row>
    <row r="2079" spans="1:14" x14ac:dyDescent="0.35">
      <c r="A2079" t="s">
        <v>80</v>
      </c>
      <c r="B2079" s="5" t="str">
        <f>_xlfn.XLOOKUP(role_course_map[[#This Row],[role_id]], role_data[role_id], role_data[Role],"")</f>
        <v>Planner</v>
      </c>
      <c r="C2079">
        <v>999041</v>
      </c>
      <c r="D2079" s="5" t="str">
        <f>_xlfn.XLOOKUP(role_course_map[[#This Row],[course_id]],course_data[course_id],course_data[title],"")</f>
        <v>EV (IMI L1) Charging</v>
      </c>
      <c r="E2079" s="5" t="str">
        <f>_xlfn.XLOOKUP(role_course_map[[#This Row],[course_id]],course_data[course_id],course_data[topic],"")</f>
        <v>SAS : Fleet</v>
      </c>
      <c r="F2079" s="5" t="str">
        <f>_xlfn.XLOOKUP(role_course_map[[#This Row],[course_id]],course_data[course_id],course_data[type],"")</f>
        <v>Course</v>
      </c>
      <c r="K2079" t="str">
        <f>role_course_map[[#This Row],[role_id]] &amp; "|" &amp; role_course_map[[#This Row],[course_id]]</f>
        <v>R0035|999041</v>
      </c>
      <c r="L2079" t="str">
        <f>IF(COUNTIF(role_course_map[mapping_key],role_course_map[[#This Row],[mapping_key]])&gt;1,"DUPLICATE","OK")</f>
        <v>OK</v>
      </c>
      <c r="M2079" t="str">
        <f>IF(COUNTIF(role_data[role_id],role_course_map[[#This Row],[role_id]])=0, "INVALID","VALID")</f>
        <v>VALID</v>
      </c>
      <c r="N2079" t="str">
        <f>IF(COUNTIF(course_data[course_id],role_course_map[[#This Row],[course_id]])=0, "INVALID","VALID")</f>
        <v>VALID</v>
      </c>
    </row>
    <row r="2080" spans="1:14" x14ac:dyDescent="0.35">
      <c r="A2080" t="s">
        <v>80</v>
      </c>
      <c r="B2080" s="5" t="str">
        <f>_xlfn.XLOOKUP(role_course_map[[#This Row],[role_id]], role_data[role_id], role_data[Role],"")</f>
        <v>Planner</v>
      </c>
      <c r="C2080">
        <v>999094</v>
      </c>
      <c r="D2080" s="5" t="str">
        <f>_xlfn.XLOOKUP(role_course_map[[#This Row],[course_id]],course_data[course_id],course_data[title],"")</f>
        <v>Being well, Mind, Body &amp; Workplace</v>
      </c>
      <c r="E2080" s="5" t="str">
        <f>_xlfn.XLOOKUP(role_course_map[[#This Row],[course_id]],course_data[course_id],course_data[topic],"")</f>
        <v>SAS: Staff development and experience</v>
      </c>
      <c r="F2080" s="5" t="str">
        <f>_xlfn.XLOOKUP(role_course_map[[#This Row],[course_id]],course_data[course_id],course_data[type],"")</f>
        <v>eLearning</v>
      </c>
      <c r="K2080" t="str">
        <f>role_course_map[[#This Row],[role_id]] &amp; "|" &amp; role_course_map[[#This Row],[course_id]]</f>
        <v>R0035|999094</v>
      </c>
      <c r="L2080" t="str">
        <f>IF(COUNTIF(role_course_map[mapping_key],role_course_map[[#This Row],[mapping_key]])&gt;1,"DUPLICATE","OK")</f>
        <v>OK</v>
      </c>
      <c r="M2080" t="str">
        <f>IF(COUNTIF(role_data[role_id],role_course_map[[#This Row],[role_id]])=0, "INVALID","VALID")</f>
        <v>VALID</v>
      </c>
      <c r="N2080" t="str">
        <f>IF(COUNTIF(course_data[course_id],role_course_map[[#This Row],[course_id]])=0, "INVALID","VALID")</f>
        <v>VALID</v>
      </c>
    </row>
    <row r="2081" spans="1:14" x14ac:dyDescent="0.35">
      <c r="A2081" t="s">
        <v>82</v>
      </c>
      <c r="B2081" s="5" t="str">
        <f>_xlfn.XLOOKUP(role_course_map[[#This Row],[role_id]], role_data[role_id], role_data[Role],"")</f>
        <v>Senior Fleet Administrator</v>
      </c>
      <c r="C2081">
        <v>999056</v>
      </c>
      <c r="D2081" s="5" t="str">
        <f>_xlfn.XLOOKUP(role_course_map[[#This Row],[course_id]],course_data[course_id],course_data[title],"")</f>
        <v>Driver Assessment &amp; Training</v>
      </c>
      <c r="E2081" s="5" t="str">
        <f>_xlfn.XLOOKUP(role_course_map[[#This Row],[course_id]],course_data[course_id],course_data[topic],"")</f>
        <v>SAS : Health and Safety</v>
      </c>
      <c r="F2081" s="5" t="str">
        <f>_xlfn.XLOOKUP(role_course_map[[#This Row],[course_id]],course_data[course_id],course_data[type],"")</f>
        <v>eLearning</v>
      </c>
      <c r="K2081" t="str">
        <f>role_course_map[[#This Row],[role_id]] &amp; "|" &amp; role_course_map[[#This Row],[course_id]]</f>
        <v>R0036|999056</v>
      </c>
      <c r="L2081" t="str">
        <f>IF(COUNTIF(role_course_map[mapping_key],role_course_map[[#This Row],[mapping_key]])&gt;1,"DUPLICATE","OK")</f>
        <v>OK</v>
      </c>
      <c r="M2081" t="str">
        <f>IF(COUNTIF(role_data[role_id],role_course_map[[#This Row],[role_id]])=0, "INVALID","VALID")</f>
        <v>VALID</v>
      </c>
      <c r="N2081" t="str">
        <f>IF(COUNTIF(course_data[course_id],role_course_map[[#This Row],[course_id]])=0, "INVALID","VALID")</f>
        <v>VALID</v>
      </c>
    </row>
    <row r="2082" spans="1:14" x14ac:dyDescent="0.35">
      <c r="A2082" t="s">
        <v>82</v>
      </c>
      <c r="B2082" s="5" t="str">
        <f>_xlfn.XLOOKUP(role_course_map[[#This Row],[role_id]], role_data[role_id], role_data[Role],"")</f>
        <v>Senior Fleet Administrator</v>
      </c>
      <c r="C2082">
        <v>999057</v>
      </c>
      <c r="D2082" s="5" t="str">
        <f>_xlfn.XLOOKUP(role_course_map[[#This Row],[course_id]],course_data[course_id],course_data[title],"")</f>
        <v>Fatigue Awareness</v>
      </c>
      <c r="E2082" s="5" t="str">
        <f>_xlfn.XLOOKUP(role_course_map[[#This Row],[course_id]],course_data[course_id],course_data[topic],"")</f>
        <v>SAS : Health and Safety</v>
      </c>
      <c r="F2082" s="5" t="str">
        <f>_xlfn.XLOOKUP(role_course_map[[#This Row],[course_id]],course_data[course_id],course_data[type],"")</f>
        <v>eLearning</v>
      </c>
      <c r="K2082" t="str">
        <f>role_course_map[[#This Row],[role_id]] &amp; "|" &amp; role_course_map[[#This Row],[course_id]]</f>
        <v>R0036|999057</v>
      </c>
      <c r="L2082" t="str">
        <f>IF(COUNTIF(role_course_map[mapping_key],role_course_map[[#This Row],[mapping_key]])&gt;1,"DUPLICATE","OK")</f>
        <v>OK</v>
      </c>
      <c r="M2082" t="str">
        <f>IF(COUNTIF(role_data[role_id],role_course_map[[#This Row],[role_id]])=0, "INVALID","VALID")</f>
        <v>VALID</v>
      </c>
      <c r="N2082" t="str">
        <f>IF(COUNTIF(course_data[course_id],role_course_map[[#This Row],[course_id]])=0, "INVALID","VALID")</f>
        <v>VALID</v>
      </c>
    </row>
    <row r="2083" spans="1:14" x14ac:dyDescent="0.35">
      <c r="A2083" t="s">
        <v>82</v>
      </c>
      <c r="B2083" s="5" t="str">
        <f>_xlfn.XLOOKUP(role_course_map[[#This Row],[role_id]], role_data[role_id], role_data[Role],"")</f>
        <v>Senior Fleet Administrator</v>
      </c>
      <c r="C2083">
        <v>999058</v>
      </c>
      <c r="D2083" s="5" t="str">
        <f>_xlfn.XLOOKUP(role_course_map[[#This Row],[course_id]],course_data[course_id],course_data[title],"")</f>
        <v>Stress Identification &amp; Stress Management</v>
      </c>
      <c r="E2083" s="5" t="str">
        <f>_xlfn.XLOOKUP(role_course_map[[#This Row],[course_id]],course_data[course_id],course_data[topic],"")</f>
        <v>SAS : Health and Safety</v>
      </c>
      <c r="F2083" s="5" t="str">
        <f>_xlfn.XLOOKUP(role_course_map[[#This Row],[course_id]],course_data[course_id],course_data[type],"")</f>
        <v>eLearning</v>
      </c>
      <c r="K2083" t="str">
        <f>role_course_map[[#This Row],[role_id]] &amp; "|" &amp; role_course_map[[#This Row],[course_id]]</f>
        <v>R0036|999058</v>
      </c>
      <c r="L2083" t="str">
        <f>IF(COUNTIF(role_course_map[mapping_key],role_course_map[[#This Row],[mapping_key]])&gt;1,"DUPLICATE","OK")</f>
        <v>OK</v>
      </c>
      <c r="M2083" t="str">
        <f>IF(COUNTIF(role_data[role_id],role_course_map[[#This Row],[role_id]])=0, "INVALID","VALID")</f>
        <v>VALID</v>
      </c>
      <c r="N2083" t="str">
        <f>IF(COUNTIF(course_data[course_id],role_course_map[[#This Row],[course_id]])=0, "INVALID","VALID")</f>
        <v>VALID</v>
      </c>
    </row>
    <row r="2084" spans="1:14" x14ac:dyDescent="0.35">
      <c r="A2084" t="s">
        <v>82</v>
      </c>
      <c r="B2084" s="5" t="str">
        <f>_xlfn.XLOOKUP(role_course_map[[#This Row],[role_id]], role_data[role_id], role_data[Role],"")</f>
        <v>Senior Fleet Administrator</v>
      </c>
      <c r="C2084">
        <v>999061</v>
      </c>
      <c r="D2084" s="5" t="str">
        <f>_xlfn.XLOOKUP(role_course_map[[#This Row],[course_id]],course_data[course_id],course_data[title],"")</f>
        <v>Skin Awareness</v>
      </c>
      <c r="E2084" s="5" t="str">
        <f>_xlfn.XLOOKUP(role_course_map[[#This Row],[course_id]],course_data[course_id],course_data[topic],"")</f>
        <v>SAS : Health and Safety</v>
      </c>
      <c r="F2084" s="5" t="str">
        <f>_xlfn.XLOOKUP(role_course_map[[#This Row],[course_id]],course_data[course_id],course_data[type],"")</f>
        <v>eLearning</v>
      </c>
      <c r="K2084" t="str">
        <f>role_course_map[[#This Row],[role_id]] &amp; "|" &amp; role_course_map[[#This Row],[course_id]]</f>
        <v>R0036|999061</v>
      </c>
      <c r="L2084" t="str">
        <f>IF(COUNTIF(role_course_map[mapping_key],role_course_map[[#This Row],[mapping_key]])&gt;1,"DUPLICATE","OK")</f>
        <v>OK</v>
      </c>
      <c r="M2084" t="str">
        <f>IF(COUNTIF(role_data[role_id],role_course_map[[#This Row],[role_id]])=0, "INVALID","VALID")</f>
        <v>VALID</v>
      </c>
      <c r="N2084" t="str">
        <f>IF(COUNTIF(course_data[course_id],role_course_map[[#This Row],[course_id]])=0, "INVALID","VALID")</f>
        <v>VALID</v>
      </c>
    </row>
    <row r="2085" spans="1:14" x14ac:dyDescent="0.35">
      <c r="A2085" t="s">
        <v>82</v>
      </c>
      <c r="B2085" s="5" t="str">
        <f>_xlfn.XLOOKUP(role_course_map[[#This Row],[role_id]], role_data[role_id], role_data[Role],"")</f>
        <v>Senior Fleet Administrator</v>
      </c>
      <c r="C2085">
        <v>999094</v>
      </c>
      <c r="D2085" s="5" t="str">
        <f>_xlfn.XLOOKUP(role_course_map[[#This Row],[course_id]],course_data[course_id],course_data[title],"")</f>
        <v>Being well, Mind, Body &amp; Workplace</v>
      </c>
      <c r="E2085" s="5" t="str">
        <f>_xlfn.XLOOKUP(role_course_map[[#This Row],[course_id]],course_data[course_id],course_data[topic],"")</f>
        <v>SAS: Staff development and experience</v>
      </c>
      <c r="F2085" s="5" t="str">
        <f>_xlfn.XLOOKUP(role_course_map[[#This Row],[course_id]],course_data[course_id],course_data[type],"")</f>
        <v>eLearning</v>
      </c>
      <c r="K2085" t="str">
        <f>role_course_map[[#This Row],[role_id]] &amp; "|" &amp; role_course_map[[#This Row],[course_id]]</f>
        <v>R0036|999094</v>
      </c>
      <c r="L2085" t="str">
        <f>IF(COUNTIF(role_course_map[mapping_key],role_course_map[[#This Row],[mapping_key]])&gt;1,"DUPLICATE","OK")</f>
        <v>OK</v>
      </c>
      <c r="M2085" t="str">
        <f>IF(COUNTIF(role_data[role_id],role_course_map[[#This Row],[role_id]])=0, "INVALID","VALID")</f>
        <v>VALID</v>
      </c>
      <c r="N2085" t="str">
        <f>IF(COUNTIF(course_data[course_id],role_course_map[[#This Row],[course_id]])=0, "INVALID","VALID")</f>
        <v>VALID</v>
      </c>
    </row>
    <row r="2086" spans="1:14" x14ac:dyDescent="0.35">
      <c r="A2086" t="s">
        <v>84</v>
      </c>
      <c r="B2086" s="5" t="str">
        <f>_xlfn.XLOOKUP(role_course_map[[#This Row],[role_id]], role_data[role_id], role_data[Role],"")</f>
        <v>Stores Administrator</v>
      </c>
      <c r="C2086">
        <v>999056</v>
      </c>
      <c r="D2086" s="5" t="str">
        <f>_xlfn.XLOOKUP(role_course_map[[#This Row],[course_id]],course_data[course_id],course_data[title],"")</f>
        <v>Driver Assessment &amp; Training</v>
      </c>
      <c r="E2086" s="5" t="str">
        <f>_xlfn.XLOOKUP(role_course_map[[#This Row],[course_id]],course_data[course_id],course_data[topic],"")</f>
        <v>SAS : Health and Safety</v>
      </c>
      <c r="F2086" s="5" t="str">
        <f>_xlfn.XLOOKUP(role_course_map[[#This Row],[course_id]],course_data[course_id],course_data[type],"")</f>
        <v>eLearning</v>
      </c>
      <c r="K2086" t="str">
        <f>role_course_map[[#This Row],[role_id]] &amp; "|" &amp; role_course_map[[#This Row],[course_id]]</f>
        <v>R0037|999056</v>
      </c>
      <c r="L2086" t="str">
        <f>IF(COUNTIF(role_course_map[mapping_key],role_course_map[[#This Row],[mapping_key]])&gt;1,"DUPLICATE","OK")</f>
        <v>OK</v>
      </c>
      <c r="M2086" t="str">
        <f>IF(COUNTIF(role_data[role_id],role_course_map[[#This Row],[role_id]])=0, "INVALID","VALID")</f>
        <v>VALID</v>
      </c>
      <c r="N2086" t="str">
        <f>IF(COUNTIF(course_data[course_id],role_course_map[[#This Row],[course_id]])=0, "INVALID","VALID")</f>
        <v>VALID</v>
      </c>
    </row>
    <row r="2087" spans="1:14" x14ac:dyDescent="0.35">
      <c r="A2087" t="s">
        <v>84</v>
      </c>
      <c r="B2087" s="5" t="str">
        <f>_xlfn.XLOOKUP(role_course_map[[#This Row],[role_id]], role_data[role_id], role_data[Role],"")</f>
        <v>Stores Administrator</v>
      </c>
      <c r="C2087">
        <v>999057</v>
      </c>
      <c r="D2087" s="5" t="str">
        <f>_xlfn.XLOOKUP(role_course_map[[#This Row],[course_id]],course_data[course_id],course_data[title],"")</f>
        <v>Fatigue Awareness</v>
      </c>
      <c r="E2087" s="5" t="str">
        <f>_xlfn.XLOOKUP(role_course_map[[#This Row],[course_id]],course_data[course_id],course_data[topic],"")</f>
        <v>SAS : Health and Safety</v>
      </c>
      <c r="F2087" s="5" t="str">
        <f>_xlfn.XLOOKUP(role_course_map[[#This Row],[course_id]],course_data[course_id],course_data[type],"")</f>
        <v>eLearning</v>
      </c>
      <c r="K2087" t="str">
        <f>role_course_map[[#This Row],[role_id]] &amp; "|" &amp; role_course_map[[#This Row],[course_id]]</f>
        <v>R0037|999057</v>
      </c>
      <c r="L2087" t="str">
        <f>IF(COUNTIF(role_course_map[mapping_key],role_course_map[[#This Row],[mapping_key]])&gt;1,"DUPLICATE","OK")</f>
        <v>OK</v>
      </c>
      <c r="M2087" t="str">
        <f>IF(COUNTIF(role_data[role_id],role_course_map[[#This Row],[role_id]])=0, "INVALID","VALID")</f>
        <v>VALID</v>
      </c>
      <c r="N2087" t="str">
        <f>IF(COUNTIF(course_data[course_id],role_course_map[[#This Row],[course_id]])=0, "INVALID","VALID")</f>
        <v>VALID</v>
      </c>
    </row>
    <row r="2088" spans="1:14" x14ac:dyDescent="0.35">
      <c r="A2088" t="s">
        <v>84</v>
      </c>
      <c r="B2088" s="5" t="str">
        <f>_xlfn.XLOOKUP(role_course_map[[#This Row],[role_id]], role_data[role_id], role_data[Role],"")</f>
        <v>Stores Administrator</v>
      </c>
      <c r="C2088">
        <v>999058</v>
      </c>
      <c r="D2088" s="5" t="str">
        <f>_xlfn.XLOOKUP(role_course_map[[#This Row],[course_id]],course_data[course_id],course_data[title],"")</f>
        <v>Stress Identification &amp; Stress Management</v>
      </c>
      <c r="E2088" s="5" t="str">
        <f>_xlfn.XLOOKUP(role_course_map[[#This Row],[course_id]],course_data[course_id],course_data[topic],"")</f>
        <v>SAS : Health and Safety</v>
      </c>
      <c r="F2088" s="5" t="str">
        <f>_xlfn.XLOOKUP(role_course_map[[#This Row],[course_id]],course_data[course_id],course_data[type],"")</f>
        <v>eLearning</v>
      </c>
      <c r="K2088" t="str">
        <f>role_course_map[[#This Row],[role_id]] &amp; "|" &amp; role_course_map[[#This Row],[course_id]]</f>
        <v>R0037|999058</v>
      </c>
      <c r="L2088" t="str">
        <f>IF(COUNTIF(role_course_map[mapping_key],role_course_map[[#This Row],[mapping_key]])&gt;1,"DUPLICATE","OK")</f>
        <v>OK</v>
      </c>
      <c r="M2088" t="str">
        <f>IF(COUNTIF(role_data[role_id],role_course_map[[#This Row],[role_id]])=0, "INVALID","VALID")</f>
        <v>VALID</v>
      </c>
      <c r="N2088" t="str">
        <f>IF(COUNTIF(course_data[course_id],role_course_map[[#This Row],[course_id]])=0, "INVALID","VALID")</f>
        <v>VALID</v>
      </c>
    </row>
    <row r="2089" spans="1:14" x14ac:dyDescent="0.35">
      <c r="A2089" t="s">
        <v>84</v>
      </c>
      <c r="B2089" s="5" t="str">
        <f>_xlfn.XLOOKUP(role_course_map[[#This Row],[role_id]], role_data[role_id], role_data[Role],"")</f>
        <v>Stores Administrator</v>
      </c>
      <c r="C2089">
        <v>999061</v>
      </c>
      <c r="D2089" s="5" t="str">
        <f>_xlfn.XLOOKUP(role_course_map[[#This Row],[course_id]],course_data[course_id],course_data[title],"")</f>
        <v>Skin Awareness</v>
      </c>
      <c r="E2089" s="5" t="str">
        <f>_xlfn.XLOOKUP(role_course_map[[#This Row],[course_id]],course_data[course_id],course_data[topic],"")</f>
        <v>SAS : Health and Safety</v>
      </c>
      <c r="F2089" s="5" t="str">
        <f>_xlfn.XLOOKUP(role_course_map[[#This Row],[course_id]],course_data[course_id],course_data[type],"")</f>
        <v>eLearning</v>
      </c>
      <c r="K2089" t="str">
        <f>role_course_map[[#This Row],[role_id]] &amp; "|" &amp; role_course_map[[#This Row],[course_id]]</f>
        <v>R0037|999061</v>
      </c>
      <c r="L2089" t="str">
        <f>IF(COUNTIF(role_course_map[mapping_key],role_course_map[[#This Row],[mapping_key]])&gt;1,"DUPLICATE","OK")</f>
        <v>OK</v>
      </c>
      <c r="M2089" t="str">
        <f>IF(COUNTIF(role_data[role_id],role_course_map[[#This Row],[role_id]])=0, "INVALID","VALID")</f>
        <v>VALID</v>
      </c>
      <c r="N2089" t="str">
        <f>IF(COUNTIF(course_data[course_id],role_course_map[[#This Row],[course_id]])=0, "INVALID","VALID")</f>
        <v>VALID</v>
      </c>
    </row>
    <row r="2090" spans="1:14" x14ac:dyDescent="0.35">
      <c r="A2090" t="s">
        <v>84</v>
      </c>
      <c r="B2090" s="5" t="str">
        <f>_xlfn.XLOOKUP(role_course_map[[#This Row],[role_id]], role_data[role_id], role_data[Role],"")</f>
        <v>Stores Administrator</v>
      </c>
      <c r="C2090">
        <v>999041</v>
      </c>
      <c r="D2090" s="5" t="str">
        <f>_xlfn.XLOOKUP(role_course_map[[#This Row],[course_id]],course_data[course_id],course_data[title],"")</f>
        <v>EV (IMI L1) Charging</v>
      </c>
      <c r="E2090" s="5" t="str">
        <f>_xlfn.XLOOKUP(role_course_map[[#This Row],[course_id]],course_data[course_id],course_data[topic],"")</f>
        <v>SAS : Fleet</v>
      </c>
      <c r="F2090" s="5" t="str">
        <f>_xlfn.XLOOKUP(role_course_map[[#This Row],[course_id]],course_data[course_id],course_data[type],"")</f>
        <v>Course</v>
      </c>
      <c r="K2090" t="str">
        <f>role_course_map[[#This Row],[role_id]] &amp; "|" &amp; role_course_map[[#This Row],[course_id]]</f>
        <v>R0037|999041</v>
      </c>
      <c r="L2090" t="str">
        <f>IF(COUNTIF(role_course_map[mapping_key],role_course_map[[#This Row],[mapping_key]])&gt;1,"DUPLICATE","OK")</f>
        <v>OK</v>
      </c>
      <c r="M2090" t="str">
        <f>IF(COUNTIF(role_data[role_id],role_course_map[[#This Row],[role_id]])=0, "INVALID","VALID")</f>
        <v>VALID</v>
      </c>
      <c r="N2090" t="str">
        <f>IF(COUNTIF(course_data[course_id],role_course_map[[#This Row],[course_id]])=0, "INVALID","VALID")</f>
        <v>VALID</v>
      </c>
    </row>
    <row r="2091" spans="1:14" x14ac:dyDescent="0.35">
      <c r="A2091" t="s">
        <v>84</v>
      </c>
      <c r="B2091" s="5" t="str">
        <f>_xlfn.XLOOKUP(role_course_map[[#This Row],[role_id]], role_data[role_id], role_data[Role],"")</f>
        <v>Stores Administrator</v>
      </c>
      <c r="C2091">
        <v>999094</v>
      </c>
      <c r="D2091" s="5" t="str">
        <f>_xlfn.XLOOKUP(role_course_map[[#This Row],[course_id]],course_data[course_id],course_data[title],"")</f>
        <v>Being well, Mind, Body &amp; Workplace</v>
      </c>
      <c r="E2091" s="5" t="str">
        <f>_xlfn.XLOOKUP(role_course_map[[#This Row],[course_id]],course_data[course_id],course_data[topic],"")</f>
        <v>SAS: Staff development and experience</v>
      </c>
      <c r="F2091" s="5" t="str">
        <f>_xlfn.XLOOKUP(role_course_map[[#This Row],[course_id]],course_data[course_id],course_data[type],"")</f>
        <v>eLearning</v>
      </c>
      <c r="K2091" t="str">
        <f>role_course_map[[#This Row],[role_id]] &amp; "|" &amp; role_course_map[[#This Row],[course_id]]</f>
        <v>R0037|999094</v>
      </c>
      <c r="L2091" t="str">
        <f>IF(COUNTIF(role_course_map[mapping_key],role_course_map[[#This Row],[mapping_key]])&gt;1,"DUPLICATE","OK")</f>
        <v>OK</v>
      </c>
      <c r="M2091" t="str">
        <f>IF(COUNTIF(role_data[role_id],role_course_map[[#This Row],[role_id]])=0, "INVALID","VALID")</f>
        <v>VALID</v>
      </c>
      <c r="N2091" t="str">
        <f>IF(COUNTIF(course_data[course_id],role_course_map[[#This Row],[course_id]])=0, "INVALID","VALID")</f>
        <v>VALID</v>
      </c>
    </row>
    <row r="2092" spans="1:14" x14ac:dyDescent="0.35">
      <c r="A2092" t="s">
        <v>86</v>
      </c>
      <c r="B2092" s="5" t="str">
        <f>_xlfn.XLOOKUP(role_course_map[[#This Row],[role_id]], role_data[role_id], role_data[Role],"")</f>
        <v>Technician</v>
      </c>
      <c r="C2092">
        <v>999056</v>
      </c>
      <c r="D2092" s="5" t="str">
        <f>_xlfn.XLOOKUP(role_course_map[[#This Row],[course_id]],course_data[course_id],course_data[title],"")</f>
        <v>Driver Assessment &amp; Training</v>
      </c>
      <c r="E2092" s="5" t="str">
        <f>_xlfn.XLOOKUP(role_course_map[[#This Row],[course_id]],course_data[course_id],course_data[topic],"")</f>
        <v>SAS : Health and Safety</v>
      </c>
      <c r="F2092" s="5" t="str">
        <f>_xlfn.XLOOKUP(role_course_map[[#This Row],[course_id]],course_data[course_id],course_data[type],"")</f>
        <v>eLearning</v>
      </c>
      <c r="K2092" t="str">
        <f>role_course_map[[#This Row],[role_id]] &amp; "|" &amp; role_course_map[[#This Row],[course_id]]</f>
        <v>R0038|999056</v>
      </c>
      <c r="L2092" t="str">
        <f>IF(COUNTIF(role_course_map[mapping_key],role_course_map[[#This Row],[mapping_key]])&gt;1,"DUPLICATE","OK")</f>
        <v>OK</v>
      </c>
      <c r="M2092" t="str">
        <f>IF(COUNTIF(role_data[role_id],role_course_map[[#This Row],[role_id]])=0, "INVALID","VALID")</f>
        <v>VALID</v>
      </c>
      <c r="N2092" t="str">
        <f>IF(COUNTIF(course_data[course_id],role_course_map[[#This Row],[course_id]])=0, "INVALID","VALID")</f>
        <v>VALID</v>
      </c>
    </row>
    <row r="2093" spans="1:14" x14ac:dyDescent="0.35">
      <c r="A2093" t="s">
        <v>86</v>
      </c>
      <c r="B2093" s="5" t="str">
        <f>_xlfn.XLOOKUP(role_course_map[[#This Row],[role_id]], role_data[role_id], role_data[Role],"")</f>
        <v>Technician</v>
      </c>
      <c r="C2093">
        <v>999057</v>
      </c>
      <c r="D2093" s="5" t="str">
        <f>_xlfn.XLOOKUP(role_course_map[[#This Row],[course_id]],course_data[course_id],course_data[title],"")</f>
        <v>Fatigue Awareness</v>
      </c>
      <c r="E2093" s="5" t="str">
        <f>_xlfn.XLOOKUP(role_course_map[[#This Row],[course_id]],course_data[course_id],course_data[topic],"")</f>
        <v>SAS : Health and Safety</v>
      </c>
      <c r="F2093" s="5" t="str">
        <f>_xlfn.XLOOKUP(role_course_map[[#This Row],[course_id]],course_data[course_id],course_data[type],"")</f>
        <v>eLearning</v>
      </c>
      <c r="K2093" t="str">
        <f>role_course_map[[#This Row],[role_id]] &amp; "|" &amp; role_course_map[[#This Row],[course_id]]</f>
        <v>R0038|999057</v>
      </c>
      <c r="L2093" t="str">
        <f>IF(COUNTIF(role_course_map[mapping_key],role_course_map[[#This Row],[mapping_key]])&gt;1,"DUPLICATE","OK")</f>
        <v>OK</v>
      </c>
      <c r="M2093" t="str">
        <f>IF(COUNTIF(role_data[role_id],role_course_map[[#This Row],[role_id]])=0, "INVALID","VALID")</f>
        <v>VALID</v>
      </c>
      <c r="N2093" t="str">
        <f>IF(COUNTIF(course_data[course_id],role_course_map[[#This Row],[course_id]])=0, "INVALID","VALID")</f>
        <v>VALID</v>
      </c>
    </row>
    <row r="2094" spans="1:14" x14ac:dyDescent="0.35">
      <c r="A2094" t="s">
        <v>86</v>
      </c>
      <c r="B2094" s="5" t="str">
        <f>_xlfn.XLOOKUP(role_course_map[[#This Row],[role_id]], role_data[role_id], role_data[Role],"")</f>
        <v>Technician</v>
      </c>
      <c r="C2094">
        <v>999058</v>
      </c>
      <c r="D2094" s="5" t="str">
        <f>_xlfn.XLOOKUP(role_course_map[[#This Row],[course_id]],course_data[course_id],course_data[title],"")</f>
        <v>Stress Identification &amp; Stress Management</v>
      </c>
      <c r="E2094" s="5" t="str">
        <f>_xlfn.XLOOKUP(role_course_map[[#This Row],[course_id]],course_data[course_id],course_data[topic],"")</f>
        <v>SAS : Health and Safety</v>
      </c>
      <c r="F2094" s="5" t="str">
        <f>_xlfn.XLOOKUP(role_course_map[[#This Row],[course_id]],course_data[course_id],course_data[type],"")</f>
        <v>eLearning</v>
      </c>
      <c r="K2094" t="str">
        <f>role_course_map[[#This Row],[role_id]] &amp; "|" &amp; role_course_map[[#This Row],[course_id]]</f>
        <v>R0038|999058</v>
      </c>
      <c r="L2094" t="str">
        <f>IF(COUNTIF(role_course_map[mapping_key],role_course_map[[#This Row],[mapping_key]])&gt;1,"DUPLICATE","OK")</f>
        <v>OK</v>
      </c>
      <c r="M2094" t="str">
        <f>IF(COUNTIF(role_data[role_id],role_course_map[[#This Row],[role_id]])=0, "INVALID","VALID")</f>
        <v>VALID</v>
      </c>
      <c r="N2094" t="str">
        <f>IF(COUNTIF(course_data[course_id],role_course_map[[#This Row],[course_id]])=0, "INVALID","VALID")</f>
        <v>VALID</v>
      </c>
    </row>
    <row r="2095" spans="1:14" x14ac:dyDescent="0.35">
      <c r="A2095" t="s">
        <v>86</v>
      </c>
      <c r="B2095" s="5" t="str">
        <f>_xlfn.XLOOKUP(role_course_map[[#This Row],[role_id]], role_data[role_id], role_data[Role],"")</f>
        <v>Technician</v>
      </c>
      <c r="C2095">
        <v>999061</v>
      </c>
      <c r="D2095" s="5" t="str">
        <f>_xlfn.XLOOKUP(role_course_map[[#This Row],[course_id]],course_data[course_id],course_data[title],"")</f>
        <v>Skin Awareness</v>
      </c>
      <c r="E2095" s="5" t="str">
        <f>_xlfn.XLOOKUP(role_course_map[[#This Row],[course_id]],course_data[course_id],course_data[topic],"")</f>
        <v>SAS : Health and Safety</v>
      </c>
      <c r="F2095" s="5" t="str">
        <f>_xlfn.XLOOKUP(role_course_map[[#This Row],[course_id]],course_data[course_id],course_data[type],"")</f>
        <v>eLearning</v>
      </c>
      <c r="K2095" t="str">
        <f>role_course_map[[#This Row],[role_id]] &amp; "|" &amp; role_course_map[[#This Row],[course_id]]</f>
        <v>R0038|999061</v>
      </c>
      <c r="L2095" t="str">
        <f>IF(COUNTIF(role_course_map[mapping_key],role_course_map[[#This Row],[mapping_key]])&gt;1,"DUPLICATE","OK")</f>
        <v>OK</v>
      </c>
      <c r="M2095" t="str">
        <f>IF(COUNTIF(role_data[role_id],role_course_map[[#This Row],[role_id]])=0, "INVALID","VALID")</f>
        <v>VALID</v>
      </c>
      <c r="N2095" t="str">
        <f>IF(COUNTIF(course_data[course_id],role_course_map[[#This Row],[course_id]])=0, "INVALID","VALID")</f>
        <v>VALID</v>
      </c>
    </row>
    <row r="2096" spans="1:14" x14ac:dyDescent="0.35">
      <c r="A2096" t="s">
        <v>86</v>
      </c>
      <c r="B2096" s="5" t="str">
        <f>_xlfn.XLOOKUP(role_course_map[[#This Row],[role_id]], role_data[role_id], role_data[Role],"")</f>
        <v>Technician</v>
      </c>
      <c r="C2096">
        <v>999037</v>
      </c>
      <c r="D2096" s="5" t="str">
        <f>_xlfn.XLOOKUP(role_course_map[[#This Row],[course_id]],course_data[course_id],course_data[title],"")</f>
        <v>Grindstone Wheel Training</v>
      </c>
      <c r="E2096" s="5" t="str">
        <f>_xlfn.XLOOKUP(role_course_map[[#This Row],[course_id]],course_data[course_id],course_data[topic],"")</f>
        <v>SAS : Fleet</v>
      </c>
      <c r="F2096" s="5" t="str">
        <f>_xlfn.XLOOKUP(role_course_map[[#This Row],[course_id]],course_data[course_id],course_data[type],"")</f>
        <v>Course</v>
      </c>
      <c r="K2096" t="str">
        <f>role_course_map[[#This Row],[role_id]] &amp; "|" &amp; role_course_map[[#This Row],[course_id]]</f>
        <v>R0038|999037</v>
      </c>
      <c r="L2096" t="str">
        <f>IF(COUNTIF(role_course_map[mapping_key],role_course_map[[#This Row],[mapping_key]])&gt;1,"DUPLICATE","OK")</f>
        <v>OK</v>
      </c>
      <c r="M2096" t="str">
        <f>IF(COUNTIF(role_data[role_id],role_course_map[[#This Row],[role_id]])=0, "INVALID","VALID")</f>
        <v>VALID</v>
      </c>
      <c r="N2096" t="str">
        <f>IF(COUNTIF(course_data[course_id],role_course_map[[#This Row],[course_id]])=0, "INVALID","VALID")</f>
        <v>VALID</v>
      </c>
    </row>
    <row r="2097" spans="1:14" x14ac:dyDescent="0.35">
      <c r="A2097" t="s">
        <v>86</v>
      </c>
      <c r="B2097" s="5" t="str">
        <f>_xlfn.XLOOKUP(role_course_map[[#This Row],[role_id]], role_data[role_id], role_data[Role],"")</f>
        <v>Technician</v>
      </c>
      <c r="C2097">
        <v>999038</v>
      </c>
      <c r="D2097" s="5" t="str">
        <f>_xlfn.XLOOKUP(role_course_map[[#This Row],[course_id]],course_data[course_id],course_data[title],"")</f>
        <v>Monthly Workshop Inspection (Evotix)</v>
      </c>
      <c r="E2097" s="5" t="str">
        <f>_xlfn.XLOOKUP(role_course_map[[#This Row],[course_id]],course_data[course_id],course_data[topic],"")</f>
        <v>SAS : Fleet</v>
      </c>
      <c r="F2097" s="5" t="str">
        <f>_xlfn.XLOOKUP(role_course_map[[#This Row],[course_id]],course_data[course_id],course_data[type],"")</f>
        <v>Course</v>
      </c>
      <c r="K2097" t="str">
        <f>role_course_map[[#This Row],[role_id]] &amp; "|" &amp; role_course_map[[#This Row],[course_id]]</f>
        <v>R0038|999038</v>
      </c>
      <c r="L2097" t="str">
        <f>IF(COUNTIF(role_course_map[mapping_key],role_course_map[[#This Row],[mapping_key]])&gt;1,"DUPLICATE","OK")</f>
        <v>OK</v>
      </c>
      <c r="M2097" t="str">
        <f>IF(COUNTIF(role_data[role_id],role_course_map[[#This Row],[role_id]])=0, "INVALID","VALID")</f>
        <v>VALID</v>
      </c>
      <c r="N2097" t="str">
        <f>IF(COUNTIF(course_data[course_id],role_course_map[[#This Row],[course_id]])=0, "INVALID","VALID")</f>
        <v>VALID</v>
      </c>
    </row>
    <row r="2098" spans="1:14" x14ac:dyDescent="0.35">
      <c r="A2098" t="s">
        <v>86</v>
      </c>
      <c r="B2098" s="5" t="str">
        <f>_xlfn.XLOOKUP(role_course_map[[#This Row],[role_id]], role_data[role_id], role_data[Role],"")</f>
        <v>Technician</v>
      </c>
      <c r="C2098">
        <v>999039</v>
      </c>
      <c r="D2098" s="5" t="str">
        <f>_xlfn.XLOOKUP(role_course_map[[#This Row],[course_id]],course_data[course_id],course_data[title],"")</f>
        <v>AAT CMax (Stair climber)</v>
      </c>
      <c r="E2098" s="5" t="str">
        <f>_xlfn.XLOOKUP(role_course_map[[#This Row],[course_id]],course_data[course_id],course_data[topic],"")</f>
        <v>SAS : Fleet</v>
      </c>
      <c r="F2098" s="5" t="str">
        <f>_xlfn.XLOOKUP(role_course_map[[#This Row],[course_id]],course_data[course_id],course_data[type],"")</f>
        <v>Course</v>
      </c>
      <c r="K2098" t="str">
        <f>role_course_map[[#This Row],[role_id]] &amp; "|" &amp; role_course_map[[#This Row],[course_id]]</f>
        <v>R0038|999039</v>
      </c>
      <c r="L2098" t="str">
        <f>IF(COUNTIF(role_course_map[mapping_key],role_course_map[[#This Row],[mapping_key]])&gt;1,"DUPLICATE","OK")</f>
        <v>OK</v>
      </c>
      <c r="M2098" t="str">
        <f>IF(COUNTIF(role_data[role_id],role_course_map[[#This Row],[role_id]])=0, "INVALID","VALID")</f>
        <v>VALID</v>
      </c>
      <c r="N2098" t="str">
        <f>IF(COUNTIF(course_data[course_id],role_course_map[[#This Row],[course_id]])=0, "INVALID","VALID")</f>
        <v>VALID</v>
      </c>
    </row>
    <row r="2099" spans="1:14" x14ac:dyDescent="0.35">
      <c r="A2099" t="s">
        <v>86</v>
      </c>
      <c r="B2099" s="5" t="str">
        <f>_xlfn.XLOOKUP(role_course_map[[#This Row],[role_id]], role_data[role_id], role_data[Role],"")</f>
        <v>Technician</v>
      </c>
      <c r="C2099">
        <v>999040</v>
      </c>
      <c r="D2099" s="5" t="str">
        <f>_xlfn.XLOOKUP(role_course_map[[#This Row],[course_id]],course_data[course_id],course_data[title],"")</f>
        <v>Eberspaecher heater and aircon</v>
      </c>
      <c r="E2099" s="5" t="str">
        <f>_xlfn.XLOOKUP(role_course_map[[#This Row],[course_id]],course_data[course_id],course_data[topic],"")</f>
        <v>SAS : Fleet</v>
      </c>
      <c r="F2099" s="5" t="str">
        <f>_xlfn.XLOOKUP(role_course_map[[#This Row],[course_id]],course_data[course_id],course_data[type],"")</f>
        <v>Course</v>
      </c>
      <c r="K2099" t="str">
        <f>role_course_map[[#This Row],[role_id]] &amp; "|" &amp; role_course_map[[#This Row],[course_id]]</f>
        <v>R0038|999040</v>
      </c>
      <c r="L2099" t="str">
        <f>IF(COUNTIF(role_course_map[mapping_key],role_course_map[[#This Row],[mapping_key]])&gt;1,"DUPLICATE","OK")</f>
        <v>OK</v>
      </c>
      <c r="M2099" t="str">
        <f>IF(COUNTIF(role_data[role_id],role_course_map[[#This Row],[role_id]])=0, "INVALID","VALID")</f>
        <v>VALID</v>
      </c>
      <c r="N2099" t="str">
        <f>IF(COUNTIF(course_data[course_id],role_course_map[[#This Row],[course_id]])=0, "INVALID","VALID")</f>
        <v>VALID</v>
      </c>
    </row>
    <row r="2100" spans="1:14" x14ac:dyDescent="0.35">
      <c r="A2100" t="s">
        <v>86</v>
      </c>
      <c r="B2100" s="5" t="str">
        <f>_xlfn.XLOOKUP(role_course_map[[#This Row],[role_id]], role_data[role_id], role_data[Role],"")</f>
        <v>Technician</v>
      </c>
      <c r="C2100">
        <v>999041</v>
      </c>
      <c r="D2100" s="5" t="str">
        <f>_xlfn.XLOOKUP(role_course_map[[#This Row],[course_id]],course_data[course_id],course_data[title],"")</f>
        <v>EV (IMI L1) Charging</v>
      </c>
      <c r="E2100" s="5" t="str">
        <f>_xlfn.XLOOKUP(role_course_map[[#This Row],[course_id]],course_data[course_id],course_data[topic],"")</f>
        <v>SAS : Fleet</v>
      </c>
      <c r="F2100" s="5" t="str">
        <f>_xlfn.XLOOKUP(role_course_map[[#This Row],[course_id]],course_data[course_id],course_data[type],"")</f>
        <v>Course</v>
      </c>
      <c r="K2100" t="str">
        <f>role_course_map[[#This Row],[role_id]] &amp; "|" &amp; role_course_map[[#This Row],[course_id]]</f>
        <v>R0038|999041</v>
      </c>
      <c r="L2100" t="str">
        <f>IF(COUNTIF(role_course_map[mapping_key],role_course_map[[#This Row],[mapping_key]])&gt;1,"DUPLICATE","OK")</f>
        <v>OK</v>
      </c>
      <c r="M2100" t="str">
        <f>IF(COUNTIF(role_data[role_id],role_course_map[[#This Row],[role_id]])=0, "INVALID","VALID")</f>
        <v>VALID</v>
      </c>
      <c r="N2100" t="str">
        <f>IF(COUNTIF(course_data[course_id],role_course_map[[#This Row],[course_id]])=0, "INVALID","VALID")</f>
        <v>VALID</v>
      </c>
    </row>
    <row r="2101" spans="1:14" x14ac:dyDescent="0.35">
      <c r="A2101" t="s">
        <v>86</v>
      </c>
      <c r="B2101" s="5" t="str">
        <f>_xlfn.XLOOKUP(role_course_map[[#This Row],[role_id]], role_data[role_id], role_data[Role],"")</f>
        <v>Technician</v>
      </c>
      <c r="C2101">
        <v>999042</v>
      </c>
      <c r="D2101" s="5" t="str">
        <f>_xlfn.XLOOKUP(role_course_map[[#This Row],[course_id]],course_data[course_id],course_data[title],"")</f>
        <v>EV (IMI L2)</v>
      </c>
      <c r="E2101" s="5" t="str">
        <f>_xlfn.XLOOKUP(role_course_map[[#This Row],[course_id]],course_data[course_id],course_data[topic],"")</f>
        <v>SAS : Fleet</v>
      </c>
      <c r="F2101" s="5" t="str">
        <f>_xlfn.XLOOKUP(role_course_map[[#This Row],[course_id]],course_data[course_id],course_data[type],"")</f>
        <v>Course</v>
      </c>
      <c r="K2101" t="str">
        <f>role_course_map[[#This Row],[role_id]] &amp; "|" &amp; role_course_map[[#This Row],[course_id]]</f>
        <v>R0038|999042</v>
      </c>
      <c r="L2101" t="str">
        <f>IF(COUNTIF(role_course_map[mapping_key],role_course_map[[#This Row],[mapping_key]])&gt;1,"DUPLICATE","OK")</f>
        <v>OK</v>
      </c>
      <c r="M2101" t="str">
        <f>IF(COUNTIF(role_data[role_id],role_course_map[[#This Row],[role_id]])=0, "INVALID","VALID")</f>
        <v>VALID</v>
      </c>
      <c r="N2101" t="str">
        <f>IF(COUNTIF(course_data[course_id],role_course_map[[#This Row],[course_id]])=0, "INVALID","VALID")</f>
        <v>VALID</v>
      </c>
    </row>
    <row r="2102" spans="1:14" x14ac:dyDescent="0.35">
      <c r="A2102" t="s">
        <v>86</v>
      </c>
      <c r="B2102" s="5" t="str">
        <f>_xlfn.XLOOKUP(role_course_map[[#This Row],[role_id]], role_data[role_id], role_data[Role],"")</f>
        <v>Technician</v>
      </c>
      <c r="C2102">
        <v>999043</v>
      </c>
      <c r="D2102" s="5" t="str">
        <f>_xlfn.XLOOKUP(role_course_map[[#This Row],[course_id]],course_data[course_id],course_data[title],"")</f>
        <v>Ferno Equipment</v>
      </c>
      <c r="E2102" s="5" t="str">
        <f>_xlfn.XLOOKUP(role_course_map[[#This Row],[course_id]],course_data[course_id],course_data[topic],"")</f>
        <v>SAS : Fleet</v>
      </c>
      <c r="F2102" s="5" t="str">
        <f>_xlfn.XLOOKUP(role_course_map[[#This Row],[course_id]],course_data[course_id],course_data[type],"")</f>
        <v>Course</v>
      </c>
      <c r="K2102" t="str">
        <f>role_course_map[[#This Row],[role_id]] &amp; "|" &amp; role_course_map[[#This Row],[course_id]]</f>
        <v>R0038|999043</v>
      </c>
      <c r="L2102" t="str">
        <f>IF(COUNTIF(role_course_map[mapping_key],role_course_map[[#This Row],[mapping_key]])&gt;1,"DUPLICATE","OK")</f>
        <v>OK</v>
      </c>
      <c r="M2102" t="str">
        <f>IF(COUNTIF(role_data[role_id],role_course_map[[#This Row],[role_id]])=0, "INVALID","VALID")</f>
        <v>VALID</v>
      </c>
      <c r="N2102" t="str">
        <f>IF(COUNTIF(course_data[course_id],role_course_map[[#This Row],[course_id]])=0, "INVALID","VALID")</f>
        <v>VALID</v>
      </c>
    </row>
    <row r="2103" spans="1:14" x14ac:dyDescent="0.35">
      <c r="A2103" t="s">
        <v>86</v>
      </c>
      <c r="B2103" s="5" t="str">
        <f>_xlfn.XLOOKUP(role_course_map[[#This Row],[role_id]], role_data[role_id], role_data[Role],"")</f>
        <v>Technician</v>
      </c>
      <c r="C2103">
        <v>999044</v>
      </c>
      <c r="D2103" s="5" t="str">
        <f>_xlfn.XLOOKUP(role_course_map[[#This Row],[course_id]],course_data[course_id],course_data[title],"")</f>
        <v>Ibex (Mk 5 chair)</v>
      </c>
      <c r="E2103" s="5" t="str">
        <f>_xlfn.XLOOKUP(role_course_map[[#This Row],[course_id]],course_data[course_id],course_data[topic],"")</f>
        <v>SAS : Fleet</v>
      </c>
      <c r="F2103" s="5" t="str">
        <f>_xlfn.XLOOKUP(role_course_map[[#This Row],[course_id]],course_data[course_id],course_data[type],"")</f>
        <v>Course</v>
      </c>
      <c r="K2103" t="str">
        <f>role_course_map[[#This Row],[role_id]] &amp; "|" &amp; role_course_map[[#This Row],[course_id]]</f>
        <v>R0038|999044</v>
      </c>
      <c r="L2103" t="str">
        <f>IF(COUNTIF(role_course_map[mapping_key],role_course_map[[#This Row],[mapping_key]])&gt;1,"DUPLICATE","OK")</f>
        <v>OK</v>
      </c>
      <c r="M2103" t="str">
        <f>IF(COUNTIF(role_data[role_id],role_course_map[[#This Row],[role_id]])=0, "INVALID","VALID")</f>
        <v>VALID</v>
      </c>
      <c r="N2103" t="str">
        <f>IF(COUNTIF(course_data[course_id],role_course_map[[#This Row],[course_id]])=0, "INVALID","VALID")</f>
        <v>VALID</v>
      </c>
    </row>
    <row r="2104" spans="1:14" x14ac:dyDescent="0.35">
      <c r="A2104" t="s">
        <v>86</v>
      </c>
      <c r="B2104" s="5" t="str">
        <f>_xlfn.XLOOKUP(role_course_map[[#This Row],[role_id]], role_data[role_id], role_data[Role],"")</f>
        <v>Technician</v>
      </c>
      <c r="C2104">
        <v>999045</v>
      </c>
      <c r="D2104" s="5" t="str">
        <f>_xlfn.XLOOKUP(role_course_map[[#This Row],[course_id]],course_data[course_id],course_data[title],"")</f>
        <v>Mangar (Airflo)</v>
      </c>
      <c r="E2104" s="5" t="str">
        <f>_xlfn.XLOOKUP(role_course_map[[#This Row],[course_id]],course_data[course_id],course_data[topic],"")</f>
        <v>SAS : Fleet</v>
      </c>
      <c r="F2104" s="5" t="str">
        <f>_xlfn.XLOOKUP(role_course_map[[#This Row],[course_id]],course_data[course_id],course_data[type],"")</f>
        <v>Course</v>
      </c>
      <c r="K2104" t="str">
        <f>role_course_map[[#This Row],[role_id]] &amp; "|" &amp; role_course_map[[#This Row],[course_id]]</f>
        <v>R0038|999045</v>
      </c>
      <c r="L2104" t="str">
        <f>IF(COUNTIF(role_course_map[mapping_key],role_course_map[[#This Row],[mapping_key]])&gt;1,"DUPLICATE","OK")</f>
        <v>OK</v>
      </c>
      <c r="M2104" t="str">
        <f>IF(COUNTIF(role_data[role_id],role_course_map[[#This Row],[role_id]])=0, "INVALID","VALID")</f>
        <v>VALID</v>
      </c>
      <c r="N2104" t="str">
        <f>IF(COUNTIF(course_data[course_id],role_course_map[[#This Row],[course_id]])=0, "INVALID","VALID")</f>
        <v>VALID</v>
      </c>
    </row>
    <row r="2105" spans="1:14" x14ac:dyDescent="0.35">
      <c r="A2105" t="s">
        <v>86</v>
      </c>
      <c r="B2105" s="5" t="str">
        <f>_xlfn.XLOOKUP(role_course_map[[#This Row],[role_id]], role_data[role_id], role_data[Role],"")</f>
        <v>Technician</v>
      </c>
      <c r="C2105">
        <v>999046</v>
      </c>
      <c r="D2105" s="5" t="str">
        <f>_xlfn.XLOOKUP(role_course_map[[#This Row],[course_id]],course_data[course_id],course_data[title],"")</f>
        <v>Mercedes Diagnostics (XENTRY)</v>
      </c>
      <c r="E2105" s="5" t="str">
        <f>_xlfn.XLOOKUP(role_course_map[[#This Row],[course_id]],course_data[course_id],course_data[topic],"")</f>
        <v>SAS : Fleet</v>
      </c>
      <c r="F2105" s="5" t="str">
        <f>_xlfn.XLOOKUP(role_course_map[[#This Row],[course_id]],course_data[course_id],course_data[type],"")</f>
        <v>Course</v>
      </c>
      <c r="K2105" t="str">
        <f>role_course_map[[#This Row],[role_id]] &amp; "|" &amp; role_course_map[[#This Row],[course_id]]</f>
        <v>R0038|999046</v>
      </c>
      <c r="L2105" t="str">
        <f>IF(COUNTIF(role_course_map[mapping_key],role_course_map[[#This Row],[mapping_key]])&gt;1,"DUPLICATE","OK")</f>
        <v>OK</v>
      </c>
      <c r="M2105" t="str">
        <f>IF(COUNTIF(role_data[role_id],role_course_map[[#This Row],[role_id]])=0, "INVALID","VALID")</f>
        <v>VALID</v>
      </c>
      <c r="N2105" t="str">
        <f>IF(COUNTIF(course_data[course_id],role_course_map[[#This Row],[course_id]])=0, "INVALID","VALID")</f>
        <v>VALID</v>
      </c>
    </row>
    <row r="2106" spans="1:14" x14ac:dyDescent="0.35">
      <c r="A2106" t="s">
        <v>86</v>
      </c>
      <c r="B2106" s="5" t="str">
        <f>_xlfn.XLOOKUP(role_course_map[[#This Row],[role_id]], role_data[role_id], role_data[Role],"")</f>
        <v>Technician</v>
      </c>
      <c r="C2106">
        <v>999047</v>
      </c>
      <c r="D2106" s="5" t="str">
        <f>_xlfn.XLOOKUP(role_course_map[[#This Row],[course_id]],course_data[course_id],course_data[title],"")</f>
        <v>Peugeot Diagnostics (DIAGBOX)</v>
      </c>
      <c r="E2106" s="5" t="str">
        <f>_xlfn.XLOOKUP(role_course_map[[#This Row],[course_id]],course_data[course_id],course_data[topic],"")</f>
        <v>SAS : Fleet</v>
      </c>
      <c r="F2106" s="5" t="str">
        <f>_xlfn.XLOOKUP(role_course_map[[#This Row],[course_id]],course_data[course_id],course_data[type],"")</f>
        <v>Course</v>
      </c>
      <c r="K2106" t="str">
        <f>role_course_map[[#This Row],[role_id]] &amp; "|" &amp; role_course_map[[#This Row],[course_id]]</f>
        <v>R0038|999047</v>
      </c>
      <c r="L2106" t="str">
        <f>IF(COUNTIF(role_course_map[mapping_key],role_course_map[[#This Row],[mapping_key]])&gt;1,"DUPLICATE","OK")</f>
        <v>OK</v>
      </c>
      <c r="M2106" t="str">
        <f>IF(COUNTIF(role_data[role_id],role_course_map[[#This Row],[role_id]])=0, "INVALID","VALID")</f>
        <v>VALID</v>
      </c>
      <c r="N2106" t="str">
        <f>IF(COUNTIF(course_data[course_id],role_course_map[[#This Row],[course_id]])=0, "INVALID","VALID")</f>
        <v>VALID</v>
      </c>
    </row>
    <row r="2107" spans="1:14" x14ac:dyDescent="0.35">
      <c r="A2107" t="s">
        <v>86</v>
      </c>
      <c r="B2107" s="5" t="str">
        <f>_xlfn.XLOOKUP(role_course_map[[#This Row],[role_id]], role_data[role_id], role_data[Role],"")</f>
        <v>Technician</v>
      </c>
      <c r="C2107">
        <v>999048</v>
      </c>
      <c r="D2107" s="5" t="str">
        <f>_xlfn.XLOOKUP(role_course_map[[#This Row],[course_id]],course_data[course_id],course_data[title],"")</f>
        <v>Stryker Equipment</v>
      </c>
      <c r="E2107" s="5" t="str">
        <f>_xlfn.XLOOKUP(role_course_map[[#This Row],[course_id]],course_data[course_id],course_data[topic],"")</f>
        <v>SAS : Fleet</v>
      </c>
      <c r="F2107" s="5" t="str">
        <f>_xlfn.XLOOKUP(role_course_map[[#This Row],[course_id]],course_data[course_id],course_data[type],"")</f>
        <v>Course</v>
      </c>
      <c r="K2107" t="str">
        <f>role_course_map[[#This Row],[role_id]] &amp; "|" &amp; role_course_map[[#This Row],[course_id]]</f>
        <v>R0038|999048</v>
      </c>
      <c r="L2107" t="str">
        <f>IF(COUNTIF(role_course_map[mapping_key],role_course_map[[#This Row],[mapping_key]])&gt;1,"DUPLICATE","OK")</f>
        <v>OK</v>
      </c>
      <c r="M2107" t="str">
        <f>IF(COUNTIF(role_data[role_id],role_course_map[[#This Row],[role_id]])=0, "INVALID","VALID")</f>
        <v>VALID</v>
      </c>
      <c r="N2107" t="str">
        <f>IF(COUNTIF(course_data[course_id],role_course_map[[#This Row],[course_id]])=0, "INVALID","VALID")</f>
        <v>VALID</v>
      </c>
    </row>
    <row r="2108" spans="1:14" x14ac:dyDescent="0.35">
      <c r="A2108" t="s">
        <v>86</v>
      </c>
      <c r="B2108" s="5" t="str">
        <f>_xlfn.XLOOKUP(role_course_map[[#This Row],[role_id]], role_data[role_id], role_data[Role],"")</f>
        <v>Technician</v>
      </c>
      <c r="C2108">
        <v>999049</v>
      </c>
      <c r="D2108" s="5" t="str">
        <f>_xlfn.XLOOKUP(role_course_map[[#This Row],[course_id]],course_data[course_id],course_data[title],"")</f>
        <v>VB Suspension</v>
      </c>
      <c r="E2108" s="5" t="str">
        <f>_xlfn.XLOOKUP(role_course_map[[#This Row],[course_id]],course_data[course_id],course_data[topic],"")</f>
        <v>SAS : Fleet</v>
      </c>
      <c r="F2108" s="5" t="str">
        <f>_xlfn.XLOOKUP(role_course_map[[#This Row],[course_id]],course_data[course_id],course_data[type],"")</f>
        <v>Course</v>
      </c>
      <c r="K2108" t="str">
        <f>role_course_map[[#This Row],[role_id]] &amp; "|" &amp; role_course_map[[#This Row],[course_id]]</f>
        <v>R0038|999049</v>
      </c>
      <c r="L2108" t="str">
        <f>IF(COUNTIF(role_course_map[mapping_key],role_course_map[[#This Row],[mapping_key]])&gt;1,"DUPLICATE","OK")</f>
        <v>OK</v>
      </c>
      <c r="M2108" t="str">
        <f>IF(COUNTIF(role_data[role_id],role_course_map[[#This Row],[role_id]])=0, "INVALID","VALID")</f>
        <v>VALID</v>
      </c>
      <c r="N2108" t="str">
        <f>IF(COUNTIF(course_data[course_id],role_course_map[[#This Row],[course_id]])=0, "INVALID","VALID")</f>
        <v>VALID</v>
      </c>
    </row>
    <row r="2109" spans="1:14" x14ac:dyDescent="0.35">
      <c r="A2109" t="s">
        <v>86</v>
      </c>
      <c r="B2109" s="5" t="str">
        <f>_xlfn.XLOOKUP(role_course_map[[#This Row],[role_id]], role_data[role_id], role_data[Role],"")</f>
        <v>Technician</v>
      </c>
      <c r="C2109">
        <v>999050</v>
      </c>
      <c r="D2109" s="5" t="str">
        <f>_xlfn.XLOOKUP(role_course_map[[#This Row],[course_id]],course_data[course_id],course_data[title],"")</f>
        <v>W.A.S. &amp; Palfinger</v>
      </c>
      <c r="E2109" s="5" t="str">
        <f>_xlfn.XLOOKUP(role_course_map[[#This Row],[course_id]],course_data[course_id],course_data[topic],"")</f>
        <v>SAS : Fleet</v>
      </c>
      <c r="F2109" s="5" t="str">
        <f>_xlfn.XLOOKUP(role_course_map[[#This Row],[course_id]],course_data[course_id],course_data[type],"")</f>
        <v>Course</v>
      </c>
      <c r="K2109" t="str">
        <f>role_course_map[[#This Row],[role_id]] &amp; "|" &amp; role_course_map[[#This Row],[course_id]]</f>
        <v>R0038|999050</v>
      </c>
      <c r="L2109" t="str">
        <f>IF(COUNTIF(role_course_map[mapping_key],role_course_map[[#This Row],[mapping_key]])&gt;1,"DUPLICATE","OK")</f>
        <v>OK</v>
      </c>
      <c r="M2109" t="str">
        <f>IF(COUNTIF(role_data[role_id],role_course_map[[#This Row],[role_id]])=0, "INVALID","VALID")</f>
        <v>VALID</v>
      </c>
      <c r="N2109" t="str">
        <f>IF(COUNTIF(course_data[course_id],role_course_map[[#This Row],[course_id]])=0, "INVALID","VALID")</f>
        <v>VALID</v>
      </c>
    </row>
    <row r="2110" spans="1:14" x14ac:dyDescent="0.35">
      <c r="A2110" t="s">
        <v>86</v>
      </c>
      <c r="B2110" s="5" t="str">
        <f>_xlfn.XLOOKUP(role_course_map[[#This Row],[role_id]], role_data[role_id], role_data[Role],"")</f>
        <v>Technician</v>
      </c>
      <c r="C2110">
        <v>999051</v>
      </c>
      <c r="D2110" s="5" t="str">
        <f>_xlfn.XLOOKUP(role_course_map[[#This Row],[course_id]],course_data[course_id],course_data[title],"")</f>
        <v>XL (Access XL APD500 Tail lift)</v>
      </c>
      <c r="E2110" s="5" t="str">
        <f>_xlfn.XLOOKUP(role_course_map[[#This Row],[course_id]],course_data[course_id],course_data[topic],"")</f>
        <v>SAS : Fleet</v>
      </c>
      <c r="F2110" s="5" t="str">
        <f>_xlfn.XLOOKUP(role_course_map[[#This Row],[course_id]],course_data[course_id],course_data[type],"")</f>
        <v>Course</v>
      </c>
      <c r="K2110" t="str">
        <f>role_course_map[[#This Row],[role_id]] &amp; "|" &amp; role_course_map[[#This Row],[course_id]]</f>
        <v>R0038|999051</v>
      </c>
      <c r="L2110" t="str">
        <f>IF(COUNTIF(role_course_map[mapping_key],role_course_map[[#This Row],[mapping_key]])&gt;1,"DUPLICATE","OK")</f>
        <v>OK</v>
      </c>
      <c r="M2110" t="str">
        <f>IF(COUNTIF(role_data[role_id],role_course_map[[#This Row],[role_id]])=0, "INVALID","VALID")</f>
        <v>VALID</v>
      </c>
      <c r="N2110" t="str">
        <f>IF(COUNTIF(course_data[course_id],role_course_map[[#This Row],[course_id]])=0, "INVALID","VALID")</f>
        <v>VALID</v>
      </c>
    </row>
    <row r="2111" spans="1:14" x14ac:dyDescent="0.35">
      <c r="A2111" t="s">
        <v>86</v>
      </c>
      <c r="B2111" s="5" t="str">
        <f>_xlfn.XLOOKUP(role_course_map[[#This Row],[role_id]], role_data[role_id], role_data[Role],"")</f>
        <v>Technician</v>
      </c>
      <c r="C2111">
        <v>999052</v>
      </c>
      <c r="D2111" s="5" t="str">
        <f>_xlfn.XLOOKUP(role_course_map[[#This Row],[course_id]],course_data[course_id],course_data[title],"")</f>
        <v>McCauly's Tail lift</v>
      </c>
      <c r="E2111" s="5" t="str">
        <f>_xlfn.XLOOKUP(role_course_map[[#This Row],[course_id]],course_data[course_id],course_data[topic],"")</f>
        <v>SAS : Fleet</v>
      </c>
      <c r="F2111" s="5" t="str">
        <f>_xlfn.XLOOKUP(role_course_map[[#This Row],[course_id]],course_data[course_id],course_data[type],"")</f>
        <v>Course</v>
      </c>
      <c r="K2111" t="str">
        <f>role_course_map[[#This Row],[role_id]] &amp; "|" &amp; role_course_map[[#This Row],[course_id]]</f>
        <v>R0038|999052</v>
      </c>
      <c r="L2111" t="str">
        <f>IF(COUNTIF(role_course_map[mapping_key],role_course_map[[#This Row],[mapping_key]])&gt;1,"DUPLICATE","OK")</f>
        <v>OK</v>
      </c>
      <c r="M2111" t="str">
        <f>IF(COUNTIF(role_data[role_id],role_course_map[[#This Row],[role_id]])=0, "INVALID","VALID")</f>
        <v>VALID</v>
      </c>
      <c r="N2111" t="str">
        <f>IF(COUNTIF(course_data[course_id],role_course_map[[#This Row],[course_id]])=0, "INVALID","VALID")</f>
        <v>VALID</v>
      </c>
    </row>
    <row r="2112" spans="1:14" x14ac:dyDescent="0.35">
      <c r="A2112" t="s">
        <v>86</v>
      </c>
      <c r="B2112" s="5" t="str">
        <f>_xlfn.XLOOKUP(role_course_map[[#This Row],[role_id]], role_data[role_id], role_data[Role],"")</f>
        <v>Technician</v>
      </c>
      <c r="C2112">
        <v>999053</v>
      </c>
      <c r="D2112" s="5" t="str">
        <f>_xlfn.XLOOKUP(role_course_map[[#This Row],[course_id]],course_data[course_id],course_data[title],"")</f>
        <v>Webasto heater and aircon</v>
      </c>
      <c r="E2112" s="5" t="str">
        <f>_xlfn.XLOOKUP(role_course_map[[#This Row],[course_id]],course_data[course_id],course_data[topic],"")</f>
        <v>SAS : Fleet</v>
      </c>
      <c r="F2112" s="5" t="str">
        <f>_xlfn.XLOOKUP(role_course_map[[#This Row],[course_id]],course_data[course_id],course_data[type],"")</f>
        <v>Course</v>
      </c>
      <c r="K2112" t="str">
        <f>role_course_map[[#This Row],[role_id]] &amp; "|" &amp; role_course_map[[#This Row],[course_id]]</f>
        <v>R0038|999053</v>
      </c>
      <c r="L2112" t="str">
        <f>IF(COUNTIF(role_course_map[mapping_key],role_course_map[[#This Row],[mapping_key]])&gt;1,"DUPLICATE","OK")</f>
        <v>OK</v>
      </c>
      <c r="M2112" t="str">
        <f>IF(COUNTIF(role_data[role_id],role_course_map[[#This Row],[role_id]])=0, "INVALID","VALID")</f>
        <v>VALID</v>
      </c>
      <c r="N2112" t="str">
        <f>IF(COUNTIF(course_data[course_id],role_course_map[[#This Row],[course_id]])=0, "INVALID","VALID")</f>
        <v>VALID</v>
      </c>
    </row>
    <row r="2113" spans="1:14" x14ac:dyDescent="0.35">
      <c r="A2113" t="s">
        <v>86</v>
      </c>
      <c r="B2113" s="5" t="str">
        <f>_xlfn.XLOOKUP(role_course_map[[#This Row],[role_id]], role_data[role_id], role_data[Role],"")</f>
        <v>Technician</v>
      </c>
      <c r="C2113">
        <v>999054</v>
      </c>
      <c r="D2113" s="5" t="str">
        <f>_xlfn.XLOOKUP(role_course_map[[#This Row],[course_id]],course_data[course_id],course_data[title],"")</f>
        <v>IMI Level 3 award in automotive refrigerant handling</v>
      </c>
      <c r="E2113" s="5" t="str">
        <f>_xlfn.XLOOKUP(role_course_map[[#This Row],[course_id]],course_data[course_id],course_data[topic],"")</f>
        <v>SAS : Fleet</v>
      </c>
      <c r="F2113" s="5" t="str">
        <f>_xlfn.XLOOKUP(role_course_map[[#This Row],[course_id]],course_data[course_id],course_data[type],"")</f>
        <v>Course</v>
      </c>
      <c r="K2113" t="str">
        <f>role_course_map[[#This Row],[role_id]] &amp; "|" &amp; role_course_map[[#This Row],[course_id]]</f>
        <v>R0038|999054</v>
      </c>
      <c r="L2113" t="str">
        <f>IF(COUNTIF(role_course_map[mapping_key],role_course_map[[#This Row],[mapping_key]])&gt;1,"DUPLICATE","OK")</f>
        <v>OK</v>
      </c>
      <c r="M2113" t="str">
        <f>IF(COUNTIF(role_data[role_id],role_course_map[[#This Row],[role_id]])=0, "INVALID","VALID")</f>
        <v>VALID</v>
      </c>
      <c r="N2113" t="str">
        <f>IF(COUNTIF(course_data[course_id],role_course_map[[#This Row],[course_id]])=0, "INVALID","VALID")</f>
        <v>VALID</v>
      </c>
    </row>
    <row r="2114" spans="1:14" x14ac:dyDescent="0.35">
      <c r="A2114" t="s">
        <v>86</v>
      </c>
      <c r="B2114" s="5" t="str">
        <f>_xlfn.XLOOKUP(role_course_map[[#This Row],[role_id]], role_data[role_id], role_data[Role],"")</f>
        <v>Technician</v>
      </c>
      <c r="C2114">
        <v>999094</v>
      </c>
      <c r="D2114" s="5" t="str">
        <f>_xlfn.XLOOKUP(role_course_map[[#This Row],[course_id]],course_data[course_id],course_data[title],"")</f>
        <v>Being well, Mind, Body &amp; Workplace</v>
      </c>
      <c r="E2114" s="5" t="str">
        <f>_xlfn.XLOOKUP(role_course_map[[#This Row],[course_id]],course_data[course_id],course_data[topic],"")</f>
        <v>SAS: Staff development and experience</v>
      </c>
      <c r="F2114" s="5" t="str">
        <f>_xlfn.XLOOKUP(role_course_map[[#This Row],[course_id]],course_data[course_id],course_data[type],"")</f>
        <v>eLearning</v>
      </c>
      <c r="K2114" t="str">
        <f>role_course_map[[#This Row],[role_id]] &amp; "|" &amp; role_course_map[[#This Row],[course_id]]</f>
        <v>R0038|999094</v>
      </c>
      <c r="L2114" t="str">
        <f>IF(COUNTIF(role_course_map[mapping_key],role_course_map[[#This Row],[mapping_key]])&gt;1,"DUPLICATE","OK")</f>
        <v>OK</v>
      </c>
      <c r="M2114" t="str">
        <f>IF(COUNTIF(role_data[role_id],role_course_map[[#This Row],[role_id]])=0, "INVALID","VALID")</f>
        <v>VALID</v>
      </c>
      <c r="N2114" t="str">
        <f>IF(COUNTIF(course_data[course_id],role_course_map[[#This Row],[course_id]])=0, "INVALID","VALID")</f>
        <v>VALID</v>
      </c>
    </row>
    <row r="2115" spans="1:14" x14ac:dyDescent="0.35">
      <c r="A2115" t="s">
        <v>88</v>
      </c>
      <c r="B2115" s="5" t="str">
        <f>_xlfn.XLOOKUP(role_course_map[[#This Row],[role_id]], role_data[role_id], role_data[Role],"")</f>
        <v>Workshop Planning Supervisor</v>
      </c>
      <c r="C2115">
        <v>999056</v>
      </c>
      <c r="D2115" s="5" t="str">
        <f>_xlfn.XLOOKUP(role_course_map[[#This Row],[course_id]],course_data[course_id],course_data[title],"")</f>
        <v>Driver Assessment &amp; Training</v>
      </c>
      <c r="E2115" s="5" t="str">
        <f>_xlfn.XLOOKUP(role_course_map[[#This Row],[course_id]],course_data[course_id],course_data[topic],"")</f>
        <v>SAS : Health and Safety</v>
      </c>
      <c r="F2115" s="5" t="str">
        <f>_xlfn.XLOOKUP(role_course_map[[#This Row],[course_id]],course_data[course_id],course_data[type],"")</f>
        <v>eLearning</v>
      </c>
      <c r="K2115" t="str">
        <f>role_course_map[[#This Row],[role_id]] &amp; "|" &amp; role_course_map[[#This Row],[course_id]]</f>
        <v>R0039|999056</v>
      </c>
      <c r="L2115" t="str">
        <f>IF(COUNTIF(role_course_map[mapping_key],role_course_map[[#This Row],[mapping_key]])&gt;1,"DUPLICATE","OK")</f>
        <v>OK</v>
      </c>
      <c r="M2115" t="str">
        <f>IF(COUNTIF(role_data[role_id],role_course_map[[#This Row],[role_id]])=0, "INVALID","VALID")</f>
        <v>VALID</v>
      </c>
      <c r="N2115" t="str">
        <f>IF(COUNTIF(course_data[course_id],role_course_map[[#This Row],[course_id]])=0, "INVALID","VALID")</f>
        <v>VALID</v>
      </c>
    </row>
    <row r="2116" spans="1:14" x14ac:dyDescent="0.35">
      <c r="A2116" t="s">
        <v>88</v>
      </c>
      <c r="B2116" s="5" t="str">
        <f>_xlfn.XLOOKUP(role_course_map[[#This Row],[role_id]], role_data[role_id], role_data[Role],"")</f>
        <v>Workshop Planning Supervisor</v>
      </c>
      <c r="C2116">
        <v>999057</v>
      </c>
      <c r="D2116" s="5" t="str">
        <f>_xlfn.XLOOKUP(role_course_map[[#This Row],[course_id]],course_data[course_id],course_data[title],"")</f>
        <v>Fatigue Awareness</v>
      </c>
      <c r="E2116" s="5" t="str">
        <f>_xlfn.XLOOKUP(role_course_map[[#This Row],[course_id]],course_data[course_id],course_data[topic],"")</f>
        <v>SAS : Health and Safety</v>
      </c>
      <c r="F2116" s="5" t="str">
        <f>_xlfn.XLOOKUP(role_course_map[[#This Row],[course_id]],course_data[course_id],course_data[type],"")</f>
        <v>eLearning</v>
      </c>
      <c r="K2116" t="str">
        <f>role_course_map[[#This Row],[role_id]] &amp; "|" &amp; role_course_map[[#This Row],[course_id]]</f>
        <v>R0039|999057</v>
      </c>
      <c r="L2116" t="str">
        <f>IF(COUNTIF(role_course_map[mapping_key],role_course_map[[#This Row],[mapping_key]])&gt;1,"DUPLICATE","OK")</f>
        <v>OK</v>
      </c>
      <c r="M2116" t="str">
        <f>IF(COUNTIF(role_data[role_id],role_course_map[[#This Row],[role_id]])=0, "INVALID","VALID")</f>
        <v>VALID</v>
      </c>
      <c r="N2116" t="str">
        <f>IF(COUNTIF(course_data[course_id],role_course_map[[#This Row],[course_id]])=0, "INVALID","VALID")</f>
        <v>VALID</v>
      </c>
    </row>
    <row r="2117" spans="1:14" x14ac:dyDescent="0.35">
      <c r="A2117" t="s">
        <v>88</v>
      </c>
      <c r="B2117" s="5" t="str">
        <f>_xlfn.XLOOKUP(role_course_map[[#This Row],[role_id]], role_data[role_id], role_data[Role],"")</f>
        <v>Workshop Planning Supervisor</v>
      </c>
      <c r="C2117">
        <v>999058</v>
      </c>
      <c r="D2117" s="5" t="str">
        <f>_xlfn.XLOOKUP(role_course_map[[#This Row],[course_id]],course_data[course_id],course_data[title],"")</f>
        <v>Stress Identification &amp; Stress Management</v>
      </c>
      <c r="E2117" s="5" t="str">
        <f>_xlfn.XLOOKUP(role_course_map[[#This Row],[course_id]],course_data[course_id],course_data[topic],"")</f>
        <v>SAS : Health and Safety</v>
      </c>
      <c r="F2117" s="5" t="str">
        <f>_xlfn.XLOOKUP(role_course_map[[#This Row],[course_id]],course_data[course_id],course_data[type],"")</f>
        <v>eLearning</v>
      </c>
      <c r="K2117" t="str">
        <f>role_course_map[[#This Row],[role_id]] &amp; "|" &amp; role_course_map[[#This Row],[course_id]]</f>
        <v>R0039|999058</v>
      </c>
      <c r="L2117" t="str">
        <f>IF(COUNTIF(role_course_map[mapping_key],role_course_map[[#This Row],[mapping_key]])&gt;1,"DUPLICATE","OK")</f>
        <v>OK</v>
      </c>
      <c r="M2117" t="str">
        <f>IF(COUNTIF(role_data[role_id],role_course_map[[#This Row],[role_id]])=0, "INVALID","VALID")</f>
        <v>VALID</v>
      </c>
      <c r="N2117" t="str">
        <f>IF(COUNTIF(course_data[course_id],role_course_map[[#This Row],[course_id]])=0, "INVALID","VALID")</f>
        <v>VALID</v>
      </c>
    </row>
    <row r="2118" spans="1:14" x14ac:dyDescent="0.35">
      <c r="A2118" t="s">
        <v>88</v>
      </c>
      <c r="B2118" s="5" t="str">
        <f>_xlfn.XLOOKUP(role_course_map[[#This Row],[role_id]], role_data[role_id], role_data[Role],"")</f>
        <v>Workshop Planning Supervisor</v>
      </c>
      <c r="C2118">
        <v>999061</v>
      </c>
      <c r="D2118" s="5" t="str">
        <f>_xlfn.XLOOKUP(role_course_map[[#This Row],[course_id]],course_data[course_id],course_data[title],"")</f>
        <v>Skin Awareness</v>
      </c>
      <c r="E2118" s="5" t="str">
        <f>_xlfn.XLOOKUP(role_course_map[[#This Row],[course_id]],course_data[course_id],course_data[topic],"")</f>
        <v>SAS : Health and Safety</v>
      </c>
      <c r="F2118" s="5" t="str">
        <f>_xlfn.XLOOKUP(role_course_map[[#This Row],[course_id]],course_data[course_id],course_data[type],"")</f>
        <v>eLearning</v>
      </c>
      <c r="K2118" t="str">
        <f>role_course_map[[#This Row],[role_id]] &amp; "|" &amp; role_course_map[[#This Row],[course_id]]</f>
        <v>R0039|999061</v>
      </c>
      <c r="L2118" t="str">
        <f>IF(COUNTIF(role_course_map[mapping_key],role_course_map[[#This Row],[mapping_key]])&gt;1,"DUPLICATE","OK")</f>
        <v>OK</v>
      </c>
      <c r="M2118" t="str">
        <f>IF(COUNTIF(role_data[role_id],role_course_map[[#This Row],[role_id]])=0, "INVALID","VALID")</f>
        <v>VALID</v>
      </c>
      <c r="N2118" t="str">
        <f>IF(COUNTIF(course_data[course_id],role_course_map[[#This Row],[course_id]])=0, "INVALID","VALID")</f>
        <v>VALID</v>
      </c>
    </row>
    <row r="2119" spans="1:14" x14ac:dyDescent="0.35">
      <c r="A2119" t="s">
        <v>88</v>
      </c>
      <c r="B2119" s="5" t="str">
        <f>_xlfn.XLOOKUP(role_course_map[[#This Row],[role_id]], role_data[role_id], role_data[Role],"")</f>
        <v>Workshop Planning Supervisor</v>
      </c>
      <c r="C2119">
        <v>999094</v>
      </c>
      <c r="D2119" s="5" t="str">
        <f>_xlfn.XLOOKUP(role_course_map[[#This Row],[course_id]],course_data[course_id],course_data[title],"")</f>
        <v>Being well, Mind, Body &amp; Workplace</v>
      </c>
      <c r="E2119" s="5" t="str">
        <f>_xlfn.XLOOKUP(role_course_map[[#This Row],[course_id]],course_data[course_id],course_data[topic],"")</f>
        <v>SAS: Staff development and experience</v>
      </c>
      <c r="F2119" s="5" t="str">
        <f>_xlfn.XLOOKUP(role_course_map[[#This Row],[course_id]],course_data[course_id],course_data[type],"")</f>
        <v>eLearning</v>
      </c>
      <c r="K2119" t="str">
        <f>role_course_map[[#This Row],[role_id]] &amp; "|" &amp; role_course_map[[#This Row],[course_id]]</f>
        <v>R0039|999094</v>
      </c>
      <c r="L2119" t="str">
        <f>IF(COUNTIF(role_course_map[mapping_key],role_course_map[[#This Row],[mapping_key]])&gt;1,"DUPLICATE","OK")</f>
        <v>OK</v>
      </c>
      <c r="M2119" t="str">
        <f>IF(COUNTIF(role_data[role_id],role_course_map[[#This Row],[role_id]])=0, "INVALID","VALID")</f>
        <v>VALID</v>
      </c>
      <c r="N2119" t="str">
        <f>IF(COUNTIF(course_data[course_id],role_course_map[[#This Row],[course_id]])=0, "INVALID","VALID")</f>
        <v>VALID</v>
      </c>
    </row>
    <row r="2120" spans="1:14" x14ac:dyDescent="0.35">
      <c r="A2120" t="s">
        <v>425</v>
      </c>
      <c r="B2120" s="5" t="str">
        <f>_xlfn.XLOOKUP(role_course_map[[#This Row],[role_id]], role_data[role_id], role_data[Role],"")</f>
        <v>GRS System Administrator</v>
      </c>
      <c r="C2120">
        <v>999056</v>
      </c>
      <c r="D2120" s="5" t="str">
        <f>_xlfn.XLOOKUP(role_course_map[[#This Row],[course_id]],course_data[course_id],course_data[title],"")</f>
        <v>Driver Assessment &amp; Training</v>
      </c>
      <c r="E2120" s="5" t="str">
        <f>_xlfn.XLOOKUP(role_course_map[[#This Row],[course_id]],course_data[course_id],course_data[topic],"")</f>
        <v>SAS : Health and Safety</v>
      </c>
      <c r="F2120" s="5" t="str">
        <f>_xlfn.XLOOKUP(role_course_map[[#This Row],[course_id]],course_data[course_id],course_data[type],"")</f>
        <v>eLearning</v>
      </c>
      <c r="K2120" t="str">
        <f>role_course_map[[#This Row],[role_id]] &amp; "|" &amp; role_course_map[[#This Row],[course_id]]</f>
        <v>R0201|999056</v>
      </c>
      <c r="L2120" t="str">
        <f>IF(COUNTIF(role_course_map[mapping_key],role_course_map[[#This Row],[mapping_key]])&gt;1,"DUPLICATE","OK")</f>
        <v>OK</v>
      </c>
      <c r="M2120" t="str">
        <f>IF(COUNTIF(role_data[role_id],role_course_map[[#This Row],[role_id]])=0, "INVALID","VALID")</f>
        <v>VALID</v>
      </c>
      <c r="N2120" t="str">
        <f>IF(COUNTIF(course_data[course_id],role_course_map[[#This Row],[course_id]])=0, "INVALID","VALID")</f>
        <v>VALID</v>
      </c>
    </row>
    <row r="2121" spans="1:14" x14ac:dyDescent="0.35">
      <c r="A2121" t="s">
        <v>425</v>
      </c>
      <c r="B2121" s="5" t="str">
        <f>_xlfn.XLOOKUP(role_course_map[[#This Row],[role_id]], role_data[role_id], role_data[Role],"")</f>
        <v>GRS System Administrator</v>
      </c>
      <c r="C2121">
        <v>999057</v>
      </c>
      <c r="D2121" s="5" t="str">
        <f>_xlfn.XLOOKUP(role_course_map[[#This Row],[course_id]],course_data[course_id],course_data[title],"")</f>
        <v>Fatigue Awareness</v>
      </c>
      <c r="E2121" s="5" t="str">
        <f>_xlfn.XLOOKUP(role_course_map[[#This Row],[course_id]],course_data[course_id],course_data[topic],"")</f>
        <v>SAS : Health and Safety</v>
      </c>
      <c r="F2121" s="5" t="str">
        <f>_xlfn.XLOOKUP(role_course_map[[#This Row],[course_id]],course_data[course_id],course_data[type],"")</f>
        <v>eLearning</v>
      </c>
      <c r="K2121" t="str">
        <f>role_course_map[[#This Row],[role_id]] &amp; "|" &amp; role_course_map[[#This Row],[course_id]]</f>
        <v>R0201|999057</v>
      </c>
      <c r="L2121" t="str">
        <f>IF(COUNTIF(role_course_map[mapping_key],role_course_map[[#This Row],[mapping_key]])&gt;1,"DUPLICATE","OK")</f>
        <v>OK</v>
      </c>
      <c r="M2121" t="str">
        <f>IF(COUNTIF(role_data[role_id],role_course_map[[#This Row],[role_id]])=0, "INVALID","VALID")</f>
        <v>VALID</v>
      </c>
      <c r="N2121" t="str">
        <f>IF(COUNTIF(course_data[course_id],role_course_map[[#This Row],[course_id]])=0, "INVALID","VALID")</f>
        <v>VALID</v>
      </c>
    </row>
    <row r="2122" spans="1:14" x14ac:dyDescent="0.35">
      <c r="A2122" t="s">
        <v>425</v>
      </c>
      <c r="B2122" s="5" t="str">
        <f>_xlfn.XLOOKUP(role_course_map[[#This Row],[role_id]], role_data[role_id], role_data[Role],"")</f>
        <v>GRS System Administrator</v>
      </c>
      <c r="C2122">
        <v>999058</v>
      </c>
      <c r="D2122" s="5" t="str">
        <f>_xlfn.XLOOKUP(role_course_map[[#This Row],[course_id]],course_data[course_id],course_data[title],"")</f>
        <v>Stress Identification &amp; Stress Management</v>
      </c>
      <c r="E2122" s="5" t="str">
        <f>_xlfn.XLOOKUP(role_course_map[[#This Row],[course_id]],course_data[course_id],course_data[topic],"")</f>
        <v>SAS : Health and Safety</v>
      </c>
      <c r="F2122" s="5" t="str">
        <f>_xlfn.XLOOKUP(role_course_map[[#This Row],[course_id]],course_data[course_id],course_data[type],"")</f>
        <v>eLearning</v>
      </c>
      <c r="K2122" t="str">
        <f>role_course_map[[#This Row],[role_id]] &amp; "|" &amp; role_course_map[[#This Row],[course_id]]</f>
        <v>R0201|999058</v>
      </c>
      <c r="L2122" t="str">
        <f>IF(COUNTIF(role_course_map[mapping_key],role_course_map[[#This Row],[mapping_key]])&gt;1,"DUPLICATE","OK")</f>
        <v>OK</v>
      </c>
      <c r="M2122" t="str">
        <f>IF(COUNTIF(role_data[role_id],role_course_map[[#This Row],[role_id]])=0, "INVALID","VALID")</f>
        <v>VALID</v>
      </c>
      <c r="N2122" t="str">
        <f>IF(COUNTIF(course_data[course_id],role_course_map[[#This Row],[course_id]])=0, "INVALID","VALID")</f>
        <v>VALID</v>
      </c>
    </row>
    <row r="2123" spans="1:14" x14ac:dyDescent="0.35">
      <c r="A2123" t="s">
        <v>425</v>
      </c>
      <c r="B2123" s="5" t="str">
        <f>_xlfn.XLOOKUP(role_course_map[[#This Row],[role_id]], role_data[role_id], role_data[Role],"")</f>
        <v>GRS System Administrator</v>
      </c>
      <c r="C2123">
        <v>999094</v>
      </c>
      <c r="D2123" s="5" t="str">
        <f>_xlfn.XLOOKUP(role_course_map[[#This Row],[course_id]],course_data[course_id],course_data[title],"")</f>
        <v>Being well, Mind, Body &amp; Workplace</v>
      </c>
      <c r="E2123" s="5" t="str">
        <f>_xlfn.XLOOKUP(role_course_map[[#This Row],[course_id]],course_data[course_id],course_data[topic],"")</f>
        <v>SAS: Staff development and experience</v>
      </c>
      <c r="F2123" s="5" t="str">
        <f>_xlfn.XLOOKUP(role_course_map[[#This Row],[course_id]],course_data[course_id],course_data[type],"")</f>
        <v>eLearning</v>
      </c>
      <c r="K2123" t="str">
        <f>role_course_map[[#This Row],[role_id]] &amp; "|" &amp; role_course_map[[#This Row],[course_id]]</f>
        <v>R0201|999094</v>
      </c>
      <c r="L2123" t="str">
        <f>IF(COUNTIF(role_course_map[mapping_key],role_course_map[[#This Row],[mapping_key]])&gt;1,"DUPLICATE","OK")</f>
        <v>OK</v>
      </c>
      <c r="M2123" t="str">
        <f>IF(COUNTIF(role_data[role_id],role_course_map[[#This Row],[role_id]])=0, "INVALID","VALID")</f>
        <v>VALID</v>
      </c>
      <c r="N2123" t="str">
        <f>IF(COUNTIF(course_data[course_id],role_course_map[[#This Row],[course_id]])=0, "INVALID","VALID")</f>
        <v>VALID</v>
      </c>
    </row>
    <row r="2124" spans="1:14" x14ac:dyDescent="0.35">
      <c r="A2124" t="s">
        <v>428</v>
      </c>
      <c r="B2124" s="5" t="str">
        <f>_xlfn.XLOOKUP(role_course_map[[#This Row],[role_id]], role_data[role_id], role_data[Role],"")</f>
        <v>National Erostering System Administrator</v>
      </c>
      <c r="C2124">
        <v>999056</v>
      </c>
      <c r="D2124" s="5" t="str">
        <f>_xlfn.XLOOKUP(role_course_map[[#This Row],[course_id]],course_data[course_id],course_data[title],"")</f>
        <v>Driver Assessment &amp; Training</v>
      </c>
      <c r="E2124" s="5" t="str">
        <f>_xlfn.XLOOKUP(role_course_map[[#This Row],[course_id]],course_data[course_id],course_data[topic],"")</f>
        <v>SAS : Health and Safety</v>
      </c>
      <c r="F2124" s="5" t="str">
        <f>_xlfn.XLOOKUP(role_course_map[[#This Row],[course_id]],course_data[course_id],course_data[type],"")</f>
        <v>eLearning</v>
      </c>
      <c r="K2124" t="str">
        <f>role_course_map[[#This Row],[role_id]] &amp; "|" &amp; role_course_map[[#This Row],[course_id]]</f>
        <v>R0202|999056</v>
      </c>
      <c r="L2124" t="str">
        <f>IF(COUNTIF(role_course_map[mapping_key],role_course_map[[#This Row],[mapping_key]])&gt;1,"DUPLICATE","OK")</f>
        <v>OK</v>
      </c>
      <c r="M2124" t="str">
        <f>IF(COUNTIF(role_data[role_id],role_course_map[[#This Row],[role_id]])=0, "INVALID","VALID")</f>
        <v>VALID</v>
      </c>
      <c r="N2124" t="str">
        <f>IF(COUNTIF(course_data[course_id],role_course_map[[#This Row],[course_id]])=0, "INVALID","VALID")</f>
        <v>VALID</v>
      </c>
    </row>
    <row r="2125" spans="1:14" x14ac:dyDescent="0.35">
      <c r="A2125" t="s">
        <v>428</v>
      </c>
      <c r="B2125" s="5" t="str">
        <f>_xlfn.XLOOKUP(role_course_map[[#This Row],[role_id]], role_data[role_id], role_data[Role],"")</f>
        <v>National Erostering System Administrator</v>
      </c>
      <c r="C2125">
        <v>999057</v>
      </c>
      <c r="D2125" s="5" t="str">
        <f>_xlfn.XLOOKUP(role_course_map[[#This Row],[course_id]],course_data[course_id],course_data[title],"")</f>
        <v>Fatigue Awareness</v>
      </c>
      <c r="E2125" s="5" t="str">
        <f>_xlfn.XLOOKUP(role_course_map[[#This Row],[course_id]],course_data[course_id],course_data[topic],"")</f>
        <v>SAS : Health and Safety</v>
      </c>
      <c r="F2125" s="5" t="str">
        <f>_xlfn.XLOOKUP(role_course_map[[#This Row],[course_id]],course_data[course_id],course_data[type],"")</f>
        <v>eLearning</v>
      </c>
      <c r="K2125" t="str">
        <f>role_course_map[[#This Row],[role_id]] &amp; "|" &amp; role_course_map[[#This Row],[course_id]]</f>
        <v>R0202|999057</v>
      </c>
      <c r="L2125" t="str">
        <f>IF(COUNTIF(role_course_map[mapping_key],role_course_map[[#This Row],[mapping_key]])&gt;1,"DUPLICATE","OK")</f>
        <v>OK</v>
      </c>
      <c r="M2125" t="str">
        <f>IF(COUNTIF(role_data[role_id],role_course_map[[#This Row],[role_id]])=0, "INVALID","VALID")</f>
        <v>VALID</v>
      </c>
      <c r="N2125" t="str">
        <f>IF(COUNTIF(course_data[course_id],role_course_map[[#This Row],[course_id]])=0, "INVALID","VALID")</f>
        <v>VALID</v>
      </c>
    </row>
    <row r="2126" spans="1:14" x14ac:dyDescent="0.35">
      <c r="A2126" t="s">
        <v>428</v>
      </c>
      <c r="B2126" s="5" t="str">
        <f>_xlfn.XLOOKUP(role_course_map[[#This Row],[role_id]], role_data[role_id], role_data[Role],"")</f>
        <v>National Erostering System Administrator</v>
      </c>
      <c r="C2126">
        <v>999058</v>
      </c>
      <c r="D2126" s="5" t="str">
        <f>_xlfn.XLOOKUP(role_course_map[[#This Row],[course_id]],course_data[course_id],course_data[title],"")</f>
        <v>Stress Identification &amp; Stress Management</v>
      </c>
      <c r="E2126" s="5" t="str">
        <f>_xlfn.XLOOKUP(role_course_map[[#This Row],[course_id]],course_data[course_id],course_data[topic],"")</f>
        <v>SAS : Health and Safety</v>
      </c>
      <c r="F2126" s="5" t="str">
        <f>_xlfn.XLOOKUP(role_course_map[[#This Row],[course_id]],course_data[course_id],course_data[type],"")</f>
        <v>eLearning</v>
      </c>
      <c r="K2126" t="str">
        <f>role_course_map[[#This Row],[role_id]] &amp; "|" &amp; role_course_map[[#This Row],[course_id]]</f>
        <v>R0202|999058</v>
      </c>
      <c r="L2126" t="str">
        <f>IF(COUNTIF(role_course_map[mapping_key],role_course_map[[#This Row],[mapping_key]])&gt;1,"DUPLICATE","OK")</f>
        <v>OK</v>
      </c>
      <c r="M2126" t="str">
        <f>IF(COUNTIF(role_data[role_id],role_course_map[[#This Row],[role_id]])=0, "INVALID","VALID")</f>
        <v>VALID</v>
      </c>
      <c r="N2126" t="str">
        <f>IF(COUNTIF(course_data[course_id],role_course_map[[#This Row],[course_id]])=0, "INVALID","VALID")</f>
        <v>VALID</v>
      </c>
    </row>
    <row r="2127" spans="1:14" x14ac:dyDescent="0.35">
      <c r="A2127" t="s">
        <v>428</v>
      </c>
      <c r="B2127" s="5" t="str">
        <f>_xlfn.XLOOKUP(role_course_map[[#This Row],[role_id]], role_data[role_id], role_data[Role],"")</f>
        <v>National Erostering System Administrator</v>
      </c>
      <c r="C2127">
        <v>999094</v>
      </c>
      <c r="D2127" s="5" t="str">
        <f>_xlfn.XLOOKUP(role_course_map[[#This Row],[course_id]],course_data[course_id],course_data[title],"")</f>
        <v>Being well, Mind, Body &amp; Workplace</v>
      </c>
      <c r="E2127" s="5" t="str">
        <f>_xlfn.XLOOKUP(role_course_map[[#This Row],[course_id]],course_data[course_id],course_data[topic],"")</f>
        <v>SAS: Staff development and experience</v>
      </c>
      <c r="F2127" s="5" t="str">
        <f>_xlfn.XLOOKUP(role_course_map[[#This Row],[course_id]],course_data[course_id],course_data[type],"")</f>
        <v>eLearning</v>
      </c>
      <c r="K2127" t="str">
        <f>role_course_map[[#This Row],[role_id]] &amp; "|" &amp; role_course_map[[#This Row],[course_id]]</f>
        <v>R0202|999094</v>
      </c>
      <c r="L2127" t="str">
        <f>IF(COUNTIF(role_course_map[mapping_key],role_course_map[[#This Row],[mapping_key]])&gt;1,"DUPLICATE","OK")</f>
        <v>OK</v>
      </c>
      <c r="M2127" t="str">
        <f>IF(COUNTIF(role_data[role_id],role_course_map[[#This Row],[role_id]])=0, "INVALID","VALID")</f>
        <v>VALID</v>
      </c>
      <c r="N2127" t="str">
        <f>IF(COUNTIF(course_data[course_id],role_course_map[[#This Row],[course_id]])=0, "INVALID","VALID")</f>
        <v>VALID</v>
      </c>
    </row>
    <row r="2128" spans="1:14" x14ac:dyDescent="0.35">
      <c r="A2128" t="s">
        <v>430</v>
      </c>
      <c r="B2128" s="5" t="str">
        <f>_xlfn.XLOOKUP(role_course_map[[#This Row],[role_id]], role_data[role_id], role_data[Role],"")</f>
        <v>Regional Planner</v>
      </c>
      <c r="C2128">
        <v>999056</v>
      </c>
      <c r="D2128" s="5" t="str">
        <f>_xlfn.XLOOKUP(role_course_map[[#This Row],[course_id]],course_data[course_id],course_data[title],"")</f>
        <v>Driver Assessment &amp; Training</v>
      </c>
      <c r="E2128" s="5" t="str">
        <f>_xlfn.XLOOKUP(role_course_map[[#This Row],[course_id]],course_data[course_id],course_data[topic],"")</f>
        <v>SAS : Health and Safety</v>
      </c>
      <c r="F2128" s="5" t="str">
        <f>_xlfn.XLOOKUP(role_course_map[[#This Row],[course_id]],course_data[course_id],course_data[type],"")</f>
        <v>eLearning</v>
      </c>
      <c r="K2128" t="str">
        <f>role_course_map[[#This Row],[role_id]] &amp; "|" &amp; role_course_map[[#This Row],[course_id]]</f>
        <v>R0203|999056</v>
      </c>
      <c r="L2128" t="str">
        <f>IF(COUNTIF(role_course_map[mapping_key],role_course_map[[#This Row],[mapping_key]])&gt;1,"DUPLICATE","OK")</f>
        <v>OK</v>
      </c>
      <c r="M2128" t="str">
        <f>IF(COUNTIF(role_data[role_id],role_course_map[[#This Row],[role_id]])=0, "INVALID","VALID")</f>
        <v>VALID</v>
      </c>
      <c r="N2128" t="str">
        <f>IF(COUNTIF(course_data[course_id],role_course_map[[#This Row],[course_id]])=0, "INVALID","VALID")</f>
        <v>VALID</v>
      </c>
    </row>
    <row r="2129" spans="1:14" x14ac:dyDescent="0.35">
      <c r="A2129" t="s">
        <v>430</v>
      </c>
      <c r="B2129" s="5" t="str">
        <f>_xlfn.XLOOKUP(role_course_map[[#This Row],[role_id]], role_data[role_id], role_data[Role],"")</f>
        <v>Regional Planner</v>
      </c>
      <c r="C2129">
        <v>999057</v>
      </c>
      <c r="D2129" s="5" t="str">
        <f>_xlfn.XLOOKUP(role_course_map[[#This Row],[course_id]],course_data[course_id],course_data[title],"")</f>
        <v>Fatigue Awareness</v>
      </c>
      <c r="E2129" s="5" t="str">
        <f>_xlfn.XLOOKUP(role_course_map[[#This Row],[course_id]],course_data[course_id],course_data[topic],"")</f>
        <v>SAS : Health and Safety</v>
      </c>
      <c r="F2129" s="5" t="str">
        <f>_xlfn.XLOOKUP(role_course_map[[#This Row],[course_id]],course_data[course_id],course_data[type],"")</f>
        <v>eLearning</v>
      </c>
      <c r="K2129" t="str">
        <f>role_course_map[[#This Row],[role_id]] &amp; "|" &amp; role_course_map[[#This Row],[course_id]]</f>
        <v>R0203|999057</v>
      </c>
      <c r="L2129" t="str">
        <f>IF(COUNTIF(role_course_map[mapping_key],role_course_map[[#This Row],[mapping_key]])&gt;1,"DUPLICATE","OK")</f>
        <v>OK</v>
      </c>
      <c r="M2129" t="str">
        <f>IF(COUNTIF(role_data[role_id],role_course_map[[#This Row],[role_id]])=0, "INVALID","VALID")</f>
        <v>VALID</v>
      </c>
      <c r="N2129" t="str">
        <f>IF(COUNTIF(course_data[course_id],role_course_map[[#This Row],[course_id]])=0, "INVALID","VALID")</f>
        <v>VALID</v>
      </c>
    </row>
    <row r="2130" spans="1:14" x14ac:dyDescent="0.35">
      <c r="A2130" t="s">
        <v>430</v>
      </c>
      <c r="B2130" s="5" t="str">
        <f>_xlfn.XLOOKUP(role_course_map[[#This Row],[role_id]], role_data[role_id], role_data[Role],"")</f>
        <v>Regional Planner</v>
      </c>
      <c r="C2130">
        <v>999058</v>
      </c>
      <c r="D2130" s="5" t="str">
        <f>_xlfn.XLOOKUP(role_course_map[[#This Row],[course_id]],course_data[course_id],course_data[title],"")</f>
        <v>Stress Identification &amp; Stress Management</v>
      </c>
      <c r="E2130" s="5" t="str">
        <f>_xlfn.XLOOKUP(role_course_map[[#This Row],[course_id]],course_data[course_id],course_data[topic],"")</f>
        <v>SAS : Health and Safety</v>
      </c>
      <c r="F2130" s="5" t="str">
        <f>_xlfn.XLOOKUP(role_course_map[[#This Row],[course_id]],course_data[course_id],course_data[type],"")</f>
        <v>eLearning</v>
      </c>
      <c r="K2130" t="str">
        <f>role_course_map[[#This Row],[role_id]] &amp; "|" &amp; role_course_map[[#This Row],[course_id]]</f>
        <v>R0203|999058</v>
      </c>
      <c r="L2130" t="str">
        <f>IF(COUNTIF(role_course_map[mapping_key],role_course_map[[#This Row],[mapping_key]])&gt;1,"DUPLICATE","OK")</f>
        <v>OK</v>
      </c>
      <c r="M2130" t="str">
        <f>IF(COUNTIF(role_data[role_id],role_course_map[[#This Row],[role_id]])=0, "INVALID","VALID")</f>
        <v>VALID</v>
      </c>
      <c r="N2130" t="str">
        <f>IF(COUNTIF(course_data[course_id],role_course_map[[#This Row],[course_id]])=0, "INVALID","VALID")</f>
        <v>VALID</v>
      </c>
    </row>
    <row r="2131" spans="1:14" x14ac:dyDescent="0.35">
      <c r="A2131" t="s">
        <v>430</v>
      </c>
      <c r="B2131" s="5" t="str">
        <f>_xlfn.XLOOKUP(role_course_map[[#This Row],[role_id]], role_data[role_id], role_data[Role],"")</f>
        <v>Regional Planner</v>
      </c>
      <c r="C2131">
        <v>999094</v>
      </c>
      <c r="D2131" s="5" t="str">
        <f>_xlfn.XLOOKUP(role_course_map[[#This Row],[course_id]],course_data[course_id],course_data[title],"")</f>
        <v>Being well, Mind, Body &amp; Workplace</v>
      </c>
      <c r="E2131" s="5" t="str">
        <f>_xlfn.XLOOKUP(role_course_map[[#This Row],[course_id]],course_data[course_id],course_data[topic],"")</f>
        <v>SAS: Staff development and experience</v>
      </c>
      <c r="F2131" s="5" t="str">
        <f>_xlfn.XLOOKUP(role_course_map[[#This Row],[course_id]],course_data[course_id],course_data[type],"")</f>
        <v>eLearning</v>
      </c>
      <c r="K2131" t="str">
        <f>role_course_map[[#This Row],[role_id]] &amp; "|" &amp; role_course_map[[#This Row],[course_id]]</f>
        <v>R0203|999094</v>
      </c>
      <c r="L2131" t="str">
        <f>IF(COUNTIF(role_course_map[mapping_key],role_course_map[[#This Row],[mapping_key]])&gt;1,"DUPLICATE","OK")</f>
        <v>OK</v>
      </c>
      <c r="M2131" t="str">
        <f>IF(COUNTIF(role_data[role_id],role_course_map[[#This Row],[role_id]])=0, "INVALID","VALID")</f>
        <v>VALID</v>
      </c>
      <c r="N2131" t="str">
        <f>IF(COUNTIF(course_data[course_id],role_course_map[[#This Row],[course_id]])=0, "INVALID","VALID")</f>
        <v>VALID</v>
      </c>
    </row>
    <row r="2132" spans="1:14" x14ac:dyDescent="0.35">
      <c r="A2132" t="s">
        <v>432</v>
      </c>
      <c r="B2132" s="5" t="str">
        <f>_xlfn.XLOOKUP(role_course_map[[#This Row],[role_id]], role_data[role_id], role_data[Role],"")</f>
        <v>Resource Planner</v>
      </c>
      <c r="C2132">
        <v>999056</v>
      </c>
      <c r="D2132" s="5" t="str">
        <f>_xlfn.XLOOKUP(role_course_map[[#This Row],[course_id]],course_data[course_id],course_data[title],"")</f>
        <v>Driver Assessment &amp; Training</v>
      </c>
      <c r="E2132" s="5" t="str">
        <f>_xlfn.XLOOKUP(role_course_map[[#This Row],[course_id]],course_data[course_id],course_data[topic],"")</f>
        <v>SAS : Health and Safety</v>
      </c>
      <c r="F2132" s="5" t="str">
        <f>_xlfn.XLOOKUP(role_course_map[[#This Row],[course_id]],course_data[course_id],course_data[type],"")</f>
        <v>eLearning</v>
      </c>
      <c r="K2132" t="str">
        <f>role_course_map[[#This Row],[role_id]] &amp; "|" &amp; role_course_map[[#This Row],[course_id]]</f>
        <v>R0204|999056</v>
      </c>
      <c r="L2132" t="str">
        <f>IF(COUNTIF(role_course_map[mapping_key],role_course_map[[#This Row],[mapping_key]])&gt;1,"DUPLICATE","OK")</f>
        <v>OK</v>
      </c>
      <c r="M2132" t="str">
        <f>IF(COUNTIF(role_data[role_id],role_course_map[[#This Row],[role_id]])=0, "INVALID","VALID")</f>
        <v>VALID</v>
      </c>
      <c r="N2132" t="str">
        <f>IF(COUNTIF(course_data[course_id],role_course_map[[#This Row],[course_id]])=0, "INVALID","VALID")</f>
        <v>VALID</v>
      </c>
    </row>
    <row r="2133" spans="1:14" x14ac:dyDescent="0.35">
      <c r="A2133" t="s">
        <v>432</v>
      </c>
      <c r="B2133" s="5" t="str">
        <f>_xlfn.XLOOKUP(role_course_map[[#This Row],[role_id]], role_data[role_id], role_data[Role],"")</f>
        <v>Resource Planner</v>
      </c>
      <c r="C2133">
        <v>999057</v>
      </c>
      <c r="D2133" s="5" t="str">
        <f>_xlfn.XLOOKUP(role_course_map[[#This Row],[course_id]],course_data[course_id],course_data[title],"")</f>
        <v>Fatigue Awareness</v>
      </c>
      <c r="E2133" s="5" t="str">
        <f>_xlfn.XLOOKUP(role_course_map[[#This Row],[course_id]],course_data[course_id],course_data[topic],"")</f>
        <v>SAS : Health and Safety</v>
      </c>
      <c r="F2133" s="5" t="str">
        <f>_xlfn.XLOOKUP(role_course_map[[#This Row],[course_id]],course_data[course_id],course_data[type],"")</f>
        <v>eLearning</v>
      </c>
      <c r="K2133" t="str">
        <f>role_course_map[[#This Row],[role_id]] &amp; "|" &amp; role_course_map[[#This Row],[course_id]]</f>
        <v>R0204|999057</v>
      </c>
      <c r="L2133" t="str">
        <f>IF(COUNTIF(role_course_map[mapping_key],role_course_map[[#This Row],[mapping_key]])&gt;1,"DUPLICATE","OK")</f>
        <v>OK</v>
      </c>
      <c r="M2133" t="str">
        <f>IF(COUNTIF(role_data[role_id],role_course_map[[#This Row],[role_id]])=0, "INVALID","VALID")</f>
        <v>VALID</v>
      </c>
      <c r="N2133" t="str">
        <f>IF(COUNTIF(course_data[course_id],role_course_map[[#This Row],[course_id]])=0, "INVALID","VALID")</f>
        <v>VALID</v>
      </c>
    </row>
    <row r="2134" spans="1:14" x14ac:dyDescent="0.35">
      <c r="A2134" t="s">
        <v>432</v>
      </c>
      <c r="B2134" s="5" t="str">
        <f>_xlfn.XLOOKUP(role_course_map[[#This Row],[role_id]], role_data[role_id], role_data[Role],"")</f>
        <v>Resource Planner</v>
      </c>
      <c r="C2134">
        <v>999058</v>
      </c>
      <c r="D2134" s="5" t="str">
        <f>_xlfn.XLOOKUP(role_course_map[[#This Row],[course_id]],course_data[course_id],course_data[title],"")</f>
        <v>Stress Identification &amp; Stress Management</v>
      </c>
      <c r="E2134" s="5" t="str">
        <f>_xlfn.XLOOKUP(role_course_map[[#This Row],[course_id]],course_data[course_id],course_data[topic],"")</f>
        <v>SAS : Health and Safety</v>
      </c>
      <c r="F2134" s="5" t="str">
        <f>_xlfn.XLOOKUP(role_course_map[[#This Row],[course_id]],course_data[course_id],course_data[type],"")</f>
        <v>eLearning</v>
      </c>
      <c r="K2134" t="str">
        <f>role_course_map[[#This Row],[role_id]] &amp; "|" &amp; role_course_map[[#This Row],[course_id]]</f>
        <v>R0204|999058</v>
      </c>
      <c r="L2134" t="str">
        <f>IF(COUNTIF(role_course_map[mapping_key],role_course_map[[#This Row],[mapping_key]])&gt;1,"DUPLICATE","OK")</f>
        <v>OK</v>
      </c>
      <c r="M2134" t="str">
        <f>IF(COUNTIF(role_data[role_id],role_course_map[[#This Row],[role_id]])=0, "INVALID","VALID")</f>
        <v>VALID</v>
      </c>
      <c r="N2134" t="str">
        <f>IF(COUNTIF(course_data[course_id],role_course_map[[#This Row],[course_id]])=0, "INVALID","VALID")</f>
        <v>VALID</v>
      </c>
    </row>
    <row r="2135" spans="1:14" x14ac:dyDescent="0.35">
      <c r="A2135" t="s">
        <v>432</v>
      </c>
      <c r="B2135" s="5" t="str">
        <f>_xlfn.XLOOKUP(role_course_map[[#This Row],[role_id]], role_data[role_id], role_data[Role],"")</f>
        <v>Resource Planner</v>
      </c>
      <c r="C2135">
        <v>999094</v>
      </c>
      <c r="D2135" s="5" t="str">
        <f>_xlfn.XLOOKUP(role_course_map[[#This Row],[course_id]],course_data[course_id],course_data[title],"")</f>
        <v>Being well, Mind, Body &amp; Workplace</v>
      </c>
      <c r="E2135" s="5" t="str">
        <f>_xlfn.XLOOKUP(role_course_map[[#This Row],[course_id]],course_data[course_id],course_data[topic],"")</f>
        <v>SAS: Staff development and experience</v>
      </c>
      <c r="F2135" s="5" t="str">
        <f>_xlfn.XLOOKUP(role_course_map[[#This Row],[course_id]],course_data[course_id],course_data[type],"")</f>
        <v>eLearning</v>
      </c>
      <c r="K2135" t="str">
        <f>role_course_map[[#This Row],[role_id]] &amp; "|" &amp; role_course_map[[#This Row],[course_id]]</f>
        <v>R0204|999094</v>
      </c>
      <c r="L2135" t="str">
        <f>IF(COUNTIF(role_course_map[mapping_key],role_course_map[[#This Row],[mapping_key]])&gt;1,"DUPLICATE","OK")</f>
        <v>OK</v>
      </c>
      <c r="M2135" t="str">
        <f>IF(COUNTIF(role_data[role_id],role_course_map[[#This Row],[role_id]])=0, "INVALID","VALID")</f>
        <v>VALID</v>
      </c>
      <c r="N2135" t="str">
        <f>IF(COUNTIF(course_data[course_id],role_course_map[[#This Row],[course_id]])=0, "INVALID","VALID")</f>
        <v>VALID</v>
      </c>
    </row>
    <row r="2136" spans="1:14" x14ac:dyDescent="0.35">
      <c r="A2136" t="s">
        <v>434</v>
      </c>
      <c r="B2136" s="5" t="str">
        <f>_xlfn.XLOOKUP(role_course_map[[#This Row],[role_id]], role_data[role_id], role_data[Role],"")</f>
        <v>Workforce Administrator</v>
      </c>
      <c r="C2136">
        <v>999056</v>
      </c>
      <c r="D2136" s="5" t="str">
        <f>_xlfn.XLOOKUP(role_course_map[[#This Row],[course_id]],course_data[course_id],course_data[title],"")</f>
        <v>Driver Assessment &amp; Training</v>
      </c>
      <c r="E2136" s="5" t="str">
        <f>_xlfn.XLOOKUP(role_course_map[[#This Row],[course_id]],course_data[course_id],course_data[topic],"")</f>
        <v>SAS : Health and Safety</v>
      </c>
      <c r="F2136" s="5" t="str">
        <f>_xlfn.XLOOKUP(role_course_map[[#This Row],[course_id]],course_data[course_id],course_data[type],"")</f>
        <v>eLearning</v>
      </c>
      <c r="K2136" t="str">
        <f>role_course_map[[#This Row],[role_id]] &amp; "|" &amp; role_course_map[[#This Row],[course_id]]</f>
        <v>R0205|999056</v>
      </c>
      <c r="L2136" t="str">
        <f>IF(COUNTIF(role_course_map[mapping_key],role_course_map[[#This Row],[mapping_key]])&gt;1,"DUPLICATE","OK")</f>
        <v>OK</v>
      </c>
      <c r="M2136" t="str">
        <f>IF(COUNTIF(role_data[role_id],role_course_map[[#This Row],[role_id]])=0, "INVALID","VALID")</f>
        <v>VALID</v>
      </c>
      <c r="N2136" t="str">
        <f>IF(COUNTIF(course_data[course_id],role_course_map[[#This Row],[course_id]])=0, "INVALID","VALID")</f>
        <v>VALID</v>
      </c>
    </row>
    <row r="2137" spans="1:14" x14ac:dyDescent="0.35">
      <c r="A2137" t="s">
        <v>434</v>
      </c>
      <c r="B2137" s="5" t="str">
        <f>_xlfn.XLOOKUP(role_course_map[[#This Row],[role_id]], role_data[role_id], role_data[Role],"")</f>
        <v>Workforce Administrator</v>
      </c>
      <c r="C2137">
        <v>999057</v>
      </c>
      <c r="D2137" s="5" t="str">
        <f>_xlfn.XLOOKUP(role_course_map[[#This Row],[course_id]],course_data[course_id],course_data[title],"")</f>
        <v>Fatigue Awareness</v>
      </c>
      <c r="E2137" s="5" t="str">
        <f>_xlfn.XLOOKUP(role_course_map[[#This Row],[course_id]],course_data[course_id],course_data[topic],"")</f>
        <v>SAS : Health and Safety</v>
      </c>
      <c r="F2137" s="5" t="str">
        <f>_xlfn.XLOOKUP(role_course_map[[#This Row],[course_id]],course_data[course_id],course_data[type],"")</f>
        <v>eLearning</v>
      </c>
      <c r="K2137" t="str">
        <f>role_course_map[[#This Row],[role_id]] &amp; "|" &amp; role_course_map[[#This Row],[course_id]]</f>
        <v>R0205|999057</v>
      </c>
      <c r="L2137" t="str">
        <f>IF(COUNTIF(role_course_map[mapping_key],role_course_map[[#This Row],[mapping_key]])&gt;1,"DUPLICATE","OK")</f>
        <v>OK</v>
      </c>
      <c r="M2137" t="str">
        <f>IF(COUNTIF(role_data[role_id],role_course_map[[#This Row],[role_id]])=0, "INVALID","VALID")</f>
        <v>VALID</v>
      </c>
      <c r="N2137" t="str">
        <f>IF(COUNTIF(course_data[course_id],role_course_map[[#This Row],[course_id]])=0, "INVALID","VALID")</f>
        <v>VALID</v>
      </c>
    </row>
    <row r="2138" spans="1:14" x14ac:dyDescent="0.35">
      <c r="A2138" t="s">
        <v>434</v>
      </c>
      <c r="B2138" s="5" t="str">
        <f>_xlfn.XLOOKUP(role_course_map[[#This Row],[role_id]], role_data[role_id], role_data[Role],"")</f>
        <v>Workforce Administrator</v>
      </c>
      <c r="C2138">
        <v>999058</v>
      </c>
      <c r="D2138" s="5" t="str">
        <f>_xlfn.XLOOKUP(role_course_map[[#This Row],[course_id]],course_data[course_id],course_data[title],"")</f>
        <v>Stress Identification &amp; Stress Management</v>
      </c>
      <c r="E2138" s="5" t="str">
        <f>_xlfn.XLOOKUP(role_course_map[[#This Row],[course_id]],course_data[course_id],course_data[topic],"")</f>
        <v>SAS : Health and Safety</v>
      </c>
      <c r="F2138" s="5" t="str">
        <f>_xlfn.XLOOKUP(role_course_map[[#This Row],[course_id]],course_data[course_id],course_data[type],"")</f>
        <v>eLearning</v>
      </c>
      <c r="K2138" t="str">
        <f>role_course_map[[#This Row],[role_id]] &amp; "|" &amp; role_course_map[[#This Row],[course_id]]</f>
        <v>R0205|999058</v>
      </c>
      <c r="L2138" t="str">
        <f>IF(COUNTIF(role_course_map[mapping_key],role_course_map[[#This Row],[mapping_key]])&gt;1,"DUPLICATE","OK")</f>
        <v>OK</v>
      </c>
      <c r="M2138" t="str">
        <f>IF(COUNTIF(role_data[role_id],role_course_map[[#This Row],[role_id]])=0, "INVALID","VALID")</f>
        <v>VALID</v>
      </c>
      <c r="N2138" t="str">
        <f>IF(COUNTIF(course_data[course_id],role_course_map[[#This Row],[course_id]])=0, "INVALID","VALID")</f>
        <v>VALID</v>
      </c>
    </row>
    <row r="2139" spans="1:14" x14ac:dyDescent="0.35">
      <c r="A2139" t="s">
        <v>434</v>
      </c>
      <c r="B2139" s="5" t="str">
        <f>_xlfn.XLOOKUP(role_course_map[[#This Row],[role_id]], role_data[role_id], role_data[Role],"")</f>
        <v>Workforce Administrator</v>
      </c>
      <c r="C2139">
        <v>999094</v>
      </c>
      <c r="D2139" s="5" t="str">
        <f>_xlfn.XLOOKUP(role_course_map[[#This Row],[course_id]],course_data[course_id],course_data[title],"")</f>
        <v>Being well, Mind, Body &amp; Workplace</v>
      </c>
      <c r="E2139" s="5" t="str">
        <f>_xlfn.XLOOKUP(role_course_map[[#This Row],[course_id]],course_data[course_id],course_data[topic],"")</f>
        <v>SAS: Staff development and experience</v>
      </c>
      <c r="F2139" s="5" t="str">
        <f>_xlfn.XLOOKUP(role_course_map[[#This Row],[course_id]],course_data[course_id],course_data[type],"")</f>
        <v>eLearning</v>
      </c>
      <c r="K2139" t="str">
        <f>role_course_map[[#This Row],[role_id]] &amp; "|" &amp; role_course_map[[#This Row],[course_id]]</f>
        <v>R0205|999094</v>
      </c>
      <c r="L2139" t="str">
        <f>IF(COUNTIF(role_course_map[mapping_key],role_course_map[[#This Row],[mapping_key]])&gt;1,"DUPLICATE","OK")</f>
        <v>OK</v>
      </c>
      <c r="M2139" t="str">
        <f>IF(COUNTIF(role_data[role_id],role_course_map[[#This Row],[role_id]])=0, "INVALID","VALID")</f>
        <v>VALID</v>
      </c>
      <c r="N2139" t="str">
        <f>IF(COUNTIF(course_data[course_id],role_course_map[[#This Row],[course_id]])=0, "INVALID","VALID")</f>
        <v>VALID</v>
      </c>
    </row>
    <row r="2140" spans="1:14" x14ac:dyDescent="0.35">
      <c r="A2140" t="s">
        <v>436</v>
      </c>
      <c r="B2140" s="5" t="str">
        <f>_xlfn.XLOOKUP(role_course_map[[#This Row],[role_id]], role_data[role_id], role_data[Role],"")</f>
        <v>Workforce Planner</v>
      </c>
      <c r="C2140">
        <v>999056</v>
      </c>
      <c r="D2140" s="5" t="str">
        <f>_xlfn.XLOOKUP(role_course_map[[#This Row],[course_id]],course_data[course_id],course_data[title],"")</f>
        <v>Driver Assessment &amp; Training</v>
      </c>
      <c r="E2140" s="5" t="str">
        <f>_xlfn.XLOOKUP(role_course_map[[#This Row],[course_id]],course_data[course_id],course_data[topic],"")</f>
        <v>SAS : Health and Safety</v>
      </c>
      <c r="F2140" s="5" t="str">
        <f>_xlfn.XLOOKUP(role_course_map[[#This Row],[course_id]],course_data[course_id],course_data[type],"")</f>
        <v>eLearning</v>
      </c>
      <c r="K2140" t="str">
        <f>role_course_map[[#This Row],[role_id]] &amp; "|" &amp; role_course_map[[#This Row],[course_id]]</f>
        <v>R0206|999056</v>
      </c>
      <c r="L2140" t="str">
        <f>IF(COUNTIF(role_course_map[mapping_key],role_course_map[[#This Row],[mapping_key]])&gt;1,"DUPLICATE","OK")</f>
        <v>OK</v>
      </c>
      <c r="M2140" t="str">
        <f>IF(COUNTIF(role_data[role_id],role_course_map[[#This Row],[role_id]])=0, "INVALID","VALID")</f>
        <v>VALID</v>
      </c>
      <c r="N2140" t="str">
        <f>IF(COUNTIF(course_data[course_id],role_course_map[[#This Row],[course_id]])=0, "INVALID","VALID")</f>
        <v>VALID</v>
      </c>
    </row>
    <row r="2141" spans="1:14" x14ac:dyDescent="0.35">
      <c r="A2141" t="s">
        <v>436</v>
      </c>
      <c r="B2141" s="5" t="str">
        <f>_xlfn.XLOOKUP(role_course_map[[#This Row],[role_id]], role_data[role_id], role_data[Role],"")</f>
        <v>Workforce Planner</v>
      </c>
      <c r="C2141">
        <v>999057</v>
      </c>
      <c r="D2141" s="5" t="str">
        <f>_xlfn.XLOOKUP(role_course_map[[#This Row],[course_id]],course_data[course_id],course_data[title],"")</f>
        <v>Fatigue Awareness</v>
      </c>
      <c r="E2141" s="5" t="str">
        <f>_xlfn.XLOOKUP(role_course_map[[#This Row],[course_id]],course_data[course_id],course_data[topic],"")</f>
        <v>SAS : Health and Safety</v>
      </c>
      <c r="F2141" s="5" t="str">
        <f>_xlfn.XLOOKUP(role_course_map[[#This Row],[course_id]],course_data[course_id],course_data[type],"")</f>
        <v>eLearning</v>
      </c>
      <c r="K2141" t="str">
        <f>role_course_map[[#This Row],[role_id]] &amp; "|" &amp; role_course_map[[#This Row],[course_id]]</f>
        <v>R0206|999057</v>
      </c>
      <c r="L2141" t="str">
        <f>IF(COUNTIF(role_course_map[mapping_key],role_course_map[[#This Row],[mapping_key]])&gt;1,"DUPLICATE","OK")</f>
        <v>OK</v>
      </c>
      <c r="M2141" t="str">
        <f>IF(COUNTIF(role_data[role_id],role_course_map[[#This Row],[role_id]])=0, "INVALID","VALID")</f>
        <v>VALID</v>
      </c>
      <c r="N2141" t="str">
        <f>IF(COUNTIF(course_data[course_id],role_course_map[[#This Row],[course_id]])=0, "INVALID","VALID")</f>
        <v>VALID</v>
      </c>
    </row>
    <row r="2142" spans="1:14" x14ac:dyDescent="0.35">
      <c r="A2142" t="s">
        <v>436</v>
      </c>
      <c r="B2142" s="5" t="str">
        <f>_xlfn.XLOOKUP(role_course_map[[#This Row],[role_id]], role_data[role_id], role_data[Role],"")</f>
        <v>Workforce Planner</v>
      </c>
      <c r="C2142">
        <v>999058</v>
      </c>
      <c r="D2142" s="5" t="str">
        <f>_xlfn.XLOOKUP(role_course_map[[#This Row],[course_id]],course_data[course_id],course_data[title],"")</f>
        <v>Stress Identification &amp; Stress Management</v>
      </c>
      <c r="E2142" s="5" t="str">
        <f>_xlfn.XLOOKUP(role_course_map[[#This Row],[course_id]],course_data[course_id],course_data[topic],"")</f>
        <v>SAS : Health and Safety</v>
      </c>
      <c r="F2142" s="5" t="str">
        <f>_xlfn.XLOOKUP(role_course_map[[#This Row],[course_id]],course_data[course_id],course_data[type],"")</f>
        <v>eLearning</v>
      </c>
      <c r="K2142" t="str">
        <f>role_course_map[[#This Row],[role_id]] &amp; "|" &amp; role_course_map[[#This Row],[course_id]]</f>
        <v>R0206|999058</v>
      </c>
      <c r="L2142" t="str">
        <f>IF(COUNTIF(role_course_map[mapping_key],role_course_map[[#This Row],[mapping_key]])&gt;1,"DUPLICATE","OK")</f>
        <v>OK</v>
      </c>
      <c r="M2142" t="str">
        <f>IF(COUNTIF(role_data[role_id],role_course_map[[#This Row],[role_id]])=0, "INVALID","VALID")</f>
        <v>VALID</v>
      </c>
      <c r="N2142" t="str">
        <f>IF(COUNTIF(course_data[course_id],role_course_map[[#This Row],[course_id]])=0, "INVALID","VALID")</f>
        <v>VALID</v>
      </c>
    </row>
    <row r="2143" spans="1:14" x14ac:dyDescent="0.35">
      <c r="A2143" t="s">
        <v>436</v>
      </c>
      <c r="B2143" s="5" t="str">
        <f>_xlfn.XLOOKUP(role_course_map[[#This Row],[role_id]], role_data[role_id], role_data[Role],"")</f>
        <v>Workforce Planner</v>
      </c>
      <c r="C2143">
        <v>999094</v>
      </c>
      <c r="D2143" s="5" t="str">
        <f>_xlfn.XLOOKUP(role_course_map[[#This Row],[course_id]],course_data[course_id],course_data[title],"")</f>
        <v>Being well, Mind, Body &amp; Workplace</v>
      </c>
      <c r="E2143" s="5" t="str">
        <f>_xlfn.XLOOKUP(role_course_map[[#This Row],[course_id]],course_data[course_id],course_data[topic],"")</f>
        <v>SAS: Staff development and experience</v>
      </c>
      <c r="F2143" s="5" t="str">
        <f>_xlfn.XLOOKUP(role_course_map[[#This Row],[course_id]],course_data[course_id],course_data[type],"")</f>
        <v>eLearning</v>
      </c>
      <c r="K2143" t="str">
        <f>role_course_map[[#This Row],[role_id]] &amp; "|" &amp; role_course_map[[#This Row],[course_id]]</f>
        <v>R0206|999094</v>
      </c>
      <c r="L2143" t="str">
        <f>IF(COUNTIF(role_course_map[mapping_key],role_course_map[[#This Row],[mapping_key]])&gt;1,"DUPLICATE","OK")</f>
        <v>OK</v>
      </c>
      <c r="M2143" t="str">
        <f>IF(COUNTIF(role_data[role_id],role_course_map[[#This Row],[role_id]])=0, "INVALID","VALID")</f>
        <v>VALID</v>
      </c>
      <c r="N2143" t="str">
        <f>IF(COUNTIF(course_data[course_id],role_course_map[[#This Row],[course_id]])=0, "INVALID","VALID")</f>
        <v>VALID</v>
      </c>
    </row>
    <row r="2144" spans="1:14" x14ac:dyDescent="0.35">
      <c r="A2144" t="s">
        <v>437</v>
      </c>
      <c r="B2144" s="5" t="str">
        <f>_xlfn.XLOOKUP(role_course_map[[#This Row],[role_id]], role_data[role_id], role_data[Role],"")</f>
        <v>Workforce Planning Supervisor</v>
      </c>
      <c r="C2144">
        <v>999056</v>
      </c>
      <c r="D2144" s="5" t="str">
        <f>_xlfn.XLOOKUP(role_course_map[[#This Row],[course_id]],course_data[course_id],course_data[title],"")</f>
        <v>Driver Assessment &amp; Training</v>
      </c>
      <c r="E2144" s="5" t="str">
        <f>_xlfn.XLOOKUP(role_course_map[[#This Row],[course_id]],course_data[course_id],course_data[topic],"")</f>
        <v>SAS : Health and Safety</v>
      </c>
      <c r="F2144" s="5" t="str">
        <f>_xlfn.XLOOKUP(role_course_map[[#This Row],[course_id]],course_data[course_id],course_data[type],"")</f>
        <v>eLearning</v>
      </c>
      <c r="K2144" t="str">
        <f>role_course_map[[#This Row],[role_id]] &amp; "|" &amp; role_course_map[[#This Row],[course_id]]</f>
        <v>R0207|999056</v>
      </c>
      <c r="L2144" t="str">
        <f>IF(COUNTIF(role_course_map[mapping_key],role_course_map[[#This Row],[mapping_key]])&gt;1,"DUPLICATE","OK")</f>
        <v>OK</v>
      </c>
      <c r="M2144" t="str">
        <f>IF(COUNTIF(role_data[role_id],role_course_map[[#This Row],[role_id]])=0, "INVALID","VALID")</f>
        <v>VALID</v>
      </c>
      <c r="N2144" t="str">
        <f>IF(COUNTIF(course_data[course_id],role_course_map[[#This Row],[course_id]])=0, "INVALID","VALID")</f>
        <v>VALID</v>
      </c>
    </row>
    <row r="2145" spans="1:14" x14ac:dyDescent="0.35">
      <c r="A2145" t="s">
        <v>437</v>
      </c>
      <c r="B2145" s="5" t="str">
        <f>_xlfn.XLOOKUP(role_course_map[[#This Row],[role_id]], role_data[role_id], role_data[Role],"")</f>
        <v>Workforce Planning Supervisor</v>
      </c>
      <c r="C2145">
        <v>999057</v>
      </c>
      <c r="D2145" s="5" t="str">
        <f>_xlfn.XLOOKUP(role_course_map[[#This Row],[course_id]],course_data[course_id],course_data[title],"")</f>
        <v>Fatigue Awareness</v>
      </c>
      <c r="E2145" s="5" t="str">
        <f>_xlfn.XLOOKUP(role_course_map[[#This Row],[course_id]],course_data[course_id],course_data[topic],"")</f>
        <v>SAS : Health and Safety</v>
      </c>
      <c r="F2145" s="5" t="str">
        <f>_xlfn.XLOOKUP(role_course_map[[#This Row],[course_id]],course_data[course_id],course_data[type],"")</f>
        <v>eLearning</v>
      </c>
      <c r="K2145" t="str">
        <f>role_course_map[[#This Row],[role_id]] &amp; "|" &amp; role_course_map[[#This Row],[course_id]]</f>
        <v>R0207|999057</v>
      </c>
      <c r="L2145" t="str">
        <f>IF(COUNTIF(role_course_map[mapping_key],role_course_map[[#This Row],[mapping_key]])&gt;1,"DUPLICATE","OK")</f>
        <v>OK</v>
      </c>
      <c r="M2145" t="str">
        <f>IF(COUNTIF(role_data[role_id],role_course_map[[#This Row],[role_id]])=0, "INVALID","VALID")</f>
        <v>VALID</v>
      </c>
      <c r="N2145" t="str">
        <f>IF(COUNTIF(course_data[course_id],role_course_map[[#This Row],[course_id]])=0, "INVALID","VALID")</f>
        <v>VALID</v>
      </c>
    </row>
    <row r="2146" spans="1:14" x14ac:dyDescent="0.35">
      <c r="A2146" t="s">
        <v>437</v>
      </c>
      <c r="B2146" s="5" t="str">
        <f>_xlfn.XLOOKUP(role_course_map[[#This Row],[role_id]], role_data[role_id], role_data[Role],"")</f>
        <v>Workforce Planning Supervisor</v>
      </c>
      <c r="C2146">
        <v>999058</v>
      </c>
      <c r="D2146" s="5" t="str">
        <f>_xlfn.XLOOKUP(role_course_map[[#This Row],[course_id]],course_data[course_id],course_data[title],"")</f>
        <v>Stress Identification &amp; Stress Management</v>
      </c>
      <c r="E2146" s="5" t="str">
        <f>_xlfn.XLOOKUP(role_course_map[[#This Row],[course_id]],course_data[course_id],course_data[topic],"")</f>
        <v>SAS : Health and Safety</v>
      </c>
      <c r="F2146" s="5" t="str">
        <f>_xlfn.XLOOKUP(role_course_map[[#This Row],[course_id]],course_data[course_id],course_data[type],"")</f>
        <v>eLearning</v>
      </c>
      <c r="K2146" t="str">
        <f>role_course_map[[#This Row],[role_id]] &amp; "|" &amp; role_course_map[[#This Row],[course_id]]</f>
        <v>R0207|999058</v>
      </c>
      <c r="L2146" t="str">
        <f>IF(COUNTIF(role_course_map[mapping_key],role_course_map[[#This Row],[mapping_key]])&gt;1,"DUPLICATE","OK")</f>
        <v>OK</v>
      </c>
      <c r="M2146" t="str">
        <f>IF(COUNTIF(role_data[role_id],role_course_map[[#This Row],[role_id]])=0, "INVALID","VALID")</f>
        <v>VALID</v>
      </c>
      <c r="N2146" t="str">
        <f>IF(COUNTIF(course_data[course_id],role_course_map[[#This Row],[course_id]])=0, "INVALID","VALID")</f>
        <v>VALID</v>
      </c>
    </row>
    <row r="2147" spans="1:14" x14ac:dyDescent="0.35">
      <c r="A2147" t="s">
        <v>437</v>
      </c>
      <c r="B2147" s="5" t="str">
        <f>_xlfn.XLOOKUP(role_course_map[[#This Row],[role_id]], role_data[role_id], role_data[Role],"")</f>
        <v>Workforce Planning Supervisor</v>
      </c>
      <c r="C2147">
        <v>999094</v>
      </c>
      <c r="D2147" s="5" t="str">
        <f>_xlfn.XLOOKUP(role_course_map[[#This Row],[course_id]],course_data[course_id],course_data[title],"")</f>
        <v>Being well, Mind, Body &amp; Workplace</v>
      </c>
      <c r="E2147" s="5" t="str">
        <f>_xlfn.XLOOKUP(role_course_map[[#This Row],[course_id]],course_data[course_id],course_data[topic],"")</f>
        <v>SAS: Staff development and experience</v>
      </c>
      <c r="F2147" s="5" t="str">
        <f>_xlfn.XLOOKUP(role_course_map[[#This Row],[course_id]],course_data[course_id],course_data[type],"")</f>
        <v>eLearning</v>
      </c>
      <c r="K2147" t="str">
        <f>role_course_map[[#This Row],[role_id]] &amp; "|" &amp; role_course_map[[#This Row],[course_id]]</f>
        <v>R0207|999094</v>
      </c>
      <c r="L2147" t="str">
        <f>IF(COUNTIF(role_course_map[mapping_key],role_course_map[[#This Row],[mapping_key]])&gt;1,"DUPLICATE","OK")</f>
        <v>OK</v>
      </c>
      <c r="M2147" t="str">
        <f>IF(COUNTIF(role_data[role_id],role_course_map[[#This Row],[role_id]])=0, "INVALID","VALID")</f>
        <v>VALID</v>
      </c>
      <c r="N2147" t="str">
        <f>IF(COUNTIF(course_data[course_id],role_course_map[[#This Row],[course_id]])=0, "INVALID","VALID")</f>
        <v>VALID</v>
      </c>
    </row>
    <row r="2148" spans="1:14" x14ac:dyDescent="0.35">
      <c r="A2148" t="s">
        <v>49</v>
      </c>
      <c r="B2148" s="5" t="str">
        <f>_xlfn.XLOOKUP(role_course_map[[#This Row],[role_id]], role_data[role_id], role_data[Role],"")</f>
        <v>Procurement Admin Officer</v>
      </c>
      <c r="C2148">
        <v>999056</v>
      </c>
      <c r="D2148" s="5" t="str">
        <f>_xlfn.XLOOKUP(role_course_map[[#This Row],[course_id]],course_data[course_id],course_data[title],"")</f>
        <v>Driver Assessment &amp; Training</v>
      </c>
      <c r="E2148" s="5" t="str">
        <f>_xlfn.XLOOKUP(role_course_map[[#This Row],[course_id]],course_data[course_id],course_data[topic],"")</f>
        <v>SAS : Health and Safety</v>
      </c>
      <c r="F2148" s="5" t="str">
        <f>_xlfn.XLOOKUP(role_course_map[[#This Row],[course_id]],course_data[course_id],course_data[type],"")</f>
        <v>eLearning</v>
      </c>
      <c r="K2148" t="str">
        <f>role_course_map[[#This Row],[role_id]] &amp; "|" &amp; role_course_map[[#This Row],[course_id]]</f>
        <v>R0020|999056</v>
      </c>
      <c r="L2148" t="str">
        <f>IF(COUNTIF(role_course_map[mapping_key],role_course_map[[#This Row],[mapping_key]])&gt;1,"DUPLICATE","OK")</f>
        <v>OK</v>
      </c>
      <c r="M2148" t="str">
        <f>IF(COUNTIF(role_data[role_id],role_course_map[[#This Row],[role_id]])=0, "INVALID","VALID")</f>
        <v>VALID</v>
      </c>
      <c r="N2148" t="str">
        <f>IF(COUNTIF(course_data[course_id],role_course_map[[#This Row],[course_id]])=0, "INVALID","VALID")</f>
        <v>VALID</v>
      </c>
    </row>
    <row r="2149" spans="1:14" x14ac:dyDescent="0.35">
      <c r="A2149" t="s">
        <v>49</v>
      </c>
      <c r="B2149" s="5" t="str">
        <f>_xlfn.XLOOKUP(role_course_map[[#This Row],[role_id]], role_data[role_id], role_data[Role],"")</f>
        <v>Procurement Admin Officer</v>
      </c>
      <c r="C2149">
        <v>999057</v>
      </c>
      <c r="D2149" s="5" t="str">
        <f>_xlfn.XLOOKUP(role_course_map[[#This Row],[course_id]],course_data[course_id],course_data[title],"")</f>
        <v>Fatigue Awareness</v>
      </c>
      <c r="E2149" s="5" t="str">
        <f>_xlfn.XLOOKUP(role_course_map[[#This Row],[course_id]],course_data[course_id],course_data[topic],"")</f>
        <v>SAS : Health and Safety</v>
      </c>
      <c r="F2149" s="5" t="str">
        <f>_xlfn.XLOOKUP(role_course_map[[#This Row],[course_id]],course_data[course_id],course_data[type],"")</f>
        <v>eLearning</v>
      </c>
      <c r="K2149" t="str">
        <f>role_course_map[[#This Row],[role_id]] &amp; "|" &amp; role_course_map[[#This Row],[course_id]]</f>
        <v>R0020|999057</v>
      </c>
      <c r="L2149" t="str">
        <f>IF(COUNTIF(role_course_map[mapping_key],role_course_map[[#This Row],[mapping_key]])&gt;1,"DUPLICATE","OK")</f>
        <v>OK</v>
      </c>
      <c r="M2149" t="str">
        <f>IF(COUNTIF(role_data[role_id],role_course_map[[#This Row],[role_id]])=0, "INVALID","VALID")</f>
        <v>VALID</v>
      </c>
      <c r="N2149" t="str">
        <f>IF(COUNTIF(course_data[course_id],role_course_map[[#This Row],[course_id]])=0, "INVALID","VALID")</f>
        <v>VALID</v>
      </c>
    </row>
    <row r="2150" spans="1:14" x14ac:dyDescent="0.35">
      <c r="A2150" t="s">
        <v>49</v>
      </c>
      <c r="B2150" s="5" t="str">
        <f>_xlfn.XLOOKUP(role_course_map[[#This Row],[role_id]], role_data[role_id], role_data[Role],"")</f>
        <v>Procurement Admin Officer</v>
      </c>
      <c r="C2150">
        <v>999058</v>
      </c>
      <c r="D2150" s="5" t="str">
        <f>_xlfn.XLOOKUP(role_course_map[[#This Row],[course_id]],course_data[course_id],course_data[title],"")</f>
        <v>Stress Identification &amp; Stress Management</v>
      </c>
      <c r="E2150" s="5" t="str">
        <f>_xlfn.XLOOKUP(role_course_map[[#This Row],[course_id]],course_data[course_id],course_data[topic],"")</f>
        <v>SAS : Health and Safety</v>
      </c>
      <c r="F2150" s="5" t="str">
        <f>_xlfn.XLOOKUP(role_course_map[[#This Row],[course_id]],course_data[course_id],course_data[type],"")</f>
        <v>eLearning</v>
      </c>
      <c r="K2150" t="str">
        <f>role_course_map[[#This Row],[role_id]] &amp; "|" &amp; role_course_map[[#This Row],[course_id]]</f>
        <v>R0020|999058</v>
      </c>
      <c r="L2150" t="str">
        <f>IF(COUNTIF(role_course_map[mapping_key],role_course_map[[#This Row],[mapping_key]])&gt;1,"DUPLICATE","OK")</f>
        <v>OK</v>
      </c>
      <c r="M2150" t="str">
        <f>IF(COUNTIF(role_data[role_id],role_course_map[[#This Row],[role_id]])=0, "INVALID","VALID")</f>
        <v>VALID</v>
      </c>
      <c r="N2150" t="str">
        <f>IF(COUNTIF(course_data[course_id],role_course_map[[#This Row],[course_id]])=0, "INVALID","VALID")</f>
        <v>VALID</v>
      </c>
    </row>
    <row r="2151" spans="1:14" x14ac:dyDescent="0.35">
      <c r="A2151" t="s">
        <v>49</v>
      </c>
      <c r="B2151" s="5" t="str">
        <f>_xlfn.XLOOKUP(role_course_map[[#This Row],[role_id]], role_data[role_id], role_data[Role],"")</f>
        <v>Procurement Admin Officer</v>
      </c>
      <c r="C2151">
        <v>999094</v>
      </c>
      <c r="D2151" s="5" t="str">
        <f>_xlfn.XLOOKUP(role_course_map[[#This Row],[course_id]],course_data[course_id],course_data[title],"")</f>
        <v>Being well, Mind, Body &amp; Workplace</v>
      </c>
      <c r="E2151" s="5" t="str">
        <f>_xlfn.XLOOKUP(role_course_map[[#This Row],[course_id]],course_data[course_id],course_data[topic],"")</f>
        <v>SAS: Staff development and experience</v>
      </c>
      <c r="F2151" s="5" t="str">
        <f>_xlfn.XLOOKUP(role_course_map[[#This Row],[course_id]],course_data[course_id],course_data[type],"")</f>
        <v>eLearning</v>
      </c>
      <c r="K2151" t="str">
        <f>role_course_map[[#This Row],[role_id]] &amp; "|" &amp; role_course_map[[#This Row],[course_id]]</f>
        <v>R0020|999094</v>
      </c>
      <c r="L2151" t="str">
        <f>IF(COUNTIF(role_course_map[mapping_key],role_course_map[[#This Row],[mapping_key]])&gt;1,"DUPLICATE","OK")</f>
        <v>OK</v>
      </c>
      <c r="M2151" t="str">
        <f>IF(COUNTIF(role_data[role_id],role_course_map[[#This Row],[role_id]])=0, "INVALID","VALID")</f>
        <v>VALID</v>
      </c>
      <c r="N2151" t="str">
        <f>IF(COUNTIF(course_data[course_id],role_course_map[[#This Row],[course_id]])=0, "INVALID","VALID")</f>
        <v>VALID</v>
      </c>
    </row>
    <row r="2152" spans="1:14" x14ac:dyDescent="0.35">
      <c r="A2152" t="s">
        <v>51</v>
      </c>
      <c r="B2152" s="5" t="str">
        <f>_xlfn.XLOOKUP(role_course_map[[#This Row],[role_id]], role_data[role_id], role_data[Role],"")</f>
        <v>Procurement Assistant</v>
      </c>
      <c r="C2152">
        <v>999056</v>
      </c>
      <c r="D2152" s="5" t="str">
        <f>_xlfn.XLOOKUP(role_course_map[[#This Row],[course_id]],course_data[course_id],course_data[title],"")</f>
        <v>Driver Assessment &amp; Training</v>
      </c>
      <c r="E2152" s="5" t="str">
        <f>_xlfn.XLOOKUP(role_course_map[[#This Row],[course_id]],course_data[course_id],course_data[topic],"")</f>
        <v>SAS : Health and Safety</v>
      </c>
      <c r="F2152" s="5" t="str">
        <f>_xlfn.XLOOKUP(role_course_map[[#This Row],[course_id]],course_data[course_id],course_data[type],"")</f>
        <v>eLearning</v>
      </c>
      <c r="K2152" t="str">
        <f>role_course_map[[#This Row],[role_id]] &amp; "|" &amp; role_course_map[[#This Row],[course_id]]</f>
        <v>R0021|999056</v>
      </c>
      <c r="L2152" t="str">
        <f>IF(COUNTIF(role_course_map[mapping_key],role_course_map[[#This Row],[mapping_key]])&gt;1,"DUPLICATE","OK")</f>
        <v>OK</v>
      </c>
      <c r="M2152" t="str">
        <f>IF(COUNTIF(role_data[role_id],role_course_map[[#This Row],[role_id]])=0, "INVALID","VALID")</f>
        <v>VALID</v>
      </c>
      <c r="N2152" t="str">
        <f>IF(COUNTIF(course_data[course_id],role_course_map[[#This Row],[course_id]])=0, "INVALID","VALID")</f>
        <v>VALID</v>
      </c>
    </row>
    <row r="2153" spans="1:14" x14ac:dyDescent="0.35">
      <c r="A2153" t="s">
        <v>51</v>
      </c>
      <c r="B2153" s="5" t="str">
        <f>_xlfn.XLOOKUP(role_course_map[[#This Row],[role_id]], role_data[role_id], role_data[Role],"")</f>
        <v>Procurement Assistant</v>
      </c>
      <c r="C2153">
        <v>999057</v>
      </c>
      <c r="D2153" s="5" t="str">
        <f>_xlfn.XLOOKUP(role_course_map[[#This Row],[course_id]],course_data[course_id],course_data[title],"")</f>
        <v>Fatigue Awareness</v>
      </c>
      <c r="E2153" s="5" t="str">
        <f>_xlfn.XLOOKUP(role_course_map[[#This Row],[course_id]],course_data[course_id],course_data[topic],"")</f>
        <v>SAS : Health and Safety</v>
      </c>
      <c r="F2153" s="5" t="str">
        <f>_xlfn.XLOOKUP(role_course_map[[#This Row],[course_id]],course_data[course_id],course_data[type],"")</f>
        <v>eLearning</v>
      </c>
      <c r="K2153" t="str">
        <f>role_course_map[[#This Row],[role_id]] &amp; "|" &amp; role_course_map[[#This Row],[course_id]]</f>
        <v>R0021|999057</v>
      </c>
      <c r="L2153" t="str">
        <f>IF(COUNTIF(role_course_map[mapping_key],role_course_map[[#This Row],[mapping_key]])&gt;1,"DUPLICATE","OK")</f>
        <v>OK</v>
      </c>
      <c r="M2153" t="str">
        <f>IF(COUNTIF(role_data[role_id],role_course_map[[#This Row],[role_id]])=0, "INVALID","VALID")</f>
        <v>VALID</v>
      </c>
      <c r="N2153" t="str">
        <f>IF(COUNTIF(course_data[course_id],role_course_map[[#This Row],[course_id]])=0, "INVALID","VALID")</f>
        <v>VALID</v>
      </c>
    </row>
    <row r="2154" spans="1:14" x14ac:dyDescent="0.35">
      <c r="A2154" t="s">
        <v>51</v>
      </c>
      <c r="B2154" s="5" t="str">
        <f>_xlfn.XLOOKUP(role_course_map[[#This Row],[role_id]], role_data[role_id], role_data[Role],"")</f>
        <v>Procurement Assistant</v>
      </c>
      <c r="C2154">
        <v>999058</v>
      </c>
      <c r="D2154" s="5" t="str">
        <f>_xlfn.XLOOKUP(role_course_map[[#This Row],[course_id]],course_data[course_id],course_data[title],"")</f>
        <v>Stress Identification &amp; Stress Management</v>
      </c>
      <c r="E2154" s="5" t="str">
        <f>_xlfn.XLOOKUP(role_course_map[[#This Row],[course_id]],course_data[course_id],course_data[topic],"")</f>
        <v>SAS : Health and Safety</v>
      </c>
      <c r="F2154" s="5" t="str">
        <f>_xlfn.XLOOKUP(role_course_map[[#This Row],[course_id]],course_data[course_id],course_data[type],"")</f>
        <v>eLearning</v>
      </c>
      <c r="K2154" t="str">
        <f>role_course_map[[#This Row],[role_id]] &amp; "|" &amp; role_course_map[[#This Row],[course_id]]</f>
        <v>R0021|999058</v>
      </c>
      <c r="L2154" t="str">
        <f>IF(COUNTIF(role_course_map[mapping_key],role_course_map[[#This Row],[mapping_key]])&gt;1,"DUPLICATE","OK")</f>
        <v>OK</v>
      </c>
      <c r="M2154" t="str">
        <f>IF(COUNTIF(role_data[role_id],role_course_map[[#This Row],[role_id]])=0, "INVALID","VALID")</f>
        <v>VALID</v>
      </c>
      <c r="N2154" t="str">
        <f>IF(COUNTIF(course_data[course_id],role_course_map[[#This Row],[course_id]])=0, "INVALID","VALID")</f>
        <v>VALID</v>
      </c>
    </row>
    <row r="2155" spans="1:14" x14ac:dyDescent="0.35">
      <c r="A2155" t="s">
        <v>51</v>
      </c>
      <c r="B2155" s="5" t="str">
        <f>_xlfn.XLOOKUP(role_course_map[[#This Row],[role_id]], role_data[role_id], role_data[Role],"")</f>
        <v>Procurement Assistant</v>
      </c>
      <c r="C2155">
        <v>999094</v>
      </c>
      <c r="D2155" s="5" t="str">
        <f>_xlfn.XLOOKUP(role_course_map[[#This Row],[course_id]],course_data[course_id],course_data[title],"")</f>
        <v>Being well, Mind, Body &amp; Workplace</v>
      </c>
      <c r="E2155" s="5" t="str">
        <f>_xlfn.XLOOKUP(role_course_map[[#This Row],[course_id]],course_data[course_id],course_data[topic],"")</f>
        <v>SAS: Staff development and experience</v>
      </c>
      <c r="F2155" s="5" t="str">
        <f>_xlfn.XLOOKUP(role_course_map[[#This Row],[course_id]],course_data[course_id],course_data[type],"")</f>
        <v>eLearning</v>
      </c>
      <c r="K2155" t="str">
        <f>role_course_map[[#This Row],[role_id]] &amp; "|" &amp; role_course_map[[#This Row],[course_id]]</f>
        <v>R0021|999094</v>
      </c>
      <c r="L2155" t="str">
        <f>IF(COUNTIF(role_course_map[mapping_key],role_course_map[[#This Row],[mapping_key]])&gt;1,"DUPLICATE","OK")</f>
        <v>OK</v>
      </c>
      <c r="M2155" t="str">
        <f>IF(COUNTIF(role_data[role_id],role_course_map[[#This Row],[role_id]])=0, "INVALID","VALID")</f>
        <v>VALID</v>
      </c>
      <c r="N2155" t="str">
        <f>IF(COUNTIF(course_data[course_id],role_course_map[[#This Row],[course_id]])=0, "INVALID","VALID")</f>
        <v>VALID</v>
      </c>
    </row>
    <row r="2156" spans="1:14" x14ac:dyDescent="0.35">
      <c r="A2156" t="s">
        <v>53</v>
      </c>
      <c r="B2156" s="5" t="str">
        <f>_xlfn.XLOOKUP(role_course_map[[#This Row],[role_id]], role_data[role_id], role_data[Role],"")</f>
        <v>Procurement Officer</v>
      </c>
      <c r="C2156">
        <v>999056</v>
      </c>
      <c r="D2156" s="5" t="str">
        <f>_xlfn.XLOOKUP(role_course_map[[#This Row],[course_id]],course_data[course_id],course_data[title],"")</f>
        <v>Driver Assessment &amp; Training</v>
      </c>
      <c r="E2156" s="5" t="str">
        <f>_xlfn.XLOOKUP(role_course_map[[#This Row],[course_id]],course_data[course_id],course_data[topic],"")</f>
        <v>SAS : Health and Safety</v>
      </c>
      <c r="F2156" s="5" t="str">
        <f>_xlfn.XLOOKUP(role_course_map[[#This Row],[course_id]],course_data[course_id],course_data[type],"")</f>
        <v>eLearning</v>
      </c>
      <c r="K2156" t="str">
        <f>role_course_map[[#This Row],[role_id]] &amp; "|" &amp; role_course_map[[#This Row],[course_id]]</f>
        <v>R0022|999056</v>
      </c>
      <c r="L2156" t="str">
        <f>IF(COUNTIF(role_course_map[mapping_key],role_course_map[[#This Row],[mapping_key]])&gt;1,"DUPLICATE","OK")</f>
        <v>OK</v>
      </c>
      <c r="M2156" t="str">
        <f>IF(COUNTIF(role_data[role_id],role_course_map[[#This Row],[role_id]])=0, "INVALID","VALID")</f>
        <v>VALID</v>
      </c>
      <c r="N2156" t="str">
        <f>IF(COUNTIF(course_data[course_id],role_course_map[[#This Row],[course_id]])=0, "INVALID","VALID")</f>
        <v>VALID</v>
      </c>
    </row>
    <row r="2157" spans="1:14" x14ac:dyDescent="0.35">
      <c r="A2157" t="s">
        <v>53</v>
      </c>
      <c r="B2157" s="5" t="str">
        <f>_xlfn.XLOOKUP(role_course_map[[#This Row],[role_id]], role_data[role_id], role_data[Role],"")</f>
        <v>Procurement Officer</v>
      </c>
      <c r="C2157">
        <v>999057</v>
      </c>
      <c r="D2157" s="5" t="str">
        <f>_xlfn.XLOOKUP(role_course_map[[#This Row],[course_id]],course_data[course_id],course_data[title],"")</f>
        <v>Fatigue Awareness</v>
      </c>
      <c r="E2157" s="5" t="str">
        <f>_xlfn.XLOOKUP(role_course_map[[#This Row],[course_id]],course_data[course_id],course_data[topic],"")</f>
        <v>SAS : Health and Safety</v>
      </c>
      <c r="F2157" s="5" t="str">
        <f>_xlfn.XLOOKUP(role_course_map[[#This Row],[course_id]],course_data[course_id],course_data[type],"")</f>
        <v>eLearning</v>
      </c>
      <c r="K2157" t="str">
        <f>role_course_map[[#This Row],[role_id]] &amp; "|" &amp; role_course_map[[#This Row],[course_id]]</f>
        <v>R0022|999057</v>
      </c>
      <c r="L2157" t="str">
        <f>IF(COUNTIF(role_course_map[mapping_key],role_course_map[[#This Row],[mapping_key]])&gt;1,"DUPLICATE","OK")</f>
        <v>OK</v>
      </c>
      <c r="M2157" t="str">
        <f>IF(COUNTIF(role_data[role_id],role_course_map[[#This Row],[role_id]])=0, "INVALID","VALID")</f>
        <v>VALID</v>
      </c>
      <c r="N2157" t="str">
        <f>IF(COUNTIF(course_data[course_id],role_course_map[[#This Row],[course_id]])=0, "INVALID","VALID")</f>
        <v>VALID</v>
      </c>
    </row>
    <row r="2158" spans="1:14" x14ac:dyDescent="0.35">
      <c r="A2158" t="s">
        <v>53</v>
      </c>
      <c r="B2158" s="5" t="str">
        <f>_xlfn.XLOOKUP(role_course_map[[#This Row],[role_id]], role_data[role_id], role_data[Role],"")</f>
        <v>Procurement Officer</v>
      </c>
      <c r="C2158">
        <v>999058</v>
      </c>
      <c r="D2158" s="5" t="str">
        <f>_xlfn.XLOOKUP(role_course_map[[#This Row],[course_id]],course_data[course_id],course_data[title],"")</f>
        <v>Stress Identification &amp; Stress Management</v>
      </c>
      <c r="E2158" s="5" t="str">
        <f>_xlfn.XLOOKUP(role_course_map[[#This Row],[course_id]],course_data[course_id],course_data[topic],"")</f>
        <v>SAS : Health and Safety</v>
      </c>
      <c r="F2158" s="5" t="str">
        <f>_xlfn.XLOOKUP(role_course_map[[#This Row],[course_id]],course_data[course_id],course_data[type],"")</f>
        <v>eLearning</v>
      </c>
      <c r="K2158" t="str">
        <f>role_course_map[[#This Row],[role_id]] &amp; "|" &amp; role_course_map[[#This Row],[course_id]]</f>
        <v>R0022|999058</v>
      </c>
      <c r="L2158" t="str">
        <f>IF(COUNTIF(role_course_map[mapping_key],role_course_map[[#This Row],[mapping_key]])&gt;1,"DUPLICATE","OK")</f>
        <v>OK</v>
      </c>
      <c r="M2158" t="str">
        <f>IF(COUNTIF(role_data[role_id],role_course_map[[#This Row],[role_id]])=0, "INVALID","VALID")</f>
        <v>VALID</v>
      </c>
      <c r="N2158" t="str">
        <f>IF(COUNTIF(course_data[course_id],role_course_map[[#This Row],[course_id]])=0, "INVALID","VALID")</f>
        <v>VALID</v>
      </c>
    </row>
    <row r="2159" spans="1:14" x14ac:dyDescent="0.35">
      <c r="A2159" t="s">
        <v>53</v>
      </c>
      <c r="B2159" s="5" t="str">
        <f>_xlfn.XLOOKUP(role_course_map[[#This Row],[role_id]], role_data[role_id], role_data[Role],"")</f>
        <v>Procurement Officer</v>
      </c>
      <c r="C2159">
        <v>999094</v>
      </c>
      <c r="D2159" s="5" t="str">
        <f>_xlfn.XLOOKUP(role_course_map[[#This Row],[course_id]],course_data[course_id],course_data[title],"")</f>
        <v>Being well, Mind, Body &amp; Workplace</v>
      </c>
      <c r="E2159" s="5" t="str">
        <f>_xlfn.XLOOKUP(role_course_map[[#This Row],[course_id]],course_data[course_id],course_data[topic],"")</f>
        <v>SAS: Staff development and experience</v>
      </c>
      <c r="F2159" s="5" t="str">
        <f>_xlfn.XLOOKUP(role_course_map[[#This Row],[course_id]],course_data[course_id],course_data[type],"")</f>
        <v>eLearning</v>
      </c>
      <c r="K2159" t="str">
        <f>role_course_map[[#This Row],[role_id]] &amp; "|" &amp; role_course_map[[#This Row],[course_id]]</f>
        <v>R0022|999094</v>
      </c>
      <c r="L2159" t="str">
        <f>IF(COUNTIF(role_course_map[mapping_key],role_course_map[[#This Row],[mapping_key]])&gt;1,"DUPLICATE","OK")</f>
        <v>OK</v>
      </c>
      <c r="M2159" t="str">
        <f>IF(COUNTIF(role_data[role_id],role_course_map[[#This Row],[role_id]])=0, "INVALID","VALID")</f>
        <v>VALID</v>
      </c>
      <c r="N2159" t="str">
        <f>IF(COUNTIF(course_data[course_id],role_course_map[[#This Row],[course_id]])=0, "INVALID","VALID")</f>
        <v>VALID</v>
      </c>
    </row>
    <row r="2160" spans="1:14" x14ac:dyDescent="0.35">
      <c r="A2160" t="s">
        <v>55</v>
      </c>
      <c r="B2160" s="5" t="str">
        <f>_xlfn.XLOOKUP(role_course_map[[#This Row],[role_id]], role_data[role_id], role_data[Role],"")</f>
        <v>Senior Finance Analyst</v>
      </c>
      <c r="C2160">
        <v>999056</v>
      </c>
      <c r="D2160" s="5" t="str">
        <f>_xlfn.XLOOKUP(role_course_map[[#This Row],[course_id]],course_data[course_id],course_data[title],"")</f>
        <v>Driver Assessment &amp; Training</v>
      </c>
      <c r="E2160" s="5" t="str">
        <f>_xlfn.XLOOKUP(role_course_map[[#This Row],[course_id]],course_data[course_id],course_data[topic],"")</f>
        <v>SAS : Health and Safety</v>
      </c>
      <c r="F2160" s="5" t="str">
        <f>_xlfn.XLOOKUP(role_course_map[[#This Row],[course_id]],course_data[course_id],course_data[type],"")</f>
        <v>eLearning</v>
      </c>
      <c r="K2160" t="str">
        <f>role_course_map[[#This Row],[role_id]] &amp; "|" &amp; role_course_map[[#This Row],[course_id]]</f>
        <v>R0023|999056</v>
      </c>
      <c r="L2160" t="str">
        <f>IF(COUNTIF(role_course_map[mapping_key],role_course_map[[#This Row],[mapping_key]])&gt;1,"DUPLICATE","OK")</f>
        <v>OK</v>
      </c>
      <c r="M2160" t="str">
        <f>IF(COUNTIF(role_data[role_id],role_course_map[[#This Row],[role_id]])=0, "INVALID","VALID")</f>
        <v>VALID</v>
      </c>
      <c r="N2160" t="str">
        <f>IF(COUNTIF(course_data[course_id],role_course_map[[#This Row],[course_id]])=0, "INVALID","VALID")</f>
        <v>VALID</v>
      </c>
    </row>
    <row r="2161" spans="1:14" x14ac:dyDescent="0.35">
      <c r="A2161" t="s">
        <v>55</v>
      </c>
      <c r="B2161" s="5" t="str">
        <f>_xlfn.XLOOKUP(role_course_map[[#This Row],[role_id]], role_data[role_id], role_data[Role],"")</f>
        <v>Senior Finance Analyst</v>
      </c>
      <c r="C2161">
        <v>999057</v>
      </c>
      <c r="D2161" s="5" t="str">
        <f>_xlfn.XLOOKUP(role_course_map[[#This Row],[course_id]],course_data[course_id],course_data[title],"")</f>
        <v>Fatigue Awareness</v>
      </c>
      <c r="E2161" s="5" t="str">
        <f>_xlfn.XLOOKUP(role_course_map[[#This Row],[course_id]],course_data[course_id],course_data[topic],"")</f>
        <v>SAS : Health and Safety</v>
      </c>
      <c r="F2161" s="5" t="str">
        <f>_xlfn.XLOOKUP(role_course_map[[#This Row],[course_id]],course_data[course_id],course_data[type],"")</f>
        <v>eLearning</v>
      </c>
      <c r="K2161" t="str">
        <f>role_course_map[[#This Row],[role_id]] &amp; "|" &amp; role_course_map[[#This Row],[course_id]]</f>
        <v>R0023|999057</v>
      </c>
      <c r="L2161" t="str">
        <f>IF(COUNTIF(role_course_map[mapping_key],role_course_map[[#This Row],[mapping_key]])&gt;1,"DUPLICATE","OK")</f>
        <v>OK</v>
      </c>
      <c r="M2161" t="str">
        <f>IF(COUNTIF(role_data[role_id],role_course_map[[#This Row],[role_id]])=0, "INVALID","VALID")</f>
        <v>VALID</v>
      </c>
      <c r="N2161" t="str">
        <f>IF(COUNTIF(course_data[course_id],role_course_map[[#This Row],[course_id]])=0, "INVALID","VALID")</f>
        <v>VALID</v>
      </c>
    </row>
    <row r="2162" spans="1:14" x14ac:dyDescent="0.35">
      <c r="A2162" t="s">
        <v>55</v>
      </c>
      <c r="B2162" s="5" t="str">
        <f>_xlfn.XLOOKUP(role_course_map[[#This Row],[role_id]], role_data[role_id], role_data[Role],"")</f>
        <v>Senior Finance Analyst</v>
      </c>
      <c r="C2162">
        <v>999058</v>
      </c>
      <c r="D2162" s="5" t="str">
        <f>_xlfn.XLOOKUP(role_course_map[[#This Row],[course_id]],course_data[course_id],course_data[title],"")</f>
        <v>Stress Identification &amp; Stress Management</v>
      </c>
      <c r="E2162" s="5" t="str">
        <f>_xlfn.XLOOKUP(role_course_map[[#This Row],[course_id]],course_data[course_id],course_data[topic],"")</f>
        <v>SAS : Health and Safety</v>
      </c>
      <c r="F2162" s="5" t="str">
        <f>_xlfn.XLOOKUP(role_course_map[[#This Row],[course_id]],course_data[course_id],course_data[type],"")</f>
        <v>eLearning</v>
      </c>
      <c r="K2162" t="str">
        <f>role_course_map[[#This Row],[role_id]] &amp; "|" &amp; role_course_map[[#This Row],[course_id]]</f>
        <v>R0023|999058</v>
      </c>
      <c r="L2162" t="str">
        <f>IF(COUNTIF(role_course_map[mapping_key],role_course_map[[#This Row],[mapping_key]])&gt;1,"DUPLICATE","OK")</f>
        <v>OK</v>
      </c>
      <c r="M2162" t="str">
        <f>IF(COUNTIF(role_data[role_id],role_course_map[[#This Row],[role_id]])=0, "INVALID","VALID")</f>
        <v>VALID</v>
      </c>
      <c r="N2162" t="str">
        <f>IF(COUNTIF(course_data[course_id],role_course_map[[#This Row],[course_id]])=0, "INVALID","VALID")</f>
        <v>VALID</v>
      </c>
    </row>
    <row r="2163" spans="1:14" x14ac:dyDescent="0.35">
      <c r="A2163" t="s">
        <v>55</v>
      </c>
      <c r="B2163" s="5" t="str">
        <f>_xlfn.XLOOKUP(role_course_map[[#This Row],[role_id]], role_data[role_id], role_data[Role],"")</f>
        <v>Senior Finance Analyst</v>
      </c>
      <c r="C2163">
        <v>999094</v>
      </c>
      <c r="D2163" s="5" t="str">
        <f>_xlfn.XLOOKUP(role_course_map[[#This Row],[course_id]],course_data[course_id],course_data[title],"")</f>
        <v>Being well, Mind, Body &amp; Workplace</v>
      </c>
      <c r="E2163" s="5" t="str">
        <f>_xlfn.XLOOKUP(role_course_map[[#This Row],[course_id]],course_data[course_id],course_data[topic],"")</f>
        <v>SAS: Staff development and experience</v>
      </c>
      <c r="F2163" s="5" t="str">
        <f>_xlfn.XLOOKUP(role_course_map[[#This Row],[course_id]],course_data[course_id],course_data[type],"")</f>
        <v>eLearning</v>
      </c>
      <c r="K2163" t="str">
        <f>role_course_map[[#This Row],[role_id]] &amp; "|" &amp; role_course_map[[#This Row],[course_id]]</f>
        <v>R0023|999094</v>
      </c>
      <c r="L2163" t="str">
        <f>IF(COUNTIF(role_course_map[mapping_key],role_course_map[[#This Row],[mapping_key]])&gt;1,"DUPLICATE","OK")</f>
        <v>OK</v>
      </c>
      <c r="M2163" t="str">
        <f>IF(COUNTIF(role_data[role_id],role_course_map[[#This Row],[role_id]])=0, "INVALID","VALID")</f>
        <v>VALID</v>
      </c>
      <c r="N2163" t="str">
        <f>IF(COUNTIF(course_data[course_id],role_course_map[[#This Row],[course_id]])=0, "INVALID","VALID")</f>
        <v>VALID</v>
      </c>
    </row>
    <row r="2164" spans="1:14" x14ac:dyDescent="0.35">
      <c r="A2164" t="s">
        <v>57</v>
      </c>
      <c r="B2164" s="5" t="str">
        <f>_xlfn.XLOOKUP(role_course_map[[#This Row],[role_id]], role_data[role_id], role_data[Role],"")</f>
        <v>Treasury Officer</v>
      </c>
      <c r="C2164">
        <v>999056</v>
      </c>
      <c r="D2164" s="5" t="str">
        <f>_xlfn.XLOOKUP(role_course_map[[#This Row],[course_id]],course_data[course_id],course_data[title],"")</f>
        <v>Driver Assessment &amp; Training</v>
      </c>
      <c r="E2164" s="5" t="str">
        <f>_xlfn.XLOOKUP(role_course_map[[#This Row],[course_id]],course_data[course_id],course_data[topic],"")</f>
        <v>SAS : Health and Safety</v>
      </c>
      <c r="F2164" s="5" t="str">
        <f>_xlfn.XLOOKUP(role_course_map[[#This Row],[course_id]],course_data[course_id],course_data[type],"")</f>
        <v>eLearning</v>
      </c>
      <c r="K2164" t="str">
        <f>role_course_map[[#This Row],[role_id]] &amp; "|" &amp; role_course_map[[#This Row],[course_id]]</f>
        <v>R0024|999056</v>
      </c>
      <c r="L2164" t="str">
        <f>IF(COUNTIF(role_course_map[mapping_key],role_course_map[[#This Row],[mapping_key]])&gt;1,"DUPLICATE","OK")</f>
        <v>OK</v>
      </c>
      <c r="M2164" t="str">
        <f>IF(COUNTIF(role_data[role_id],role_course_map[[#This Row],[role_id]])=0, "INVALID","VALID")</f>
        <v>VALID</v>
      </c>
      <c r="N2164" t="str">
        <f>IF(COUNTIF(course_data[course_id],role_course_map[[#This Row],[course_id]])=0, "INVALID","VALID")</f>
        <v>VALID</v>
      </c>
    </row>
    <row r="2165" spans="1:14" x14ac:dyDescent="0.35">
      <c r="A2165" t="s">
        <v>57</v>
      </c>
      <c r="B2165" s="5" t="str">
        <f>_xlfn.XLOOKUP(role_course_map[[#This Row],[role_id]], role_data[role_id], role_data[Role],"")</f>
        <v>Treasury Officer</v>
      </c>
      <c r="C2165">
        <v>999057</v>
      </c>
      <c r="D2165" s="5" t="str">
        <f>_xlfn.XLOOKUP(role_course_map[[#This Row],[course_id]],course_data[course_id],course_data[title],"")</f>
        <v>Fatigue Awareness</v>
      </c>
      <c r="E2165" s="5" t="str">
        <f>_xlfn.XLOOKUP(role_course_map[[#This Row],[course_id]],course_data[course_id],course_data[topic],"")</f>
        <v>SAS : Health and Safety</v>
      </c>
      <c r="F2165" s="5" t="str">
        <f>_xlfn.XLOOKUP(role_course_map[[#This Row],[course_id]],course_data[course_id],course_data[type],"")</f>
        <v>eLearning</v>
      </c>
      <c r="K2165" t="str">
        <f>role_course_map[[#This Row],[role_id]] &amp; "|" &amp; role_course_map[[#This Row],[course_id]]</f>
        <v>R0024|999057</v>
      </c>
      <c r="L2165" t="str">
        <f>IF(COUNTIF(role_course_map[mapping_key],role_course_map[[#This Row],[mapping_key]])&gt;1,"DUPLICATE","OK")</f>
        <v>OK</v>
      </c>
      <c r="M2165" t="str">
        <f>IF(COUNTIF(role_data[role_id],role_course_map[[#This Row],[role_id]])=0, "INVALID","VALID")</f>
        <v>VALID</v>
      </c>
      <c r="N2165" t="str">
        <f>IF(COUNTIF(course_data[course_id],role_course_map[[#This Row],[course_id]])=0, "INVALID","VALID")</f>
        <v>VALID</v>
      </c>
    </row>
    <row r="2166" spans="1:14" x14ac:dyDescent="0.35">
      <c r="A2166" t="s">
        <v>57</v>
      </c>
      <c r="B2166" s="5" t="str">
        <f>_xlfn.XLOOKUP(role_course_map[[#This Row],[role_id]], role_data[role_id], role_data[Role],"")</f>
        <v>Treasury Officer</v>
      </c>
      <c r="C2166">
        <v>999058</v>
      </c>
      <c r="D2166" s="5" t="str">
        <f>_xlfn.XLOOKUP(role_course_map[[#This Row],[course_id]],course_data[course_id],course_data[title],"")</f>
        <v>Stress Identification &amp; Stress Management</v>
      </c>
      <c r="E2166" s="5" t="str">
        <f>_xlfn.XLOOKUP(role_course_map[[#This Row],[course_id]],course_data[course_id],course_data[topic],"")</f>
        <v>SAS : Health and Safety</v>
      </c>
      <c r="F2166" s="5" t="str">
        <f>_xlfn.XLOOKUP(role_course_map[[#This Row],[course_id]],course_data[course_id],course_data[type],"")</f>
        <v>eLearning</v>
      </c>
      <c r="K2166" t="str">
        <f>role_course_map[[#This Row],[role_id]] &amp; "|" &amp; role_course_map[[#This Row],[course_id]]</f>
        <v>R0024|999058</v>
      </c>
      <c r="L2166" t="str">
        <f>IF(COUNTIF(role_course_map[mapping_key],role_course_map[[#This Row],[mapping_key]])&gt;1,"DUPLICATE","OK")</f>
        <v>OK</v>
      </c>
      <c r="M2166" t="str">
        <f>IF(COUNTIF(role_data[role_id],role_course_map[[#This Row],[role_id]])=0, "INVALID","VALID")</f>
        <v>VALID</v>
      </c>
      <c r="N2166" t="str">
        <f>IF(COUNTIF(course_data[course_id],role_course_map[[#This Row],[course_id]])=0, "INVALID","VALID")</f>
        <v>VALID</v>
      </c>
    </row>
    <row r="2167" spans="1:14" x14ac:dyDescent="0.35">
      <c r="A2167" t="s">
        <v>57</v>
      </c>
      <c r="B2167" s="5" t="str">
        <f>_xlfn.XLOOKUP(role_course_map[[#This Row],[role_id]], role_data[role_id], role_data[Role],"")</f>
        <v>Treasury Officer</v>
      </c>
      <c r="C2167">
        <v>999094</v>
      </c>
      <c r="D2167" s="5" t="str">
        <f>_xlfn.XLOOKUP(role_course_map[[#This Row],[course_id]],course_data[course_id],course_data[title],"")</f>
        <v>Being well, Mind, Body &amp; Workplace</v>
      </c>
      <c r="E2167" s="5" t="str">
        <f>_xlfn.XLOOKUP(role_course_map[[#This Row],[course_id]],course_data[course_id],course_data[topic],"")</f>
        <v>SAS: Staff development and experience</v>
      </c>
      <c r="F2167" s="5" t="str">
        <f>_xlfn.XLOOKUP(role_course_map[[#This Row],[course_id]],course_data[course_id],course_data[type],"")</f>
        <v>eLearning</v>
      </c>
      <c r="K2167" t="str">
        <f>role_course_map[[#This Row],[role_id]] &amp; "|" &amp; role_course_map[[#This Row],[course_id]]</f>
        <v>R0024|999094</v>
      </c>
      <c r="L2167" t="str">
        <f>IF(COUNTIF(role_course_map[mapping_key],role_course_map[[#This Row],[mapping_key]])&gt;1,"DUPLICATE","OK")</f>
        <v>OK</v>
      </c>
      <c r="M2167" t="str">
        <f>IF(COUNTIF(role_data[role_id],role_course_map[[#This Row],[role_id]])=0, "INVALID","VALID")</f>
        <v>VALID</v>
      </c>
      <c r="N2167" t="str">
        <f>IF(COUNTIF(course_data[course_id],role_course_map[[#This Row],[course_id]])=0, "INVALID","VALID")</f>
        <v>VALID</v>
      </c>
    </row>
    <row r="2168" spans="1:14" x14ac:dyDescent="0.35">
      <c r="A2168" t="s">
        <v>38</v>
      </c>
      <c r="B2168" s="5" t="str">
        <f>_xlfn.XLOOKUP(role_course_map[[#This Row],[role_id]], role_data[role_id], role_data[Role],"")</f>
        <v>Capital Accountant</v>
      </c>
      <c r="C2168">
        <v>999056</v>
      </c>
      <c r="D2168" s="5" t="str">
        <f>_xlfn.XLOOKUP(role_course_map[[#This Row],[course_id]],course_data[course_id],course_data[title],"")</f>
        <v>Driver Assessment &amp; Training</v>
      </c>
      <c r="E2168" s="5" t="str">
        <f>_xlfn.XLOOKUP(role_course_map[[#This Row],[course_id]],course_data[course_id],course_data[topic],"")</f>
        <v>SAS : Health and Safety</v>
      </c>
      <c r="F2168" s="5" t="str">
        <f>_xlfn.XLOOKUP(role_course_map[[#This Row],[course_id]],course_data[course_id],course_data[type],"")</f>
        <v>eLearning</v>
      </c>
      <c r="K2168" t="str">
        <f>role_course_map[[#This Row],[role_id]] &amp; "|" &amp; role_course_map[[#This Row],[course_id]]</f>
        <v>R0015|999056</v>
      </c>
      <c r="L2168" t="str">
        <f>IF(COUNTIF(role_course_map[mapping_key],role_course_map[[#This Row],[mapping_key]])&gt;1,"DUPLICATE","OK")</f>
        <v>OK</v>
      </c>
      <c r="M2168" t="str">
        <f>IF(COUNTIF(role_data[role_id],role_course_map[[#This Row],[role_id]])=0, "INVALID","VALID")</f>
        <v>VALID</v>
      </c>
      <c r="N2168" t="str">
        <f>IF(COUNTIF(course_data[course_id],role_course_map[[#This Row],[course_id]])=0, "INVALID","VALID")</f>
        <v>VALID</v>
      </c>
    </row>
    <row r="2169" spans="1:14" x14ac:dyDescent="0.35">
      <c r="A2169" t="s">
        <v>38</v>
      </c>
      <c r="B2169" s="5" t="str">
        <f>_xlfn.XLOOKUP(role_course_map[[#This Row],[role_id]], role_data[role_id], role_data[Role],"")</f>
        <v>Capital Accountant</v>
      </c>
      <c r="C2169">
        <v>999057</v>
      </c>
      <c r="D2169" s="5" t="str">
        <f>_xlfn.XLOOKUP(role_course_map[[#This Row],[course_id]],course_data[course_id],course_data[title],"")</f>
        <v>Fatigue Awareness</v>
      </c>
      <c r="E2169" s="5" t="str">
        <f>_xlfn.XLOOKUP(role_course_map[[#This Row],[course_id]],course_data[course_id],course_data[topic],"")</f>
        <v>SAS : Health and Safety</v>
      </c>
      <c r="F2169" s="5" t="str">
        <f>_xlfn.XLOOKUP(role_course_map[[#This Row],[course_id]],course_data[course_id],course_data[type],"")</f>
        <v>eLearning</v>
      </c>
      <c r="K2169" t="str">
        <f>role_course_map[[#This Row],[role_id]] &amp; "|" &amp; role_course_map[[#This Row],[course_id]]</f>
        <v>R0015|999057</v>
      </c>
      <c r="L2169" t="str">
        <f>IF(COUNTIF(role_course_map[mapping_key],role_course_map[[#This Row],[mapping_key]])&gt;1,"DUPLICATE","OK")</f>
        <v>OK</v>
      </c>
      <c r="M2169" t="str">
        <f>IF(COUNTIF(role_data[role_id],role_course_map[[#This Row],[role_id]])=0, "INVALID","VALID")</f>
        <v>VALID</v>
      </c>
      <c r="N2169" t="str">
        <f>IF(COUNTIF(course_data[course_id],role_course_map[[#This Row],[course_id]])=0, "INVALID","VALID")</f>
        <v>VALID</v>
      </c>
    </row>
    <row r="2170" spans="1:14" x14ac:dyDescent="0.35">
      <c r="A2170" t="s">
        <v>38</v>
      </c>
      <c r="B2170" s="5" t="str">
        <f>_xlfn.XLOOKUP(role_course_map[[#This Row],[role_id]], role_data[role_id], role_data[Role],"")</f>
        <v>Capital Accountant</v>
      </c>
      <c r="C2170">
        <v>999058</v>
      </c>
      <c r="D2170" s="5" t="str">
        <f>_xlfn.XLOOKUP(role_course_map[[#This Row],[course_id]],course_data[course_id],course_data[title],"")</f>
        <v>Stress Identification &amp; Stress Management</v>
      </c>
      <c r="E2170" s="5" t="str">
        <f>_xlfn.XLOOKUP(role_course_map[[#This Row],[course_id]],course_data[course_id],course_data[topic],"")</f>
        <v>SAS : Health and Safety</v>
      </c>
      <c r="F2170" s="5" t="str">
        <f>_xlfn.XLOOKUP(role_course_map[[#This Row],[course_id]],course_data[course_id],course_data[type],"")</f>
        <v>eLearning</v>
      </c>
      <c r="K2170" t="str">
        <f>role_course_map[[#This Row],[role_id]] &amp; "|" &amp; role_course_map[[#This Row],[course_id]]</f>
        <v>R0015|999058</v>
      </c>
      <c r="L2170" t="str">
        <f>IF(COUNTIF(role_course_map[mapping_key],role_course_map[[#This Row],[mapping_key]])&gt;1,"DUPLICATE","OK")</f>
        <v>OK</v>
      </c>
      <c r="M2170" t="str">
        <f>IF(COUNTIF(role_data[role_id],role_course_map[[#This Row],[role_id]])=0, "INVALID","VALID")</f>
        <v>VALID</v>
      </c>
      <c r="N2170" t="str">
        <f>IF(COUNTIF(course_data[course_id],role_course_map[[#This Row],[course_id]])=0, "INVALID","VALID")</f>
        <v>VALID</v>
      </c>
    </row>
    <row r="2171" spans="1:14" x14ac:dyDescent="0.35">
      <c r="A2171" t="s">
        <v>38</v>
      </c>
      <c r="B2171" s="5" t="str">
        <f>_xlfn.XLOOKUP(role_course_map[[#This Row],[role_id]], role_data[role_id], role_data[Role],"")</f>
        <v>Capital Accountant</v>
      </c>
      <c r="C2171">
        <v>999094</v>
      </c>
      <c r="D2171" s="5" t="str">
        <f>_xlfn.XLOOKUP(role_course_map[[#This Row],[course_id]],course_data[course_id],course_data[title],"")</f>
        <v>Being well, Mind, Body &amp; Workplace</v>
      </c>
      <c r="E2171" s="5" t="str">
        <f>_xlfn.XLOOKUP(role_course_map[[#This Row],[course_id]],course_data[course_id],course_data[topic],"")</f>
        <v>SAS: Staff development and experience</v>
      </c>
      <c r="F2171" s="5" t="str">
        <f>_xlfn.XLOOKUP(role_course_map[[#This Row],[course_id]],course_data[course_id],course_data[type],"")</f>
        <v>eLearning</v>
      </c>
      <c r="K2171" t="str">
        <f>role_course_map[[#This Row],[role_id]] &amp; "|" &amp; role_course_map[[#This Row],[course_id]]</f>
        <v>R0015|999094</v>
      </c>
      <c r="L2171" t="str">
        <f>IF(COUNTIF(role_course_map[mapping_key],role_course_map[[#This Row],[mapping_key]])&gt;1,"DUPLICATE","OK")</f>
        <v>OK</v>
      </c>
      <c r="M2171" t="str">
        <f>IF(COUNTIF(role_data[role_id],role_course_map[[#This Row],[role_id]])=0, "INVALID","VALID")</f>
        <v>VALID</v>
      </c>
      <c r="N2171" t="str">
        <f>IF(COUNTIF(course_data[course_id],role_course_map[[#This Row],[course_id]])=0, "INVALID","VALID")</f>
        <v>VALID</v>
      </c>
    </row>
    <row r="2172" spans="1:14" x14ac:dyDescent="0.35">
      <c r="A2172" t="s">
        <v>41</v>
      </c>
      <c r="B2172" s="5" t="str">
        <f>_xlfn.XLOOKUP(role_course_map[[#This Row],[role_id]], role_data[role_id], role_data[Role],"")</f>
        <v>Claims Administrator</v>
      </c>
      <c r="C2172">
        <v>999056</v>
      </c>
      <c r="D2172" s="5" t="str">
        <f>_xlfn.XLOOKUP(role_course_map[[#This Row],[course_id]],course_data[course_id],course_data[title],"")</f>
        <v>Driver Assessment &amp; Training</v>
      </c>
      <c r="E2172" s="5" t="str">
        <f>_xlfn.XLOOKUP(role_course_map[[#This Row],[course_id]],course_data[course_id],course_data[topic],"")</f>
        <v>SAS : Health and Safety</v>
      </c>
      <c r="F2172" s="5" t="str">
        <f>_xlfn.XLOOKUP(role_course_map[[#This Row],[course_id]],course_data[course_id],course_data[type],"")</f>
        <v>eLearning</v>
      </c>
      <c r="K2172" t="str">
        <f>role_course_map[[#This Row],[role_id]] &amp; "|" &amp; role_course_map[[#This Row],[course_id]]</f>
        <v>R0016|999056</v>
      </c>
      <c r="L2172" t="str">
        <f>IF(COUNTIF(role_course_map[mapping_key],role_course_map[[#This Row],[mapping_key]])&gt;1,"DUPLICATE","OK")</f>
        <v>OK</v>
      </c>
      <c r="M2172" t="str">
        <f>IF(COUNTIF(role_data[role_id],role_course_map[[#This Row],[role_id]])=0, "INVALID","VALID")</f>
        <v>VALID</v>
      </c>
      <c r="N2172" t="str">
        <f>IF(COUNTIF(course_data[course_id],role_course_map[[#This Row],[course_id]])=0, "INVALID","VALID")</f>
        <v>VALID</v>
      </c>
    </row>
    <row r="2173" spans="1:14" x14ac:dyDescent="0.35">
      <c r="A2173" t="s">
        <v>41</v>
      </c>
      <c r="B2173" s="5" t="str">
        <f>_xlfn.XLOOKUP(role_course_map[[#This Row],[role_id]], role_data[role_id], role_data[Role],"")</f>
        <v>Claims Administrator</v>
      </c>
      <c r="C2173">
        <v>999057</v>
      </c>
      <c r="D2173" s="5" t="str">
        <f>_xlfn.XLOOKUP(role_course_map[[#This Row],[course_id]],course_data[course_id],course_data[title],"")</f>
        <v>Fatigue Awareness</v>
      </c>
      <c r="E2173" s="5" t="str">
        <f>_xlfn.XLOOKUP(role_course_map[[#This Row],[course_id]],course_data[course_id],course_data[topic],"")</f>
        <v>SAS : Health and Safety</v>
      </c>
      <c r="F2173" s="5" t="str">
        <f>_xlfn.XLOOKUP(role_course_map[[#This Row],[course_id]],course_data[course_id],course_data[type],"")</f>
        <v>eLearning</v>
      </c>
      <c r="K2173" t="str">
        <f>role_course_map[[#This Row],[role_id]] &amp; "|" &amp; role_course_map[[#This Row],[course_id]]</f>
        <v>R0016|999057</v>
      </c>
      <c r="L2173" t="str">
        <f>IF(COUNTIF(role_course_map[mapping_key],role_course_map[[#This Row],[mapping_key]])&gt;1,"DUPLICATE","OK")</f>
        <v>OK</v>
      </c>
      <c r="M2173" t="str">
        <f>IF(COUNTIF(role_data[role_id],role_course_map[[#This Row],[role_id]])=0, "INVALID","VALID")</f>
        <v>VALID</v>
      </c>
      <c r="N2173" t="str">
        <f>IF(COUNTIF(course_data[course_id],role_course_map[[#This Row],[course_id]])=0, "INVALID","VALID")</f>
        <v>VALID</v>
      </c>
    </row>
    <row r="2174" spans="1:14" x14ac:dyDescent="0.35">
      <c r="A2174" t="s">
        <v>41</v>
      </c>
      <c r="B2174" s="5" t="str">
        <f>_xlfn.XLOOKUP(role_course_map[[#This Row],[role_id]], role_data[role_id], role_data[Role],"")</f>
        <v>Claims Administrator</v>
      </c>
      <c r="C2174">
        <v>999058</v>
      </c>
      <c r="D2174" s="5" t="str">
        <f>_xlfn.XLOOKUP(role_course_map[[#This Row],[course_id]],course_data[course_id],course_data[title],"")</f>
        <v>Stress Identification &amp; Stress Management</v>
      </c>
      <c r="E2174" s="5" t="str">
        <f>_xlfn.XLOOKUP(role_course_map[[#This Row],[course_id]],course_data[course_id],course_data[topic],"")</f>
        <v>SAS : Health and Safety</v>
      </c>
      <c r="F2174" s="5" t="str">
        <f>_xlfn.XLOOKUP(role_course_map[[#This Row],[course_id]],course_data[course_id],course_data[type],"")</f>
        <v>eLearning</v>
      </c>
      <c r="K2174" t="str">
        <f>role_course_map[[#This Row],[role_id]] &amp; "|" &amp; role_course_map[[#This Row],[course_id]]</f>
        <v>R0016|999058</v>
      </c>
      <c r="L2174" t="str">
        <f>IF(COUNTIF(role_course_map[mapping_key],role_course_map[[#This Row],[mapping_key]])&gt;1,"DUPLICATE","OK")</f>
        <v>OK</v>
      </c>
      <c r="M2174" t="str">
        <f>IF(COUNTIF(role_data[role_id],role_course_map[[#This Row],[role_id]])=0, "INVALID","VALID")</f>
        <v>VALID</v>
      </c>
      <c r="N2174" t="str">
        <f>IF(COUNTIF(course_data[course_id],role_course_map[[#This Row],[course_id]])=0, "INVALID","VALID")</f>
        <v>VALID</v>
      </c>
    </row>
    <row r="2175" spans="1:14" x14ac:dyDescent="0.35">
      <c r="A2175" t="s">
        <v>41</v>
      </c>
      <c r="B2175" s="5" t="str">
        <f>_xlfn.XLOOKUP(role_course_map[[#This Row],[role_id]], role_data[role_id], role_data[Role],"")</f>
        <v>Claims Administrator</v>
      </c>
      <c r="C2175">
        <v>999094</v>
      </c>
      <c r="D2175" s="5" t="str">
        <f>_xlfn.XLOOKUP(role_course_map[[#This Row],[course_id]],course_data[course_id],course_data[title],"")</f>
        <v>Being well, Mind, Body &amp; Workplace</v>
      </c>
      <c r="E2175" s="5" t="str">
        <f>_xlfn.XLOOKUP(role_course_map[[#This Row],[course_id]],course_data[course_id],course_data[topic],"")</f>
        <v>SAS: Staff development and experience</v>
      </c>
      <c r="F2175" s="5" t="str">
        <f>_xlfn.XLOOKUP(role_course_map[[#This Row],[course_id]],course_data[course_id],course_data[type],"")</f>
        <v>eLearning</v>
      </c>
      <c r="K2175" t="str">
        <f>role_course_map[[#This Row],[role_id]] &amp; "|" &amp; role_course_map[[#This Row],[course_id]]</f>
        <v>R0016|999094</v>
      </c>
      <c r="L2175" t="str">
        <f>IF(COUNTIF(role_course_map[mapping_key],role_course_map[[#This Row],[mapping_key]])&gt;1,"DUPLICATE","OK")</f>
        <v>OK</v>
      </c>
      <c r="M2175" t="str">
        <f>IF(COUNTIF(role_data[role_id],role_course_map[[#This Row],[role_id]])=0, "INVALID","VALID")</f>
        <v>VALID</v>
      </c>
      <c r="N2175" t="str">
        <f>IF(COUNTIF(course_data[course_id],role_course_map[[#This Row],[course_id]])=0, "INVALID","VALID")</f>
        <v>VALID</v>
      </c>
    </row>
    <row r="2176" spans="1:14" x14ac:dyDescent="0.35">
      <c r="A2176" t="s">
        <v>136</v>
      </c>
      <c r="B2176" s="5" t="str">
        <f>_xlfn.XLOOKUP(role_course_map[[#This Row],[role_id]], role_data[role_id], role_data[Role],"")</f>
        <v>Data Administrator</v>
      </c>
      <c r="C2176">
        <v>999056</v>
      </c>
      <c r="D2176" s="5" t="str">
        <f>_xlfn.XLOOKUP(role_course_map[[#This Row],[course_id]],course_data[course_id],course_data[title],"")</f>
        <v>Driver Assessment &amp; Training</v>
      </c>
      <c r="E2176" s="5" t="str">
        <f>_xlfn.XLOOKUP(role_course_map[[#This Row],[course_id]],course_data[course_id],course_data[topic],"")</f>
        <v>SAS : Health and Safety</v>
      </c>
      <c r="F2176" s="5" t="str">
        <f>_xlfn.XLOOKUP(role_course_map[[#This Row],[course_id]],course_data[course_id],course_data[type],"")</f>
        <v>eLearning</v>
      </c>
      <c r="K2176" t="str">
        <f>role_course_map[[#This Row],[role_id]] &amp; "|" &amp; role_course_map[[#This Row],[course_id]]</f>
        <v>R0062|999056</v>
      </c>
      <c r="L2176" t="str">
        <f>IF(COUNTIF(role_course_map[mapping_key],role_course_map[[#This Row],[mapping_key]])&gt;1,"DUPLICATE","OK")</f>
        <v>OK</v>
      </c>
      <c r="M2176" t="str">
        <f>IF(COUNTIF(role_data[role_id],role_course_map[[#This Row],[role_id]])=0, "INVALID","VALID")</f>
        <v>VALID</v>
      </c>
      <c r="N2176" t="str">
        <f>IF(COUNTIF(course_data[course_id],role_course_map[[#This Row],[course_id]])=0, "INVALID","VALID")</f>
        <v>VALID</v>
      </c>
    </row>
    <row r="2177" spans="1:14" x14ac:dyDescent="0.35">
      <c r="A2177" t="s">
        <v>136</v>
      </c>
      <c r="B2177" s="5" t="str">
        <f>_xlfn.XLOOKUP(role_course_map[[#This Row],[role_id]], role_data[role_id], role_data[Role],"")</f>
        <v>Data Administrator</v>
      </c>
      <c r="C2177">
        <v>999057</v>
      </c>
      <c r="D2177" s="5" t="str">
        <f>_xlfn.XLOOKUP(role_course_map[[#This Row],[course_id]],course_data[course_id],course_data[title],"")</f>
        <v>Fatigue Awareness</v>
      </c>
      <c r="E2177" s="5" t="str">
        <f>_xlfn.XLOOKUP(role_course_map[[#This Row],[course_id]],course_data[course_id],course_data[topic],"")</f>
        <v>SAS : Health and Safety</v>
      </c>
      <c r="F2177" s="5" t="str">
        <f>_xlfn.XLOOKUP(role_course_map[[#This Row],[course_id]],course_data[course_id],course_data[type],"")</f>
        <v>eLearning</v>
      </c>
      <c r="K2177" t="str">
        <f>role_course_map[[#This Row],[role_id]] &amp; "|" &amp; role_course_map[[#This Row],[course_id]]</f>
        <v>R0062|999057</v>
      </c>
      <c r="L2177" t="str">
        <f>IF(COUNTIF(role_course_map[mapping_key],role_course_map[[#This Row],[mapping_key]])&gt;1,"DUPLICATE","OK")</f>
        <v>OK</v>
      </c>
      <c r="M2177" t="str">
        <f>IF(COUNTIF(role_data[role_id],role_course_map[[#This Row],[role_id]])=0, "INVALID","VALID")</f>
        <v>VALID</v>
      </c>
      <c r="N2177" t="str">
        <f>IF(COUNTIF(course_data[course_id],role_course_map[[#This Row],[course_id]])=0, "INVALID","VALID")</f>
        <v>VALID</v>
      </c>
    </row>
    <row r="2178" spans="1:14" x14ac:dyDescent="0.35">
      <c r="A2178" t="s">
        <v>136</v>
      </c>
      <c r="B2178" s="5" t="str">
        <f>_xlfn.XLOOKUP(role_course_map[[#This Row],[role_id]], role_data[role_id], role_data[Role],"")</f>
        <v>Data Administrator</v>
      </c>
      <c r="C2178">
        <v>999058</v>
      </c>
      <c r="D2178" s="5" t="str">
        <f>_xlfn.XLOOKUP(role_course_map[[#This Row],[course_id]],course_data[course_id],course_data[title],"")</f>
        <v>Stress Identification &amp; Stress Management</v>
      </c>
      <c r="E2178" s="5" t="str">
        <f>_xlfn.XLOOKUP(role_course_map[[#This Row],[course_id]],course_data[course_id],course_data[topic],"")</f>
        <v>SAS : Health and Safety</v>
      </c>
      <c r="F2178" s="5" t="str">
        <f>_xlfn.XLOOKUP(role_course_map[[#This Row],[course_id]],course_data[course_id],course_data[type],"")</f>
        <v>eLearning</v>
      </c>
      <c r="K2178" t="str">
        <f>role_course_map[[#This Row],[role_id]] &amp; "|" &amp; role_course_map[[#This Row],[course_id]]</f>
        <v>R0062|999058</v>
      </c>
      <c r="L2178" t="str">
        <f>IF(COUNTIF(role_course_map[mapping_key],role_course_map[[#This Row],[mapping_key]])&gt;1,"DUPLICATE","OK")</f>
        <v>OK</v>
      </c>
      <c r="M2178" t="str">
        <f>IF(COUNTIF(role_data[role_id],role_course_map[[#This Row],[role_id]])=0, "INVALID","VALID")</f>
        <v>VALID</v>
      </c>
      <c r="N2178" t="str">
        <f>IF(COUNTIF(course_data[course_id],role_course_map[[#This Row],[course_id]])=0, "INVALID","VALID")</f>
        <v>VALID</v>
      </c>
    </row>
    <row r="2179" spans="1:14" x14ac:dyDescent="0.35">
      <c r="A2179" t="s">
        <v>136</v>
      </c>
      <c r="B2179" s="5" t="str">
        <f>_xlfn.XLOOKUP(role_course_map[[#This Row],[role_id]], role_data[role_id], role_data[Role],"")</f>
        <v>Data Administrator</v>
      </c>
      <c r="C2179">
        <v>999094</v>
      </c>
      <c r="D2179" s="5" t="str">
        <f>_xlfn.XLOOKUP(role_course_map[[#This Row],[course_id]],course_data[course_id],course_data[title],"")</f>
        <v>Being well, Mind, Body &amp; Workplace</v>
      </c>
      <c r="E2179" s="5" t="str">
        <f>_xlfn.XLOOKUP(role_course_map[[#This Row],[course_id]],course_data[course_id],course_data[topic],"")</f>
        <v>SAS: Staff development and experience</v>
      </c>
      <c r="F2179" s="5" t="str">
        <f>_xlfn.XLOOKUP(role_course_map[[#This Row],[course_id]],course_data[course_id],course_data[type],"")</f>
        <v>eLearning</v>
      </c>
      <c r="K2179" t="str">
        <f>role_course_map[[#This Row],[role_id]] &amp; "|" &amp; role_course_map[[#This Row],[course_id]]</f>
        <v>R0062|999094</v>
      </c>
      <c r="L2179" t="str">
        <f>IF(COUNTIF(role_course_map[mapping_key],role_course_map[[#This Row],[mapping_key]])&gt;1,"DUPLICATE","OK")</f>
        <v>OK</v>
      </c>
      <c r="M2179" t="str">
        <f>IF(COUNTIF(role_data[role_id],role_course_map[[#This Row],[role_id]])=0, "INVALID","VALID")</f>
        <v>VALID</v>
      </c>
      <c r="N2179" t="str">
        <f>IF(COUNTIF(course_data[course_id],role_course_map[[#This Row],[course_id]])=0, "INVALID","VALID")</f>
        <v>VALID</v>
      </c>
    </row>
    <row r="2180" spans="1:14" x14ac:dyDescent="0.35">
      <c r="A2180" t="s">
        <v>118</v>
      </c>
      <c r="B2180" s="5" t="str">
        <f>_xlfn.XLOOKUP(role_course_map[[#This Row],[role_id]], role_data[role_id], role_data[Role],"")</f>
        <v>Administrator</v>
      </c>
      <c r="C2180">
        <v>999056</v>
      </c>
      <c r="D2180" s="5" t="str">
        <f>_xlfn.XLOOKUP(role_course_map[[#This Row],[course_id]],course_data[course_id],course_data[title],"")</f>
        <v>Driver Assessment &amp; Training</v>
      </c>
      <c r="E2180" s="5" t="str">
        <f>_xlfn.XLOOKUP(role_course_map[[#This Row],[course_id]],course_data[course_id],course_data[topic],"")</f>
        <v>SAS : Health and Safety</v>
      </c>
      <c r="F2180" s="5" t="str">
        <f>_xlfn.XLOOKUP(role_course_map[[#This Row],[course_id]],course_data[course_id],course_data[type],"")</f>
        <v>eLearning</v>
      </c>
      <c r="K2180" t="str">
        <f>role_course_map[[#This Row],[role_id]] &amp; "|" &amp; role_course_map[[#This Row],[course_id]]</f>
        <v>R0054|999056</v>
      </c>
      <c r="L2180" t="str">
        <f>IF(COUNTIF(role_course_map[mapping_key],role_course_map[[#This Row],[mapping_key]])&gt;1,"DUPLICATE","OK")</f>
        <v>OK</v>
      </c>
      <c r="M2180" t="str">
        <f>IF(COUNTIF(role_data[role_id],role_course_map[[#This Row],[role_id]])=0, "INVALID","VALID")</f>
        <v>VALID</v>
      </c>
      <c r="N2180" t="str">
        <f>IF(COUNTIF(course_data[course_id],role_course_map[[#This Row],[course_id]])=0, "INVALID","VALID")</f>
        <v>VALID</v>
      </c>
    </row>
    <row r="2181" spans="1:14" x14ac:dyDescent="0.35">
      <c r="A2181" t="s">
        <v>118</v>
      </c>
      <c r="B2181" s="5" t="str">
        <f>_xlfn.XLOOKUP(role_course_map[[#This Row],[role_id]], role_data[role_id], role_data[Role],"")</f>
        <v>Administrator</v>
      </c>
      <c r="C2181">
        <v>999057</v>
      </c>
      <c r="D2181" s="5" t="str">
        <f>_xlfn.XLOOKUP(role_course_map[[#This Row],[course_id]],course_data[course_id],course_data[title],"")</f>
        <v>Fatigue Awareness</v>
      </c>
      <c r="E2181" s="5" t="str">
        <f>_xlfn.XLOOKUP(role_course_map[[#This Row],[course_id]],course_data[course_id],course_data[topic],"")</f>
        <v>SAS : Health and Safety</v>
      </c>
      <c r="F2181" s="5" t="str">
        <f>_xlfn.XLOOKUP(role_course_map[[#This Row],[course_id]],course_data[course_id],course_data[type],"")</f>
        <v>eLearning</v>
      </c>
      <c r="K2181" t="str">
        <f>role_course_map[[#This Row],[role_id]] &amp; "|" &amp; role_course_map[[#This Row],[course_id]]</f>
        <v>R0054|999057</v>
      </c>
      <c r="L2181" t="str">
        <f>IF(COUNTIF(role_course_map[mapping_key],role_course_map[[#This Row],[mapping_key]])&gt;1,"DUPLICATE","OK")</f>
        <v>OK</v>
      </c>
      <c r="M2181" t="str">
        <f>IF(COUNTIF(role_data[role_id],role_course_map[[#This Row],[role_id]])=0, "INVALID","VALID")</f>
        <v>VALID</v>
      </c>
      <c r="N2181" t="str">
        <f>IF(COUNTIF(course_data[course_id],role_course_map[[#This Row],[course_id]])=0, "INVALID","VALID")</f>
        <v>VALID</v>
      </c>
    </row>
    <row r="2182" spans="1:14" x14ac:dyDescent="0.35">
      <c r="A2182" t="s">
        <v>118</v>
      </c>
      <c r="B2182" s="5" t="str">
        <f>_xlfn.XLOOKUP(role_course_map[[#This Row],[role_id]], role_data[role_id], role_data[Role],"")</f>
        <v>Administrator</v>
      </c>
      <c r="C2182">
        <v>999058</v>
      </c>
      <c r="D2182" s="5" t="str">
        <f>_xlfn.XLOOKUP(role_course_map[[#This Row],[course_id]],course_data[course_id],course_data[title],"")</f>
        <v>Stress Identification &amp; Stress Management</v>
      </c>
      <c r="E2182" s="5" t="str">
        <f>_xlfn.XLOOKUP(role_course_map[[#This Row],[course_id]],course_data[course_id],course_data[topic],"")</f>
        <v>SAS : Health and Safety</v>
      </c>
      <c r="F2182" s="5" t="str">
        <f>_xlfn.XLOOKUP(role_course_map[[#This Row],[course_id]],course_data[course_id],course_data[type],"")</f>
        <v>eLearning</v>
      </c>
      <c r="K2182" t="str">
        <f>role_course_map[[#This Row],[role_id]] &amp; "|" &amp; role_course_map[[#This Row],[course_id]]</f>
        <v>R0054|999058</v>
      </c>
      <c r="L2182" t="str">
        <f>IF(COUNTIF(role_course_map[mapping_key],role_course_map[[#This Row],[mapping_key]])&gt;1,"DUPLICATE","OK")</f>
        <v>OK</v>
      </c>
      <c r="M2182" t="str">
        <f>IF(COUNTIF(role_data[role_id],role_course_map[[#This Row],[role_id]])=0, "INVALID","VALID")</f>
        <v>VALID</v>
      </c>
      <c r="N2182" t="str">
        <f>IF(COUNTIF(course_data[course_id],role_course_map[[#This Row],[course_id]])=0, "INVALID","VALID")</f>
        <v>VALID</v>
      </c>
    </row>
    <row r="2183" spans="1:14" x14ac:dyDescent="0.35">
      <c r="A2183" t="s">
        <v>118</v>
      </c>
      <c r="B2183" s="5" t="str">
        <f>_xlfn.XLOOKUP(role_course_map[[#This Row],[role_id]], role_data[role_id], role_data[Role],"")</f>
        <v>Administrator</v>
      </c>
      <c r="C2183">
        <v>999094</v>
      </c>
      <c r="D2183" s="5" t="str">
        <f>_xlfn.XLOOKUP(role_course_map[[#This Row],[course_id]],course_data[course_id],course_data[title],"")</f>
        <v>Being well, Mind, Body &amp; Workplace</v>
      </c>
      <c r="E2183" s="5" t="str">
        <f>_xlfn.XLOOKUP(role_course_map[[#This Row],[course_id]],course_data[course_id],course_data[topic],"")</f>
        <v>SAS: Staff development and experience</v>
      </c>
      <c r="F2183" s="5" t="str">
        <f>_xlfn.XLOOKUP(role_course_map[[#This Row],[course_id]],course_data[course_id],course_data[type],"")</f>
        <v>eLearning</v>
      </c>
      <c r="K2183" t="str">
        <f>role_course_map[[#This Row],[role_id]] &amp; "|" &amp; role_course_map[[#This Row],[course_id]]</f>
        <v>R0054|999094</v>
      </c>
      <c r="L2183" t="str">
        <f>IF(COUNTIF(role_course_map[mapping_key],role_course_map[[#This Row],[mapping_key]])&gt;1,"DUPLICATE","OK")</f>
        <v>OK</v>
      </c>
      <c r="M2183" t="str">
        <f>IF(COUNTIF(role_data[role_id],role_course_map[[#This Row],[role_id]])=0, "INVALID","VALID")</f>
        <v>VALID</v>
      </c>
      <c r="N2183" t="str">
        <f>IF(COUNTIF(course_data[course_id],role_course_map[[#This Row],[course_id]])=0, "INVALID","VALID")</f>
        <v>VALID</v>
      </c>
    </row>
    <row r="2184" spans="1:14" x14ac:dyDescent="0.35">
      <c r="A2184" t="s">
        <v>122</v>
      </c>
      <c r="B2184" s="5" t="str">
        <f>_xlfn.XLOOKUP(role_course_map[[#This Row],[role_id]], role_data[role_id], role_data[Role],"")</f>
        <v>Business Support Manager</v>
      </c>
      <c r="C2184">
        <v>999056</v>
      </c>
      <c r="D2184" s="5" t="str">
        <f>_xlfn.XLOOKUP(role_course_map[[#This Row],[course_id]],course_data[course_id],course_data[title],"")</f>
        <v>Driver Assessment &amp; Training</v>
      </c>
      <c r="E2184" s="5" t="str">
        <f>_xlfn.XLOOKUP(role_course_map[[#This Row],[course_id]],course_data[course_id],course_data[topic],"")</f>
        <v>SAS : Health and Safety</v>
      </c>
      <c r="F2184" s="5" t="str">
        <f>_xlfn.XLOOKUP(role_course_map[[#This Row],[course_id]],course_data[course_id],course_data[type],"")</f>
        <v>eLearning</v>
      </c>
      <c r="K2184" t="str">
        <f>role_course_map[[#This Row],[role_id]] &amp; "|" &amp; role_course_map[[#This Row],[course_id]]</f>
        <v>R0055|999056</v>
      </c>
      <c r="L2184" t="str">
        <f>IF(COUNTIF(role_course_map[mapping_key],role_course_map[[#This Row],[mapping_key]])&gt;1,"DUPLICATE","OK")</f>
        <v>OK</v>
      </c>
      <c r="M2184" t="str">
        <f>IF(COUNTIF(role_data[role_id],role_course_map[[#This Row],[role_id]])=0, "INVALID","VALID")</f>
        <v>VALID</v>
      </c>
      <c r="N2184" t="str">
        <f>IF(COUNTIF(course_data[course_id],role_course_map[[#This Row],[course_id]])=0, "INVALID","VALID")</f>
        <v>VALID</v>
      </c>
    </row>
    <row r="2185" spans="1:14" x14ac:dyDescent="0.35">
      <c r="A2185" t="s">
        <v>122</v>
      </c>
      <c r="B2185" s="5" t="str">
        <f>_xlfn.XLOOKUP(role_course_map[[#This Row],[role_id]], role_data[role_id], role_data[Role],"")</f>
        <v>Business Support Manager</v>
      </c>
      <c r="C2185">
        <v>999057</v>
      </c>
      <c r="D2185" s="5" t="str">
        <f>_xlfn.XLOOKUP(role_course_map[[#This Row],[course_id]],course_data[course_id],course_data[title],"")</f>
        <v>Fatigue Awareness</v>
      </c>
      <c r="E2185" s="5" t="str">
        <f>_xlfn.XLOOKUP(role_course_map[[#This Row],[course_id]],course_data[course_id],course_data[topic],"")</f>
        <v>SAS : Health and Safety</v>
      </c>
      <c r="F2185" s="5" t="str">
        <f>_xlfn.XLOOKUP(role_course_map[[#This Row],[course_id]],course_data[course_id],course_data[type],"")</f>
        <v>eLearning</v>
      </c>
      <c r="K2185" t="str">
        <f>role_course_map[[#This Row],[role_id]] &amp; "|" &amp; role_course_map[[#This Row],[course_id]]</f>
        <v>R0055|999057</v>
      </c>
      <c r="L2185" t="str">
        <f>IF(COUNTIF(role_course_map[mapping_key],role_course_map[[#This Row],[mapping_key]])&gt;1,"DUPLICATE","OK")</f>
        <v>DUPLICATE</v>
      </c>
      <c r="M2185" t="str">
        <f>IF(COUNTIF(role_data[role_id],role_course_map[[#This Row],[role_id]])=0, "INVALID","VALID")</f>
        <v>VALID</v>
      </c>
      <c r="N2185" t="str">
        <f>IF(COUNTIF(course_data[course_id],role_course_map[[#This Row],[course_id]])=0, "INVALID","VALID")</f>
        <v>VALID</v>
      </c>
    </row>
    <row r="2186" spans="1:14" x14ac:dyDescent="0.35">
      <c r="A2186" t="s">
        <v>122</v>
      </c>
      <c r="B2186" s="5" t="str">
        <f>_xlfn.XLOOKUP(role_course_map[[#This Row],[role_id]], role_data[role_id], role_data[Role],"")</f>
        <v>Business Support Manager</v>
      </c>
      <c r="C2186">
        <v>999058</v>
      </c>
      <c r="D2186" s="5" t="str">
        <f>_xlfn.XLOOKUP(role_course_map[[#This Row],[course_id]],course_data[course_id],course_data[title],"")</f>
        <v>Stress Identification &amp; Stress Management</v>
      </c>
      <c r="E2186" s="5" t="str">
        <f>_xlfn.XLOOKUP(role_course_map[[#This Row],[course_id]],course_data[course_id],course_data[topic],"")</f>
        <v>SAS : Health and Safety</v>
      </c>
      <c r="F2186" s="5" t="str">
        <f>_xlfn.XLOOKUP(role_course_map[[#This Row],[course_id]],course_data[course_id],course_data[type],"")</f>
        <v>eLearning</v>
      </c>
      <c r="K2186" t="str">
        <f>role_course_map[[#This Row],[role_id]] &amp; "|" &amp; role_course_map[[#This Row],[course_id]]</f>
        <v>R0055|999058</v>
      </c>
      <c r="L2186" t="str">
        <f>IF(COUNTIF(role_course_map[mapping_key],role_course_map[[#This Row],[mapping_key]])&gt;1,"DUPLICATE","OK")</f>
        <v>DUPLICATE</v>
      </c>
      <c r="M2186" t="str">
        <f>IF(COUNTIF(role_data[role_id],role_course_map[[#This Row],[role_id]])=0, "INVALID","VALID")</f>
        <v>VALID</v>
      </c>
      <c r="N2186" t="str">
        <f>IF(COUNTIF(course_data[course_id],role_course_map[[#This Row],[course_id]])=0, "INVALID","VALID")</f>
        <v>VALID</v>
      </c>
    </row>
    <row r="2187" spans="1:14" x14ac:dyDescent="0.35">
      <c r="A2187" t="s">
        <v>122</v>
      </c>
      <c r="B2187" s="5" t="str">
        <f>_xlfn.XLOOKUP(role_course_map[[#This Row],[role_id]], role_data[role_id], role_data[Role],"")</f>
        <v>Business Support Manager</v>
      </c>
      <c r="C2187">
        <v>999094</v>
      </c>
      <c r="D2187" s="5" t="str">
        <f>_xlfn.XLOOKUP(role_course_map[[#This Row],[course_id]],course_data[course_id],course_data[title],"")</f>
        <v>Being well, Mind, Body &amp; Workplace</v>
      </c>
      <c r="E2187" s="5" t="str">
        <f>_xlfn.XLOOKUP(role_course_map[[#This Row],[course_id]],course_data[course_id],course_data[topic],"")</f>
        <v>SAS: Staff development and experience</v>
      </c>
      <c r="F2187" s="5" t="str">
        <f>_xlfn.XLOOKUP(role_course_map[[#This Row],[course_id]],course_data[course_id],course_data[type],"")</f>
        <v>eLearning</v>
      </c>
      <c r="K2187" t="str">
        <f>role_course_map[[#This Row],[role_id]] &amp; "|" &amp; role_course_map[[#This Row],[course_id]]</f>
        <v>R0055|999094</v>
      </c>
      <c r="L2187" t="str">
        <f>IF(COUNTIF(role_course_map[mapping_key],role_course_map[[#This Row],[mapping_key]])&gt;1,"DUPLICATE","OK")</f>
        <v>DUPLICATE</v>
      </c>
      <c r="M2187" t="str">
        <f>IF(COUNTIF(role_data[role_id],role_course_map[[#This Row],[role_id]])=0, "INVALID","VALID")</f>
        <v>VALID</v>
      </c>
      <c r="N2187" t="str">
        <f>IF(COUNTIF(course_data[course_id],role_course_map[[#This Row],[course_id]])=0, "INVALID","VALID")</f>
        <v>VALID</v>
      </c>
    </row>
    <row r="2188" spans="1:14" x14ac:dyDescent="0.35">
      <c r="A2188" t="s">
        <v>333</v>
      </c>
      <c r="B2188" s="5" t="str">
        <f>_xlfn.XLOOKUP(role_course_map[[#This Row],[role_id]], role_data[role_id], role_data[Role],"")</f>
        <v>Health and Safety team</v>
      </c>
      <c r="C2188">
        <v>999056</v>
      </c>
      <c r="D2188" s="5" t="str">
        <f>_xlfn.XLOOKUP(role_course_map[[#This Row],[course_id]],course_data[course_id],course_data[title],"")</f>
        <v>Driver Assessment &amp; Training</v>
      </c>
      <c r="E2188" s="5" t="str">
        <f>_xlfn.XLOOKUP(role_course_map[[#This Row],[course_id]],course_data[course_id],course_data[topic],"")</f>
        <v>SAS : Health and Safety</v>
      </c>
      <c r="F2188" s="5" t="str">
        <f>_xlfn.XLOOKUP(role_course_map[[#This Row],[course_id]],course_data[course_id],course_data[type],"")</f>
        <v>eLearning</v>
      </c>
      <c r="K2188" t="str">
        <f>role_course_map[[#This Row],[role_id]] &amp; "|" &amp; role_course_map[[#This Row],[course_id]]</f>
        <v>R0160|999056</v>
      </c>
      <c r="L2188" t="str">
        <f>IF(COUNTIF(role_course_map[mapping_key],role_course_map[[#This Row],[mapping_key]])&gt;1,"DUPLICATE","OK")</f>
        <v>OK</v>
      </c>
      <c r="M2188" t="str">
        <f>IF(COUNTIF(role_data[role_id],role_course_map[[#This Row],[role_id]])=0, "INVALID","VALID")</f>
        <v>VALID</v>
      </c>
      <c r="N2188" t="str">
        <f>IF(COUNTIF(course_data[course_id],role_course_map[[#This Row],[course_id]])=0, "INVALID","VALID")</f>
        <v>VALID</v>
      </c>
    </row>
    <row r="2189" spans="1:14" x14ac:dyDescent="0.35">
      <c r="A2189" t="s">
        <v>333</v>
      </c>
      <c r="B2189" s="5" t="str">
        <f>_xlfn.XLOOKUP(role_course_map[[#This Row],[role_id]], role_data[role_id], role_data[Role],"")</f>
        <v>Health and Safety team</v>
      </c>
      <c r="C2189">
        <v>999057</v>
      </c>
      <c r="D2189" s="5" t="str">
        <f>_xlfn.XLOOKUP(role_course_map[[#This Row],[course_id]],course_data[course_id],course_data[title],"")</f>
        <v>Fatigue Awareness</v>
      </c>
      <c r="E2189" s="5" t="str">
        <f>_xlfn.XLOOKUP(role_course_map[[#This Row],[course_id]],course_data[course_id],course_data[topic],"")</f>
        <v>SAS : Health and Safety</v>
      </c>
      <c r="F2189" s="5" t="str">
        <f>_xlfn.XLOOKUP(role_course_map[[#This Row],[course_id]],course_data[course_id],course_data[type],"")</f>
        <v>eLearning</v>
      </c>
      <c r="K2189" t="str">
        <f>role_course_map[[#This Row],[role_id]] &amp; "|" &amp; role_course_map[[#This Row],[course_id]]</f>
        <v>R0160|999057</v>
      </c>
      <c r="L2189" t="str">
        <f>IF(COUNTIF(role_course_map[mapping_key],role_course_map[[#This Row],[mapping_key]])&gt;1,"DUPLICATE","OK")</f>
        <v>OK</v>
      </c>
      <c r="M2189" t="str">
        <f>IF(COUNTIF(role_data[role_id],role_course_map[[#This Row],[role_id]])=0, "INVALID","VALID")</f>
        <v>VALID</v>
      </c>
      <c r="N2189" t="str">
        <f>IF(COUNTIF(course_data[course_id],role_course_map[[#This Row],[course_id]])=0, "INVALID","VALID")</f>
        <v>VALID</v>
      </c>
    </row>
    <row r="2190" spans="1:14" x14ac:dyDescent="0.35">
      <c r="A2190" t="s">
        <v>333</v>
      </c>
      <c r="B2190" s="5" t="str">
        <f>_xlfn.XLOOKUP(role_course_map[[#This Row],[role_id]], role_data[role_id], role_data[Role],"")</f>
        <v>Health and Safety team</v>
      </c>
      <c r="C2190">
        <v>999058</v>
      </c>
      <c r="D2190" s="5" t="str">
        <f>_xlfn.XLOOKUP(role_course_map[[#This Row],[course_id]],course_data[course_id],course_data[title],"")</f>
        <v>Stress Identification &amp; Stress Management</v>
      </c>
      <c r="E2190" s="5" t="str">
        <f>_xlfn.XLOOKUP(role_course_map[[#This Row],[course_id]],course_data[course_id],course_data[topic],"")</f>
        <v>SAS : Health and Safety</v>
      </c>
      <c r="F2190" s="5" t="str">
        <f>_xlfn.XLOOKUP(role_course_map[[#This Row],[course_id]],course_data[course_id],course_data[type],"")</f>
        <v>eLearning</v>
      </c>
      <c r="K2190" t="str">
        <f>role_course_map[[#This Row],[role_id]] &amp; "|" &amp; role_course_map[[#This Row],[course_id]]</f>
        <v>R0160|999058</v>
      </c>
      <c r="L2190" t="str">
        <f>IF(COUNTIF(role_course_map[mapping_key],role_course_map[[#This Row],[mapping_key]])&gt;1,"DUPLICATE","OK")</f>
        <v>OK</v>
      </c>
      <c r="M2190" t="str">
        <f>IF(COUNTIF(role_data[role_id],role_course_map[[#This Row],[role_id]])=0, "INVALID","VALID")</f>
        <v>VALID</v>
      </c>
      <c r="N2190" t="str">
        <f>IF(COUNTIF(course_data[course_id],role_course_map[[#This Row],[course_id]])=0, "INVALID","VALID")</f>
        <v>VALID</v>
      </c>
    </row>
    <row r="2191" spans="1:14" x14ac:dyDescent="0.35">
      <c r="A2191" t="s">
        <v>333</v>
      </c>
      <c r="B2191" s="5" t="str">
        <f>_xlfn.XLOOKUP(role_course_map[[#This Row],[role_id]], role_data[role_id], role_data[Role],"")</f>
        <v>Health and Safety team</v>
      </c>
      <c r="C2191">
        <v>999094</v>
      </c>
      <c r="D2191" s="5" t="str">
        <f>_xlfn.XLOOKUP(role_course_map[[#This Row],[course_id]],course_data[course_id],course_data[title],"")</f>
        <v>Being well, Mind, Body &amp; Workplace</v>
      </c>
      <c r="E2191" s="5" t="str">
        <f>_xlfn.XLOOKUP(role_course_map[[#This Row],[course_id]],course_data[course_id],course_data[topic],"")</f>
        <v>SAS: Staff development and experience</v>
      </c>
      <c r="F2191" s="5" t="str">
        <f>_xlfn.XLOOKUP(role_course_map[[#This Row],[course_id]],course_data[course_id],course_data[type],"")</f>
        <v>eLearning</v>
      </c>
      <c r="K2191" t="str">
        <f>role_course_map[[#This Row],[role_id]] &amp; "|" &amp; role_course_map[[#This Row],[course_id]]</f>
        <v>R0160|999094</v>
      </c>
      <c r="L2191" t="str">
        <f>IF(COUNTIF(role_course_map[mapping_key],role_course_map[[#This Row],[mapping_key]])&gt;1,"DUPLICATE","OK")</f>
        <v>OK</v>
      </c>
      <c r="M2191" t="str">
        <f>IF(COUNTIF(role_data[role_id],role_course_map[[#This Row],[role_id]])=0, "INVALID","VALID")</f>
        <v>VALID</v>
      </c>
      <c r="N2191" t="str">
        <f>IF(COUNTIF(course_data[course_id],role_course_map[[#This Row],[course_id]])=0, "INVALID","VALID")</f>
        <v>VALID</v>
      </c>
    </row>
    <row r="2192" spans="1:14" x14ac:dyDescent="0.35">
      <c r="A2192" t="s">
        <v>338</v>
      </c>
      <c r="B2192" s="5" t="str">
        <f>_xlfn.XLOOKUP(role_course_map[[#This Row],[role_id]], role_data[role_id], role_data[Role],"")</f>
        <v>Health and Safety Auditor</v>
      </c>
      <c r="C2192">
        <v>999056</v>
      </c>
      <c r="D2192" s="5" t="str">
        <f>_xlfn.XLOOKUP(role_course_map[[#This Row],[course_id]],course_data[course_id],course_data[title],"")</f>
        <v>Driver Assessment &amp; Training</v>
      </c>
      <c r="E2192" s="5" t="str">
        <f>_xlfn.XLOOKUP(role_course_map[[#This Row],[course_id]],course_data[course_id],course_data[topic],"")</f>
        <v>SAS : Health and Safety</v>
      </c>
      <c r="F2192" s="5" t="str">
        <f>_xlfn.XLOOKUP(role_course_map[[#This Row],[course_id]],course_data[course_id],course_data[type],"")</f>
        <v>eLearning</v>
      </c>
      <c r="K2192" t="str">
        <f>role_course_map[[#This Row],[role_id]] &amp; "|" &amp; role_course_map[[#This Row],[course_id]]</f>
        <v>R0162|999056</v>
      </c>
      <c r="L2192" t="str">
        <f>IF(COUNTIF(role_course_map[mapping_key],role_course_map[[#This Row],[mapping_key]])&gt;1,"DUPLICATE","OK")</f>
        <v>OK</v>
      </c>
      <c r="M2192" t="str">
        <f>IF(COUNTIF(role_data[role_id],role_course_map[[#This Row],[role_id]])=0, "INVALID","VALID")</f>
        <v>VALID</v>
      </c>
      <c r="N2192" t="str">
        <f>IF(COUNTIF(course_data[course_id],role_course_map[[#This Row],[course_id]])=0, "INVALID","VALID")</f>
        <v>VALID</v>
      </c>
    </row>
    <row r="2193" spans="1:14" x14ac:dyDescent="0.35">
      <c r="A2193" t="s">
        <v>338</v>
      </c>
      <c r="B2193" s="5" t="str">
        <f>_xlfn.XLOOKUP(role_course_map[[#This Row],[role_id]], role_data[role_id], role_data[Role],"")</f>
        <v>Health and Safety Auditor</v>
      </c>
      <c r="C2193">
        <v>999057</v>
      </c>
      <c r="D2193" s="5" t="str">
        <f>_xlfn.XLOOKUP(role_course_map[[#This Row],[course_id]],course_data[course_id],course_data[title],"")</f>
        <v>Fatigue Awareness</v>
      </c>
      <c r="E2193" s="5" t="str">
        <f>_xlfn.XLOOKUP(role_course_map[[#This Row],[course_id]],course_data[course_id],course_data[topic],"")</f>
        <v>SAS : Health and Safety</v>
      </c>
      <c r="F2193" s="5" t="str">
        <f>_xlfn.XLOOKUP(role_course_map[[#This Row],[course_id]],course_data[course_id],course_data[type],"")</f>
        <v>eLearning</v>
      </c>
      <c r="K2193" t="str">
        <f>role_course_map[[#This Row],[role_id]] &amp; "|" &amp; role_course_map[[#This Row],[course_id]]</f>
        <v>R0162|999057</v>
      </c>
      <c r="L2193" t="str">
        <f>IF(COUNTIF(role_course_map[mapping_key],role_course_map[[#This Row],[mapping_key]])&gt;1,"DUPLICATE","OK")</f>
        <v>OK</v>
      </c>
      <c r="M2193" t="str">
        <f>IF(COUNTIF(role_data[role_id],role_course_map[[#This Row],[role_id]])=0, "INVALID","VALID")</f>
        <v>VALID</v>
      </c>
      <c r="N2193" t="str">
        <f>IF(COUNTIF(course_data[course_id],role_course_map[[#This Row],[course_id]])=0, "INVALID","VALID")</f>
        <v>VALID</v>
      </c>
    </row>
    <row r="2194" spans="1:14" x14ac:dyDescent="0.35">
      <c r="A2194" t="s">
        <v>338</v>
      </c>
      <c r="B2194" s="5" t="str">
        <f>_xlfn.XLOOKUP(role_course_map[[#This Row],[role_id]], role_data[role_id], role_data[Role],"")</f>
        <v>Health and Safety Auditor</v>
      </c>
      <c r="C2194">
        <v>999058</v>
      </c>
      <c r="D2194" s="5" t="str">
        <f>_xlfn.XLOOKUP(role_course_map[[#This Row],[course_id]],course_data[course_id],course_data[title],"")</f>
        <v>Stress Identification &amp; Stress Management</v>
      </c>
      <c r="E2194" s="5" t="str">
        <f>_xlfn.XLOOKUP(role_course_map[[#This Row],[course_id]],course_data[course_id],course_data[topic],"")</f>
        <v>SAS : Health and Safety</v>
      </c>
      <c r="F2194" s="5" t="str">
        <f>_xlfn.XLOOKUP(role_course_map[[#This Row],[course_id]],course_data[course_id],course_data[type],"")</f>
        <v>eLearning</v>
      </c>
      <c r="K2194" t="str">
        <f>role_course_map[[#This Row],[role_id]] &amp; "|" &amp; role_course_map[[#This Row],[course_id]]</f>
        <v>R0162|999058</v>
      </c>
      <c r="L2194" t="str">
        <f>IF(COUNTIF(role_course_map[mapping_key],role_course_map[[#This Row],[mapping_key]])&gt;1,"DUPLICATE","OK")</f>
        <v>OK</v>
      </c>
      <c r="M2194" t="str">
        <f>IF(COUNTIF(role_data[role_id],role_course_map[[#This Row],[role_id]])=0, "INVALID","VALID")</f>
        <v>VALID</v>
      </c>
      <c r="N2194" t="str">
        <f>IF(COUNTIF(course_data[course_id],role_course_map[[#This Row],[course_id]])=0, "INVALID","VALID")</f>
        <v>VALID</v>
      </c>
    </row>
    <row r="2195" spans="1:14" x14ac:dyDescent="0.35">
      <c r="A2195" t="s">
        <v>338</v>
      </c>
      <c r="B2195" s="5" t="str">
        <f>_xlfn.XLOOKUP(role_course_map[[#This Row],[role_id]], role_data[role_id], role_data[Role],"")</f>
        <v>Health and Safety Auditor</v>
      </c>
      <c r="C2195">
        <v>999094</v>
      </c>
      <c r="D2195" s="5" t="str">
        <f>_xlfn.XLOOKUP(role_course_map[[#This Row],[course_id]],course_data[course_id],course_data[title],"")</f>
        <v>Being well, Mind, Body &amp; Workplace</v>
      </c>
      <c r="E2195" s="5" t="str">
        <f>_xlfn.XLOOKUP(role_course_map[[#This Row],[course_id]],course_data[course_id],course_data[topic],"")</f>
        <v>SAS: Staff development and experience</v>
      </c>
      <c r="F2195" s="5" t="str">
        <f>_xlfn.XLOOKUP(role_course_map[[#This Row],[course_id]],course_data[course_id],course_data[type],"")</f>
        <v>eLearning</v>
      </c>
      <c r="K2195" t="str">
        <f>role_course_map[[#This Row],[role_id]] &amp; "|" &amp; role_course_map[[#This Row],[course_id]]</f>
        <v>R0162|999094</v>
      </c>
      <c r="L2195" t="str">
        <f>IF(COUNTIF(role_course_map[mapping_key],role_course_map[[#This Row],[mapping_key]])&gt;1,"DUPLICATE","OK")</f>
        <v>OK</v>
      </c>
      <c r="M2195" t="str">
        <f>IF(COUNTIF(role_data[role_id],role_course_map[[#This Row],[role_id]])=0, "INVALID","VALID")</f>
        <v>VALID</v>
      </c>
      <c r="N2195" t="str">
        <f>IF(COUNTIF(course_data[course_id],role_course_map[[#This Row],[course_id]])=0, "INVALID","VALID")</f>
        <v>VALID</v>
      </c>
    </row>
    <row r="2196" spans="1:14" x14ac:dyDescent="0.35">
      <c r="A2196" t="s">
        <v>340</v>
      </c>
      <c r="B2196" s="5" t="str">
        <f>_xlfn.XLOOKUP(role_course_map[[#This Row],[role_id]], role_data[role_id], role_data[Role],"")</f>
        <v>Health and Safety Officer</v>
      </c>
      <c r="C2196">
        <v>999056</v>
      </c>
      <c r="D2196" s="5" t="str">
        <f>_xlfn.XLOOKUP(role_course_map[[#This Row],[course_id]],course_data[course_id],course_data[title],"")</f>
        <v>Driver Assessment &amp; Training</v>
      </c>
      <c r="E2196" s="5" t="str">
        <f>_xlfn.XLOOKUP(role_course_map[[#This Row],[course_id]],course_data[course_id],course_data[topic],"")</f>
        <v>SAS : Health and Safety</v>
      </c>
      <c r="F2196" s="5" t="str">
        <f>_xlfn.XLOOKUP(role_course_map[[#This Row],[course_id]],course_data[course_id],course_data[type],"")</f>
        <v>eLearning</v>
      </c>
      <c r="K2196" t="str">
        <f>role_course_map[[#This Row],[role_id]] &amp; "|" &amp; role_course_map[[#This Row],[course_id]]</f>
        <v>R0163|999056</v>
      </c>
      <c r="L2196" t="str">
        <f>IF(COUNTIF(role_course_map[mapping_key],role_course_map[[#This Row],[mapping_key]])&gt;1,"DUPLICATE","OK")</f>
        <v>OK</v>
      </c>
      <c r="M2196" t="str">
        <f>IF(COUNTIF(role_data[role_id],role_course_map[[#This Row],[role_id]])=0, "INVALID","VALID")</f>
        <v>VALID</v>
      </c>
      <c r="N2196" t="str">
        <f>IF(COUNTIF(course_data[course_id],role_course_map[[#This Row],[course_id]])=0, "INVALID","VALID")</f>
        <v>VALID</v>
      </c>
    </row>
    <row r="2197" spans="1:14" x14ac:dyDescent="0.35">
      <c r="A2197" t="s">
        <v>340</v>
      </c>
      <c r="B2197" s="5" t="str">
        <f>_xlfn.XLOOKUP(role_course_map[[#This Row],[role_id]], role_data[role_id], role_data[Role],"")</f>
        <v>Health and Safety Officer</v>
      </c>
      <c r="C2197">
        <v>999057</v>
      </c>
      <c r="D2197" s="5" t="str">
        <f>_xlfn.XLOOKUP(role_course_map[[#This Row],[course_id]],course_data[course_id],course_data[title],"")</f>
        <v>Fatigue Awareness</v>
      </c>
      <c r="E2197" s="5" t="str">
        <f>_xlfn.XLOOKUP(role_course_map[[#This Row],[course_id]],course_data[course_id],course_data[topic],"")</f>
        <v>SAS : Health and Safety</v>
      </c>
      <c r="F2197" s="5" t="str">
        <f>_xlfn.XLOOKUP(role_course_map[[#This Row],[course_id]],course_data[course_id],course_data[type],"")</f>
        <v>eLearning</v>
      </c>
      <c r="K2197" t="str">
        <f>role_course_map[[#This Row],[role_id]] &amp; "|" &amp; role_course_map[[#This Row],[course_id]]</f>
        <v>R0163|999057</v>
      </c>
      <c r="L2197" t="str">
        <f>IF(COUNTIF(role_course_map[mapping_key],role_course_map[[#This Row],[mapping_key]])&gt;1,"DUPLICATE","OK")</f>
        <v>OK</v>
      </c>
      <c r="M2197" t="str">
        <f>IF(COUNTIF(role_data[role_id],role_course_map[[#This Row],[role_id]])=0, "INVALID","VALID")</f>
        <v>VALID</v>
      </c>
      <c r="N2197" t="str">
        <f>IF(COUNTIF(course_data[course_id],role_course_map[[#This Row],[course_id]])=0, "INVALID","VALID")</f>
        <v>VALID</v>
      </c>
    </row>
    <row r="2198" spans="1:14" x14ac:dyDescent="0.35">
      <c r="A2198" t="s">
        <v>340</v>
      </c>
      <c r="B2198" s="5" t="str">
        <f>_xlfn.XLOOKUP(role_course_map[[#This Row],[role_id]], role_data[role_id], role_data[Role],"")</f>
        <v>Health and Safety Officer</v>
      </c>
      <c r="C2198">
        <v>999058</v>
      </c>
      <c r="D2198" s="5" t="str">
        <f>_xlfn.XLOOKUP(role_course_map[[#This Row],[course_id]],course_data[course_id],course_data[title],"")</f>
        <v>Stress Identification &amp; Stress Management</v>
      </c>
      <c r="E2198" s="5" t="str">
        <f>_xlfn.XLOOKUP(role_course_map[[#This Row],[course_id]],course_data[course_id],course_data[topic],"")</f>
        <v>SAS : Health and Safety</v>
      </c>
      <c r="F2198" s="5" t="str">
        <f>_xlfn.XLOOKUP(role_course_map[[#This Row],[course_id]],course_data[course_id],course_data[type],"")</f>
        <v>eLearning</v>
      </c>
      <c r="K2198" t="str">
        <f>role_course_map[[#This Row],[role_id]] &amp; "|" &amp; role_course_map[[#This Row],[course_id]]</f>
        <v>R0163|999058</v>
      </c>
      <c r="L2198" t="str">
        <f>IF(COUNTIF(role_course_map[mapping_key],role_course_map[[#This Row],[mapping_key]])&gt;1,"DUPLICATE","OK")</f>
        <v>OK</v>
      </c>
      <c r="M2198" t="str">
        <f>IF(COUNTIF(role_data[role_id],role_course_map[[#This Row],[role_id]])=0, "INVALID","VALID")</f>
        <v>VALID</v>
      </c>
      <c r="N2198" t="str">
        <f>IF(COUNTIF(course_data[course_id],role_course_map[[#This Row],[course_id]])=0, "INVALID","VALID")</f>
        <v>VALID</v>
      </c>
    </row>
    <row r="2199" spans="1:14" x14ac:dyDescent="0.35">
      <c r="A2199" t="s">
        <v>340</v>
      </c>
      <c r="B2199" s="5" t="str">
        <f>_xlfn.XLOOKUP(role_course_map[[#This Row],[role_id]], role_data[role_id], role_data[Role],"")</f>
        <v>Health and Safety Officer</v>
      </c>
      <c r="C2199">
        <v>999094</v>
      </c>
      <c r="D2199" s="5" t="str">
        <f>_xlfn.XLOOKUP(role_course_map[[#This Row],[course_id]],course_data[course_id],course_data[title],"")</f>
        <v>Being well, Mind, Body &amp; Workplace</v>
      </c>
      <c r="E2199" s="5" t="str">
        <f>_xlfn.XLOOKUP(role_course_map[[#This Row],[course_id]],course_data[course_id],course_data[topic],"")</f>
        <v>SAS: Staff development and experience</v>
      </c>
      <c r="F2199" s="5" t="str">
        <f>_xlfn.XLOOKUP(role_course_map[[#This Row],[course_id]],course_data[course_id],course_data[type],"")</f>
        <v>eLearning</v>
      </c>
      <c r="K2199" t="str">
        <f>role_course_map[[#This Row],[role_id]] &amp; "|" &amp; role_course_map[[#This Row],[course_id]]</f>
        <v>R0163|999094</v>
      </c>
      <c r="L2199" t="str">
        <f>IF(COUNTIF(role_course_map[mapping_key],role_course_map[[#This Row],[mapping_key]])&gt;1,"DUPLICATE","OK")</f>
        <v>OK</v>
      </c>
      <c r="M2199" t="str">
        <f>IF(COUNTIF(role_data[role_id],role_course_map[[#This Row],[role_id]])=0, "INVALID","VALID")</f>
        <v>VALID</v>
      </c>
      <c r="N2199" t="str">
        <f>IF(COUNTIF(course_data[course_id],role_course_map[[#This Row],[course_id]])=0, "INVALID","VALID")</f>
        <v>VALID</v>
      </c>
    </row>
    <row r="2200" spans="1:14" ht="15.75" customHeight="1" x14ac:dyDescent="0.35">
      <c r="A2200" t="s">
        <v>340</v>
      </c>
      <c r="B2200" s="5" t="str">
        <f>_xlfn.XLOOKUP(role_course_map[[#This Row],[role_id]], role_data[role_id], role_data[Role],"")</f>
        <v>Health and Safety Officer</v>
      </c>
      <c r="C2200">
        <v>999092</v>
      </c>
      <c r="D2200" s="5" t="str">
        <f>_xlfn.XLOOKUP(role_course_map[[#This Row],[course_id]],course_data[course_id],course_data[title],"")</f>
        <v>Health &amp; Wellbeing Awareness for Managers</v>
      </c>
      <c r="E2200" s="5" t="str">
        <f>_xlfn.XLOOKUP(role_course_map[[#This Row],[course_id]],course_data[course_id],course_data[topic],"")</f>
        <v>SAS: Staff development and experience</v>
      </c>
      <c r="F2200" s="5" t="str">
        <f>_xlfn.XLOOKUP(role_course_map[[#This Row],[course_id]],course_data[course_id],course_data[type],"")</f>
        <v>eLearning</v>
      </c>
      <c r="K2200" t="str">
        <f>role_course_map[[#This Row],[role_id]] &amp; "|" &amp; role_course_map[[#This Row],[course_id]]</f>
        <v>R0163|999092</v>
      </c>
      <c r="L2200" t="str">
        <f>IF(COUNTIF(role_course_map[mapping_key],role_course_map[[#This Row],[mapping_key]])&gt;1,"DUPLICATE","OK")</f>
        <v>OK</v>
      </c>
      <c r="M2200" t="str">
        <f>IF(COUNTIF(role_data[role_id],role_course_map[[#This Row],[role_id]])=0, "INVALID","VALID")</f>
        <v>VALID</v>
      </c>
      <c r="N2200" t="str">
        <f>IF(COUNTIF(course_data[course_id],role_course_map[[#This Row],[course_id]])=0, "INVALID","VALID")</f>
        <v>VALID</v>
      </c>
    </row>
    <row r="2201" spans="1:14" x14ac:dyDescent="0.35">
      <c r="A2201" t="s">
        <v>340</v>
      </c>
      <c r="B2201" s="5" t="str">
        <f>_xlfn.XLOOKUP(role_course_map[[#This Row],[role_id]], role_data[role_id], role_data[Role],"")</f>
        <v>Health and Safety Officer</v>
      </c>
      <c r="C2201">
        <v>999093</v>
      </c>
      <c r="D2201" s="5" t="str">
        <f>_xlfn.XLOOKUP(role_course_map[[#This Row],[course_id]],course_data[course_id],course_data[title],"")</f>
        <v>Managing Wellbeing Refresher for Managers</v>
      </c>
      <c r="E2201" s="5" t="str">
        <f>_xlfn.XLOOKUP(role_course_map[[#This Row],[course_id]],course_data[course_id],course_data[topic],"")</f>
        <v>SAS: Staff development and experience</v>
      </c>
      <c r="F2201" s="5" t="str">
        <f>_xlfn.XLOOKUP(role_course_map[[#This Row],[course_id]],course_data[course_id],course_data[type],"")</f>
        <v>eLearning</v>
      </c>
      <c r="K2201" t="str">
        <f>role_course_map[[#This Row],[role_id]] &amp; "|" &amp; role_course_map[[#This Row],[course_id]]</f>
        <v>R0163|999093</v>
      </c>
      <c r="L2201" t="str">
        <f>IF(COUNTIF(role_course_map[mapping_key],role_course_map[[#This Row],[mapping_key]])&gt;1,"DUPLICATE","OK")</f>
        <v>OK</v>
      </c>
      <c r="M2201" t="str">
        <f>IF(COUNTIF(role_data[role_id],role_course_map[[#This Row],[role_id]])=0, "INVALID","VALID")</f>
        <v>VALID</v>
      </c>
      <c r="N2201" t="str">
        <f>IF(COUNTIF(course_data[course_id],role_course_map[[#This Row],[course_id]])=0, "INVALID","VALID")</f>
        <v>VALID</v>
      </c>
    </row>
    <row r="2202" spans="1:14" x14ac:dyDescent="0.35">
      <c r="A2202" t="s">
        <v>340</v>
      </c>
      <c r="B2202" s="5" t="str">
        <f>_xlfn.XLOOKUP(role_course_map[[#This Row],[role_id]], role_data[role_id], role_data[Role],"")</f>
        <v>Health and Safety Officer</v>
      </c>
      <c r="C2202">
        <v>75407</v>
      </c>
      <c r="D2202" s="5" t="str">
        <f>_xlfn.XLOOKUP(role_course_map[[#This Row],[course_id]],course_data[course_id],course_data[title],"")</f>
        <v>Aspirant Leader Development Programme (ALDP)</v>
      </c>
      <c r="E2202" s="5" t="str">
        <f>_xlfn.XLOOKUP(role_course_map[[#This Row],[course_id]],course_data[course_id],course_data[topic],"")</f>
        <v>SAS: Staff development and experience</v>
      </c>
      <c r="F2202" s="5" t="str">
        <f>_xlfn.XLOOKUP(role_course_map[[#This Row],[course_id]],course_data[course_id],course_data[type],"")</f>
        <v>Page</v>
      </c>
      <c r="K2202" t="str">
        <f>role_course_map[[#This Row],[role_id]] &amp; "|" &amp; role_course_map[[#This Row],[course_id]]</f>
        <v>R0163|75407</v>
      </c>
      <c r="L2202" t="str">
        <f>IF(COUNTIF(role_course_map[mapping_key],role_course_map[[#This Row],[mapping_key]])&gt;1,"DUPLICATE","OK")</f>
        <v>OK</v>
      </c>
      <c r="M2202" t="str">
        <f>IF(COUNTIF(role_data[role_id],role_course_map[[#This Row],[role_id]])=0, "INVALID","VALID")</f>
        <v>VALID</v>
      </c>
      <c r="N2202" t="str">
        <f>IF(COUNTIF(course_data[course_id],role_course_map[[#This Row],[course_id]])=0, "INVALID","VALID")</f>
        <v>VALID</v>
      </c>
    </row>
    <row r="2203" spans="1:14" x14ac:dyDescent="0.35">
      <c r="A2203" t="s">
        <v>340</v>
      </c>
      <c r="B2203" s="5" t="str">
        <f>_xlfn.XLOOKUP(role_course_map[[#This Row],[role_id]], role_data[role_id], role_data[Role],"")</f>
        <v>Health and Safety Officer</v>
      </c>
      <c r="C2203">
        <v>75406</v>
      </c>
      <c r="D2203" s="5" t="str">
        <f>_xlfn.XLOOKUP(role_course_map[[#This Row],[course_id]],course_data[course_id],course_data[title],"")</f>
        <v>Foundation Leadership and Management Programme (FLMP)</v>
      </c>
      <c r="E2203" s="5" t="str">
        <f>_xlfn.XLOOKUP(role_course_map[[#This Row],[course_id]],course_data[course_id],course_data[topic],"")</f>
        <v>SAS: Staff development and experience</v>
      </c>
      <c r="F2203" s="5" t="str">
        <f>_xlfn.XLOOKUP(role_course_map[[#This Row],[course_id]],course_data[course_id],course_data[type],"")</f>
        <v>Page</v>
      </c>
      <c r="K2203" t="str">
        <f>role_course_map[[#This Row],[role_id]] &amp; "|" &amp; role_course_map[[#This Row],[course_id]]</f>
        <v>R0163|75406</v>
      </c>
      <c r="L2203" t="str">
        <f>IF(COUNTIF(role_course_map[mapping_key],role_course_map[[#This Row],[mapping_key]])&gt;1,"DUPLICATE","OK")</f>
        <v>OK</v>
      </c>
      <c r="M2203" t="str">
        <f>IF(COUNTIF(role_data[role_id],role_course_map[[#This Row],[role_id]])=0, "INVALID","VALID")</f>
        <v>VALID</v>
      </c>
      <c r="N2203" t="str">
        <f>IF(COUNTIF(course_data[course_id],role_course_map[[#This Row],[course_id]])=0, "INVALID","VALID")</f>
        <v>VALID</v>
      </c>
    </row>
    <row r="2204" spans="1:14" x14ac:dyDescent="0.35">
      <c r="A2204" t="s">
        <v>342</v>
      </c>
      <c r="B2204" s="5" t="str">
        <f>_xlfn.XLOOKUP(role_course_map[[#This Row],[role_id]], role_data[role_id], role_data[Role],"")</f>
        <v>Human Resources Advisor</v>
      </c>
      <c r="C2204">
        <v>999056</v>
      </c>
      <c r="D2204" s="5" t="str">
        <f>_xlfn.XLOOKUP(role_course_map[[#This Row],[course_id]],course_data[course_id],course_data[title],"")</f>
        <v>Driver Assessment &amp; Training</v>
      </c>
      <c r="E2204" s="5" t="str">
        <f>_xlfn.XLOOKUP(role_course_map[[#This Row],[course_id]],course_data[course_id],course_data[topic],"")</f>
        <v>SAS : Health and Safety</v>
      </c>
      <c r="F2204" s="5" t="str">
        <f>_xlfn.XLOOKUP(role_course_map[[#This Row],[course_id]],course_data[course_id],course_data[type],"")</f>
        <v>eLearning</v>
      </c>
      <c r="K2204" t="str">
        <f>role_course_map[[#This Row],[role_id]] &amp; "|" &amp; role_course_map[[#This Row],[course_id]]</f>
        <v>R0164|999056</v>
      </c>
      <c r="L2204" t="str">
        <f>IF(COUNTIF(role_course_map[mapping_key],role_course_map[[#This Row],[mapping_key]])&gt;1,"DUPLICATE","OK")</f>
        <v>OK</v>
      </c>
      <c r="M2204" t="str">
        <f>IF(COUNTIF(role_data[role_id],role_course_map[[#This Row],[role_id]])=0, "INVALID","VALID")</f>
        <v>VALID</v>
      </c>
      <c r="N2204" t="str">
        <f>IF(COUNTIF(course_data[course_id],role_course_map[[#This Row],[course_id]])=0, "INVALID","VALID")</f>
        <v>VALID</v>
      </c>
    </row>
    <row r="2205" spans="1:14" x14ac:dyDescent="0.35">
      <c r="A2205" t="s">
        <v>342</v>
      </c>
      <c r="B2205" s="5" t="str">
        <f>_xlfn.XLOOKUP(role_course_map[[#This Row],[role_id]], role_data[role_id], role_data[Role],"")</f>
        <v>Human Resources Advisor</v>
      </c>
      <c r="C2205">
        <v>999057</v>
      </c>
      <c r="D2205" s="5" t="str">
        <f>_xlfn.XLOOKUP(role_course_map[[#This Row],[course_id]],course_data[course_id],course_data[title],"")</f>
        <v>Fatigue Awareness</v>
      </c>
      <c r="E2205" s="5" t="str">
        <f>_xlfn.XLOOKUP(role_course_map[[#This Row],[course_id]],course_data[course_id],course_data[topic],"")</f>
        <v>SAS : Health and Safety</v>
      </c>
      <c r="F2205" s="5" t="str">
        <f>_xlfn.XLOOKUP(role_course_map[[#This Row],[course_id]],course_data[course_id],course_data[type],"")</f>
        <v>eLearning</v>
      </c>
      <c r="K2205" t="str">
        <f>role_course_map[[#This Row],[role_id]] &amp; "|" &amp; role_course_map[[#This Row],[course_id]]</f>
        <v>R0164|999057</v>
      </c>
      <c r="L2205" t="str">
        <f>IF(COUNTIF(role_course_map[mapping_key],role_course_map[[#This Row],[mapping_key]])&gt;1,"DUPLICATE","OK")</f>
        <v>OK</v>
      </c>
      <c r="M2205" t="str">
        <f>IF(COUNTIF(role_data[role_id],role_course_map[[#This Row],[role_id]])=0, "INVALID","VALID")</f>
        <v>VALID</v>
      </c>
      <c r="N2205" t="str">
        <f>IF(COUNTIF(course_data[course_id],role_course_map[[#This Row],[course_id]])=0, "INVALID","VALID")</f>
        <v>VALID</v>
      </c>
    </row>
    <row r="2206" spans="1:14" x14ac:dyDescent="0.35">
      <c r="A2206" t="s">
        <v>342</v>
      </c>
      <c r="B2206" s="5" t="str">
        <f>_xlfn.XLOOKUP(role_course_map[[#This Row],[role_id]], role_data[role_id], role_data[Role],"")</f>
        <v>Human Resources Advisor</v>
      </c>
      <c r="C2206">
        <v>999058</v>
      </c>
      <c r="D2206" s="5" t="str">
        <f>_xlfn.XLOOKUP(role_course_map[[#This Row],[course_id]],course_data[course_id],course_data[title],"")</f>
        <v>Stress Identification &amp; Stress Management</v>
      </c>
      <c r="E2206" s="5" t="str">
        <f>_xlfn.XLOOKUP(role_course_map[[#This Row],[course_id]],course_data[course_id],course_data[topic],"")</f>
        <v>SAS : Health and Safety</v>
      </c>
      <c r="F2206" s="5" t="str">
        <f>_xlfn.XLOOKUP(role_course_map[[#This Row],[course_id]],course_data[course_id],course_data[type],"")</f>
        <v>eLearning</v>
      </c>
      <c r="K2206" t="str">
        <f>role_course_map[[#This Row],[role_id]] &amp; "|" &amp; role_course_map[[#This Row],[course_id]]</f>
        <v>R0164|999058</v>
      </c>
      <c r="L2206" t="str">
        <f>IF(COUNTIF(role_course_map[mapping_key],role_course_map[[#This Row],[mapping_key]])&gt;1,"DUPLICATE","OK")</f>
        <v>OK</v>
      </c>
      <c r="M2206" t="str">
        <f>IF(COUNTIF(role_data[role_id],role_course_map[[#This Row],[role_id]])=0, "INVALID","VALID")</f>
        <v>VALID</v>
      </c>
      <c r="N2206" t="str">
        <f>IF(COUNTIF(course_data[course_id],role_course_map[[#This Row],[course_id]])=0, "INVALID","VALID")</f>
        <v>VALID</v>
      </c>
    </row>
    <row r="2207" spans="1:14" x14ac:dyDescent="0.35">
      <c r="A2207" t="s">
        <v>342</v>
      </c>
      <c r="B2207" s="5" t="str">
        <f>_xlfn.XLOOKUP(role_course_map[[#This Row],[role_id]], role_data[role_id], role_data[Role],"")</f>
        <v>Human Resources Advisor</v>
      </c>
      <c r="C2207">
        <v>999094</v>
      </c>
      <c r="D2207" s="5" t="str">
        <f>_xlfn.XLOOKUP(role_course_map[[#This Row],[course_id]],course_data[course_id],course_data[title],"")</f>
        <v>Being well, Mind, Body &amp; Workplace</v>
      </c>
      <c r="E2207" s="5" t="str">
        <f>_xlfn.XLOOKUP(role_course_map[[#This Row],[course_id]],course_data[course_id],course_data[topic],"")</f>
        <v>SAS: Staff development and experience</v>
      </c>
      <c r="F2207" s="5" t="str">
        <f>_xlfn.XLOOKUP(role_course_map[[#This Row],[course_id]],course_data[course_id],course_data[type],"")</f>
        <v>eLearning</v>
      </c>
      <c r="K2207" t="str">
        <f>role_course_map[[#This Row],[role_id]] &amp; "|" &amp; role_course_map[[#This Row],[course_id]]</f>
        <v>R0164|999094</v>
      </c>
      <c r="L2207" t="str">
        <f>IF(COUNTIF(role_course_map[mapping_key],role_course_map[[#This Row],[mapping_key]])&gt;1,"DUPLICATE","OK")</f>
        <v>OK</v>
      </c>
      <c r="M2207" t="str">
        <f>IF(COUNTIF(role_data[role_id],role_course_map[[#This Row],[role_id]])=0, "INVALID","VALID")</f>
        <v>VALID</v>
      </c>
      <c r="N2207" t="str">
        <f>IF(COUNTIF(course_data[course_id],role_course_map[[#This Row],[course_id]])=0, "INVALID","VALID")</f>
        <v>VALID</v>
      </c>
    </row>
    <row r="2208" spans="1:14" x14ac:dyDescent="0.35">
      <c r="A2208" t="s">
        <v>344</v>
      </c>
      <c r="B2208" s="5" t="str">
        <f>_xlfn.XLOOKUP(role_course_map[[#This Row],[role_id]], role_data[role_id], role_data[Role],"")</f>
        <v>Human Resources Assistant</v>
      </c>
      <c r="C2208">
        <v>999056</v>
      </c>
      <c r="D2208" s="5" t="str">
        <f>_xlfn.XLOOKUP(role_course_map[[#This Row],[course_id]],course_data[course_id],course_data[title],"")</f>
        <v>Driver Assessment &amp; Training</v>
      </c>
      <c r="E2208" s="5" t="str">
        <f>_xlfn.XLOOKUP(role_course_map[[#This Row],[course_id]],course_data[course_id],course_data[topic],"")</f>
        <v>SAS : Health and Safety</v>
      </c>
      <c r="F2208" s="5" t="str">
        <f>_xlfn.XLOOKUP(role_course_map[[#This Row],[course_id]],course_data[course_id],course_data[type],"")</f>
        <v>eLearning</v>
      </c>
      <c r="K2208" t="str">
        <f>role_course_map[[#This Row],[role_id]] &amp; "|" &amp; role_course_map[[#This Row],[course_id]]</f>
        <v>R0165|999056</v>
      </c>
      <c r="L2208" t="str">
        <f>IF(COUNTIF(role_course_map[mapping_key],role_course_map[[#This Row],[mapping_key]])&gt;1,"DUPLICATE","OK")</f>
        <v>OK</v>
      </c>
      <c r="M2208" t="str">
        <f>IF(COUNTIF(role_data[role_id],role_course_map[[#This Row],[role_id]])=0, "INVALID","VALID")</f>
        <v>VALID</v>
      </c>
      <c r="N2208" t="str">
        <f>IF(COUNTIF(course_data[course_id],role_course_map[[#This Row],[course_id]])=0, "INVALID","VALID")</f>
        <v>VALID</v>
      </c>
    </row>
    <row r="2209" spans="1:14" x14ac:dyDescent="0.35">
      <c r="A2209" t="s">
        <v>344</v>
      </c>
      <c r="B2209" s="5" t="str">
        <f>_xlfn.XLOOKUP(role_course_map[[#This Row],[role_id]], role_data[role_id], role_data[Role],"")</f>
        <v>Human Resources Assistant</v>
      </c>
      <c r="C2209">
        <v>999057</v>
      </c>
      <c r="D2209" s="5" t="str">
        <f>_xlfn.XLOOKUP(role_course_map[[#This Row],[course_id]],course_data[course_id],course_data[title],"")</f>
        <v>Fatigue Awareness</v>
      </c>
      <c r="E2209" s="5" t="str">
        <f>_xlfn.XLOOKUP(role_course_map[[#This Row],[course_id]],course_data[course_id],course_data[topic],"")</f>
        <v>SAS : Health and Safety</v>
      </c>
      <c r="F2209" s="5" t="str">
        <f>_xlfn.XLOOKUP(role_course_map[[#This Row],[course_id]],course_data[course_id],course_data[type],"")</f>
        <v>eLearning</v>
      </c>
      <c r="K2209" t="str">
        <f>role_course_map[[#This Row],[role_id]] &amp; "|" &amp; role_course_map[[#This Row],[course_id]]</f>
        <v>R0165|999057</v>
      </c>
      <c r="L2209" t="str">
        <f>IF(COUNTIF(role_course_map[mapping_key],role_course_map[[#This Row],[mapping_key]])&gt;1,"DUPLICATE","OK")</f>
        <v>OK</v>
      </c>
      <c r="M2209" t="str">
        <f>IF(COUNTIF(role_data[role_id],role_course_map[[#This Row],[role_id]])=0, "INVALID","VALID")</f>
        <v>VALID</v>
      </c>
      <c r="N2209" t="str">
        <f>IF(COUNTIF(course_data[course_id],role_course_map[[#This Row],[course_id]])=0, "INVALID","VALID")</f>
        <v>VALID</v>
      </c>
    </row>
    <row r="2210" spans="1:14" x14ac:dyDescent="0.35">
      <c r="A2210" t="s">
        <v>344</v>
      </c>
      <c r="B2210" s="5" t="str">
        <f>_xlfn.XLOOKUP(role_course_map[[#This Row],[role_id]], role_data[role_id], role_data[Role],"")</f>
        <v>Human Resources Assistant</v>
      </c>
      <c r="C2210">
        <v>999058</v>
      </c>
      <c r="D2210" s="5" t="str">
        <f>_xlfn.XLOOKUP(role_course_map[[#This Row],[course_id]],course_data[course_id],course_data[title],"")</f>
        <v>Stress Identification &amp; Stress Management</v>
      </c>
      <c r="E2210" s="5" t="str">
        <f>_xlfn.XLOOKUP(role_course_map[[#This Row],[course_id]],course_data[course_id],course_data[topic],"")</f>
        <v>SAS : Health and Safety</v>
      </c>
      <c r="F2210" s="5" t="str">
        <f>_xlfn.XLOOKUP(role_course_map[[#This Row],[course_id]],course_data[course_id],course_data[type],"")</f>
        <v>eLearning</v>
      </c>
      <c r="K2210" t="str">
        <f>role_course_map[[#This Row],[role_id]] &amp; "|" &amp; role_course_map[[#This Row],[course_id]]</f>
        <v>R0165|999058</v>
      </c>
      <c r="L2210" t="str">
        <f>IF(COUNTIF(role_course_map[mapping_key],role_course_map[[#This Row],[mapping_key]])&gt;1,"DUPLICATE","OK")</f>
        <v>OK</v>
      </c>
      <c r="M2210" t="str">
        <f>IF(COUNTIF(role_data[role_id],role_course_map[[#This Row],[role_id]])=0, "INVALID","VALID")</f>
        <v>VALID</v>
      </c>
      <c r="N2210" t="str">
        <f>IF(COUNTIF(course_data[course_id],role_course_map[[#This Row],[course_id]])=0, "INVALID","VALID")</f>
        <v>VALID</v>
      </c>
    </row>
    <row r="2211" spans="1:14" x14ac:dyDescent="0.35">
      <c r="A2211" t="s">
        <v>344</v>
      </c>
      <c r="B2211" s="5" t="str">
        <f>_xlfn.XLOOKUP(role_course_map[[#This Row],[role_id]], role_data[role_id], role_data[Role],"")</f>
        <v>Human Resources Assistant</v>
      </c>
      <c r="C2211">
        <v>999094</v>
      </c>
      <c r="D2211" s="5" t="str">
        <f>_xlfn.XLOOKUP(role_course_map[[#This Row],[course_id]],course_data[course_id],course_data[title],"")</f>
        <v>Being well, Mind, Body &amp; Workplace</v>
      </c>
      <c r="E2211" s="5" t="str">
        <f>_xlfn.XLOOKUP(role_course_map[[#This Row],[course_id]],course_data[course_id],course_data[topic],"")</f>
        <v>SAS: Staff development and experience</v>
      </c>
      <c r="F2211" s="5" t="str">
        <f>_xlfn.XLOOKUP(role_course_map[[#This Row],[course_id]],course_data[course_id],course_data[type],"")</f>
        <v>eLearning</v>
      </c>
      <c r="K2211" t="str">
        <f>role_course_map[[#This Row],[role_id]] &amp; "|" &amp; role_course_map[[#This Row],[course_id]]</f>
        <v>R0165|999094</v>
      </c>
      <c r="L2211" t="str">
        <f>IF(COUNTIF(role_course_map[mapping_key],role_course_map[[#This Row],[mapping_key]])&gt;1,"DUPLICATE","OK")</f>
        <v>OK</v>
      </c>
      <c r="M2211" t="str">
        <f>IF(COUNTIF(role_data[role_id],role_course_map[[#This Row],[role_id]])=0, "INVALID","VALID")</f>
        <v>VALID</v>
      </c>
      <c r="N2211" t="str">
        <f>IF(COUNTIF(course_data[course_id],role_course_map[[#This Row],[course_id]])=0, "INVALID","VALID")</f>
        <v>VALID</v>
      </c>
    </row>
    <row r="2212" spans="1:14" x14ac:dyDescent="0.35">
      <c r="A2212" t="s">
        <v>346</v>
      </c>
      <c r="B2212" s="5" t="str">
        <f>_xlfn.XLOOKUP(role_course_map[[#This Row],[role_id]], role_data[role_id], role_data[Role],"")</f>
        <v>Human Resources Manager</v>
      </c>
      <c r="C2212">
        <v>999056</v>
      </c>
      <c r="D2212" s="5" t="str">
        <f>_xlfn.XLOOKUP(role_course_map[[#This Row],[course_id]],course_data[course_id],course_data[title],"")</f>
        <v>Driver Assessment &amp; Training</v>
      </c>
      <c r="E2212" s="5" t="str">
        <f>_xlfn.XLOOKUP(role_course_map[[#This Row],[course_id]],course_data[course_id],course_data[topic],"")</f>
        <v>SAS : Health and Safety</v>
      </c>
      <c r="F2212" s="5" t="str">
        <f>_xlfn.XLOOKUP(role_course_map[[#This Row],[course_id]],course_data[course_id],course_data[type],"")</f>
        <v>eLearning</v>
      </c>
      <c r="K2212" t="str">
        <f>role_course_map[[#This Row],[role_id]] &amp; "|" &amp; role_course_map[[#This Row],[course_id]]</f>
        <v>R0166|999056</v>
      </c>
      <c r="L2212" t="str">
        <f>IF(COUNTIF(role_course_map[mapping_key],role_course_map[[#This Row],[mapping_key]])&gt;1,"DUPLICATE","OK")</f>
        <v>OK</v>
      </c>
      <c r="M2212" t="str">
        <f>IF(COUNTIF(role_data[role_id],role_course_map[[#This Row],[role_id]])=0, "INVALID","VALID")</f>
        <v>VALID</v>
      </c>
      <c r="N2212" t="str">
        <f>IF(COUNTIF(course_data[course_id],role_course_map[[#This Row],[course_id]])=0, "INVALID","VALID")</f>
        <v>VALID</v>
      </c>
    </row>
    <row r="2213" spans="1:14" x14ac:dyDescent="0.35">
      <c r="A2213" t="s">
        <v>346</v>
      </c>
      <c r="B2213" s="5" t="str">
        <f>_xlfn.XLOOKUP(role_course_map[[#This Row],[role_id]], role_data[role_id], role_data[Role],"")</f>
        <v>Human Resources Manager</v>
      </c>
      <c r="C2213">
        <v>999057</v>
      </c>
      <c r="D2213" s="5" t="str">
        <f>_xlfn.XLOOKUP(role_course_map[[#This Row],[course_id]],course_data[course_id],course_data[title],"")</f>
        <v>Fatigue Awareness</v>
      </c>
      <c r="E2213" s="5" t="str">
        <f>_xlfn.XLOOKUP(role_course_map[[#This Row],[course_id]],course_data[course_id],course_data[topic],"")</f>
        <v>SAS : Health and Safety</v>
      </c>
      <c r="F2213" s="5" t="str">
        <f>_xlfn.XLOOKUP(role_course_map[[#This Row],[course_id]],course_data[course_id],course_data[type],"")</f>
        <v>eLearning</v>
      </c>
      <c r="K2213" t="str">
        <f>role_course_map[[#This Row],[role_id]] &amp; "|" &amp; role_course_map[[#This Row],[course_id]]</f>
        <v>R0166|999057</v>
      </c>
      <c r="L2213" t="str">
        <f>IF(COUNTIF(role_course_map[mapping_key],role_course_map[[#This Row],[mapping_key]])&gt;1,"DUPLICATE","OK")</f>
        <v>OK</v>
      </c>
      <c r="M2213" t="str">
        <f>IF(COUNTIF(role_data[role_id],role_course_map[[#This Row],[role_id]])=0, "INVALID","VALID")</f>
        <v>VALID</v>
      </c>
      <c r="N2213" t="str">
        <f>IF(COUNTIF(course_data[course_id],role_course_map[[#This Row],[course_id]])=0, "INVALID","VALID")</f>
        <v>VALID</v>
      </c>
    </row>
    <row r="2214" spans="1:14" x14ac:dyDescent="0.35">
      <c r="A2214" t="s">
        <v>346</v>
      </c>
      <c r="B2214" s="5" t="str">
        <f>_xlfn.XLOOKUP(role_course_map[[#This Row],[role_id]], role_data[role_id], role_data[Role],"")</f>
        <v>Human Resources Manager</v>
      </c>
      <c r="C2214">
        <v>999058</v>
      </c>
      <c r="D2214" s="5" t="str">
        <f>_xlfn.XLOOKUP(role_course_map[[#This Row],[course_id]],course_data[course_id],course_data[title],"")</f>
        <v>Stress Identification &amp; Stress Management</v>
      </c>
      <c r="E2214" s="5" t="str">
        <f>_xlfn.XLOOKUP(role_course_map[[#This Row],[course_id]],course_data[course_id],course_data[topic],"")</f>
        <v>SAS : Health and Safety</v>
      </c>
      <c r="F2214" s="5" t="str">
        <f>_xlfn.XLOOKUP(role_course_map[[#This Row],[course_id]],course_data[course_id],course_data[type],"")</f>
        <v>eLearning</v>
      </c>
      <c r="K2214" t="str">
        <f>role_course_map[[#This Row],[role_id]] &amp; "|" &amp; role_course_map[[#This Row],[course_id]]</f>
        <v>R0166|999058</v>
      </c>
      <c r="L2214" t="str">
        <f>IF(COUNTIF(role_course_map[mapping_key],role_course_map[[#This Row],[mapping_key]])&gt;1,"DUPLICATE","OK")</f>
        <v>OK</v>
      </c>
      <c r="M2214" t="str">
        <f>IF(COUNTIF(role_data[role_id],role_course_map[[#This Row],[role_id]])=0, "INVALID","VALID")</f>
        <v>VALID</v>
      </c>
      <c r="N2214" t="str">
        <f>IF(COUNTIF(course_data[course_id],role_course_map[[#This Row],[course_id]])=0, "INVALID","VALID")</f>
        <v>VALID</v>
      </c>
    </row>
    <row r="2215" spans="1:14" x14ac:dyDescent="0.35">
      <c r="A2215" t="s">
        <v>346</v>
      </c>
      <c r="B2215" s="5" t="str">
        <f>_xlfn.XLOOKUP(role_course_map[[#This Row],[role_id]], role_data[role_id], role_data[Role],"")</f>
        <v>Human Resources Manager</v>
      </c>
      <c r="C2215">
        <v>999094</v>
      </c>
      <c r="D2215" s="5" t="str">
        <f>_xlfn.XLOOKUP(role_course_map[[#This Row],[course_id]],course_data[course_id],course_data[title],"")</f>
        <v>Being well, Mind, Body &amp; Workplace</v>
      </c>
      <c r="E2215" s="5" t="str">
        <f>_xlfn.XLOOKUP(role_course_map[[#This Row],[course_id]],course_data[course_id],course_data[topic],"")</f>
        <v>SAS: Staff development and experience</v>
      </c>
      <c r="F2215" s="5" t="str">
        <f>_xlfn.XLOOKUP(role_course_map[[#This Row],[course_id]],course_data[course_id],course_data[type],"")</f>
        <v>eLearning</v>
      </c>
      <c r="K2215" t="str">
        <f>role_course_map[[#This Row],[role_id]] &amp; "|" &amp; role_course_map[[#This Row],[course_id]]</f>
        <v>R0166|999094</v>
      </c>
      <c r="L2215" t="str">
        <f>IF(COUNTIF(role_course_map[mapping_key],role_course_map[[#This Row],[mapping_key]])&gt;1,"DUPLICATE","OK")</f>
        <v>OK</v>
      </c>
      <c r="M2215" t="str">
        <f>IF(COUNTIF(role_data[role_id],role_course_map[[#This Row],[role_id]])=0, "INVALID","VALID")</f>
        <v>VALID</v>
      </c>
      <c r="N2215" t="str">
        <f>IF(COUNTIF(course_data[course_id],role_course_map[[#This Row],[course_id]])=0, "INVALID","VALID")</f>
        <v>VALID</v>
      </c>
    </row>
    <row r="2216" spans="1:14" x14ac:dyDescent="0.35">
      <c r="A2216" t="s">
        <v>346</v>
      </c>
      <c r="B2216" s="5" t="str">
        <f>_xlfn.XLOOKUP(role_course_map[[#This Row],[role_id]], role_data[role_id], role_data[Role],"")</f>
        <v>Human Resources Manager</v>
      </c>
      <c r="C2216">
        <v>999092</v>
      </c>
      <c r="D2216" s="5" t="str">
        <f>_xlfn.XLOOKUP(role_course_map[[#This Row],[course_id]],course_data[course_id],course_data[title],"")</f>
        <v>Health &amp; Wellbeing Awareness for Managers</v>
      </c>
      <c r="E2216" s="5" t="str">
        <f>_xlfn.XLOOKUP(role_course_map[[#This Row],[course_id]],course_data[course_id],course_data[topic],"")</f>
        <v>SAS: Staff development and experience</v>
      </c>
      <c r="F2216" s="5" t="str">
        <f>_xlfn.XLOOKUP(role_course_map[[#This Row],[course_id]],course_data[course_id],course_data[type],"")</f>
        <v>eLearning</v>
      </c>
      <c r="K2216" t="str">
        <f>role_course_map[[#This Row],[role_id]] &amp; "|" &amp; role_course_map[[#This Row],[course_id]]</f>
        <v>R0166|999092</v>
      </c>
      <c r="L2216" t="str">
        <f>IF(COUNTIF(role_course_map[mapping_key],role_course_map[[#This Row],[mapping_key]])&gt;1,"DUPLICATE","OK")</f>
        <v>OK</v>
      </c>
      <c r="M2216" t="str">
        <f>IF(COUNTIF(role_data[role_id],role_course_map[[#This Row],[role_id]])=0, "INVALID","VALID")</f>
        <v>VALID</v>
      </c>
      <c r="N2216" t="str">
        <f>IF(COUNTIF(course_data[course_id],role_course_map[[#This Row],[course_id]])=0, "INVALID","VALID")</f>
        <v>VALID</v>
      </c>
    </row>
    <row r="2217" spans="1:14" x14ac:dyDescent="0.35">
      <c r="A2217" t="s">
        <v>346</v>
      </c>
      <c r="B2217" s="5" t="str">
        <f>_xlfn.XLOOKUP(role_course_map[[#This Row],[role_id]], role_data[role_id], role_data[Role],"")</f>
        <v>Human Resources Manager</v>
      </c>
      <c r="C2217">
        <v>999093</v>
      </c>
      <c r="D2217" s="5" t="str">
        <f>_xlfn.XLOOKUP(role_course_map[[#This Row],[course_id]],course_data[course_id],course_data[title],"")</f>
        <v>Managing Wellbeing Refresher for Managers</v>
      </c>
      <c r="E2217" s="5" t="str">
        <f>_xlfn.XLOOKUP(role_course_map[[#This Row],[course_id]],course_data[course_id],course_data[topic],"")</f>
        <v>SAS: Staff development and experience</v>
      </c>
      <c r="F2217" s="5" t="str">
        <f>_xlfn.XLOOKUP(role_course_map[[#This Row],[course_id]],course_data[course_id],course_data[type],"")</f>
        <v>eLearning</v>
      </c>
      <c r="K2217" t="str">
        <f>role_course_map[[#This Row],[role_id]] &amp; "|" &amp; role_course_map[[#This Row],[course_id]]</f>
        <v>R0166|999093</v>
      </c>
      <c r="L2217" t="str">
        <f>IF(COUNTIF(role_course_map[mapping_key],role_course_map[[#This Row],[mapping_key]])&gt;1,"DUPLICATE","OK")</f>
        <v>OK</v>
      </c>
      <c r="M2217" t="str">
        <f>IF(COUNTIF(role_data[role_id],role_course_map[[#This Row],[role_id]])=0, "INVALID","VALID")</f>
        <v>VALID</v>
      </c>
      <c r="N2217" t="str">
        <f>IF(COUNTIF(course_data[course_id],role_course_map[[#This Row],[course_id]])=0, "INVALID","VALID")</f>
        <v>VALID</v>
      </c>
    </row>
    <row r="2218" spans="1:14" x14ac:dyDescent="0.35">
      <c r="A2218" t="s">
        <v>346</v>
      </c>
      <c r="B2218" s="5" t="str">
        <f>_xlfn.XLOOKUP(role_course_map[[#This Row],[role_id]], role_data[role_id], role_data[Role],"")</f>
        <v>Human Resources Manager</v>
      </c>
      <c r="C2218">
        <v>75406</v>
      </c>
      <c r="D2218" s="5" t="str">
        <f>_xlfn.XLOOKUP(role_course_map[[#This Row],[course_id]],course_data[course_id],course_data[title],"")</f>
        <v>Foundation Leadership and Management Programme (FLMP)</v>
      </c>
      <c r="E2218" s="5" t="str">
        <f>_xlfn.XLOOKUP(role_course_map[[#This Row],[course_id]],course_data[course_id],course_data[topic],"")</f>
        <v>SAS: Staff development and experience</v>
      </c>
      <c r="F2218" s="5" t="str">
        <f>_xlfn.XLOOKUP(role_course_map[[#This Row],[course_id]],course_data[course_id],course_data[type],"")</f>
        <v>Page</v>
      </c>
      <c r="K2218" t="str">
        <f>role_course_map[[#This Row],[role_id]] &amp; "|" &amp; role_course_map[[#This Row],[course_id]]</f>
        <v>R0166|75406</v>
      </c>
      <c r="L2218" t="str">
        <f>IF(COUNTIF(role_course_map[mapping_key],role_course_map[[#This Row],[mapping_key]])&gt;1,"DUPLICATE","OK")</f>
        <v>OK</v>
      </c>
      <c r="M2218" t="str">
        <f>IF(COUNTIF(role_data[role_id],role_course_map[[#This Row],[role_id]])=0, "INVALID","VALID")</f>
        <v>VALID</v>
      </c>
      <c r="N2218" t="str">
        <f>IF(COUNTIF(course_data[course_id],role_course_map[[#This Row],[course_id]])=0, "INVALID","VALID")</f>
        <v>VALID</v>
      </c>
    </row>
    <row r="2219" spans="1:14" x14ac:dyDescent="0.35">
      <c r="A2219" t="s">
        <v>346</v>
      </c>
      <c r="B2219" s="5" t="str">
        <f>_xlfn.XLOOKUP(role_course_map[[#This Row],[role_id]], role_data[role_id], role_data[Role],"")</f>
        <v>Human Resources Manager</v>
      </c>
      <c r="C2219">
        <v>75407</v>
      </c>
      <c r="D2219" s="5" t="str">
        <f>_xlfn.XLOOKUP(role_course_map[[#This Row],[course_id]],course_data[course_id],course_data[title],"")</f>
        <v>Aspirant Leader Development Programme (ALDP)</v>
      </c>
      <c r="E2219" s="5" t="str">
        <f>_xlfn.XLOOKUP(role_course_map[[#This Row],[course_id]],course_data[course_id],course_data[topic],"")</f>
        <v>SAS: Staff development and experience</v>
      </c>
      <c r="F2219" s="5" t="str">
        <f>_xlfn.XLOOKUP(role_course_map[[#This Row],[course_id]],course_data[course_id],course_data[type],"")</f>
        <v>Page</v>
      </c>
      <c r="K2219" t="str">
        <f>role_course_map[[#This Row],[role_id]] &amp; "|" &amp; role_course_map[[#This Row],[course_id]]</f>
        <v>R0166|75407</v>
      </c>
      <c r="L2219" t="str">
        <f>IF(COUNTIF(role_course_map[mapping_key],role_course_map[[#This Row],[mapping_key]])&gt;1,"DUPLICATE","OK")</f>
        <v>OK</v>
      </c>
      <c r="M2219" t="str">
        <f>IF(COUNTIF(role_data[role_id],role_course_map[[#This Row],[role_id]])=0, "INVALID","VALID")</f>
        <v>VALID</v>
      </c>
      <c r="N2219" t="str">
        <f>IF(COUNTIF(course_data[course_id],role_course_map[[#This Row],[course_id]])=0, "INVALID","VALID")</f>
        <v>VALID</v>
      </c>
    </row>
    <row r="2220" spans="1:14" x14ac:dyDescent="0.35">
      <c r="A2220" t="s">
        <v>348</v>
      </c>
      <c r="B2220" s="5" t="str">
        <f>_xlfn.XLOOKUP(role_course_map[[#This Row],[role_id]], role_data[role_id], role_data[Role],"")</f>
        <v>Human Resources Officer</v>
      </c>
      <c r="C2220">
        <v>999056</v>
      </c>
      <c r="D2220" s="5" t="str">
        <f>_xlfn.XLOOKUP(role_course_map[[#This Row],[course_id]],course_data[course_id],course_data[title],"")</f>
        <v>Driver Assessment &amp; Training</v>
      </c>
      <c r="E2220" s="5" t="str">
        <f>_xlfn.XLOOKUP(role_course_map[[#This Row],[course_id]],course_data[course_id],course_data[topic],"")</f>
        <v>SAS : Health and Safety</v>
      </c>
      <c r="F2220" s="5" t="str">
        <f>_xlfn.XLOOKUP(role_course_map[[#This Row],[course_id]],course_data[course_id],course_data[type],"")</f>
        <v>eLearning</v>
      </c>
      <c r="K2220" t="str">
        <f>role_course_map[[#This Row],[role_id]] &amp; "|" &amp; role_course_map[[#This Row],[course_id]]</f>
        <v>R0167|999056</v>
      </c>
      <c r="L2220" t="str">
        <f>IF(COUNTIF(role_course_map[mapping_key],role_course_map[[#This Row],[mapping_key]])&gt;1,"DUPLICATE","OK")</f>
        <v>OK</v>
      </c>
      <c r="M2220" t="str">
        <f>IF(COUNTIF(role_data[role_id],role_course_map[[#This Row],[role_id]])=0, "INVALID","VALID")</f>
        <v>VALID</v>
      </c>
      <c r="N2220" t="str">
        <f>IF(COUNTIF(course_data[course_id],role_course_map[[#This Row],[course_id]])=0, "INVALID","VALID")</f>
        <v>VALID</v>
      </c>
    </row>
    <row r="2221" spans="1:14" x14ac:dyDescent="0.35">
      <c r="A2221" t="s">
        <v>348</v>
      </c>
      <c r="B2221" s="5" t="str">
        <f>_xlfn.XLOOKUP(role_course_map[[#This Row],[role_id]], role_data[role_id], role_data[Role],"")</f>
        <v>Human Resources Officer</v>
      </c>
      <c r="C2221">
        <v>999057</v>
      </c>
      <c r="D2221" s="5" t="str">
        <f>_xlfn.XLOOKUP(role_course_map[[#This Row],[course_id]],course_data[course_id],course_data[title],"")</f>
        <v>Fatigue Awareness</v>
      </c>
      <c r="E2221" s="5" t="str">
        <f>_xlfn.XLOOKUP(role_course_map[[#This Row],[course_id]],course_data[course_id],course_data[topic],"")</f>
        <v>SAS : Health and Safety</v>
      </c>
      <c r="F2221" s="5" t="str">
        <f>_xlfn.XLOOKUP(role_course_map[[#This Row],[course_id]],course_data[course_id],course_data[type],"")</f>
        <v>eLearning</v>
      </c>
      <c r="K2221" t="str">
        <f>role_course_map[[#This Row],[role_id]] &amp; "|" &amp; role_course_map[[#This Row],[course_id]]</f>
        <v>R0167|999057</v>
      </c>
      <c r="L2221" t="str">
        <f>IF(COUNTIF(role_course_map[mapping_key],role_course_map[[#This Row],[mapping_key]])&gt;1,"DUPLICATE","OK")</f>
        <v>OK</v>
      </c>
      <c r="M2221" t="str">
        <f>IF(COUNTIF(role_data[role_id],role_course_map[[#This Row],[role_id]])=0, "INVALID","VALID")</f>
        <v>VALID</v>
      </c>
      <c r="N2221" t="str">
        <f>IF(COUNTIF(course_data[course_id],role_course_map[[#This Row],[course_id]])=0, "INVALID","VALID")</f>
        <v>VALID</v>
      </c>
    </row>
    <row r="2222" spans="1:14" x14ac:dyDescent="0.35">
      <c r="A2222" t="s">
        <v>348</v>
      </c>
      <c r="B2222" s="5" t="str">
        <f>_xlfn.XLOOKUP(role_course_map[[#This Row],[role_id]], role_data[role_id], role_data[Role],"")</f>
        <v>Human Resources Officer</v>
      </c>
      <c r="C2222">
        <v>999058</v>
      </c>
      <c r="D2222" s="5" t="str">
        <f>_xlfn.XLOOKUP(role_course_map[[#This Row],[course_id]],course_data[course_id],course_data[title],"")</f>
        <v>Stress Identification &amp; Stress Management</v>
      </c>
      <c r="E2222" s="5" t="str">
        <f>_xlfn.XLOOKUP(role_course_map[[#This Row],[course_id]],course_data[course_id],course_data[topic],"")</f>
        <v>SAS : Health and Safety</v>
      </c>
      <c r="F2222" s="5" t="str">
        <f>_xlfn.XLOOKUP(role_course_map[[#This Row],[course_id]],course_data[course_id],course_data[type],"")</f>
        <v>eLearning</v>
      </c>
      <c r="K2222" t="str">
        <f>role_course_map[[#This Row],[role_id]] &amp; "|" &amp; role_course_map[[#This Row],[course_id]]</f>
        <v>R0167|999058</v>
      </c>
      <c r="L2222" t="str">
        <f>IF(COUNTIF(role_course_map[mapping_key],role_course_map[[#This Row],[mapping_key]])&gt;1,"DUPLICATE","OK")</f>
        <v>OK</v>
      </c>
      <c r="M2222" t="str">
        <f>IF(COUNTIF(role_data[role_id],role_course_map[[#This Row],[role_id]])=0, "INVALID","VALID")</f>
        <v>VALID</v>
      </c>
      <c r="N2222" t="str">
        <f>IF(COUNTIF(course_data[course_id],role_course_map[[#This Row],[course_id]])=0, "INVALID","VALID")</f>
        <v>VALID</v>
      </c>
    </row>
    <row r="2223" spans="1:14" x14ac:dyDescent="0.35">
      <c r="A2223" t="s">
        <v>348</v>
      </c>
      <c r="B2223" s="5" t="str">
        <f>_xlfn.XLOOKUP(role_course_map[[#This Row],[role_id]], role_data[role_id], role_data[Role],"")</f>
        <v>Human Resources Officer</v>
      </c>
      <c r="C2223">
        <v>999094</v>
      </c>
      <c r="D2223" s="5" t="str">
        <f>_xlfn.XLOOKUP(role_course_map[[#This Row],[course_id]],course_data[course_id],course_data[title],"")</f>
        <v>Being well, Mind, Body &amp; Workplace</v>
      </c>
      <c r="E2223" s="5" t="str">
        <f>_xlfn.XLOOKUP(role_course_map[[#This Row],[course_id]],course_data[course_id],course_data[topic],"")</f>
        <v>SAS: Staff development and experience</v>
      </c>
      <c r="F2223" s="5" t="str">
        <f>_xlfn.XLOOKUP(role_course_map[[#This Row],[course_id]],course_data[course_id],course_data[type],"")</f>
        <v>eLearning</v>
      </c>
      <c r="K2223" t="str">
        <f>role_course_map[[#This Row],[role_id]] &amp; "|" &amp; role_course_map[[#This Row],[course_id]]</f>
        <v>R0167|999094</v>
      </c>
      <c r="L2223" t="str">
        <f>IF(COUNTIF(role_course_map[mapping_key],role_course_map[[#This Row],[mapping_key]])&gt;1,"DUPLICATE","OK")</f>
        <v>OK</v>
      </c>
      <c r="M2223" t="str">
        <f>IF(COUNTIF(role_data[role_id],role_course_map[[#This Row],[role_id]])=0, "INVALID","VALID")</f>
        <v>VALID</v>
      </c>
      <c r="N2223" t="str">
        <f>IF(COUNTIF(course_data[course_id],role_course_map[[#This Row],[course_id]])=0, "INVALID","VALID")</f>
        <v>VALID</v>
      </c>
    </row>
    <row r="2224" spans="1:14" x14ac:dyDescent="0.35">
      <c r="A2224" t="s">
        <v>350</v>
      </c>
      <c r="B2224" s="5" t="str">
        <f>_xlfn.XLOOKUP(role_course_map[[#This Row],[role_id]], role_data[role_id], role_data[Role],"")</f>
        <v>Human Resources Services Officer</v>
      </c>
      <c r="C2224">
        <v>999056</v>
      </c>
      <c r="D2224" s="5" t="str">
        <f>_xlfn.XLOOKUP(role_course_map[[#This Row],[course_id]],course_data[course_id],course_data[title],"")</f>
        <v>Driver Assessment &amp; Training</v>
      </c>
      <c r="E2224" s="5" t="str">
        <f>_xlfn.XLOOKUP(role_course_map[[#This Row],[course_id]],course_data[course_id],course_data[topic],"")</f>
        <v>SAS : Health and Safety</v>
      </c>
      <c r="F2224" s="5" t="str">
        <f>_xlfn.XLOOKUP(role_course_map[[#This Row],[course_id]],course_data[course_id],course_data[type],"")</f>
        <v>eLearning</v>
      </c>
      <c r="K2224" t="str">
        <f>role_course_map[[#This Row],[role_id]] &amp; "|" &amp; role_course_map[[#This Row],[course_id]]</f>
        <v>R0168|999056</v>
      </c>
      <c r="L2224" t="str">
        <f>IF(COUNTIF(role_course_map[mapping_key],role_course_map[[#This Row],[mapping_key]])&gt;1,"DUPLICATE","OK")</f>
        <v>OK</v>
      </c>
      <c r="M2224" t="str">
        <f>IF(COUNTIF(role_data[role_id],role_course_map[[#This Row],[role_id]])=0, "INVALID","VALID")</f>
        <v>VALID</v>
      </c>
      <c r="N2224" t="str">
        <f>IF(COUNTIF(course_data[course_id],role_course_map[[#This Row],[course_id]])=0, "INVALID","VALID")</f>
        <v>VALID</v>
      </c>
    </row>
    <row r="2225" spans="1:14" x14ac:dyDescent="0.35">
      <c r="A2225" t="s">
        <v>350</v>
      </c>
      <c r="B2225" s="5" t="str">
        <f>_xlfn.XLOOKUP(role_course_map[[#This Row],[role_id]], role_data[role_id], role_data[Role],"")</f>
        <v>Human Resources Services Officer</v>
      </c>
      <c r="C2225">
        <v>999057</v>
      </c>
      <c r="D2225" s="5" t="str">
        <f>_xlfn.XLOOKUP(role_course_map[[#This Row],[course_id]],course_data[course_id],course_data[title],"")</f>
        <v>Fatigue Awareness</v>
      </c>
      <c r="E2225" s="5" t="str">
        <f>_xlfn.XLOOKUP(role_course_map[[#This Row],[course_id]],course_data[course_id],course_data[topic],"")</f>
        <v>SAS : Health and Safety</v>
      </c>
      <c r="F2225" s="5" t="str">
        <f>_xlfn.XLOOKUP(role_course_map[[#This Row],[course_id]],course_data[course_id],course_data[type],"")</f>
        <v>eLearning</v>
      </c>
      <c r="K2225" t="str">
        <f>role_course_map[[#This Row],[role_id]] &amp; "|" &amp; role_course_map[[#This Row],[course_id]]</f>
        <v>R0168|999057</v>
      </c>
      <c r="L2225" t="str">
        <f>IF(COUNTIF(role_course_map[mapping_key],role_course_map[[#This Row],[mapping_key]])&gt;1,"DUPLICATE","OK")</f>
        <v>OK</v>
      </c>
      <c r="M2225" t="str">
        <f>IF(COUNTIF(role_data[role_id],role_course_map[[#This Row],[role_id]])=0, "INVALID","VALID")</f>
        <v>VALID</v>
      </c>
      <c r="N2225" t="str">
        <f>IF(COUNTIF(course_data[course_id],role_course_map[[#This Row],[course_id]])=0, "INVALID","VALID")</f>
        <v>VALID</v>
      </c>
    </row>
    <row r="2226" spans="1:14" x14ac:dyDescent="0.35">
      <c r="A2226" t="s">
        <v>350</v>
      </c>
      <c r="B2226" s="5" t="str">
        <f>_xlfn.XLOOKUP(role_course_map[[#This Row],[role_id]], role_data[role_id], role_data[Role],"")</f>
        <v>Human Resources Services Officer</v>
      </c>
      <c r="C2226">
        <v>999058</v>
      </c>
      <c r="D2226" s="5" t="str">
        <f>_xlfn.XLOOKUP(role_course_map[[#This Row],[course_id]],course_data[course_id],course_data[title],"")</f>
        <v>Stress Identification &amp; Stress Management</v>
      </c>
      <c r="E2226" s="5" t="str">
        <f>_xlfn.XLOOKUP(role_course_map[[#This Row],[course_id]],course_data[course_id],course_data[topic],"")</f>
        <v>SAS : Health and Safety</v>
      </c>
      <c r="F2226" s="5" t="str">
        <f>_xlfn.XLOOKUP(role_course_map[[#This Row],[course_id]],course_data[course_id],course_data[type],"")</f>
        <v>eLearning</v>
      </c>
      <c r="K2226" t="str">
        <f>role_course_map[[#This Row],[role_id]] &amp; "|" &amp; role_course_map[[#This Row],[course_id]]</f>
        <v>R0168|999058</v>
      </c>
      <c r="L2226" t="str">
        <f>IF(COUNTIF(role_course_map[mapping_key],role_course_map[[#This Row],[mapping_key]])&gt;1,"DUPLICATE","OK")</f>
        <v>OK</v>
      </c>
      <c r="M2226" t="str">
        <f>IF(COUNTIF(role_data[role_id],role_course_map[[#This Row],[role_id]])=0, "INVALID","VALID")</f>
        <v>VALID</v>
      </c>
      <c r="N2226" t="str">
        <f>IF(COUNTIF(course_data[course_id],role_course_map[[#This Row],[course_id]])=0, "INVALID","VALID")</f>
        <v>VALID</v>
      </c>
    </row>
    <row r="2227" spans="1:14" x14ac:dyDescent="0.35">
      <c r="A2227" t="s">
        <v>350</v>
      </c>
      <c r="B2227" s="5" t="str">
        <f>_xlfn.XLOOKUP(role_course_map[[#This Row],[role_id]], role_data[role_id], role_data[Role],"")</f>
        <v>Human Resources Services Officer</v>
      </c>
      <c r="C2227">
        <v>999094</v>
      </c>
      <c r="D2227" s="5" t="str">
        <f>_xlfn.XLOOKUP(role_course_map[[#This Row],[course_id]],course_data[course_id],course_data[title],"")</f>
        <v>Being well, Mind, Body &amp; Workplace</v>
      </c>
      <c r="E2227" s="5" t="str">
        <f>_xlfn.XLOOKUP(role_course_map[[#This Row],[course_id]],course_data[course_id],course_data[topic],"")</f>
        <v>SAS: Staff development and experience</v>
      </c>
      <c r="F2227" s="5" t="str">
        <f>_xlfn.XLOOKUP(role_course_map[[#This Row],[course_id]],course_data[course_id],course_data[type],"")</f>
        <v>eLearning</v>
      </c>
      <c r="K2227" t="str">
        <f>role_course_map[[#This Row],[role_id]] &amp; "|" &amp; role_course_map[[#This Row],[course_id]]</f>
        <v>R0168|999094</v>
      </c>
      <c r="L2227" t="str">
        <f>IF(COUNTIF(role_course_map[mapping_key],role_course_map[[#This Row],[mapping_key]])&gt;1,"DUPLICATE","OK")</f>
        <v>OK</v>
      </c>
      <c r="M2227" t="str">
        <f>IF(COUNTIF(role_data[role_id],role_course_map[[#This Row],[role_id]])=0, "INVALID","VALID")</f>
        <v>VALID</v>
      </c>
      <c r="N2227" t="str">
        <f>IF(COUNTIF(course_data[course_id],role_course_map[[#This Row],[course_id]])=0, "INVALID","VALID")</f>
        <v>VALID</v>
      </c>
    </row>
    <row r="2228" spans="1:14" x14ac:dyDescent="0.35">
      <c r="A2228" t="s">
        <v>352</v>
      </c>
      <c r="B2228" s="5" t="str">
        <f>_xlfn.XLOOKUP(role_course_map[[#This Row],[role_id]], role_data[role_id], role_data[Role],"")</f>
        <v>Human Resources Systems Administrator</v>
      </c>
      <c r="C2228">
        <v>999056</v>
      </c>
      <c r="D2228" s="5" t="str">
        <f>_xlfn.XLOOKUP(role_course_map[[#This Row],[course_id]],course_data[course_id],course_data[title],"")</f>
        <v>Driver Assessment &amp; Training</v>
      </c>
      <c r="E2228" s="5" t="str">
        <f>_xlfn.XLOOKUP(role_course_map[[#This Row],[course_id]],course_data[course_id],course_data[topic],"")</f>
        <v>SAS : Health and Safety</v>
      </c>
      <c r="F2228" s="5" t="str">
        <f>_xlfn.XLOOKUP(role_course_map[[#This Row],[course_id]],course_data[course_id],course_data[type],"")</f>
        <v>eLearning</v>
      </c>
      <c r="K2228" t="str">
        <f>role_course_map[[#This Row],[role_id]] &amp; "|" &amp; role_course_map[[#This Row],[course_id]]</f>
        <v>R0169|999056</v>
      </c>
      <c r="L2228" t="str">
        <f>IF(COUNTIF(role_course_map[mapping_key],role_course_map[[#This Row],[mapping_key]])&gt;1,"DUPLICATE","OK")</f>
        <v>OK</v>
      </c>
      <c r="M2228" t="str">
        <f>IF(COUNTIF(role_data[role_id],role_course_map[[#This Row],[role_id]])=0, "INVALID","VALID")</f>
        <v>VALID</v>
      </c>
      <c r="N2228" t="str">
        <f>IF(COUNTIF(course_data[course_id],role_course_map[[#This Row],[course_id]])=0, "INVALID","VALID")</f>
        <v>VALID</v>
      </c>
    </row>
    <row r="2229" spans="1:14" x14ac:dyDescent="0.35">
      <c r="A2229" t="s">
        <v>352</v>
      </c>
      <c r="B2229" s="5" t="str">
        <f>_xlfn.XLOOKUP(role_course_map[[#This Row],[role_id]], role_data[role_id], role_data[Role],"")</f>
        <v>Human Resources Systems Administrator</v>
      </c>
      <c r="C2229">
        <v>999057</v>
      </c>
      <c r="D2229" s="5" t="str">
        <f>_xlfn.XLOOKUP(role_course_map[[#This Row],[course_id]],course_data[course_id],course_data[title],"")</f>
        <v>Fatigue Awareness</v>
      </c>
      <c r="E2229" s="5" t="str">
        <f>_xlfn.XLOOKUP(role_course_map[[#This Row],[course_id]],course_data[course_id],course_data[topic],"")</f>
        <v>SAS : Health and Safety</v>
      </c>
      <c r="F2229" s="5" t="str">
        <f>_xlfn.XLOOKUP(role_course_map[[#This Row],[course_id]],course_data[course_id],course_data[type],"")</f>
        <v>eLearning</v>
      </c>
      <c r="K2229" t="str">
        <f>role_course_map[[#This Row],[role_id]] &amp; "|" &amp; role_course_map[[#This Row],[course_id]]</f>
        <v>R0169|999057</v>
      </c>
      <c r="L2229" t="str">
        <f>IF(COUNTIF(role_course_map[mapping_key],role_course_map[[#This Row],[mapping_key]])&gt;1,"DUPLICATE","OK")</f>
        <v>OK</v>
      </c>
      <c r="M2229" t="str">
        <f>IF(COUNTIF(role_data[role_id],role_course_map[[#This Row],[role_id]])=0, "INVALID","VALID")</f>
        <v>VALID</v>
      </c>
      <c r="N2229" t="str">
        <f>IF(COUNTIF(course_data[course_id],role_course_map[[#This Row],[course_id]])=0, "INVALID","VALID")</f>
        <v>VALID</v>
      </c>
    </row>
    <row r="2230" spans="1:14" x14ac:dyDescent="0.35">
      <c r="A2230" t="s">
        <v>352</v>
      </c>
      <c r="B2230" s="5" t="str">
        <f>_xlfn.XLOOKUP(role_course_map[[#This Row],[role_id]], role_data[role_id], role_data[Role],"")</f>
        <v>Human Resources Systems Administrator</v>
      </c>
      <c r="C2230">
        <v>999058</v>
      </c>
      <c r="D2230" s="5" t="str">
        <f>_xlfn.XLOOKUP(role_course_map[[#This Row],[course_id]],course_data[course_id],course_data[title],"")</f>
        <v>Stress Identification &amp; Stress Management</v>
      </c>
      <c r="E2230" s="5" t="str">
        <f>_xlfn.XLOOKUP(role_course_map[[#This Row],[course_id]],course_data[course_id],course_data[topic],"")</f>
        <v>SAS : Health and Safety</v>
      </c>
      <c r="F2230" s="5" t="str">
        <f>_xlfn.XLOOKUP(role_course_map[[#This Row],[course_id]],course_data[course_id],course_data[type],"")</f>
        <v>eLearning</v>
      </c>
      <c r="K2230" t="str">
        <f>role_course_map[[#This Row],[role_id]] &amp; "|" &amp; role_course_map[[#This Row],[course_id]]</f>
        <v>R0169|999058</v>
      </c>
      <c r="L2230" t="str">
        <f>IF(COUNTIF(role_course_map[mapping_key],role_course_map[[#This Row],[mapping_key]])&gt;1,"DUPLICATE","OK")</f>
        <v>OK</v>
      </c>
      <c r="M2230" t="str">
        <f>IF(COUNTIF(role_data[role_id],role_course_map[[#This Row],[role_id]])=0, "INVALID","VALID")</f>
        <v>VALID</v>
      </c>
      <c r="N2230" t="str">
        <f>IF(COUNTIF(course_data[course_id],role_course_map[[#This Row],[course_id]])=0, "INVALID","VALID")</f>
        <v>VALID</v>
      </c>
    </row>
    <row r="2231" spans="1:14" x14ac:dyDescent="0.35">
      <c r="A2231" t="s">
        <v>352</v>
      </c>
      <c r="B2231" s="5" t="str">
        <f>_xlfn.XLOOKUP(role_course_map[[#This Row],[role_id]], role_data[role_id], role_data[Role],"")</f>
        <v>Human Resources Systems Administrator</v>
      </c>
      <c r="C2231">
        <v>999094</v>
      </c>
      <c r="D2231" s="5" t="str">
        <f>_xlfn.XLOOKUP(role_course_map[[#This Row],[course_id]],course_data[course_id],course_data[title],"")</f>
        <v>Being well, Mind, Body &amp; Workplace</v>
      </c>
      <c r="E2231" s="5" t="str">
        <f>_xlfn.XLOOKUP(role_course_map[[#This Row],[course_id]],course_data[course_id],course_data[topic],"")</f>
        <v>SAS: Staff development and experience</v>
      </c>
      <c r="F2231" s="5" t="str">
        <f>_xlfn.XLOOKUP(role_course_map[[#This Row],[course_id]],course_data[course_id],course_data[type],"")</f>
        <v>eLearning</v>
      </c>
      <c r="K2231" t="str">
        <f>role_course_map[[#This Row],[role_id]] &amp; "|" &amp; role_course_map[[#This Row],[course_id]]</f>
        <v>R0169|999094</v>
      </c>
      <c r="L2231" t="str">
        <f>IF(COUNTIF(role_course_map[mapping_key],role_course_map[[#This Row],[mapping_key]])&gt;1,"DUPLICATE","OK")</f>
        <v>OK</v>
      </c>
      <c r="M2231" t="str">
        <f>IF(COUNTIF(role_data[role_id],role_course_map[[#This Row],[role_id]])=0, "INVALID","VALID")</f>
        <v>VALID</v>
      </c>
      <c r="N2231" t="str">
        <f>IF(COUNTIF(course_data[course_id],role_course_map[[#This Row],[course_id]])=0, "INVALID","VALID")</f>
        <v>VALID</v>
      </c>
    </row>
    <row r="2232" spans="1:14" x14ac:dyDescent="0.35">
      <c r="A2232" t="s">
        <v>354</v>
      </c>
      <c r="B2232" s="5" t="str">
        <f>_xlfn.XLOOKUP(role_course_map[[#This Row],[role_id]], role_data[role_id], role_data[Role],"")</f>
        <v>Specialist Staffing Adviser</v>
      </c>
      <c r="C2232">
        <v>999056</v>
      </c>
      <c r="D2232" s="5" t="str">
        <f>_xlfn.XLOOKUP(role_course_map[[#This Row],[course_id]],course_data[course_id],course_data[title],"")</f>
        <v>Driver Assessment &amp; Training</v>
      </c>
      <c r="E2232" s="5" t="str">
        <f>_xlfn.XLOOKUP(role_course_map[[#This Row],[course_id]],course_data[course_id],course_data[topic],"")</f>
        <v>SAS : Health and Safety</v>
      </c>
      <c r="F2232" s="5" t="str">
        <f>_xlfn.XLOOKUP(role_course_map[[#This Row],[course_id]],course_data[course_id],course_data[type],"")</f>
        <v>eLearning</v>
      </c>
      <c r="K2232" t="str">
        <f>role_course_map[[#This Row],[role_id]] &amp; "|" &amp; role_course_map[[#This Row],[course_id]]</f>
        <v>R0170|999056</v>
      </c>
      <c r="L2232" t="str">
        <f>IF(COUNTIF(role_course_map[mapping_key],role_course_map[[#This Row],[mapping_key]])&gt;1,"DUPLICATE","OK")</f>
        <v>OK</v>
      </c>
      <c r="M2232" t="str">
        <f>IF(COUNTIF(role_data[role_id],role_course_map[[#This Row],[role_id]])=0, "INVALID","VALID")</f>
        <v>VALID</v>
      </c>
      <c r="N2232" t="str">
        <f>IF(COUNTIF(course_data[course_id],role_course_map[[#This Row],[course_id]])=0, "INVALID","VALID")</f>
        <v>VALID</v>
      </c>
    </row>
    <row r="2233" spans="1:14" x14ac:dyDescent="0.35">
      <c r="A2233" t="s">
        <v>354</v>
      </c>
      <c r="B2233" s="5" t="str">
        <f>_xlfn.XLOOKUP(role_course_map[[#This Row],[role_id]], role_data[role_id], role_data[Role],"")</f>
        <v>Specialist Staffing Adviser</v>
      </c>
      <c r="C2233">
        <v>999057</v>
      </c>
      <c r="D2233" s="5" t="str">
        <f>_xlfn.XLOOKUP(role_course_map[[#This Row],[course_id]],course_data[course_id],course_data[title],"")</f>
        <v>Fatigue Awareness</v>
      </c>
      <c r="E2233" s="5" t="str">
        <f>_xlfn.XLOOKUP(role_course_map[[#This Row],[course_id]],course_data[course_id],course_data[topic],"")</f>
        <v>SAS : Health and Safety</v>
      </c>
      <c r="F2233" s="5" t="str">
        <f>_xlfn.XLOOKUP(role_course_map[[#This Row],[course_id]],course_data[course_id],course_data[type],"")</f>
        <v>eLearning</v>
      </c>
      <c r="K2233" t="str">
        <f>role_course_map[[#This Row],[role_id]] &amp; "|" &amp; role_course_map[[#This Row],[course_id]]</f>
        <v>R0170|999057</v>
      </c>
      <c r="L2233" t="str">
        <f>IF(COUNTIF(role_course_map[mapping_key],role_course_map[[#This Row],[mapping_key]])&gt;1,"DUPLICATE","OK")</f>
        <v>OK</v>
      </c>
      <c r="M2233" t="str">
        <f>IF(COUNTIF(role_data[role_id],role_course_map[[#This Row],[role_id]])=0, "INVALID","VALID")</f>
        <v>VALID</v>
      </c>
      <c r="N2233" t="str">
        <f>IF(COUNTIF(course_data[course_id],role_course_map[[#This Row],[course_id]])=0, "INVALID","VALID")</f>
        <v>VALID</v>
      </c>
    </row>
    <row r="2234" spans="1:14" x14ac:dyDescent="0.35">
      <c r="A2234" t="s">
        <v>354</v>
      </c>
      <c r="B2234" s="5" t="str">
        <f>_xlfn.XLOOKUP(role_course_map[[#This Row],[role_id]], role_data[role_id], role_data[Role],"")</f>
        <v>Specialist Staffing Adviser</v>
      </c>
      <c r="C2234">
        <v>999058</v>
      </c>
      <c r="D2234" s="5" t="str">
        <f>_xlfn.XLOOKUP(role_course_map[[#This Row],[course_id]],course_data[course_id],course_data[title],"")</f>
        <v>Stress Identification &amp; Stress Management</v>
      </c>
      <c r="E2234" s="5" t="str">
        <f>_xlfn.XLOOKUP(role_course_map[[#This Row],[course_id]],course_data[course_id],course_data[topic],"")</f>
        <v>SAS : Health and Safety</v>
      </c>
      <c r="F2234" s="5" t="str">
        <f>_xlfn.XLOOKUP(role_course_map[[#This Row],[course_id]],course_data[course_id],course_data[type],"")</f>
        <v>eLearning</v>
      </c>
      <c r="K2234" t="str">
        <f>role_course_map[[#This Row],[role_id]] &amp; "|" &amp; role_course_map[[#This Row],[course_id]]</f>
        <v>R0170|999058</v>
      </c>
      <c r="L2234" t="str">
        <f>IF(COUNTIF(role_course_map[mapping_key],role_course_map[[#This Row],[mapping_key]])&gt;1,"DUPLICATE","OK")</f>
        <v>OK</v>
      </c>
      <c r="M2234" t="str">
        <f>IF(COUNTIF(role_data[role_id],role_course_map[[#This Row],[role_id]])=0, "INVALID","VALID")</f>
        <v>VALID</v>
      </c>
      <c r="N2234" t="str">
        <f>IF(COUNTIF(course_data[course_id],role_course_map[[#This Row],[course_id]])=0, "INVALID","VALID")</f>
        <v>VALID</v>
      </c>
    </row>
    <row r="2235" spans="1:14" x14ac:dyDescent="0.35">
      <c r="A2235" t="s">
        <v>354</v>
      </c>
      <c r="B2235" s="5" t="str">
        <f>_xlfn.XLOOKUP(role_course_map[[#This Row],[role_id]], role_data[role_id], role_data[Role],"")</f>
        <v>Specialist Staffing Adviser</v>
      </c>
      <c r="C2235">
        <v>999094</v>
      </c>
      <c r="D2235" s="5" t="str">
        <f>_xlfn.XLOOKUP(role_course_map[[#This Row],[course_id]],course_data[course_id],course_data[title],"")</f>
        <v>Being well, Mind, Body &amp; Workplace</v>
      </c>
      <c r="E2235" s="5" t="str">
        <f>_xlfn.XLOOKUP(role_course_map[[#This Row],[course_id]],course_data[course_id],course_data[topic],"")</f>
        <v>SAS: Staff development and experience</v>
      </c>
      <c r="F2235" s="5" t="str">
        <f>_xlfn.XLOOKUP(role_course_map[[#This Row],[course_id]],course_data[course_id],course_data[type],"")</f>
        <v>eLearning</v>
      </c>
      <c r="K2235" t="str">
        <f>role_course_map[[#This Row],[role_id]] &amp; "|" &amp; role_course_map[[#This Row],[course_id]]</f>
        <v>R0170|999094</v>
      </c>
      <c r="L2235" t="str">
        <f>IF(COUNTIF(role_course_map[mapping_key],role_course_map[[#This Row],[mapping_key]])&gt;1,"DUPLICATE","OK")</f>
        <v>OK</v>
      </c>
      <c r="M2235" t="str">
        <f>IF(COUNTIF(role_data[role_id],role_course_map[[#This Row],[role_id]])=0, "INVALID","VALID")</f>
        <v>VALID</v>
      </c>
      <c r="N2235" t="str">
        <f>IF(COUNTIF(course_data[course_id],role_course_map[[#This Row],[course_id]])=0, "INVALID","VALID")</f>
        <v>VALID</v>
      </c>
    </row>
    <row r="2236" spans="1:14" x14ac:dyDescent="0.35">
      <c r="A2236" t="s">
        <v>359</v>
      </c>
      <c r="B2236" s="5" t="str">
        <f>_xlfn.XLOOKUP(role_course_map[[#This Row],[role_id]], role_data[role_id], role_data[Role],"")</f>
        <v>Infection Prevention and Control Auditor</v>
      </c>
      <c r="C2236">
        <v>999065</v>
      </c>
      <c r="D2236" s="5" t="str">
        <f>_xlfn.XLOOKUP(role_course_map[[#This Row],[course_id]],course_data[course_id],course_data[title],"")</f>
        <v>Patient placement / assessment for infection risk</v>
      </c>
      <c r="E2236" s="5" t="str">
        <f>_xlfn.XLOOKUP(role_course_map[[#This Row],[course_id]],course_data[course_id],course_data[topic],"")</f>
        <v>SAS : Infection Prevention and Control (IPC)</v>
      </c>
      <c r="F2236" s="5" t="str">
        <f>_xlfn.XLOOKUP(role_course_map[[#This Row],[course_id]],course_data[course_id],course_data[type],"")</f>
        <v>eLearning</v>
      </c>
      <c r="K2236" t="str">
        <f>role_course_map[[#This Row],[role_id]] &amp; "|" &amp; role_course_map[[#This Row],[course_id]]</f>
        <v>R0172|999065</v>
      </c>
      <c r="L2236" t="str">
        <f>IF(COUNTIF(role_course_map[mapping_key],role_course_map[[#This Row],[mapping_key]])&gt;1,"DUPLICATE","OK")</f>
        <v>OK</v>
      </c>
      <c r="M2236" t="str">
        <f>IF(COUNTIF(role_data[role_id],role_course_map[[#This Row],[role_id]])=0, "INVALID","VALID")</f>
        <v>VALID</v>
      </c>
      <c r="N2236" t="str">
        <f>IF(COUNTIF(course_data[course_id],role_course_map[[#This Row],[course_id]])=0, "INVALID","VALID")</f>
        <v>VALID</v>
      </c>
    </row>
    <row r="2237" spans="1:14" x14ac:dyDescent="0.35">
      <c r="A2237" t="s">
        <v>359</v>
      </c>
      <c r="B2237" s="5" t="str">
        <f>_xlfn.XLOOKUP(role_course_map[[#This Row],[role_id]], role_data[role_id], role_data[Role],"")</f>
        <v>Infection Prevention and Control Auditor</v>
      </c>
      <c r="C2237">
        <v>89157</v>
      </c>
      <c r="D2237" s="5" t="str">
        <f>_xlfn.XLOOKUP(role_course_map[[#This Row],[course_id]],course_data[course_id],course_data[title],"")</f>
        <v>Safe Management of Care Equipment</v>
      </c>
      <c r="E2237" s="5" t="str">
        <f>_xlfn.XLOOKUP(role_course_map[[#This Row],[course_id]],course_data[course_id],course_data[topic],"")</f>
        <v>SAS : Infection Prevention and Control (IPC)</v>
      </c>
      <c r="F2237" s="5" t="str">
        <f>_xlfn.XLOOKUP(role_course_map[[#This Row],[course_id]],course_data[course_id],course_data[type],"")</f>
        <v>eLearning</v>
      </c>
      <c r="K2237" t="str">
        <f>role_course_map[[#This Row],[role_id]] &amp; "|" &amp; role_course_map[[#This Row],[course_id]]</f>
        <v>R0172|89157</v>
      </c>
      <c r="L2237" t="str">
        <f>IF(COUNTIF(role_course_map[mapping_key],role_course_map[[#This Row],[mapping_key]])&gt;1,"DUPLICATE","OK")</f>
        <v>OK</v>
      </c>
      <c r="M2237" t="str">
        <f>IF(COUNTIF(role_data[role_id],role_course_map[[#This Row],[role_id]])=0, "INVALID","VALID")</f>
        <v>VALID</v>
      </c>
      <c r="N2237" t="str">
        <f>IF(COUNTIF(course_data[course_id],role_course_map[[#This Row],[course_id]])=0, "INVALID","VALID")</f>
        <v>VALID</v>
      </c>
    </row>
    <row r="2238" spans="1:14" x14ac:dyDescent="0.35">
      <c r="A2238" t="s">
        <v>359</v>
      </c>
      <c r="B2238" s="5" t="str">
        <f>_xlfn.XLOOKUP(role_course_map[[#This Row],[role_id]], role_data[role_id], role_data[Role],"")</f>
        <v>Infection Prevention and Control Auditor</v>
      </c>
      <c r="C2238">
        <v>89158</v>
      </c>
      <c r="D2238" s="5" t="str">
        <f>_xlfn.XLOOKUP(role_course_map[[#This Row],[course_id]],course_data[course_id],course_data[title],"")</f>
        <v>Safe Management of Care Environment</v>
      </c>
      <c r="E2238" s="5" t="str">
        <f>_xlfn.XLOOKUP(role_course_map[[#This Row],[course_id]],course_data[course_id],course_data[topic],"")</f>
        <v>SAS : Infection Prevention and Control (IPC)</v>
      </c>
      <c r="F2238" s="5" t="str">
        <f>_xlfn.XLOOKUP(role_course_map[[#This Row],[course_id]],course_data[course_id],course_data[type],"")</f>
        <v>eLearning</v>
      </c>
      <c r="K2238" t="str">
        <f>role_course_map[[#This Row],[role_id]] &amp; "|" &amp; role_course_map[[#This Row],[course_id]]</f>
        <v>R0172|89158</v>
      </c>
      <c r="L2238" t="str">
        <f>IF(COUNTIF(role_course_map[mapping_key],role_course_map[[#This Row],[mapping_key]])&gt;1,"DUPLICATE","OK")</f>
        <v>OK</v>
      </c>
      <c r="M2238" t="str">
        <f>IF(COUNTIF(role_data[role_id],role_course_map[[#This Row],[role_id]])=0, "INVALID","VALID")</f>
        <v>VALID</v>
      </c>
      <c r="N2238" t="str">
        <f>IF(COUNTIF(course_data[course_id],role_course_map[[#This Row],[course_id]])=0, "INVALID","VALID")</f>
        <v>VALID</v>
      </c>
    </row>
    <row r="2239" spans="1:14" x14ac:dyDescent="0.35">
      <c r="A2239" t="s">
        <v>359</v>
      </c>
      <c r="B2239" s="5" t="str">
        <f>_xlfn.XLOOKUP(role_course_map[[#This Row],[role_id]], role_data[role_id], role_data[Role],"")</f>
        <v>Infection Prevention and Control Auditor</v>
      </c>
      <c r="C2239">
        <v>89159</v>
      </c>
      <c r="D2239" s="5" t="str">
        <f>_xlfn.XLOOKUP(role_course_map[[#This Row],[course_id]],course_data[course_id],course_data[title],"")</f>
        <v>Safe Management of Linen</v>
      </c>
      <c r="E2239" s="5" t="str">
        <f>_xlfn.XLOOKUP(role_course_map[[#This Row],[course_id]],course_data[course_id],course_data[topic],"")</f>
        <v>SAS : Infection Prevention and Control (IPC)</v>
      </c>
      <c r="F2239" s="5" t="str">
        <f>_xlfn.XLOOKUP(role_course_map[[#This Row],[course_id]],course_data[course_id],course_data[type],"")</f>
        <v>eLearning</v>
      </c>
      <c r="K2239" t="str">
        <f>role_course_map[[#This Row],[role_id]] &amp; "|" &amp; role_course_map[[#This Row],[course_id]]</f>
        <v>R0172|89159</v>
      </c>
      <c r="L2239" t="str">
        <f>IF(COUNTIF(role_course_map[mapping_key],role_course_map[[#This Row],[mapping_key]])&gt;1,"DUPLICATE","OK")</f>
        <v>OK</v>
      </c>
      <c r="M2239" t="str">
        <f>IF(COUNTIF(role_data[role_id],role_course_map[[#This Row],[role_id]])=0, "INVALID","VALID")</f>
        <v>VALID</v>
      </c>
      <c r="N2239" t="str">
        <f>IF(COUNTIF(course_data[course_id],role_course_map[[#This Row],[course_id]])=0, "INVALID","VALID")</f>
        <v>VALID</v>
      </c>
    </row>
    <row r="2240" spans="1:14" x14ac:dyDescent="0.35">
      <c r="A2240" t="s">
        <v>359</v>
      </c>
      <c r="B2240" s="5" t="str">
        <f>_xlfn.XLOOKUP(role_course_map[[#This Row],[role_id]], role_data[role_id], role_data[Role],"")</f>
        <v>Infection Prevention and Control Auditor</v>
      </c>
      <c r="C2240">
        <v>89160</v>
      </c>
      <c r="D2240" s="5" t="str">
        <f>_xlfn.XLOOKUP(role_course_map[[#This Row],[course_id]],course_data[course_id],course_data[title],"")</f>
        <v>Safe Management of blood and body fluids</v>
      </c>
      <c r="E2240" s="5" t="str">
        <f>_xlfn.XLOOKUP(role_course_map[[#This Row],[course_id]],course_data[course_id],course_data[topic],"")</f>
        <v>SAS : Infection Prevention and Control (IPC)</v>
      </c>
      <c r="F2240" s="5" t="str">
        <f>_xlfn.XLOOKUP(role_course_map[[#This Row],[course_id]],course_data[course_id],course_data[type],"")</f>
        <v>eLearning</v>
      </c>
      <c r="K2240" t="str">
        <f>role_course_map[[#This Row],[role_id]] &amp; "|" &amp; role_course_map[[#This Row],[course_id]]</f>
        <v>R0172|89160</v>
      </c>
      <c r="L2240" t="str">
        <f>IF(COUNTIF(role_course_map[mapping_key],role_course_map[[#This Row],[mapping_key]])&gt;1,"DUPLICATE","OK")</f>
        <v>OK</v>
      </c>
      <c r="M2240" t="str">
        <f>IF(COUNTIF(role_data[role_id],role_course_map[[#This Row],[role_id]])=0, "INVALID","VALID")</f>
        <v>VALID</v>
      </c>
      <c r="N2240" t="str">
        <f>IF(COUNTIF(course_data[course_id],role_course_map[[#This Row],[course_id]])=0, "INVALID","VALID")</f>
        <v>VALID</v>
      </c>
    </row>
    <row r="2241" spans="1:14" x14ac:dyDescent="0.35">
      <c r="A2241" t="s">
        <v>359</v>
      </c>
      <c r="B2241" s="5" t="str">
        <f>_xlfn.XLOOKUP(role_course_map[[#This Row],[role_id]], role_data[role_id], role_data[Role],"")</f>
        <v>Infection Prevention and Control Auditor</v>
      </c>
      <c r="C2241">
        <v>89154</v>
      </c>
      <c r="D2241" s="5" t="str">
        <f>_xlfn.XLOOKUP(role_course_map[[#This Row],[course_id]],course_data[course_id],course_data[title],"")</f>
        <v>Safe disposal of waste</v>
      </c>
      <c r="E2241" s="5" t="str">
        <f>_xlfn.XLOOKUP(role_course_map[[#This Row],[course_id]],course_data[course_id],course_data[topic],"")</f>
        <v>SAS : Infection Prevention and Control (IPC)</v>
      </c>
      <c r="F2241" s="5" t="str">
        <f>_xlfn.XLOOKUP(role_course_map[[#This Row],[course_id]],course_data[course_id],course_data[type],"")</f>
        <v>eLearning</v>
      </c>
      <c r="K2241" t="str">
        <f>role_course_map[[#This Row],[role_id]] &amp; "|" &amp; role_course_map[[#This Row],[course_id]]</f>
        <v>R0172|89154</v>
      </c>
      <c r="L2241" t="str">
        <f>IF(COUNTIF(role_course_map[mapping_key],role_course_map[[#This Row],[mapping_key]])&gt;1,"DUPLICATE","OK")</f>
        <v>OK</v>
      </c>
      <c r="M2241" t="str">
        <f>IF(COUNTIF(role_data[role_id],role_course_map[[#This Row],[role_id]])=0, "INVALID","VALID")</f>
        <v>VALID</v>
      </c>
      <c r="N2241" t="str">
        <f>IF(COUNTIF(course_data[course_id],role_course_map[[#This Row],[course_id]])=0, "INVALID","VALID")</f>
        <v>VALID</v>
      </c>
    </row>
    <row r="2242" spans="1:14" x14ac:dyDescent="0.35">
      <c r="A2242" t="s">
        <v>359</v>
      </c>
      <c r="B2242" s="5" t="str">
        <f>_xlfn.XLOOKUP(role_course_map[[#This Row],[role_id]], role_data[role_id], role_data[Role],"")</f>
        <v>Infection Prevention and Control Auditor</v>
      </c>
      <c r="C2242">
        <v>89155</v>
      </c>
      <c r="D2242" s="5" t="str">
        <f>_xlfn.XLOOKUP(role_course_map[[#This Row],[course_id]],course_data[course_id],course_data[title],"")</f>
        <v>Prevention &amp; management of occupational exposure</v>
      </c>
      <c r="E2242" s="5" t="str">
        <f>_xlfn.XLOOKUP(role_course_map[[#This Row],[course_id]],course_data[course_id],course_data[topic],"")</f>
        <v>SAS : Infection Prevention and Control (IPC)</v>
      </c>
      <c r="F2242" s="5" t="str">
        <f>_xlfn.XLOOKUP(role_course_map[[#This Row],[course_id]],course_data[course_id],course_data[type],"")</f>
        <v>eLearning</v>
      </c>
      <c r="K2242" t="str">
        <f>role_course_map[[#This Row],[role_id]] &amp; "|" &amp; role_course_map[[#This Row],[course_id]]</f>
        <v>R0172|89155</v>
      </c>
      <c r="L2242" t="str">
        <f>IF(COUNTIF(role_course_map[mapping_key],role_course_map[[#This Row],[mapping_key]])&gt;1,"DUPLICATE","OK")</f>
        <v>OK</v>
      </c>
      <c r="M2242" t="str">
        <f>IF(COUNTIF(role_data[role_id],role_course_map[[#This Row],[role_id]])=0, "INVALID","VALID")</f>
        <v>VALID</v>
      </c>
      <c r="N2242" t="str">
        <f>IF(COUNTIF(course_data[course_id],role_course_map[[#This Row],[course_id]])=0, "INVALID","VALID")</f>
        <v>VALID</v>
      </c>
    </row>
    <row r="2243" spans="1:14" x14ac:dyDescent="0.35">
      <c r="A2243" t="s">
        <v>359</v>
      </c>
      <c r="B2243" s="5" t="str">
        <f>_xlfn.XLOOKUP(role_course_map[[#This Row],[role_id]], role_data[role_id], role_data[Role],"")</f>
        <v>Infection Prevention and Control Auditor</v>
      </c>
      <c r="C2243">
        <v>999094</v>
      </c>
      <c r="D2243" s="5" t="str">
        <f>_xlfn.XLOOKUP(role_course_map[[#This Row],[course_id]],course_data[course_id],course_data[title],"")</f>
        <v>Being well, Mind, Body &amp; Workplace</v>
      </c>
      <c r="E2243" s="5" t="str">
        <f>_xlfn.XLOOKUP(role_course_map[[#This Row],[course_id]],course_data[course_id],course_data[topic],"")</f>
        <v>SAS: Staff development and experience</v>
      </c>
      <c r="F2243" s="5" t="str">
        <f>_xlfn.XLOOKUP(role_course_map[[#This Row],[course_id]],course_data[course_id],course_data[type],"")</f>
        <v>eLearning</v>
      </c>
      <c r="K2243" t="str">
        <f>role_course_map[[#This Row],[role_id]] &amp; "|" &amp; role_course_map[[#This Row],[course_id]]</f>
        <v>R0172|999094</v>
      </c>
      <c r="L2243" t="str">
        <f>IF(COUNTIF(role_course_map[mapping_key],role_course_map[[#This Row],[mapping_key]])&gt;1,"DUPLICATE","OK")</f>
        <v>OK</v>
      </c>
      <c r="M2243" t="str">
        <f>IF(COUNTIF(role_data[role_id],role_course_map[[#This Row],[role_id]])=0, "INVALID","VALID")</f>
        <v>VALID</v>
      </c>
      <c r="N2243" t="str">
        <f>IF(COUNTIF(course_data[course_id],role_course_map[[#This Row],[course_id]])=0, "INVALID","VALID")</f>
        <v>VALID</v>
      </c>
    </row>
    <row r="2244" spans="1:14" x14ac:dyDescent="0.35">
      <c r="A2244" t="s">
        <v>359</v>
      </c>
      <c r="B2244" s="5" t="str">
        <f>_xlfn.XLOOKUP(role_course_map[[#This Row],[role_id]], role_data[role_id], role_data[Role],"")</f>
        <v>Infection Prevention and Control Auditor</v>
      </c>
      <c r="C2244">
        <v>999056</v>
      </c>
      <c r="D2244" s="5" t="str">
        <f>_xlfn.XLOOKUP(role_course_map[[#This Row],[course_id]],course_data[course_id],course_data[title],"")</f>
        <v>Driver Assessment &amp; Training</v>
      </c>
      <c r="E2244" s="5" t="str">
        <f>_xlfn.XLOOKUP(role_course_map[[#This Row],[course_id]],course_data[course_id],course_data[topic],"")</f>
        <v>SAS : Health and Safety</v>
      </c>
      <c r="F2244" s="5" t="str">
        <f>_xlfn.XLOOKUP(role_course_map[[#This Row],[course_id]],course_data[course_id],course_data[type],"")</f>
        <v>eLearning</v>
      </c>
      <c r="K2244" t="str">
        <f>role_course_map[[#This Row],[role_id]] &amp; "|" &amp; role_course_map[[#This Row],[course_id]]</f>
        <v>R0172|999056</v>
      </c>
      <c r="L2244" t="str">
        <f>IF(COUNTIF(role_course_map[mapping_key],role_course_map[[#This Row],[mapping_key]])&gt;1,"DUPLICATE","OK")</f>
        <v>OK</v>
      </c>
      <c r="M2244" t="str">
        <f>IF(COUNTIF(role_data[role_id],role_course_map[[#This Row],[role_id]])=0, "INVALID","VALID")</f>
        <v>VALID</v>
      </c>
      <c r="N2244" t="str">
        <f>IF(COUNTIF(course_data[course_id],role_course_map[[#This Row],[course_id]])=0, "INVALID","VALID")</f>
        <v>VALID</v>
      </c>
    </row>
    <row r="2245" spans="1:14" x14ac:dyDescent="0.35">
      <c r="A2245" t="s">
        <v>359</v>
      </c>
      <c r="B2245" s="5" t="str">
        <f>_xlfn.XLOOKUP(role_course_map[[#This Row],[role_id]], role_data[role_id], role_data[Role],"")</f>
        <v>Infection Prevention and Control Auditor</v>
      </c>
      <c r="C2245">
        <v>999057</v>
      </c>
      <c r="D2245" s="5" t="str">
        <f>_xlfn.XLOOKUP(role_course_map[[#This Row],[course_id]],course_data[course_id],course_data[title],"")</f>
        <v>Fatigue Awareness</v>
      </c>
      <c r="E2245" s="5" t="str">
        <f>_xlfn.XLOOKUP(role_course_map[[#This Row],[course_id]],course_data[course_id],course_data[topic],"")</f>
        <v>SAS : Health and Safety</v>
      </c>
      <c r="F2245" s="5" t="str">
        <f>_xlfn.XLOOKUP(role_course_map[[#This Row],[course_id]],course_data[course_id],course_data[type],"")</f>
        <v>eLearning</v>
      </c>
      <c r="K2245" t="str">
        <f>role_course_map[[#This Row],[role_id]] &amp; "|" &amp; role_course_map[[#This Row],[course_id]]</f>
        <v>R0172|999057</v>
      </c>
      <c r="L2245" t="str">
        <f>IF(COUNTIF(role_course_map[mapping_key],role_course_map[[#This Row],[mapping_key]])&gt;1,"DUPLICATE","OK")</f>
        <v>OK</v>
      </c>
      <c r="M2245" t="str">
        <f>IF(COUNTIF(role_data[role_id],role_course_map[[#This Row],[role_id]])=0, "INVALID","VALID")</f>
        <v>VALID</v>
      </c>
      <c r="N2245" t="str">
        <f>IF(COUNTIF(course_data[course_id],role_course_map[[#This Row],[course_id]])=0, "INVALID","VALID")</f>
        <v>VALID</v>
      </c>
    </row>
    <row r="2246" spans="1:14" x14ac:dyDescent="0.35">
      <c r="A2246" t="s">
        <v>359</v>
      </c>
      <c r="B2246" s="5" t="str">
        <f>_xlfn.XLOOKUP(role_course_map[[#This Row],[role_id]], role_data[role_id], role_data[Role],"")</f>
        <v>Infection Prevention and Control Auditor</v>
      </c>
      <c r="C2246">
        <v>999058</v>
      </c>
      <c r="D2246" s="5" t="str">
        <f>_xlfn.XLOOKUP(role_course_map[[#This Row],[course_id]],course_data[course_id],course_data[title],"")</f>
        <v>Stress Identification &amp; Stress Management</v>
      </c>
      <c r="E2246" s="5" t="str">
        <f>_xlfn.XLOOKUP(role_course_map[[#This Row],[course_id]],course_data[course_id],course_data[topic],"")</f>
        <v>SAS : Health and Safety</v>
      </c>
      <c r="F2246" s="5" t="str">
        <f>_xlfn.XLOOKUP(role_course_map[[#This Row],[course_id]],course_data[course_id],course_data[type],"")</f>
        <v>eLearning</v>
      </c>
      <c r="K2246" t="str">
        <f>role_course_map[[#This Row],[role_id]] &amp; "|" &amp; role_course_map[[#This Row],[course_id]]</f>
        <v>R0172|999058</v>
      </c>
      <c r="L2246" t="str">
        <f>IF(COUNTIF(role_course_map[mapping_key],role_course_map[[#This Row],[mapping_key]])&gt;1,"DUPLICATE","OK")</f>
        <v>OK</v>
      </c>
      <c r="M2246" t="str">
        <f>IF(COUNTIF(role_data[role_id],role_course_map[[#This Row],[role_id]])=0, "INVALID","VALID")</f>
        <v>VALID</v>
      </c>
      <c r="N2246" t="str">
        <f>IF(COUNTIF(course_data[course_id],role_course_map[[#This Row],[course_id]])=0, "INVALID","VALID")</f>
        <v>VALID</v>
      </c>
    </row>
    <row r="2247" spans="1:14" x14ac:dyDescent="0.35">
      <c r="A2247" t="s">
        <v>361</v>
      </c>
      <c r="B2247" s="5" t="str">
        <f>_xlfn.XLOOKUP(role_course_map[[#This Row],[role_id]], role_data[role_id], role_data[Role],"")</f>
        <v>Infection Prevention and Control Practitioner</v>
      </c>
      <c r="C2247">
        <v>999065</v>
      </c>
      <c r="D2247" s="5" t="str">
        <f>_xlfn.XLOOKUP(role_course_map[[#This Row],[course_id]],course_data[course_id],course_data[title],"")</f>
        <v>Patient placement / assessment for infection risk</v>
      </c>
      <c r="E2247" s="5" t="str">
        <f>_xlfn.XLOOKUP(role_course_map[[#This Row],[course_id]],course_data[course_id],course_data[topic],"")</f>
        <v>SAS : Infection Prevention and Control (IPC)</v>
      </c>
      <c r="F2247" s="5" t="str">
        <f>_xlfn.XLOOKUP(role_course_map[[#This Row],[course_id]],course_data[course_id],course_data[type],"")</f>
        <v>eLearning</v>
      </c>
      <c r="K2247" t="str">
        <f>role_course_map[[#This Row],[role_id]] &amp; "|" &amp; role_course_map[[#This Row],[course_id]]</f>
        <v>R0173|999065</v>
      </c>
      <c r="L2247" t="str">
        <f>IF(COUNTIF(role_course_map[mapping_key],role_course_map[[#This Row],[mapping_key]])&gt;1,"DUPLICATE","OK")</f>
        <v>OK</v>
      </c>
      <c r="M2247" t="str">
        <f>IF(COUNTIF(role_data[role_id],role_course_map[[#This Row],[role_id]])=0, "INVALID","VALID")</f>
        <v>VALID</v>
      </c>
      <c r="N2247" t="str">
        <f>IF(COUNTIF(course_data[course_id],role_course_map[[#This Row],[course_id]])=0, "INVALID","VALID")</f>
        <v>VALID</v>
      </c>
    </row>
    <row r="2248" spans="1:14" x14ac:dyDescent="0.35">
      <c r="A2248" t="s">
        <v>361</v>
      </c>
      <c r="B2248" s="5" t="str">
        <f>_xlfn.XLOOKUP(role_course_map[[#This Row],[role_id]], role_data[role_id], role_data[Role],"")</f>
        <v>Infection Prevention and Control Practitioner</v>
      </c>
      <c r="C2248">
        <v>89157</v>
      </c>
      <c r="D2248" s="5" t="str">
        <f>_xlfn.XLOOKUP(role_course_map[[#This Row],[course_id]],course_data[course_id],course_data[title],"")</f>
        <v>Safe Management of Care Equipment</v>
      </c>
      <c r="E2248" s="5" t="str">
        <f>_xlfn.XLOOKUP(role_course_map[[#This Row],[course_id]],course_data[course_id],course_data[topic],"")</f>
        <v>SAS : Infection Prevention and Control (IPC)</v>
      </c>
      <c r="F2248" s="5" t="str">
        <f>_xlfn.XLOOKUP(role_course_map[[#This Row],[course_id]],course_data[course_id],course_data[type],"")</f>
        <v>eLearning</v>
      </c>
      <c r="K2248" t="str">
        <f>role_course_map[[#This Row],[role_id]] &amp; "|" &amp; role_course_map[[#This Row],[course_id]]</f>
        <v>R0173|89157</v>
      </c>
      <c r="L2248" t="str">
        <f>IF(COUNTIF(role_course_map[mapping_key],role_course_map[[#This Row],[mapping_key]])&gt;1,"DUPLICATE","OK")</f>
        <v>OK</v>
      </c>
      <c r="M2248" t="str">
        <f>IF(COUNTIF(role_data[role_id],role_course_map[[#This Row],[role_id]])=0, "INVALID","VALID")</f>
        <v>VALID</v>
      </c>
      <c r="N2248" t="str">
        <f>IF(COUNTIF(course_data[course_id],role_course_map[[#This Row],[course_id]])=0, "INVALID","VALID")</f>
        <v>VALID</v>
      </c>
    </row>
    <row r="2249" spans="1:14" x14ac:dyDescent="0.35">
      <c r="A2249" t="s">
        <v>361</v>
      </c>
      <c r="B2249" s="5" t="str">
        <f>_xlfn.XLOOKUP(role_course_map[[#This Row],[role_id]], role_data[role_id], role_data[Role],"")</f>
        <v>Infection Prevention and Control Practitioner</v>
      </c>
      <c r="C2249">
        <v>89158</v>
      </c>
      <c r="D2249" s="5" t="str">
        <f>_xlfn.XLOOKUP(role_course_map[[#This Row],[course_id]],course_data[course_id],course_data[title],"")</f>
        <v>Safe Management of Care Environment</v>
      </c>
      <c r="E2249" s="5" t="str">
        <f>_xlfn.XLOOKUP(role_course_map[[#This Row],[course_id]],course_data[course_id],course_data[topic],"")</f>
        <v>SAS : Infection Prevention and Control (IPC)</v>
      </c>
      <c r="F2249" s="5" t="str">
        <f>_xlfn.XLOOKUP(role_course_map[[#This Row],[course_id]],course_data[course_id],course_data[type],"")</f>
        <v>eLearning</v>
      </c>
      <c r="K2249" t="str">
        <f>role_course_map[[#This Row],[role_id]] &amp; "|" &amp; role_course_map[[#This Row],[course_id]]</f>
        <v>R0173|89158</v>
      </c>
      <c r="L2249" t="str">
        <f>IF(COUNTIF(role_course_map[mapping_key],role_course_map[[#This Row],[mapping_key]])&gt;1,"DUPLICATE","OK")</f>
        <v>OK</v>
      </c>
      <c r="M2249" t="str">
        <f>IF(COUNTIF(role_data[role_id],role_course_map[[#This Row],[role_id]])=0, "INVALID","VALID")</f>
        <v>VALID</v>
      </c>
      <c r="N2249" t="str">
        <f>IF(COUNTIF(course_data[course_id],role_course_map[[#This Row],[course_id]])=0, "INVALID","VALID")</f>
        <v>VALID</v>
      </c>
    </row>
    <row r="2250" spans="1:14" x14ac:dyDescent="0.35">
      <c r="A2250" t="s">
        <v>361</v>
      </c>
      <c r="B2250" s="5" t="str">
        <f>_xlfn.XLOOKUP(role_course_map[[#This Row],[role_id]], role_data[role_id], role_data[Role],"")</f>
        <v>Infection Prevention and Control Practitioner</v>
      </c>
      <c r="C2250">
        <v>89159</v>
      </c>
      <c r="D2250" s="5" t="str">
        <f>_xlfn.XLOOKUP(role_course_map[[#This Row],[course_id]],course_data[course_id],course_data[title],"")</f>
        <v>Safe Management of Linen</v>
      </c>
      <c r="E2250" s="5" t="str">
        <f>_xlfn.XLOOKUP(role_course_map[[#This Row],[course_id]],course_data[course_id],course_data[topic],"")</f>
        <v>SAS : Infection Prevention and Control (IPC)</v>
      </c>
      <c r="F2250" s="5" t="str">
        <f>_xlfn.XLOOKUP(role_course_map[[#This Row],[course_id]],course_data[course_id],course_data[type],"")</f>
        <v>eLearning</v>
      </c>
      <c r="K2250" t="str">
        <f>role_course_map[[#This Row],[role_id]] &amp; "|" &amp; role_course_map[[#This Row],[course_id]]</f>
        <v>R0173|89159</v>
      </c>
      <c r="L2250" t="str">
        <f>IF(COUNTIF(role_course_map[mapping_key],role_course_map[[#This Row],[mapping_key]])&gt;1,"DUPLICATE","OK")</f>
        <v>OK</v>
      </c>
      <c r="M2250" t="str">
        <f>IF(COUNTIF(role_data[role_id],role_course_map[[#This Row],[role_id]])=0, "INVALID","VALID")</f>
        <v>VALID</v>
      </c>
      <c r="N2250" t="str">
        <f>IF(COUNTIF(course_data[course_id],role_course_map[[#This Row],[course_id]])=0, "INVALID","VALID")</f>
        <v>VALID</v>
      </c>
    </row>
    <row r="2251" spans="1:14" x14ac:dyDescent="0.35">
      <c r="A2251" t="s">
        <v>361</v>
      </c>
      <c r="B2251" s="5" t="str">
        <f>_xlfn.XLOOKUP(role_course_map[[#This Row],[role_id]], role_data[role_id], role_data[Role],"")</f>
        <v>Infection Prevention and Control Practitioner</v>
      </c>
      <c r="C2251">
        <v>89160</v>
      </c>
      <c r="D2251" s="5" t="str">
        <f>_xlfn.XLOOKUP(role_course_map[[#This Row],[course_id]],course_data[course_id],course_data[title],"")</f>
        <v>Safe Management of blood and body fluids</v>
      </c>
      <c r="E2251" s="5" t="str">
        <f>_xlfn.XLOOKUP(role_course_map[[#This Row],[course_id]],course_data[course_id],course_data[topic],"")</f>
        <v>SAS : Infection Prevention and Control (IPC)</v>
      </c>
      <c r="F2251" s="5" t="str">
        <f>_xlfn.XLOOKUP(role_course_map[[#This Row],[course_id]],course_data[course_id],course_data[type],"")</f>
        <v>eLearning</v>
      </c>
      <c r="K2251" t="str">
        <f>role_course_map[[#This Row],[role_id]] &amp; "|" &amp; role_course_map[[#This Row],[course_id]]</f>
        <v>R0173|89160</v>
      </c>
      <c r="L2251" t="str">
        <f>IF(COUNTIF(role_course_map[mapping_key],role_course_map[[#This Row],[mapping_key]])&gt;1,"DUPLICATE","OK")</f>
        <v>OK</v>
      </c>
      <c r="M2251" t="str">
        <f>IF(COUNTIF(role_data[role_id],role_course_map[[#This Row],[role_id]])=0, "INVALID","VALID")</f>
        <v>VALID</v>
      </c>
      <c r="N2251" t="str">
        <f>IF(COUNTIF(course_data[course_id],role_course_map[[#This Row],[course_id]])=0, "INVALID","VALID")</f>
        <v>VALID</v>
      </c>
    </row>
    <row r="2252" spans="1:14" x14ac:dyDescent="0.35">
      <c r="A2252" t="s">
        <v>361</v>
      </c>
      <c r="B2252" s="5" t="str">
        <f>_xlfn.XLOOKUP(role_course_map[[#This Row],[role_id]], role_data[role_id], role_data[Role],"")</f>
        <v>Infection Prevention and Control Practitioner</v>
      </c>
      <c r="C2252">
        <v>89154</v>
      </c>
      <c r="D2252" s="5" t="str">
        <f>_xlfn.XLOOKUP(role_course_map[[#This Row],[course_id]],course_data[course_id],course_data[title],"")</f>
        <v>Safe disposal of waste</v>
      </c>
      <c r="E2252" s="5" t="str">
        <f>_xlfn.XLOOKUP(role_course_map[[#This Row],[course_id]],course_data[course_id],course_data[topic],"")</f>
        <v>SAS : Infection Prevention and Control (IPC)</v>
      </c>
      <c r="F2252" s="5" t="str">
        <f>_xlfn.XLOOKUP(role_course_map[[#This Row],[course_id]],course_data[course_id],course_data[type],"")</f>
        <v>eLearning</v>
      </c>
      <c r="K2252" t="str">
        <f>role_course_map[[#This Row],[role_id]] &amp; "|" &amp; role_course_map[[#This Row],[course_id]]</f>
        <v>R0173|89154</v>
      </c>
      <c r="L2252" t="str">
        <f>IF(COUNTIF(role_course_map[mapping_key],role_course_map[[#This Row],[mapping_key]])&gt;1,"DUPLICATE","OK")</f>
        <v>OK</v>
      </c>
      <c r="M2252" t="str">
        <f>IF(COUNTIF(role_data[role_id],role_course_map[[#This Row],[role_id]])=0, "INVALID","VALID")</f>
        <v>VALID</v>
      </c>
      <c r="N2252" t="str">
        <f>IF(COUNTIF(course_data[course_id],role_course_map[[#This Row],[course_id]])=0, "INVALID","VALID")</f>
        <v>VALID</v>
      </c>
    </row>
    <row r="2253" spans="1:14" x14ac:dyDescent="0.35">
      <c r="A2253" t="s">
        <v>361</v>
      </c>
      <c r="B2253" s="5" t="str">
        <f>_xlfn.XLOOKUP(role_course_map[[#This Row],[role_id]], role_data[role_id], role_data[Role],"")</f>
        <v>Infection Prevention and Control Practitioner</v>
      </c>
      <c r="C2253">
        <v>89155</v>
      </c>
      <c r="D2253" s="5" t="str">
        <f>_xlfn.XLOOKUP(role_course_map[[#This Row],[course_id]],course_data[course_id],course_data[title],"")</f>
        <v>Prevention &amp; management of occupational exposure</v>
      </c>
      <c r="E2253" s="5" t="str">
        <f>_xlfn.XLOOKUP(role_course_map[[#This Row],[course_id]],course_data[course_id],course_data[topic],"")</f>
        <v>SAS : Infection Prevention and Control (IPC)</v>
      </c>
      <c r="F2253" s="5" t="str">
        <f>_xlfn.XLOOKUP(role_course_map[[#This Row],[course_id]],course_data[course_id],course_data[type],"")</f>
        <v>eLearning</v>
      </c>
      <c r="K2253" t="str">
        <f>role_course_map[[#This Row],[role_id]] &amp; "|" &amp; role_course_map[[#This Row],[course_id]]</f>
        <v>R0173|89155</v>
      </c>
      <c r="L2253" t="str">
        <f>IF(COUNTIF(role_course_map[mapping_key],role_course_map[[#This Row],[mapping_key]])&gt;1,"DUPLICATE","OK")</f>
        <v>OK</v>
      </c>
      <c r="M2253" t="str">
        <f>IF(COUNTIF(role_data[role_id],role_course_map[[#This Row],[role_id]])=0, "INVALID","VALID")</f>
        <v>VALID</v>
      </c>
      <c r="N2253" t="str">
        <f>IF(COUNTIF(course_data[course_id],role_course_map[[#This Row],[course_id]])=0, "INVALID","VALID")</f>
        <v>VALID</v>
      </c>
    </row>
    <row r="2254" spans="1:14" x14ac:dyDescent="0.35">
      <c r="A2254" t="s">
        <v>361</v>
      </c>
      <c r="B2254" s="5" t="str">
        <f>_xlfn.XLOOKUP(role_course_map[[#This Row],[role_id]], role_data[role_id], role_data[Role],"")</f>
        <v>Infection Prevention and Control Practitioner</v>
      </c>
      <c r="C2254">
        <v>999094</v>
      </c>
      <c r="D2254" s="5" t="str">
        <f>_xlfn.XLOOKUP(role_course_map[[#This Row],[course_id]],course_data[course_id],course_data[title],"")</f>
        <v>Being well, Mind, Body &amp; Workplace</v>
      </c>
      <c r="E2254" s="5" t="str">
        <f>_xlfn.XLOOKUP(role_course_map[[#This Row],[course_id]],course_data[course_id],course_data[topic],"")</f>
        <v>SAS: Staff development and experience</v>
      </c>
      <c r="F2254" s="5" t="str">
        <f>_xlfn.XLOOKUP(role_course_map[[#This Row],[course_id]],course_data[course_id],course_data[type],"")</f>
        <v>eLearning</v>
      </c>
      <c r="K2254" t="str">
        <f>role_course_map[[#This Row],[role_id]] &amp; "|" &amp; role_course_map[[#This Row],[course_id]]</f>
        <v>R0173|999094</v>
      </c>
      <c r="L2254" t="str">
        <f>IF(COUNTIF(role_course_map[mapping_key],role_course_map[[#This Row],[mapping_key]])&gt;1,"DUPLICATE","OK")</f>
        <v>OK</v>
      </c>
      <c r="M2254" t="str">
        <f>IF(COUNTIF(role_data[role_id],role_course_map[[#This Row],[role_id]])=0, "INVALID","VALID")</f>
        <v>VALID</v>
      </c>
      <c r="N2254" t="str">
        <f>IF(COUNTIF(course_data[course_id],role_course_map[[#This Row],[course_id]])=0, "INVALID","VALID")</f>
        <v>VALID</v>
      </c>
    </row>
    <row r="2255" spans="1:14" x14ac:dyDescent="0.35">
      <c r="A2255" t="s">
        <v>361</v>
      </c>
      <c r="B2255" s="5" t="str">
        <f>_xlfn.XLOOKUP(role_course_map[[#This Row],[role_id]], role_data[role_id], role_data[Role],"")</f>
        <v>Infection Prevention and Control Practitioner</v>
      </c>
      <c r="C2255">
        <v>999056</v>
      </c>
      <c r="D2255" s="5" t="str">
        <f>_xlfn.XLOOKUP(role_course_map[[#This Row],[course_id]],course_data[course_id],course_data[title],"")</f>
        <v>Driver Assessment &amp; Training</v>
      </c>
      <c r="E2255" s="5" t="str">
        <f>_xlfn.XLOOKUP(role_course_map[[#This Row],[course_id]],course_data[course_id],course_data[topic],"")</f>
        <v>SAS : Health and Safety</v>
      </c>
      <c r="F2255" s="5" t="str">
        <f>_xlfn.XLOOKUP(role_course_map[[#This Row],[course_id]],course_data[course_id],course_data[type],"")</f>
        <v>eLearning</v>
      </c>
      <c r="K2255" t="str">
        <f>role_course_map[[#This Row],[role_id]] &amp; "|" &amp; role_course_map[[#This Row],[course_id]]</f>
        <v>R0173|999056</v>
      </c>
      <c r="L2255" t="str">
        <f>IF(COUNTIF(role_course_map[mapping_key],role_course_map[[#This Row],[mapping_key]])&gt;1,"DUPLICATE","OK")</f>
        <v>OK</v>
      </c>
      <c r="M2255" t="str">
        <f>IF(COUNTIF(role_data[role_id],role_course_map[[#This Row],[role_id]])=0, "INVALID","VALID")</f>
        <v>VALID</v>
      </c>
      <c r="N2255" t="str">
        <f>IF(COUNTIF(course_data[course_id],role_course_map[[#This Row],[course_id]])=0, "INVALID","VALID")</f>
        <v>VALID</v>
      </c>
    </row>
    <row r="2256" spans="1:14" x14ac:dyDescent="0.35">
      <c r="A2256" t="s">
        <v>361</v>
      </c>
      <c r="B2256" s="5" t="str">
        <f>_xlfn.XLOOKUP(role_course_map[[#This Row],[role_id]], role_data[role_id], role_data[Role],"")</f>
        <v>Infection Prevention and Control Practitioner</v>
      </c>
      <c r="C2256">
        <v>999057</v>
      </c>
      <c r="D2256" s="5" t="str">
        <f>_xlfn.XLOOKUP(role_course_map[[#This Row],[course_id]],course_data[course_id],course_data[title],"")</f>
        <v>Fatigue Awareness</v>
      </c>
      <c r="E2256" s="5" t="str">
        <f>_xlfn.XLOOKUP(role_course_map[[#This Row],[course_id]],course_data[course_id],course_data[topic],"")</f>
        <v>SAS : Health and Safety</v>
      </c>
      <c r="F2256" s="5" t="str">
        <f>_xlfn.XLOOKUP(role_course_map[[#This Row],[course_id]],course_data[course_id],course_data[type],"")</f>
        <v>eLearning</v>
      </c>
      <c r="K2256" t="str">
        <f>role_course_map[[#This Row],[role_id]] &amp; "|" &amp; role_course_map[[#This Row],[course_id]]</f>
        <v>R0173|999057</v>
      </c>
      <c r="L2256" t="str">
        <f>IF(COUNTIF(role_course_map[mapping_key],role_course_map[[#This Row],[mapping_key]])&gt;1,"DUPLICATE","OK")</f>
        <v>OK</v>
      </c>
      <c r="M2256" t="str">
        <f>IF(COUNTIF(role_data[role_id],role_course_map[[#This Row],[role_id]])=0, "INVALID","VALID")</f>
        <v>VALID</v>
      </c>
      <c r="N2256" t="str">
        <f>IF(COUNTIF(course_data[course_id],role_course_map[[#This Row],[course_id]])=0, "INVALID","VALID")</f>
        <v>VALID</v>
      </c>
    </row>
    <row r="2257" spans="1:14" x14ac:dyDescent="0.35">
      <c r="A2257" t="s">
        <v>361</v>
      </c>
      <c r="B2257" s="5" t="str">
        <f>_xlfn.XLOOKUP(role_course_map[[#This Row],[role_id]], role_data[role_id], role_data[Role],"")</f>
        <v>Infection Prevention and Control Practitioner</v>
      </c>
      <c r="C2257">
        <v>999058</v>
      </c>
      <c r="D2257" s="5" t="str">
        <f>_xlfn.XLOOKUP(role_course_map[[#This Row],[course_id]],course_data[course_id],course_data[title],"")</f>
        <v>Stress Identification &amp; Stress Management</v>
      </c>
      <c r="E2257" s="5" t="str">
        <f>_xlfn.XLOOKUP(role_course_map[[#This Row],[course_id]],course_data[course_id],course_data[topic],"")</f>
        <v>SAS : Health and Safety</v>
      </c>
      <c r="F2257" s="5" t="str">
        <f>_xlfn.XLOOKUP(role_course_map[[#This Row],[course_id]],course_data[course_id],course_data[type],"")</f>
        <v>eLearning</v>
      </c>
      <c r="K2257" t="str">
        <f>role_course_map[[#This Row],[role_id]] &amp; "|" &amp; role_course_map[[#This Row],[course_id]]</f>
        <v>R0173|999058</v>
      </c>
      <c r="L2257" t="str">
        <f>IF(COUNTIF(role_course_map[mapping_key],role_course_map[[#This Row],[mapping_key]])&gt;1,"DUPLICATE","OK")</f>
        <v>OK</v>
      </c>
      <c r="M2257" t="str">
        <f>IF(COUNTIF(role_data[role_id],role_course_map[[#This Row],[role_id]])=0, "INVALID","VALID")</f>
        <v>VALID</v>
      </c>
      <c r="N2257" t="str">
        <f>IF(COUNTIF(course_data[course_id],role_course_map[[#This Row],[course_id]])=0, "INVALID","VALID")</f>
        <v>VALID</v>
      </c>
    </row>
    <row r="2258" spans="1:14" x14ac:dyDescent="0.35">
      <c r="A2258" t="s">
        <v>363</v>
      </c>
      <c r="B2258" s="5" t="str">
        <f>_xlfn.XLOOKUP(role_course_map[[#This Row],[role_id]], role_data[role_id], role_data[Role],"")</f>
        <v>Lead Infection Prevention and Control Practitioner</v>
      </c>
      <c r="C2258">
        <v>999065</v>
      </c>
      <c r="D2258" s="5" t="str">
        <f>_xlfn.XLOOKUP(role_course_map[[#This Row],[course_id]],course_data[course_id],course_data[title],"")</f>
        <v>Patient placement / assessment for infection risk</v>
      </c>
      <c r="E2258" s="5" t="str">
        <f>_xlfn.XLOOKUP(role_course_map[[#This Row],[course_id]],course_data[course_id],course_data[topic],"")</f>
        <v>SAS : Infection Prevention and Control (IPC)</v>
      </c>
      <c r="F2258" s="5" t="str">
        <f>_xlfn.XLOOKUP(role_course_map[[#This Row],[course_id]],course_data[course_id],course_data[type],"")</f>
        <v>eLearning</v>
      </c>
      <c r="K2258" t="str">
        <f>role_course_map[[#This Row],[role_id]] &amp; "|" &amp; role_course_map[[#This Row],[course_id]]</f>
        <v>R0174|999065</v>
      </c>
      <c r="L2258" t="str">
        <f>IF(COUNTIF(role_course_map[mapping_key],role_course_map[[#This Row],[mapping_key]])&gt;1,"DUPLICATE","OK")</f>
        <v>OK</v>
      </c>
      <c r="M2258" t="str">
        <f>IF(COUNTIF(role_data[role_id],role_course_map[[#This Row],[role_id]])=0, "INVALID","VALID")</f>
        <v>VALID</v>
      </c>
      <c r="N2258" t="str">
        <f>IF(COUNTIF(course_data[course_id],role_course_map[[#This Row],[course_id]])=0, "INVALID","VALID")</f>
        <v>VALID</v>
      </c>
    </row>
    <row r="2259" spans="1:14" x14ac:dyDescent="0.35">
      <c r="A2259" t="s">
        <v>363</v>
      </c>
      <c r="B2259" s="5" t="str">
        <f>_xlfn.XLOOKUP(role_course_map[[#This Row],[role_id]], role_data[role_id], role_data[Role],"")</f>
        <v>Lead Infection Prevention and Control Practitioner</v>
      </c>
      <c r="C2259">
        <v>89157</v>
      </c>
      <c r="D2259" s="5" t="str">
        <f>_xlfn.XLOOKUP(role_course_map[[#This Row],[course_id]],course_data[course_id],course_data[title],"")</f>
        <v>Safe Management of Care Equipment</v>
      </c>
      <c r="E2259" s="5" t="str">
        <f>_xlfn.XLOOKUP(role_course_map[[#This Row],[course_id]],course_data[course_id],course_data[topic],"")</f>
        <v>SAS : Infection Prevention and Control (IPC)</v>
      </c>
      <c r="F2259" s="5" t="str">
        <f>_xlfn.XLOOKUP(role_course_map[[#This Row],[course_id]],course_data[course_id],course_data[type],"")</f>
        <v>eLearning</v>
      </c>
      <c r="K2259" t="str">
        <f>role_course_map[[#This Row],[role_id]] &amp; "|" &amp; role_course_map[[#This Row],[course_id]]</f>
        <v>R0174|89157</v>
      </c>
      <c r="L2259" t="str">
        <f>IF(COUNTIF(role_course_map[mapping_key],role_course_map[[#This Row],[mapping_key]])&gt;1,"DUPLICATE","OK")</f>
        <v>OK</v>
      </c>
      <c r="M2259" t="str">
        <f>IF(COUNTIF(role_data[role_id],role_course_map[[#This Row],[role_id]])=0, "INVALID","VALID")</f>
        <v>VALID</v>
      </c>
      <c r="N2259" t="str">
        <f>IF(COUNTIF(course_data[course_id],role_course_map[[#This Row],[course_id]])=0, "INVALID","VALID")</f>
        <v>VALID</v>
      </c>
    </row>
    <row r="2260" spans="1:14" x14ac:dyDescent="0.35">
      <c r="A2260" t="s">
        <v>363</v>
      </c>
      <c r="B2260" s="5" t="str">
        <f>_xlfn.XLOOKUP(role_course_map[[#This Row],[role_id]], role_data[role_id], role_data[Role],"")</f>
        <v>Lead Infection Prevention and Control Practitioner</v>
      </c>
      <c r="C2260">
        <v>89158</v>
      </c>
      <c r="D2260" s="5" t="str">
        <f>_xlfn.XLOOKUP(role_course_map[[#This Row],[course_id]],course_data[course_id],course_data[title],"")</f>
        <v>Safe Management of Care Environment</v>
      </c>
      <c r="E2260" s="5" t="str">
        <f>_xlfn.XLOOKUP(role_course_map[[#This Row],[course_id]],course_data[course_id],course_data[topic],"")</f>
        <v>SAS : Infection Prevention and Control (IPC)</v>
      </c>
      <c r="F2260" s="5" t="str">
        <f>_xlfn.XLOOKUP(role_course_map[[#This Row],[course_id]],course_data[course_id],course_data[type],"")</f>
        <v>eLearning</v>
      </c>
      <c r="K2260" t="str">
        <f>role_course_map[[#This Row],[role_id]] &amp; "|" &amp; role_course_map[[#This Row],[course_id]]</f>
        <v>R0174|89158</v>
      </c>
      <c r="L2260" t="str">
        <f>IF(COUNTIF(role_course_map[mapping_key],role_course_map[[#This Row],[mapping_key]])&gt;1,"DUPLICATE","OK")</f>
        <v>OK</v>
      </c>
      <c r="M2260" t="str">
        <f>IF(COUNTIF(role_data[role_id],role_course_map[[#This Row],[role_id]])=0, "INVALID","VALID")</f>
        <v>VALID</v>
      </c>
      <c r="N2260" t="str">
        <f>IF(COUNTIF(course_data[course_id],role_course_map[[#This Row],[course_id]])=0, "INVALID","VALID")</f>
        <v>VALID</v>
      </c>
    </row>
    <row r="2261" spans="1:14" x14ac:dyDescent="0.35">
      <c r="A2261" t="s">
        <v>363</v>
      </c>
      <c r="B2261" s="5" t="str">
        <f>_xlfn.XLOOKUP(role_course_map[[#This Row],[role_id]], role_data[role_id], role_data[Role],"")</f>
        <v>Lead Infection Prevention and Control Practitioner</v>
      </c>
      <c r="C2261">
        <v>89159</v>
      </c>
      <c r="D2261" s="5" t="str">
        <f>_xlfn.XLOOKUP(role_course_map[[#This Row],[course_id]],course_data[course_id],course_data[title],"")</f>
        <v>Safe Management of Linen</v>
      </c>
      <c r="E2261" s="5" t="str">
        <f>_xlfn.XLOOKUP(role_course_map[[#This Row],[course_id]],course_data[course_id],course_data[topic],"")</f>
        <v>SAS : Infection Prevention and Control (IPC)</v>
      </c>
      <c r="F2261" s="5" t="str">
        <f>_xlfn.XLOOKUP(role_course_map[[#This Row],[course_id]],course_data[course_id],course_data[type],"")</f>
        <v>eLearning</v>
      </c>
      <c r="K2261" t="str">
        <f>role_course_map[[#This Row],[role_id]] &amp; "|" &amp; role_course_map[[#This Row],[course_id]]</f>
        <v>R0174|89159</v>
      </c>
      <c r="L2261" t="str">
        <f>IF(COUNTIF(role_course_map[mapping_key],role_course_map[[#This Row],[mapping_key]])&gt;1,"DUPLICATE","OK")</f>
        <v>OK</v>
      </c>
      <c r="M2261" t="str">
        <f>IF(COUNTIF(role_data[role_id],role_course_map[[#This Row],[role_id]])=0, "INVALID","VALID")</f>
        <v>VALID</v>
      </c>
      <c r="N2261" t="str">
        <f>IF(COUNTIF(course_data[course_id],role_course_map[[#This Row],[course_id]])=0, "INVALID","VALID")</f>
        <v>VALID</v>
      </c>
    </row>
    <row r="2262" spans="1:14" x14ac:dyDescent="0.35">
      <c r="A2262" t="s">
        <v>363</v>
      </c>
      <c r="B2262" s="5" t="str">
        <f>_xlfn.XLOOKUP(role_course_map[[#This Row],[role_id]], role_data[role_id], role_data[Role],"")</f>
        <v>Lead Infection Prevention and Control Practitioner</v>
      </c>
      <c r="C2262">
        <v>89160</v>
      </c>
      <c r="D2262" s="5" t="str">
        <f>_xlfn.XLOOKUP(role_course_map[[#This Row],[course_id]],course_data[course_id],course_data[title],"")</f>
        <v>Safe Management of blood and body fluids</v>
      </c>
      <c r="E2262" s="5" t="str">
        <f>_xlfn.XLOOKUP(role_course_map[[#This Row],[course_id]],course_data[course_id],course_data[topic],"")</f>
        <v>SAS : Infection Prevention and Control (IPC)</v>
      </c>
      <c r="F2262" s="5" t="str">
        <f>_xlfn.XLOOKUP(role_course_map[[#This Row],[course_id]],course_data[course_id],course_data[type],"")</f>
        <v>eLearning</v>
      </c>
      <c r="K2262" t="str">
        <f>role_course_map[[#This Row],[role_id]] &amp; "|" &amp; role_course_map[[#This Row],[course_id]]</f>
        <v>R0174|89160</v>
      </c>
      <c r="L2262" t="str">
        <f>IF(COUNTIF(role_course_map[mapping_key],role_course_map[[#This Row],[mapping_key]])&gt;1,"DUPLICATE","OK")</f>
        <v>OK</v>
      </c>
      <c r="M2262" t="str">
        <f>IF(COUNTIF(role_data[role_id],role_course_map[[#This Row],[role_id]])=0, "INVALID","VALID")</f>
        <v>VALID</v>
      </c>
      <c r="N2262" t="str">
        <f>IF(COUNTIF(course_data[course_id],role_course_map[[#This Row],[course_id]])=0, "INVALID","VALID")</f>
        <v>VALID</v>
      </c>
    </row>
    <row r="2263" spans="1:14" x14ac:dyDescent="0.35">
      <c r="A2263" t="s">
        <v>363</v>
      </c>
      <c r="B2263" s="5" t="str">
        <f>_xlfn.XLOOKUP(role_course_map[[#This Row],[role_id]], role_data[role_id], role_data[Role],"")</f>
        <v>Lead Infection Prevention and Control Practitioner</v>
      </c>
      <c r="C2263">
        <v>89154</v>
      </c>
      <c r="D2263" s="5" t="str">
        <f>_xlfn.XLOOKUP(role_course_map[[#This Row],[course_id]],course_data[course_id],course_data[title],"")</f>
        <v>Safe disposal of waste</v>
      </c>
      <c r="E2263" s="5" t="str">
        <f>_xlfn.XLOOKUP(role_course_map[[#This Row],[course_id]],course_data[course_id],course_data[topic],"")</f>
        <v>SAS : Infection Prevention and Control (IPC)</v>
      </c>
      <c r="F2263" s="5" t="str">
        <f>_xlfn.XLOOKUP(role_course_map[[#This Row],[course_id]],course_data[course_id],course_data[type],"")</f>
        <v>eLearning</v>
      </c>
      <c r="K2263" t="str">
        <f>role_course_map[[#This Row],[role_id]] &amp; "|" &amp; role_course_map[[#This Row],[course_id]]</f>
        <v>R0174|89154</v>
      </c>
      <c r="L2263" t="str">
        <f>IF(COUNTIF(role_course_map[mapping_key],role_course_map[[#This Row],[mapping_key]])&gt;1,"DUPLICATE","OK")</f>
        <v>OK</v>
      </c>
      <c r="M2263" t="str">
        <f>IF(COUNTIF(role_data[role_id],role_course_map[[#This Row],[role_id]])=0, "INVALID","VALID")</f>
        <v>VALID</v>
      </c>
      <c r="N2263" t="str">
        <f>IF(COUNTIF(course_data[course_id],role_course_map[[#This Row],[course_id]])=0, "INVALID","VALID")</f>
        <v>VALID</v>
      </c>
    </row>
    <row r="2264" spans="1:14" x14ac:dyDescent="0.35">
      <c r="A2264" t="s">
        <v>363</v>
      </c>
      <c r="B2264" s="5" t="str">
        <f>_xlfn.XLOOKUP(role_course_map[[#This Row],[role_id]], role_data[role_id], role_data[Role],"")</f>
        <v>Lead Infection Prevention and Control Practitioner</v>
      </c>
      <c r="C2264">
        <v>89155</v>
      </c>
      <c r="D2264" s="5" t="str">
        <f>_xlfn.XLOOKUP(role_course_map[[#This Row],[course_id]],course_data[course_id],course_data[title],"")</f>
        <v>Prevention &amp; management of occupational exposure</v>
      </c>
      <c r="E2264" s="5" t="str">
        <f>_xlfn.XLOOKUP(role_course_map[[#This Row],[course_id]],course_data[course_id],course_data[topic],"")</f>
        <v>SAS : Infection Prevention and Control (IPC)</v>
      </c>
      <c r="F2264" s="5" t="str">
        <f>_xlfn.XLOOKUP(role_course_map[[#This Row],[course_id]],course_data[course_id],course_data[type],"")</f>
        <v>eLearning</v>
      </c>
      <c r="K2264" t="str">
        <f>role_course_map[[#This Row],[role_id]] &amp; "|" &amp; role_course_map[[#This Row],[course_id]]</f>
        <v>R0174|89155</v>
      </c>
      <c r="L2264" t="str">
        <f>IF(COUNTIF(role_course_map[mapping_key],role_course_map[[#This Row],[mapping_key]])&gt;1,"DUPLICATE","OK")</f>
        <v>OK</v>
      </c>
      <c r="M2264" t="str">
        <f>IF(COUNTIF(role_data[role_id],role_course_map[[#This Row],[role_id]])=0, "INVALID","VALID")</f>
        <v>VALID</v>
      </c>
      <c r="N2264" t="str">
        <f>IF(COUNTIF(course_data[course_id],role_course_map[[#This Row],[course_id]])=0, "INVALID","VALID")</f>
        <v>VALID</v>
      </c>
    </row>
    <row r="2265" spans="1:14" x14ac:dyDescent="0.35">
      <c r="A2265" t="s">
        <v>363</v>
      </c>
      <c r="B2265" s="5" t="str">
        <f>_xlfn.XLOOKUP(role_course_map[[#This Row],[role_id]], role_data[role_id], role_data[Role],"")</f>
        <v>Lead Infection Prevention and Control Practitioner</v>
      </c>
      <c r="C2265">
        <v>75406</v>
      </c>
      <c r="D2265" s="5" t="str">
        <f>_xlfn.XLOOKUP(role_course_map[[#This Row],[course_id]],course_data[course_id],course_data[title],"")</f>
        <v>Foundation Leadership and Management Programme (FLMP)</v>
      </c>
      <c r="E2265" s="5" t="str">
        <f>_xlfn.XLOOKUP(role_course_map[[#This Row],[course_id]],course_data[course_id],course_data[topic],"")</f>
        <v>SAS: Staff development and experience</v>
      </c>
      <c r="F2265" s="5" t="str">
        <f>_xlfn.XLOOKUP(role_course_map[[#This Row],[course_id]],course_data[course_id],course_data[type],"")</f>
        <v>Page</v>
      </c>
      <c r="K2265" t="str">
        <f>role_course_map[[#This Row],[role_id]] &amp; "|" &amp; role_course_map[[#This Row],[course_id]]</f>
        <v>R0174|75406</v>
      </c>
      <c r="L2265" t="str">
        <f>IF(COUNTIF(role_course_map[mapping_key],role_course_map[[#This Row],[mapping_key]])&gt;1,"DUPLICATE","OK")</f>
        <v>OK</v>
      </c>
      <c r="M2265" t="str">
        <f>IF(COUNTIF(role_data[role_id],role_course_map[[#This Row],[role_id]])=0, "INVALID","VALID")</f>
        <v>VALID</v>
      </c>
      <c r="N2265" t="str">
        <f>IF(COUNTIF(course_data[course_id],role_course_map[[#This Row],[course_id]])=0, "INVALID","VALID")</f>
        <v>VALID</v>
      </c>
    </row>
    <row r="2266" spans="1:14" x14ac:dyDescent="0.35">
      <c r="A2266" t="s">
        <v>363</v>
      </c>
      <c r="B2266" s="5" t="str">
        <f>_xlfn.XLOOKUP(role_course_map[[#This Row],[role_id]], role_data[role_id], role_data[Role],"")</f>
        <v>Lead Infection Prevention and Control Practitioner</v>
      </c>
      <c r="C2266">
        <v>75407</v>
      </c>
      <c r="D2266" s="5" t="str">
        <f>_xlfn.XLOOKUP(role_course_map[[#This Row],[course_id]],course_data[course_id],course_data[title],"")</f>
        <v>Aspirant Leader Development Programme (ALDP)</v>
      </c>
      <c r="E2266" s="5" t="str">
        <f>_xlfn.XLOOKUP(role_course_map[[#This Row],[course_id]],course_data[course_id],course_data[topic],"")</f>
        <v>SAS: Staff development and experience</v>
      </c>
      <c r="F2266" s="5" t="str">
        <f>_xlfn.XLOOKUP(role_course_map[[#This Row],[course_id]],course_data[course_id],course_data[type],"")</f>
        <v>Page</v>
      </c>
      <c r="K2266" t="str">
        <f>role_course_map[[#This Row],[role_id]] &amp; "|" &amp; role_course_map[[#This Row],[course_id]]</f>
        <v>R0174|75407</v>
      </c>
      <c r="L2266" t="str">
        <f>IF(COUNTIF(role_course_map[mapping_key],role_course_map[[#This Row],[mapping_key]])&gt;1,"DUPLICATE","OK")</f>
        <v>OK</v>
      </c>
      <c r="M2266" t="str">
        <f>IF(COUNTIF(role_data[role_id],role_course_map[[#This Row],[role_id]])=0, "INVALID","VALID")</f>
        <v>VALID</v>
      </c>
      <c r="N2266" t="str">
        <f>IF(COUNTIF(course_data[course_id],role_course_map[[#This Row],[course_id]])=0, "INVALID","VALID")</f>
        <v>VALID</v>
      </c>
    </row>
    <row r="2267" spans="1:14" x14ac:dyDescent="0.35">
      <c r="A2267" t="s">
        <v>363</v>
      </c>
      <c r="B2267" s="5" t="str">
        <f>_xlfn.XLOOKUP(role_course_map[[#This Row],[role_id]], role_data[role_id], role_data[Role],"")</f>
        <v>Lead Infection Prevention and Control Practitioner</v>
      </c>
      <c r="C2267">
        <v>999092</v>
      </c>
      <c r="D2267" s="5" t="str">
        <f>_xlfn.XLOOKUP(role_course_map[[#This Row],[course_id]],course_data[course_id],course_data[title],"")</f>
        <v>Health &amp; Wellbeing Awareness for Managers</v>
      </c>
      <c r="E2267" s="5" t="str">
        <f>_xlfn.XLOOKUP(role_course_map[[#This Row],[course_id]],course_data[course_id],course_data[topic],"")</f>
        <v>SAS: Staff development and experience</v>
      </c>
      <c r="F2267" s="5" t="str">
        <f>_xlfn.XLOOKUP(role_course_map[[#This Row],[course_id]],course_data[course_id],course_data[type],"")</f>
        <v>eLearning</v>
      </c>
      <c r="K2267" t="str">
        <f>role_course_map[[#This Row],[role_id]] &amp; "|" &amp; role_course_map[[#This Row],[course_id]]</f>
        <v>R0174|999092</v>
      </c>
      <c r="L2267" t="str">
        <f>IF(COUNTIF(role_course_map[mapping_key],role_course_map[[#This Row],[mapping_key]])&gt;1,"DUPLICATE","OK")</f>
        <v>OK</v>
      </c>
      <c r="M2267" t="str">
        <f>IF(COUNTIF(role_data[role_id],role_course_map[[#This Row],[role_id]])=0, "INVALID","VALID")</f>
        <v>VALID</v>
      </c>
      <c r="N2267" t="str">
        <f>IF(COUNTIF(course_data[course_id],role_course_map[[#This Row],[course_id]])=0, "INVALID","VALID")</f>
        <v>VALID</v>
      </c>
    </row>
    <row r="2268" spans="1:14" x14ac:dyDescent="0.35">
      <c r="A2268" t="s">
        <v>363</v>
      </c>
      <c r="B2268" s="5" t="str">
        <f>_xlfn.XLOOKUP(role_course_map[[#This Row],[role_id]], role_data[role_id], role_data[Role],"")</f>
        <v>Lead Infection Prevention and Control Practitioner</v>
      </c>
      <c r="C2268">
        <v>999093</v>
      </c>
      <c r="D2268" s="5" t="str">
        <f>_xlfn.XLOOKUP(role_course_map[[#This Row],[course_id]],course_data[course_id],course_data[title],"")</f>
        <v>Managing Wellbeing Refresher for Managers</v>
      </c>
      <c r="E2268" s="5" t="str">
        <f>_xlfn.XLOOKUP(role_course_map[[#This Row],[course_id]],course_data[course_id],course_data[topic],"")</f>
        <v>SAS: Staff development and experience</v>
      </c>
      <c r="F2268" s="5" t="str">
        <f>_xlfn.XLOOKUP(role_course_map[[#This Row],[course_id]],course_data[course_id],course_data[type],"")</f>
        <v>eLearning</v>
      </c>
      <c r="K2268" t="str">
        <f>role_course_map[[#This Row],[role_id]] &amp; "|" &amp; role_course_map[[#This Row],[course_id]]</f>
        <v>R0174|999093</v>
      </c>
      <c r="L2268" t="str">
        <f>IF(COUNTIF(role_course_map[mapping_key],role_course_map[[#This Row],[mapping_key]])&gt;1,"DUPLICATE","OK")</f>
        <v>OK</v>
      </c>
      <c r="M2268" t="str">
        <f>IF(COUNTIF(role_data[role_id],role_course_map[[#This Row],[role_id]])=0, "INVALID","VALID")</f>
        <v>VALID</v>
      </c>
      <c r="N2268" t="str">
        <f>IF(COUNTIF(course_data[course_id],role_course_map[[#This Row],[course_id]])=0, "INVALID","VALID")</f>
        <v>VALID</v>
      </c>
    </row>
    <row r="2269" spans="1:14" x14ac:dyDescent="0.35">
      <c r="A2269" t="s">
        <v>363</v>
      </c>
      <c r="B2269" s="5" t="str">
        <f>_xlfn.XLOOKUP(role_course_map[[#This Row],[role_id]], role_data[role_id], role_data[Role],"")</f>
        <v>Lead Infection Prevention and Control Practitioner</v>
      </c>
      <c r="C2269">
        <v>999094</v>
      </c>
      <c r="D2269" s="5" t="str">
        <f>_xlfn.XLOOKUP(role_course_map[[#This Row],[course_id]],course_data[course_id],course_data[title],"")</f>
        <v>Being well, Mind, Body &amp; Workplace</v>
      </c>
      <c r="E2269" s="5" t="str">
        <f>_xlfn.XLOOKUP(role_course_map[[#This Row],[course_id]],course_data[course_id],course_data[topic],"")</f>
        <v>SAS: Staff development and experience</v>
      </c>
      <c r="F2269" s="5" t="str">
        <f>_xlfn.XLOOKUP(role_course_map[[#This Row],[course_id]],course_data[course_id],course_data[type],"")</f>
        <v>eLearning</v>
      </c>
      <c r="K2269" t="str">
        <f>role_course_map[[#This Row],[role_id]] &amp; "|" &amp; role_course_map[[#This Row],[course_id]]</f>
        <v>R0174|999094</v>
      </c>
      <c r="L2269" t="str">
        <f>IF(COUNTIF(role_course_map[mapping_key],role_course_map[[#This Row],[mapping_key]])&gt;1,"DUPLICATE","OK")</f>
        <v>OK</v>
      </c>
      <c r="M2269" t="str">
        <f>IF(COUNTIF(role_data[role_id],role_course_map[[#This Row],[role_id]])=0, "INVALID","VALID")</f>
        <v>VALID</v>
      </c>
      <c r="N2269" t="str">
        <f>IF(COUNTIF(course_data[course_id],role_course_map[[#This Row],[course_id]])=0, "INVALID","VALID")</f>
        <v>VALID</v>
      </c>
    </row>
    <row r="2270" spans="1:14" x14ac:dyDescent="0.35">
      <c r="A2270" t="s">
        <v>363</v>
      </c>
      <c r="B2270" s="5" t="str">
        <f>_xlfn.XLOOKUP(role_course_map[[#This Row],[role_id]], role_data[role_id], role_data[Role],"")</f>
        <v>Lead Infection Prevention and Control Practitioner</v>
      </c>
      <c r="C2270">
        <v>999062</v>
      </c>
      <c r="D2270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2270" s="5" t="str">
        <f>_xlfn.XLOOKUP(role_course_map[[#This Row],[course_id]],course_data[course_id],course_data[topic],"")</f>
        <v>SAS : Health and Safety</v>
      </c>
      <c r="F2270" s="5" t="str">
        <f>_xlfn.XLOOKUP(role_course_map[[#This Row],[course_id]],course_data[course_id],course_data[type],"")</f>
        <v>Course</v>
      </c>
      <c r="K2270" t="str">
        <f>role_course_map[[#This Row],[role_id]] &amp; "|" &amp; role_course_map[[#This Row],[course_id]]</f>
        <v>R0174|999062</v>
      </c>
      <c r="L2270" t="str">
        <f>IF(COUNTIF(role_course_map[mapping_key],role_course_map[[#This Row],[mapping_key]])&gt;1,"DUPLICATE","OK")</f>
        <v>OK</v>
      </c>
      <c r="M2270" t="str">
        <f>IF(COUNTIF(role_data[role_id],role_course_map[[#This Row],[role_id]])=0, "INVALID","VALID")</f>
        <v>VALID</v>
      </c>
      <c r="N2270" t="str">
        <f>IF(COUNTIF(course_data[course_id],role_course_map[[#This Row],[course_id]])=0, "INVALID","VALID")</f>
        <v>VALID</v>
      </c>
    </row>
    <row r="2271" spans="1:14" x14ac:dyDescent="0.35">
      <c r="A2271" t="s">
        <v>363</v>
      </c>
      <c r="B2271" s="5" t="str">
        <f>_xlfn.XLOOKUP(role_course_map[[#This Row],[role_id]], role_data[role_id], role_data[Role],"")</f>
        <v>Lead Infection Prevention and Control Practitioner</v>
      </c>
      <c r="C2271">
        <v>999056</v>
      </c>
      <c r="D2271" s="5" t="str">
        <f>_xlfn.XLOOKUP(role_course_map[[#This Row],[course_id]],course_data[course_id],course_data[title],"")</f>
        <v>Driver Assessment &amp; Training</v>
      </c>
      <c r="E2271" s="5" t="str">
        <f>_xlfn.XLOOKUP(role_course_map[[#This Row],[course_id]],course_data[course_id],course_data[topic],"")</f>
        <v>SAS : Health and Safety</v>
      </c>
      <c r="F2271" s="5" t="str">
        <f>_xlfn.XLOOKUP(role_course_map[[#This Row],[course_id]],course_data[course_id],course_data[type],"")</f>
        <v>eLearning</v>
      </c>
      <c r="K2271" t="str">
        <f>role_course_map[[#This Row],[role_id]] &amp; "|" &amp; role_course_map[[#This Row],[course_id]]</f>
        <v>R0174|999056</v>
      </c>
      <c r="L2271" t="str">
        <f>IF(COUNTIF(role_course_map[mapping_key],role_course_map[[#This Row],[mapping_key]])&gt;1,"DUPLICATE","OK")</f>
        <v>OK</v>
      </c>
      <c r="M2271" t="str">
        <f>IF(COUNTIF(role_data[role_id],role_course_map[[#This Row],[role_id]])=0, "INVALID","VALID")</f>
        <v>VALID</v>
      </c>
      <c r="N2271" t="str">
        <f>IF(COUNTIF(course_data[course_id],role_course_map[[#This Row],[course_id]])=0, "INVALID","VALID")</f>
        <v>VALID</v>
      </c>
    </row>
    <row r="2272" spans="1:14" x14ac:dyDescent="0.35">
      <c r="A2272" t="s">
        <v>363</v>
      </c>
      <c r="B2272" s="5" t="str">
        <f>_xlfn.XLOOKUP(role_course_map[[#This Row],[role_id]], role_data[role_id], role_data[Role],"")</f>
        <v>Lead Infection Prevention and Control Practitioner</v>
      </c>
      <c r="C2272">
        <v>999057</v>
      </c>
      <c r="D2272" s="5" t="str">
        <f>_xlfn.XLOOKUP(role_course_map[[#This Row],[course_id]],course_data[course_id],course_data[title],"")</f>
        <v>Fatigue Awareness</v>
      </c>
      <c r="E2272" s="5" t="str">
        <f>_xlfn.XLOOKUP(role_course_map[[#This Row],[course_id]],course_data[course_id],course_data[topic],"")</f>
        <v>SAS : Health and Safety</v>
      </c>
      <c r="F2272" s="5" t="str">
        <f>_xlfn.XLOOKUP(role_course_map[[#This Row],[course_id]],course_data[course_id],course_data[type],"")</f>
        <v>eLearning</v>
      </c>
      <c r="K2272" t="str">
        <f>role_course_map[[#This Row],[role_id]] &amp; "|" &amp; role_course_map[[#This Row],[course_id]]</f>
        <v>R0174|999057</v>
      </c>
      <c r="L2272" t="str">
        <f>IF(COUNTIF(role_course_map[mapping_key],role_course_map[[#This Row],[mapping_key]])&gt;1,"DUPLICATE","OK")</f>
        <v>OK</v>
      </c>
      <c r="M2272" t="str">
        <f>IF(COUNTIF(role_data[role_id],role_course_map[[#This Row],[role_id]])=0, "INVALID","VALID")</f>
        <v>VALID</v>
      </c>
      <c r="N2272" t="str">
        <f>IF(COUNTIF(course_data[course_id],role_course_map[[#This Row],[course_id]])=0, "INVALID","VALID")</f>
        <v>VALID</v>
      </c>
    </row>
    <row r="2273" spans="1:14" x14ac:dyDescent="0.35">
      <c r="A2273" t="s">
        <v>363</v>
      </c>
      <c r="B2273" s="5" t="str">
        <f>_xlfn.XLOOKUP(role_course_map[[#This Row],[role_id]], role_data[role_id], role_data[Role],"")</f>
        <v>Lead Infection Prevention and Control Practitioner</v>
      </c>
      <c r="C2273">
        <v>999058</v>
      </c>
      <c r="D2273" s="5" t="str">
        <f>_xlfn.XLOOKUP(role_course_map[[#This Row],[course_id]],course_data[course_id],course_data[title],"")</f>
        <v>Stress Identification &amp; Stress Management</v>
      </c>
      <c r="E2273" s="5" t="str">
        <f>_xlfn.XLOOKUP(role_course_map[[#This Row],[course_id]],course_data[course_id],course_data[topic],"")</f>
        <v>SAS : Health and Safety</v>
      </c>
      <c r="F2273" s="5" t="str">
        <f>_xlfn.XLOOKUP(role_course_map[[#This Row],[course_id]],course_data[course_id],course_data[type],"")</f>
        <v>eLearning</v>
      </c>
      <c r="K2273" t="str">
        <f>role_course_map[[#This Row],[role_id]] &amp; "|" &amp; role_course_map[[#This Row],[course_id]]</f>
        <v>R0174|999058</v>
      </c>
      <c r="L2273" t="str">
        <f>IF(COUNTIF(role_course_map[mapping_key],role_course_map[[#This Row],[mapping_key]])&gt;1,"DUPLICATE","OK")</f>
        <v>OK</v>
      </c>
      <c r="M2273" t="str">
        <f>IF(COUNTIF(role_data[role_id],role_course_map[[#This Row],[role_id]])=0, "INVALID","VALID")</f>
        <v>VALID</v>
      </c>
      <c r="N2273" t="str">
        <f>IF(COUNTIF(course_data[course_id],role_course_map[[#This Row],[course_id]])=0, "INVALID","VALID")</f>
        <v>VALID</v>
      </c>
    </row>
    <row r="2274" spans="1:14" x14ac:dyDescent="0.35">
      <c r="A2274" t="s">
        <v>365</v>
      </c>
      <c r="B2274" s="5" t="str">
        <f>_xlfn.XLOOKUP(role_course_map[[#This Row],[role_id]], role_data[role_id], role_data[Role],"")</f>
        <v>Senior Infection Prevention and Control Practitioner</v>
      </c>
      <c r="C2274">
        <v>999065</v>
      </c>
      <c r="D2274" s="5" t="str">
        <f>_xlfn.XLOOKUP(role_course_map[[#This Row],[course_id]],course_data[course_id],course_data[title],"")</f>
        <v>Patient placement / assessment for infection risk</v>
      </c>
      <c r="E2274" s="5" t="str">
        <f>_xlfn.XLOOKUP(role_course_map[[#This Row],[course_id]],course_data[course_id],course_data[topic],"")</f>
        <v>SAS : Infection Prevention and Control (IPC)</v>
      </c>
      <c r="F2274" s="5" t="str">
        <f>_xlfn.XLOOKUP(role_course_map[[#This Row],[course_id]],course_data[course_id],course_data[type],"")</f>
        <v>eLearning</v>
      </c>
      <c r="K2274" t="str">
        <f>role_course_map[[#This Row],[role_id]] &amp; "|" &amp; role_course_map[[#This Row],[course_id]]</f>
        <v>R0175|999065</v>
      </c>
      <c r="L2274" t="str">
        <f>IF(COUNTIF(role_course_map[mapping_key],role_course_map[[#This Row],[mapping_key]])&gt;1,"DUPLICATE","OK")</f>
        <v>OK</v>
      </c>
      <c r="M2274" t="str">
        <f>IF(COUNTIF(role_data[role_id],role_course_map[[#This Row],[role_id]])=0, "INVALID","VALID")</f>
        <v>VALID</v>
      </c>
      <c r="N2274" t="str">
        <f>IF(COUNTIF(course_data[course_id],role_course_map[[#This Row],[course_id]])=0, "INVALID","VALID")</f>
        <v>VALID</v>
      </c>
    </row>
    <row r="2275" spans="1:14" x14ac:dyDescent="0.35">
      <c r="A2275" t="s">
        <v>365</v>
      </c>
      <c r="B2275" s="5" t="str">
        <f>_xlfn.XLOOKUP(role_course_map[[#This Row],[role_id]], role_data[role_id], role_data[Role],"")</f>
        <v>Senior Infection Prevention and Control Practitioner</v>
      </c>
      <c r="C2275">
        <v>89157</v>
      </c>
      <c r="D2275" s="5" t="str">
        <f>_xlfn.XLOOKUP(role_course_map[[#This Row],[course_id]],course_data[course_id],course_data[title],"")</f>
        <v>Safe Management of Care Equipment</v>
      </c>
      <c r="E2275" s="5" t="str">
        <f>_xlfn.XLOOKUP(role_course_map[[#This Row],[course_id]],course_data[course_id],course_data[topic],"")</f>
        <v>SAS : Infection Prevention and Control (IPC)</v>
      </c>
      <c r="F2275" s="5" t="str">
        <f>_xlfn.XLOOKUP(role_course_map[[#This Row],[course_id]],course_data[course_id],course_data[type],"")</f>
        <v>eLearning</v>
      </c>
      <c r="K2275" t="str">
        <f>role_course_map[[#This Row],[role_id]] &amp; "|" &amp; role_course_map[[#This Row],[course_id]]</f>
        <v>R0175|89157</v>
      </c>
      <c r="L2275" t="str">
        <f>IF(COUNTIF(role_course_map[mapping_key],role_course_map[[#This Row],[mapping_key]])&gt;1,"DUPLICATE","OK")</f>
        <v>OK</v>
      </c>
      <c r="M2275" t="str">
        <f>IF(COUNTIF(role_data[role_id],role_course_map[[#This Row],[role_id]])=0, "INVALID","VALID")</f>
        <v>VALID</v>
      </c>
      <c r="N2275" t="str">
        <f>IF(COUNTIF(course_data[course_id],role_course_map[[#This Row],[course_id]])=0, "INVALID","VALID")</f>
        <v>VALID</v>
      </c>
    </row>
    <row r="2276" spans="1:14" x14ac:dyDescent="0.35">
      <c r="A2276" t="s">
        <v>365</v>
      </c>
      <c r="B2276" s="5" t="str">
        <f>_xlfn.XLOOKUP(role_course_map[[#This Row],[role_id]], role_data[role_id], role_data[Role],"")</f>
        <v>Senior Infection Prevention and Control Practitioner</v>
      </c>
      <c r="C2276">
        <v>89158</v>
      </c>
      <c r="D2276" s="5" t="str">
        <f>_xlfn.XLOOKUP(role_course_map[[#This Row],[course_id]],course_data[course_id],course_data[title],"")</f>
        <v>Safe Management of Care Environment</v>
      </c>
      <c r="E2276" s="5" t="str">
        <f>_xlfn.XLOOKUP(role_course_map[[#This Row],[course_id]],course_data[course_id],course_data[topic],"")</f>
        <v>SAS : Infection Prevention and Control (IPC)</v>
      </c>
      <c r="F2276" s="5" t="str">
        <f>_xlfn.XLOOKUP(role_course_map[[#This Row],[course_id]],course_data[course_id],course_data[type],"")</f>
        <v>eLearning</v>
      </c>
      <c r="K2276" t="str">
        <f>role_course_map[[#This Row],[role_id]] &amp; "|" &amp; role_course_map[[#This Row],[course_id]]</f>
        <v>R0175|89158</v>
      </c>
      <c r="L2276" t="str">
        <f>IF(COUNTIF(role_course_map[mapping_key],role_course_map[[#This Row],[mapping_key]])&gt;1,"DUPLICATE","OK")</f>
        <v>OK</v>
      </c>
      <c r="M2276" t="str">
        <f>IF(COUNTIF(role_data[role_id],role_course_map[[#This Row],[role_id]])=0, "INVALID","VALID")</f>
        <v>VALID</v>
      </c>
      <c r="N2276" t="str">
        <f>IF(COUNTIF(course_data[course_id],role_course_map[[#This Row],[course_id]])=0, "INVALID","VALID")</f>
        <v>VALID</v>
      </c>
    </row>
    <row r="2277" spans="1:14" x14ac:dyDescent="0.35">
      <c r="A2277" t="s">
        <v>365</v>
      </c>
      <c r="B2277" s="5" t="str">
        <f>_xlfn.XLOOKUP(role_course_map[[#This Row],[role_id]], role_data[role_id], role_data[Role],"")</f>
        <v>Senior Infection Prevention and Control Practitioner</v>
      </c>
      <c r="C2277">
        <v>89159</v>
      </c>
      <c r="D2277" s="5" t="str">
        <f>_xlfn.XLOOKUP(role_course_map[[#This Row],[course_id]],course_data[course_id],course_data[title],"")</f>
        <v>Safe Management of Linen</v>
      </c>
      <c r="E2277" s="5" t="str">
        <f>_xlfn.XLOOKUP(role_course_map[[#This Row],[course_id]],course_data[course_id],course_data[topic],"")</f>
        <v>SAS : Infection Prevention and Control (IPC)</v>
      </c>
      <c r="F2277" s="5" t="str">
        <f>_xlfn.XLOOKUP(role_course_map[[#This Row],[course_id]],course_data[course_id],course_data[type],"")</f>
        <v>eLearning</v>
      </c>
      <c r="K2277" t="str">
        <f>role_course_map[[#This Row],[role_id]] &amp; "|" &amp; role_course_map[[#This Row],[course_id]]</f>
        <v>R0175|89159</v>
      </c>
      <c r="L2277" t="str">
        <f>IF(COUNTIF(role_course_map[mapping_key],role_course_map[[#This Row],[mapping_key]])&gt;1,"DUPLICATE","OK")</f>
        <v>OK</v>
      </c>
      <c r="M2277" t="str">
        <f>IF(COUNTIF(role_data[role_id],role_course_map[[#This Row],[role_id]])=0, "INVALID","VALID")</f>
        <v>VALID</v>
      </c>
      <c r="N2277" t="str">
        <f>IF(COUNTIF(course_data[course_id],role_course_map[[#This Row],[course_id]])=0, "INVALID","VALID")</f>
        <v>VALID</v>
      </c>
    </row>
    <row r="2278" spans="1:14" x14ac:dyDescent="0.35">
      <c r="A2278" t="s">
        <v>365</v>
      </c>
      <c r="B2278" s="5" t="str">
        <f>_xlfn.XLOOKUP(role_course_map[[#This Row],[role_id]], role_data[role_id], role_data[Role],"")</f>
        <v>Senior Infection Prevention and Control Practitioner</v>
      </c>
      <c r="C2278">
        <v>89160</v>
      </c>
      <c r="D2278" s="5" t="str">
        <f>_xlfn.XLOOKUP(role_course_map[[#This Row],[course_id]],course_data[course_id],course_data[title],"")</f>
        <v>Safe Management of blood and body fluids</v>
      </c>
      <c r="E2278" s="5" t="str">
        <f>_xlfn.XLOOKUP(role_course_map[[#This Row],[course_id]],course_data[course_id],course_data[topic],"")</f>
        <v>SAS : Infection Prevention and Control (IPC)</v>
      </c>
      <c r="F2278" s="5" t="str">
        <f>_xlfn.XLOOKUP(role_course_map[[#This Row],[course_id]],course_data[course_id],course_data[type],"")</f>
        <v>eLearning</v>
      </c>
      <c r="K2278" t="str">
        <f>role_course_map[[#This Row],[role_id]] &amp; "|" &amp; role_course_map[[#This Row],[course_id]]</f>
        <v>R0175|89160</v>
      </c>
      <c r="L2278" t="str">
        <f>IF(COUNTIF(role_course_map[mapping_key],role_course_map[[#This Row],[mapping_key]])&gt;1,"DUPLICATE","OK")</f>
        <v>OK</v>
      </c>
      <c r="M2278" t="str">
        <f>IF(COUNTIF(role_data[role_id],role_course_map[[#This Row],[role_id]])=0, "INVALID","VALID")</f>
        <v>VALID</v>
      </c>
      <c r="N2278" t="str">
        <f>IF(COUNTIF(course_data[course_id],role_course_map[[#This Row],[course_id]])=0, "INVALID","VALID")</f>
        <v>VALID</v>
      </c>
    </row>
    <row r="2279" spans="1:14" x14ac:dyDescent="0.35">
      <c r="A2279" t="s">
        <v>365</v>
      </c>
      <c r="B2279" s="5" t="str">
        <f>_xlfn.XLOOKUP(role_course_map[[#This Row],[role_id]], role_data[role_id], role_data[Role],"")</f>
        <v>Senior Infection Prevention and Control Practitioner</v>
      </c>
      <c r="C2279">
        <v>89154</v>
      </c>
      <c r="D2279" s="5" t="str">
        <f>_xlfn.XLOOKUP(role_course_map[[#This Row],[course_id]],course_data[course_id],course_data[title],"")</f>
        <v>Safe disposal of waste</v>
      </c>
      <c r="E2279" s="5" t="str">
        <f>_xlfn.XLOOKUP(role_course_map[[#This Row],[course_id]],course_data[course_id],course_data[topic],"")</f>
        <v>SAS : Infection Prevention and Control (IPC)</v>
      </c>
      <c r="F2279" s="5" t="str">
        <f>_xlfn.XLOOKUP(role_course_map[[#This Row],[course_id]],course_data[course_id],course_data[type],"")</f>
        <v>eLearning</v>
      </c>
      <c r="K2279" t="str">
        <f>role_course_map[[#This Row],[role_id]] &amp; "|" &amp; role_course_map[[#This Row],[course_id]]</f>
        <v>R0175|89154</v>
      </c>
      <c r="L2279" t="str">
        <f>IF(COUNTIF(role_course_map[mapping_key],role_course_map[[#This Row],[mapping_key]])&gt;1,"DUPLICATE","OK")</f>
        <v>OK</v>
      </c>
      <c r="M2279" t="str">
        <f>IF(COUNTIF(role_data[role_id],role_course_map[[#This Row],[role_id]])=0, "INVALID","VALID")</f>
        <v>VALID</v>
      </c>
      <c r="N2279" t="str">
        <f>IF(COUNTIF(course_data[course_id],role_course_map[[#This Row],[course_id]])=0, "INVALID","VALID")</f>
        <v>VALID</v>
      </c>
    </row>
    <row r="2280" spans="1:14" x14ac:dyDescent="0.35">
      <c r="A2280" t="s">
        <v>365</v>
      </c>
      <c r="B2280" s="5" t="str">
        <f>_xlfn.XLOOKUP(role_course_map[[#This Row],[role_id]], role_data[role_id], role_data[Role],"")</f>
        <v>Senior Infection Prevention and Control Practitioner</v>
      </c>
      <c r="C2280">
        <v>89155</v>
      </c>
      <c r="D2280" s="5" t="str">
        <f>_xlfn.XLOOKUP(role_course_map[[#This Row],[course_id]],course_data[course_id],course_data[title],"")</f>
        <v>Prevention &amp; management of occupational exposure</v>
      </c>
      <c r="E2280" s="5" t="str">
        <f>_xlfn.XLOOKUP(role_course_map[[#This Row],[course_id]],course_data[course_id],course_data[topic],"")</f>
        <v>SAS : Infection Prevention and Control (IPC)</v>
      </c>
      <c r="F2280" s="5" t="str">
        <f>_xlfn.XLOOKUP(role_course_map[[#This Row],[course_id]],course_data[course_id],course_data[type],"")</f>
        <v>eLearning</v>
      </c>
      <c r="K2280" t="str">
        <f>role_course_map[[#This Row],[role_id]] &amp; "|" &amp; role_course_map[[#This Row],[course_id]]</f>
        <v>R0175|89155</v>
      </c>
      <c r="L2280" t="str">
        <f>IF(COUNTIF(role_course_map[mapping_key],role_course_map[[#This Row],[mapping_key]])&gt;1,"DUPLICATE","OK")</f>
        <v>OK</v>
      </c>
      <c r="M2280" t="str">
        <f>IF(COUNTIF(role_data[role_id],role_course_map[[#This Row],[role_id]])=0, "INVALID","VALID")</f>
        <v>VALID</v>
      </c>
      <c r="N2280" t="str">
        <f>IF(COUNTIF(course_data[course_id],role_course_map[[#This Row],[course_id]])=0, "INVALID","VALID")</f>
        <v>VALID</v>
      </c>
    </row>
    <row r="2281" spans="1:14" x14ac:dyDescent="0.35">
      <c r="A2281" t="s">
        <v>365</v>
      </c>
      <c r="B2281" s="5" t="str">
        <f>_xlfn.XLOOKUP(role_course_map[[#This Row],[role_id]], role_data[role_id], role_data[Role],"")</f>
        <v>Senior Infection Prevention and Control Practitioner</v>
      </c>
      <c r="C2281">
        <v>75406</v>
      </c>
      <c r="D2281" s="5" t="str">
        <f>_xlfn.XLOOKUP(role_course_map[[#This Row],[course_id]],course_data[course_id],course_data[title],"")</f>
        <v>Foundation Leadership and Management Programme (FLMP)</v>
      </c>
      <c r="E2281" s="5" t="str">
        <f>_xlfn.XLOOKUP(role_course_map[[#This Row],[course_id]],course_data[course_id],course_data[topic],"")</f>
        <v>SAS: Staff development and experience</v>
      </c>
      <c r="F2281" s="5" t="str">
        <f>_xlfn.XLOOKUP(role_course_map[[#This Row],[course_id]],course_data[course_id],course_data[type],"")</f>
        <v>Page</v>
      </c>
      <c r="K2281" t="str">
        <f>role_course_map[[#This Row],[role_id]] &amp; "|" &amp; role_course_map[[#This Row],[course_id]]</f>
        <v>R0175|75406</v>
      </c>
      <c r="L2281" t="str">
        <f>IF(COUNTIF(role_course_map[mapping_key],role_course_map[[#This Row],[mapping_key]])&gt;1,"DUPLICATE","OK")</f>
        <v>OK</v>
      </c>
      <c r="M2281" t="str">
        <f>IF(COUNTIF(role_data[role_id],role_course_map[[#This Row],[role_id]])=0, "INVALID","VALID")</f>
        <v>VALID</v>
      </c>
      <c r="N2281" t="str">
        <f>IF(COUNTIF(course_data[course_id],role_course_map[[#This Row],[course_id]])=0, "INVALID","VALID")</f>
        <v>VALID</v>
      </c>
    </row>
    <row r="2282" spans="1:14" x14ac:dyDescent="0.35">
      <c r="A2282" t="s">
        <v>365</v>
      </c>
      <c r="B2282" s="5" t="str">
        <f>_xlfn.XLOOKUP(role_course_map[[#This Row],[role_id]], role_data[role_id], role_data[Role],"")</f>
        <v>Senior Infection Prevention and Control Practitioner</v>
      </c>
      <c r="C2282">
        <v>75407</v>
      </c>
      <c r="D2282" s="5" t="str">
        <f>_xlfn.XLOOKUP(role_course_map[[#This Row],[course_id]],course_data[course_id],course_data[title],"")</f>
        <v>Aspirant Leader Development Programme (ALDP)</v>
      </c>
      <c r="E2282" s="5" t="str">
        <f>_xlfn.XLOOKUP(role_course_map[[#This Row],[course_id]],course_data[course_id],course_data[topic],"")</f>
        <v>SAS: Staff development and experience</v>
      </c>
      <c r="F2282" s="5" t="str">
        <f>_xlfn.XLOOKUP(role_course_map[[#This Row],[course_id]],course_data[course_id],course_data[type],"")</f>
        <v>Page</v>
      </c>
      <c r="K2282" t="str">
        <f>role_course_map[[#This Row],[role_id]] &amp; "|" &amp; role_course_map[[#This Row],[course_id]]</f>
        <v>R0175|75407</v>
      </c>
      <c r="L2282" t="str">
        <f>IF(COUNTIF(role_course_map[mapping_key],role_course_map[[#This Row],[mapping_key]])&gt;1,"DUPLICATE","OK")</f>
        <v>OK</v>
      </c>
      <c r="M2282" t="str">
        <f>IF(COUNTIF(role_data[role_id],role_course_map[[#This Row],[role_id]])=0, "INVALID","VALID")</f>
        <v>VALID</v>
      </c>
      <c r="N2282" t="str">
        <f>IF(COUNTIF(course_data[course_id],role_course_map[[#This Row],[course_id]])=0, "INVALID","VALID")</f>
        <v>VALID</v>
      </c>
    </row>
    <row r="2283" spans="1:14" x14ac:dyDescent="0.35">
      <c r="A2283" t="s">
        <v>365</v>
      </c>
      <c r="B2283" s="5" t="str">
        <f>_xlfn.XLOOKUP(role_course_map[[#This Row],[role_id]], role_data[role_id], role_data[Role],"")</f>
        <v>Senior Infection Prevention and Control Practitioner</v>
      </c>
      <c r="C2283">
        <v>999092</v>
      </c>
      <c r="D2283" s="5" t="str">
        <f>_xlfn.XLOOKUP(role_course_map[[#This Row],[course_id]],course_data[course_id],course_data[title],"")</f>
        <v>Health &amp; Wellbeing Awareness for Managers</v>
      </c>
      <c r="E2283" s="5" t="str">
        <f>_xlfn.XLOOKUP(role_course_map[[#This Row],[course_id]],course_data[course_id],course_data[topic],"")</f>
        <v>SAS: Staff development and experience</v>
      </c>
      <c r="F2283" s="5" t="str">
        <f>_xlfn.XLOOKUP(role_course_map[[#This Row],[course_id]],course_data[course_id],course_data[type],"")</f>
        <v>eLearning</v>
      </c>
      <c r="K2283" t="str">
        <f>role_course_map[[#This Row],[role_id]] &amp; "|" &amp; role_course_map[[#This Row],[course_id]]</f>
        <v>R0175|999092</v>
      </c>
      <c r="L2283" t="str">
        <f>IF(COUNTIF(role_course_map[mapping_key],role_course_map[[#This Row],[mapping_key]])&gt;1,"DUPLICATE","OK")</f>
        <v>OK</v>
      </c>
      <c r="M2283" t="str">
        <f>IF(COUNTIF(role_data[role_id],role_course_map[[#This Row],[role_id]])=0, "INVALID","VALID")</f>
        <v>VALID</v>
      </c>
      <c r="N2283" t="str">
        <f>IF(COUNTIF(course_data[course_id],role_course_map[[#This Row],[course_id]])=0, "INVALID","VALID")</f>
        <v>VALID</v>
      </c>
    </row>
    <row r="2284" spans="1:14" x14ac:dyDescent="0.35">
      <c r="A2284" t="s">
        <v>365</v>
      </c>
      <c r="B2284" s="5" t="str">
        <f>_xlfn.XLOOKUP(role_course_map[[#This Row],[role_id]], role_data[role_id], role_data[Role],"")</f>
        <v>Senior Infection Prevention and Control Practitioner</v>
      </c>
      <c r="C2284">
        <v>999093</v>
      </c>
      <c r="D2284" s="5" t="str">
        <f>_xlfn.XLOOKUP(role_course_map[[#This Row],[course_id]],course_data[course_id],course_data[title],"")</f>
        <v>Managing Wellbeing Refresher for Managers</v>
      </c>
      <c r="E2284" s="5" t="str">
        <f>_xlfn.XLOOKUP(role_course_map[[#This Row],[course_id]],course_data[course_id],course_data[topic],"")</f>
        <v>SAS: Staff development and experience</v>
      </c>
      <c r="F2284" s="5" t="str">
        <f>_xlfn.XLOOKUP(role_course_map[[#This Row],[course_id]],course_data[course_id],course_data[type],"")</f>
        <v>eLearning</v>
      </c>
      <c r="K2284" t="str">
        <f>role_course_map[[#This Row],[role_id]] &amp; "|" &amp; role_course_map[[#This Row],[course_id]]</f>
        <v>R0175|999093</v>
      </c>
      <c r="L2284" t="str">
        <f>IF(COUNTIF(role_course_map[mapping_key],role_course_map[[#This Row],[mapping_key]])&gt;1,"DUPLICATE","OK")</f>
        <v>OK</v>
      </c>
      <c r="M2284" t="str">
        <f>IF(COUNTIF(role_data[role_id],role_course_map[[#This Row],[role_id]])=0, "INVALID","VALID")</f>
        <v>VALID</v>
      </c>
      <c r="N2284" t="str">
        <f>IF(COUNTIF(course_data[course_id],role_course_map[[#This Row],[course_id]])=0, "INVALID","VALID")</f>
        <v>VALID</v>
      </c>
    </row>
    <row r="2285" spans="1:14" x14ac:dyDescent="0.35">
      <c r="A2285" t="s">
        <v>365</v>
      </c>
      <c r="B2285" s="5" t="str">
        <f>_xlfn.XLOOKUP(role_course_map[[#This Row],[role_id]], role_data[role_id], role_data[Role],"")</f>
        <v>Senior Infection Prevention and Control Practitioner</v>
      </c>
      <c r="C2285">
        <v>999094</v>
      </c>
      <c r="D2285" s="5" t="str">
        <f>_xlfn.XLOOKUP(role_course_map[[#This Row],[course_id]],course_data[course_id],course_data[title],"")</f>
        <v>Being well, Mind, Body &amp; Workplace</v>
      </c>
      <c r="E2285" s="5" t="str">
        <f>_xlfn.XLOOKUP(role_course_map[[#This Row],[course_id]],course_data[course_id],course_data[topic],"")</f>
        <v>SAS: Staff development and experience</v>
      </c>
      <c r="F2285" s="5" t="str">
        <f>_xlfn.XLOOKUP(role_course_map[[#This Row],[course_id]],course_data[course_id],course_data[type],"")</f>
        <v>eLearning</v>
      </c>
      <c r="K2285" t="str">
        <f>role_course_map[[#This Row],[role_id]] &amp; "|" &amp; role_course_map[[#This Row],[course_id]]</f>
        <v>R0175|999094</v>
      </c>
      <c r="L2285" t="str">
        <f>IF(COUNTIF(role_course_map[mapping_key],role_course_map[[#This Row],[mapping_key]])&gt;1,"DUPLICATE","OK")</f>
        <v>OK</v>
      </c>
      <c r="M2285" t="str">
        <f>IF(COUNTIF(role_data[role_id],role_course_map[[#This Row],[role_id]])=0, "INVALID","VALID")</f>
        <v>VALID</v>
      </c>
      <c r="N2285" t="str">
        <f>IF(COUNTIF(course_data[course_id],role_course_map[[#This Row],[course_id]])=0, "INVALID","VALID")</f>
        <v>VALID</v>
      </c>
    </row>
    <row r="2286" spans="1:14" x14ac:dyDescent="0.35">
      <c r="A2286" t="s">
        <v>365</v>
      </c>
      <c r="B2286" s="5" t="str">
        <f>_xlfn.XLOOKUP(role_course_map[[#This Row],[role_id]], role_data[role_id], role_data[Role],"")</f>
        <v>Senior Infection Prevention and Control Practitioner</v>
      </c>
      <c r="C2286">
        <v>999062</v>
      </c>
      <c r="D2286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2286" s="5" t="str">
        <f>_xlfn.XLOOKUP(role_course_map[[#This Row],[course_id]],course_data[course_id],course_data[topic],"")</f>
        <v>SAS : Health and Safety</v>
      </c>
      <c r="F2286" s="5" t="str">
        <f>_xlfn.XLOOKUP(role_course_map[[#This Row],[course_id]],course_data[course_id],course_data[type],"")</f>
        <v>Course</v>
      </c>
      <c r="K2286" t="str">
        <f>role_course_map[[#This Row],[role_id]] &amp; "|" &amp; role_course_map[[#This Row],[course_id]]</f>
        <v>R0175|999062</v>
      </c>
      <c r="L2286" t="str">
        <f>IF(COUNTIF(role_course_map[mapping_key],role_course_map[[#This Row],[mapping_key]])&gt;1,"DUPLICATE","OK")</f>
        <v>OK</v>
      </c>
      <c r="M2286" t="str">
        <f>IF(COUNTIF(role_data[role_id],role_course_map[[#This Row],[role_id]])=0, "INVALID","VALID")</f>
        <v>VALID</v>
      </c>
      <c r="N2286" t="str">
        <f>IF(COUNTIF(course_data[course_id],role_course_map[[#This Row],[course_id]])=0, "INVALID","VALID")</f>
        <v>VALID</v>
      </c>
    </row>
    <row r="2287" spans="1:14" x14ac:dyDescent="0.35">
      <c r="A2287" t="s">
        <v>365</v>
      </c>
      <c r="B2287" s="5" t="str">
        <f>_xlfn.XLOOKUP(role_course_map[[#This Row],[role_id]], role_data[role_id], role_data[Role],"")</f>
        <v>Senior Infection Prevention and Control Practitioner</v>
      </c>
      <c r="C2287">
        <v>999056</v>
      </c>
      <c r="D2287" s="5" t="str">
        <f>_xlfn.XLOOKUP(role_course_map[[#This Row],[course_id]],course_data[course_id],course_data[title],"")</f>
        <v>Driver Assessment &amp; Training</v>
      </c>
      <c r="E2287" s="5" t="str">
        <f>_xlfn.XLOOKUP(role_course_map[[#This Row],[course_id]],course_data[course_id],course_data[topic],"")</f>
        <v>SAS : Health and Safety</v>
      </c>
      <c r="F2287" s="5" t="str">
        <f>_xlfn.XLOOKUP(role_course_map[[#This Row],[course_id]],course_data[course_id],course_data[type],"")</f>
        <v>eLearning</v>
      </c>
      <c r="K2287" t="str">
        <f>role_course_map[[#This Row],[role_id]] &amp; "|" &amp; role_course_map[[#This Row],[course_id]]</f>
        <v>R0175|999056</v>
      </c>
      <c r="L2287" t="str">
        <f>IF(COUNTIF(role_course_map[mapping_key],role_course_map[[#This Row],[mapping_key]])&gt;1,"DUPLICATE","OK")</f>
        <v>OK</v>
      </c>
      <c r="M2287" t="str">
        <f>IF(COUNTIF(role_data[role_id],role_course_map[[#This Row],[role_id]])=0, "INVALID","VALID")</f>
        <v>VALID</v>
      </c>
      <c r="N2287" t="str">
        <f>IF(COUNTIF(course_data[course_id],role_course_map[[#This Row],[course_id]])=0, "INVALID","VALID")</f>
        <v>VALID</v>
      </c>
    </row>
    <row r="2288" spans="1:14" x14ac:dyDescent="0.35">
      <c r="A2288" t="s">
        <v>365</v>
      </c>
      <c r="B2288" s="5" t="str">
        <f>_xlfn.XLOOKUP(role_course_map[[#This Row],[role_id]], role_data[role_id], role_data[Role],"")</f>
        <v>Senior Infection Prevention and Control Practitioner</v>
      </c>
      <c r="C2288">
        <v>999057</v>
      </c>
      <c r="D2288" s="5" t="str">
        <f>_xlfn.XLOOKUP(role_course_map[[#This Row],[course_id]],course_data[course_id],course_data[title],"")</f>
        <v>Fatigue Awareness</v>
      </c>
      <c r="E2288" s="5" t="str">
        <f>_xlfn.XLOOKUP(role_course_map[[#This Row],[course_id]],course_data[course_id],course_data[topic],"")</f>
        <v>SAS : Health and Safety</v>
      </c>
      <c r="F2288" s="5" t="str">
        <f>_xlfn.XLOOKUP(role_course_map[[#This Row],[course_id]],course_data[course_id],course_data[type],"")</f>
        <v>eLearning</v>
      </c>
      <c r="K2288" t="str">
        <f>role_course_map[[#This Row],[role_id]] &amp; "|" &amp; role_course_map[[#This Row],[course_id]]</f>
        <v>R0175|999057</v>
      </c>
      <c r="L2288" t="str">
        <f>IF(COUNTIF(role_course_map[mapping_key],role_course_map[[#This Row],[mapping_key]])&gt;1,"DUPLICATE","OK")</f>
        <v>OK</v>
      </c>
      <c r="M2288" t="str">
        <f>IF(COUNTIF(role_data[role_id],role_course_map[[#This Row],[role_id]])=0, "INVALID","VALID")</f>
        <v>VALID</v>
      </c>
      <c r="N2288" t="str">
        <f>IF(COUNTIF(course_data[course_id],role_course_map[[#This Row],[course_id]])=0, "INVALID","VALID")</f>
        <v>VALID</v>
      </c>
    </row>
    <row r="2289" spans="1:14" x14ac:dyDescent="0.35">
      <c r="A2289" t="s">
        <v>365</v>
      </c>
      <c r="B2289" s="5" t="str">
        <f>_xlfn.XLOOKUP(role_course_map[[#This Row],[role_id]], role_data[role_id], role_data[Role],"")</f>
        <v>Senior Infection Prevention and Control Practitioner</v>
      </c>
      <c r="C2289">
        <v>999058</v>
      </c>
      <c r="D2289" s="5" t="str">
        <f>_xlfn.XLOOKUP(role_course_map[[#This Row],[course_id]],course_data[course_id],course_data[title],"")</f>
        <v>Stress Identification &amp; Stress Management</v>
      </c>
      <c r="E2289" s="5" t="str">
        <f>_xlfn.XLOOKUP(role_course_map[[#This Row],[course_id]],course_data[course_id],course_data[topic],"")</f>
        <v>SAS : Health and Safety</v>
      </c>
      <c r="F2289" s="5" t="str">
        <f>_xlfn.XLOOKUP(role_course_map[[#This Row],[course_id]],course_data[course_id],course_data[type],"")</f>
        <v>eLearning</v>
      </c>
      <c r="K2289" t="str">
        <f>role_course_map[[#This Row],[role_id]] &amp; "|" &amp; role_course_map[[#This Row],[course_id]]</f>
        <v>R0175|999058</v>
      </c>
      <c r="L2289" t="str">
        <f>IF(COUNTIF(role_course_map[mapping_key],role_course_map[[#This Row],[mapping_key]])&gt;1,"DUPLICATE","OK")</f>
        <v>OK</v>
      </c>
      <c r="M2289" t="str">
        <f>IF(COUNTIF(role_data[role_id],role_course_map[[#This Row],[role_id]])=0, "INVALID","VALID")</f>
        <v>VALID</v>
      </c>
      <c r="N2289" t="str">
        <f>IF(COUNTIF(course_data[course_id],role_course_map[[#This Row],[course_id]])=0, "INVALID","VALID")</f>
        <v>VALID</v>
      </c>
    </row>
    <row r="2290" spans="1:14" x14ac:dyDescent="0.35">
      <c r="A2290" t="s">
        <v>90</v>
      </c>
      <c r="B2290" s="5" t="str">
        <f>_xlfn.XLOOKUP(role_course_map[[#This Row],[role_id]], role_data[role_id], role_data[Role],"")</f>
        <v>ICT Administrator</v>
      </c>
      <c r="C2290">
        <v>999056</v>
      </c>
      <c r="D2290" s="5" t="str">
        <f>_xlfn.XLOOKUP(role_course_map[[#This Row],[course_id]],course_data[course_id],course_data[title],"")</f>
        <v>Driver Assessment &amp; Training</v>
      </c>
      <c r="E2290" s="5" t="str">
        <f>_xlfn.XLOOKUP(role_course_map[[#This Row],[course_id]],course_data[course_id],course_data[topic],"")</f>
        <v>SAS : Health and Safety</v>
      </c>
      <c r="F2290" s="5" t="str">
        <f>_xlfn.XLOOKUP(role_course_map[[#This Row],[course_id]],course_data[course_id],course_data[type],"")</f>
        <v>eLearning</v>
      </c>
      <c r="K2290" t="str">
        <f>role_course_map[[#This Row],[role_id]] &amp; "|" &amp; role_course_map[[#This Row],[course_id]]</f>
        <v>R0040|999056</v>
      </c>
      <c r="L2290" t="str">
        <f>IF(COUNTIF(role_course_map[mapping_key],role_course_map[[#This Row],[mapping_key]])&gt;1,"DUPLICATE","OK")</f>
        <v>OK</v>
      </c>
      <c r="M2290" t="str">
        <f>IF(COUNTIF(role_data[role_id],role_course_map[[#This Row],[role_id]])=0, "INVALID","VALID")</f>
        <v>VALID</v>
      </c>
      <c r="N2290" t="str">
        <f>IF(COUNTIF(course_data[course_id],role_course_map[[#This Row],[course_id]])=0, "INVALID","VALID")</f>
        <v>VALID</v>
      </c>
    </row>
    <row r="2291" spans="1:14" x14ac:dyDescent="0.35">
      <c r="A2291" t="s">
        <v>90</v>
      </c>
      <c r="B2291" s="5" t="str">
        <f>_xlfn.XLOOKUP(role_course_map[[#This Row],[role_id]], role_data[role_id], role_data[Role],"")</f>
        <v>ICT Administrator</v>
      </c>
      <c r="C2291">
        <v>999057</v>
      </c>
      <c r="D2291" s="5" t="str">
        <f>_xlfn.XLOOKUP(role_course_map[[#This Row],[course_id]],course_data[course_id],course_data[title],"")</f>
        <v>Fatigue Awareness</v>
      </c>
      <c r="E2291" s="5" t="str">
        <f>_xlfn.XLOOKUP(role_course_map[[#This Row],[course_id]],course_data[course_id],course_data[topic],"")</f>
        <v>SAS : Health and Safety</v>
      </c>
      <c r="F2291" s="5" t="str">
        <f>_xlfn.XLOOKUP(role_course_map[[#This Row],[course_id]],course_data[course_id],course_data[type],"")</f>
        <v>eLearning</v>
      </c>
      <c r="K2291" t="str">
        <f>role_course_map[[#This Row],[role_id]] &amp; "|" &amp; role_course_map[[#This Row],[course_id]]</f>
        <v>R0040|999057</v>
      </c>
      <c r="L2291" t="str">
        <f>IF(COUNTIF(role_course_map[mapping_key],role_course_map[[#This Row],[mapping_key]])&gt;1,"DUPLICATE","OK")</f>
        <v>OK</v>
      </c>
      <c r="M2291" t="str">
        <f>IF(COUNTIF(role_data[role_id],role_course_map[[#This Row],[role_id]])=0, "INVALID","VALID")</f>
        <v>VALID</v>
      </c>
      <c r="N2291" t="str">
        <f>IF(COUNTIF(course_data[course_id],role_course_map[[#This Row],[course_id]])=0, "INVALID","VALID")</f>
        <v>VALID</v>
      </c>
    </row>
    <row r="2292" spans="1:14" x14ac:dyDescent="0.35">
      <c r="A2292" t="s">
        <v>90</v>
      </c>
      <c r="B2292" s="5" t="str">
        <f>_xlfn.XLOOKUP(role_course_map[[#This Row],[role_id]], role_data[role_id], role_data[Role],"")</f>
        <v>ICT Administrator</v>
      </c>
      <c r="C2292">
        <v>999058</v>
      </c>
      <c r="D2292" s="5" t="str">
        <f>_xlfn.XLOOKUP(role_course_map[[#This Row],[course_id]],course_data[course_id],course_data[title],"")</f>
        <v>Stress Identification &amp; Stress Management</v>
      </c>
      <c r="E2292" s="5" t="str">
        <f>_xlfn.XLOOKUP(role_course_map[[#This Row],[course_id]],course_data[course_id],course_data[topic],"")</f>
        <v>SAS : Health and Safety</v>
      </c>
      <c r="F2292" s="5" t="str">
        <f>_xlfn.XLOOKUP(role_course_map[[#This Row],[course_id]],course_data[course_id],course_data[type],"")</f>
        <v>eLearning</v>
      </c>
      <c r="K2292" t="str">
        <f>role_course_map[[#This Row],[role_id]] &amp; "|" &amp; role_course_map[[#This Row],[course_id]]</f>
        <v>R0040|999058</v>
      </c>
      <c r="L2292" t="str">
        <f>IF(COUNTIF(role_course_map[mapping_key],role_course_map[[#This Row],[mapping_key]])&gt;1,"DUPLICATE","OK")</f>
        <v>OK</v>
      </c>
      <c r="M2292" t="str">
        <f>IF(COUNTIF(role_data[role_id],role_course_map[[#This Row],[role_id]])=0, "INVALID","VALID")</f>
        <v>VALID</v>
      </c>
      <c r="N2292" t="str">
        <f>IF(COUNTIF(course_data[course_id],role_course_map[[#This Row],[course_id]])=0, "INVALID","VALID")</f>
        <v>VALID</v>
      </c>
    </row>
    <row r="2293" spans="1:14" x14ac:dyDescent="0.35">
      <c r="A2293" t="s">
        <v>90</v>
      </c>
      <c r="B2293" s="5" t="str">
        <f>_xlfn.XLOOKUP(role_course_map[[#This Row],[role_id]], role_data[role_id], role_data[Role],"")</f>
        <v>ICT Administrator</v>
      </c>
      <c r="C2293">
        <v>999094</v>
      </c>
      <c r="D2293" s="5" t="str">
        <f>_xlfn.XLOOKUP(role_course_map[[#This Row],[course_id]],course_data[course_id],course_data[title],"")</f>
        <v>Being well, Mind, Body &amp; Workplace</v>
      </c>
      <c r="E2293" s="5" t="str">
        <f>_xlfn.XLOOKUP(role_course_map[[#This Row],[course_id]],course_data[course_id],course_data[topic],"")</f>
        <v>SAS: Staff development and experience</v>
      </c>
      <c r="F2293" s="5" t="str">
        <f>_xlfn.XLOOKUP(role_course_map[[#This Row],[course_id]],course_data[course_id],course_data[type],"")</f>
        <v>eLearning</v>
      </c>
      <c r="K2293" t="str">
        <f>role_course_map[[#This Row],[role_id]] &amp; "|" &amp; role_course_map[[#This Row],[course_id]]</f>
        <v>R0040|999094</v>
      </c>
      <c r="L2293" t="str">
        <f>IF(COUNTIF(role_course_map[mapping_key],role_course_map[[#This Row],[mapping_key]])&gt;1,"DUPLICATE","OK")</f>
        <v>OK</v>
      </c>
      <c r="M2293" t="str">
        <f>IF(COUNTIF(role_data[role_id],role_course_map[[#This Row],[role_id]])=0, "INVALID","VALID")</f>
        <v>VALID</v>
      </c>
      <c r="N2293" t="str">
        <f>IF(COUNTIF(course_data[course_id],role_course_map[[#This Row],[course_id]])=0, "INVALID","VALID")</f>
        <v>VALID</v>
      </c>
    </row>
    <row r="2294" spans="1:14" x14ac:dyDescent="0.35">
      <c r="A2294" t="s">
        <v>93</v>
      </c>
      <c r="B2294" s="5" t="str">
        <f>_xlfn.XLOOKUP(role_course_map[[#This Row],[role_id]], role_data[role_id], role_data[Role],"")</f>
        <v>ICT Manager</v>
      </c>
      <c r="C2294">
        <v>999056</v>
      </c>
      <c r="D2294" s="5" t="str">
        <f>_xlfn.XLOOKUP(role_course_map[[#This Row],[course_id]],course_data[course_id],course_data[title],"")</f>
        <v>Driver Assessment &amp; Training</v>
      </c>
      <c r="E2294" s="5" t="str">
        <f>_xlfn.XLOOKUP(role_course_map[[#This Row],[course_id]],course_data[course_id],course_data[topic],"")</f>
        <v>SAS : Health and Safety</v>
      </c>
      <c r="F2294" s="5" t="str">
        <f>_xlfn.XLOOKUP(role_course_map[[#This Row],[course_id]],course_data[course_id],course_data[type],"")</f>
        <v>eLearning</v>
      </c>
      <c r="K2294" t="str">
        <f>role_course_map[[#This Row],[role_id]] &amp; "|" &amp; role_course_map[[#This Row],[course_id]]</f>
        <v>R0041|999056</v>
      </c>
      <c r="L2294" t="str">
        <f>IF(COUNTIF(role_course_map[mapping_key],role_course_map[[#This Row],[mapping_key]])&gt;1,"DUPLICATE","OK")</f>
        <v>OK</v>
      </c>
      <c r="M2294" t="str">
        <f>IF(COUNTIF(role_data[role_id],role_course_map[[#This Row],[role_id]])=0, "INVALID","VALID")</f>
        <v>VALID</v>
      </c>
      <c r="N2294" t="str">
        <f>IF(COUNTIF(course_data[course_id],role_course_map[[#This Row],[course_id]])=0, "INVALID","VALID")</f>
        <v>VALID</v>
      </c>
    </row>
    <row r="2295" spans="1:14" x14ac:dyDescent="0.35">
      <c r="A2295" t="s">
        <v>93</v>
      </c>
      <c r="B2295" s="5" t="str">
        <f>_xlfn.XLOOKUP(role_course_map[[#This Row],[role_id]], role_data[role_id], role_data[Role],"")</f>
        <v>ICT Manager</v>
      </c>
      <c r="C2295">
        <v>999057</v>
      </c>
      <c r="D2295" s="5" t="str">
        <f>_xlfn.XLOOKUP(role_course_map[[#This Row],[course_id]],course_data[course_id],course_data[title],"")</f>
        <v>Fatigue Awareness</v>
      </c>
      <c r="E2295" s="5" t="str">
        <f>_xlfn.XLOOKUP(role_course_map[[#This Row],[course_id]],course_data[course_id],course_data[topic],"")</f>
        <v>SAS : Health and Safety</v>
      </c>
      <c r="F2295" s="5" t="str">
        <f>_xlfn.XLOOKUP(role_course_map[[#This Row],[course_id]],course_data[course_id],course_data[type],"")</f>
        <v>eLearning</v>
      </c>
      <c r="K2295" t="str">
        <f>role_course_map[[#This Row],[role_id]] &amp; "|" &amp; role_course_map[[#This Row],[course_id]]</f>
        <v>R0041|999057</v>
      </c>
      <c r="L2295" t="str">
        <f>IF(COUNTIF(role_course_map[mapping_key],role_course_map[[#This Row],[mapping_key]])&gt;1,"DUPLICATE","OK")</f>
        <v>OK</v>
      </c>
      <c r="M2295" t="str">
        <f>IF(COUNTIF(role_data[role_id],role_course_map[[#This Row],[role_id]])=0, "INVALID","VALID")</f>
        <v>VALID</v>
      </c>
      <c r="N2295" t="str">
        <f>IF(COUNTIF(course_data[course_id],role_course_map[[#This Row],[course_id]])=0, "INVALID","VALID")</f>
        <v>VALID</v>
      </c>
    </row>
    <row r="2296" spans="1:14" x14ac:dyDescent="0.35">
      <c r="A2296" t="s">
        <v>93</v>
      </c>
      <c r="B2296" s="5" t="str">
        <f>_xlfn.XLOOKUP(role_course_map[[#This Row],[role_id]], role_data[role_id], role_data[Role],"")</f>
        <v>ICT Manager</v>
      </c>
      <c r="C2296">
        <v>999058</v>
      </c>
      <c r="D2296" s="5" t="str">
        <f>_xlfn.XLOOKUP(role_course_map[[#This Row],[course_id]],course_data[course_id],course_data[title],"")</f>
        <v>Stress Identification &amp; Stress Management</v>
      </c>
      <c r="E2296" s="5" t="str">
        <f>_xlfn.XLOOKUP(role_course_map[[#This Row],[course_id]],course_data[course_id],course_data[topic],"")</f>
        <v>SAS : Health and Safety</v>
      </c>
      <c r="F2296" s="5" t="str">
        <f>_xlfn.XLOOKUP(role_course_map[[#This Row],[course_id]],course_data[course_id],course_data[type],"")</f>
        <v>eLearning</v>
      </c>
      <c r="K2296" t="str">
        <f>role_course_map[[#This Row],[role_id]] &amp; "|" &amp; role_course_map[[#This Row],[course_id]]</f>
        <v>R0041|999058</v>
      </c>
      <c r="L2296" t="str">
        <f>IF(COUNTIF(role_course_map[mapping_key],role_course_map[[#This Row],[mapping_key]])&gt;1,"DUPLICATE","OK")</f>
        <v>OK</v>
      </c>
      <c r="M2296" t="str">
        <f>IF(COUNTIF(role_data[role_id],role_course_map[[#This Row],[role_id]])=0, "INVALID","VALID")</f>
        <v>VALID</v>
      </c>
      <c r="N2296" t="str">
        <f>IF(COUNTIF(course_data[course_id],role_course_map[[#This Row],[course_id]])=0, "INVALID","VALID")</f>
        <v>VALID</v>
      </c>
    </row>
    <row r="2297" spans="1:14" x14ac:dyDescent="0.35">
      <c r="A2297" t="s">
        <v>93</v>
      </c>
      <c r="B2297" s="5" t="str">
        <f>_xlfn.XLOOKUP(role_course_map[[#This Row],[role_id]], role_data[role_id], role_data[Role],"")</f>
        <v>ICT Manager</v>
      </c>
      <c r="C2297">
        <v>999094</v>
      </c>
      <c r="D2297" s="5" t="str">
        <f>_xlfn.XLOOKUP(role_course_map[[#This Row],[course_id]],course_data[course_id],course_data[title],"")</f>
        <v>Being well, Mind, Body &amp; Workplace</v>
      </c>
      <c r="E2297" s="5" t="str">
        <f>_xlfn.XLOOKUP(role_course_map[[#This Row],[course_id]],course_data[course_id],course_data[topic],"")</f>
        <v>SAS: Staff development and experience</v>
      </c>
      <c r="F2297" s="5" t="str">
        <f>_xlfn.XLOOKUP(role_course_map[[#This Row],[course_id]],course_data[course_id],course_data[type],"")</f>
        <v>eLearning</v>
      </c>
      <c r="K2297" t="str">
        <f>role_course_map[[#This Row],[role_id]] &amp; "|" &amp; role_course_map[[#This Row],[course_id]]</f>
        <v>R0041|999094</v>
      </c>
      <c r="L2297" t="str">
        <f>IF(COUNTIF(role_course_map[mapping_key],role_course_map[[#This Row],[mapping_key]])&gt;1,"DUPLICATE","OK")</f>
        <v>OK</v>
      </c>
      <c r="M2297" t="str">
        <f>IF(COUNTIF(role_data[role_id],role_course_map[[#This Row],[role_id]])=0, "INVALID","VALID")</f>
        <v>VALID</v>
      </c>
      <c r="N2297" t="str">
        <f>IF(COUNTIF(course_data[course_id],role_course_map[[#This Row],[course_id]])=0, "INVALID","VALID")</f>
        <v>VALID</v>
      </c>
    </row>
    <row r="2298" spans="1:14" x14ac:dyDescent="0.35">
      <c r="A2298" t="s">
        <v>95</v>
      </c>
      <c r="B2298" s="5" t="str">
        <f>_xlfn.XLOOKUP(role_course_map[[#This Row],[role_id]], role_data[role_id], role_data[Role],"")</f>
        <v>ICT Senior Manager</v>
      </c>
      <c r="C2298">
        <v>999056</v>
      </c>
      <c r="D2298" s="5" t="str">
        <f>_xlfn.XLOOKUP(role_course_map[[#This Row],[course_id]],course_data[course_id],course_data[title],"")</f>
        <v>Driver Assessment &amp; Training</v>
      </c>
      <c r="E2298" s="5" t="str">
        <f>_xlfn.XLOOKUP(role_course_map[[#This Row],[course_id]],course_data[course_id],course_data[topic],"")</f>
        <v>SAS : Health and Safety</v>
      </c>
      <c r="F2298" s="5" t="str">
        <f>_xlfn.XLOOKUP(role_course_map[[#This Row],[course_id]],course_data[course_id],course_data[type],"")</f>
        <v>eLearning</v>
      </c>
      <c r="K2298" t="str">
        <f>role_course_map[[#This Row],[role_id]] &amp; "|" &amp; role_course_map[[#This Row],[course_id]]</f>
        <v>R0042|999056</v>
      </c>
      <c r="L2298" t="str">
        <f>IF(COUNTIF(role_course_map[mapping_key],role_course_map[[#This Row],[mapping_key]])&gt;1,"DUPLICATE","OK")</f>
        <v>OK</v>
      </c>
      <c r="M2298" t="str">
        <f>IF(COUNTIF(role_data[role_id],role_course_map[[#This Row],[role_id]])=0, "INVALID","VALID")</f>
        <v>VALID</v>
      </c>
      <c r="N2298" t="str">
        <f>IF(COUNTIF(course_data[course_id],role_course_map[[#This Row],[course_id]])=0, "INVALID","VALID")</f>
        <v>VALID</v>
      </c>
    </row>
    <row r="2299" spans="1:14" x14ac:dyDescent="0.35">
      <c r="A2299" t="s">
        <v>95</v>
      </c>
      <c r="B2299" s="5" t="str">
        <f>_xlfn.XLOOKUP(role_course_map[[#This Row],[role_id]], role_data[role_id], role_data[Role],"")</f>
        <v>ICT Senior Manager</v>
      </c>
      <c r="C2299">
        <v>999057</v>
      </c>
      <c r="D2299" s="5" t="str">
        <f>_xlfn.XLOOKUP(role_course_map[[#This Row],[course_id]],course_data[course_id],course_data[title],"")</f>
        <v>Fatigue Awareness</v>
      </c>
      <c r="E2299" s="5" t="str">
        <f>_xlfn.XLOOKUP(role_course_map[[#This Row],[course_id]],course_data[course_id],course_data[topic],"")</f>
        <v>SAS : Health and Safety</v>
      </c>
      <c r="F2299" s="5" t="str">
        <f>_xlfn.XLOOKUP(role_course_map[[#This Row],[course_id]],course_data[course_id],course_data[type],"")</f>
        <v>eLearning</v>
      </c>
      <c r="K2299" t="str">
        <f>role_course_map[[#This Row],[role_id]] &amp; "|" &amp; role_course_map[[#This Row],[course_id]]</f>
        <v>R0042|999057</v>
      </c>
      <c r="L2299" t="str">
        <f>IF(COUNTIF(role_course_map[mapping_key],role_course_map[[#This Row],[mapping_key]])&gt;1,"DUPLICATE","OK")</f>
        <v>OK</v>
      </c>
      <c r="M2299" t="str">
        <f>IF(COUNTIF(role_data[role_id],role_course_map[[#This Row],[role_id]])=0, "INVALID","VALID")</f>
        <v>VALID</v>
      </c>
      <c r="N2299" t="str">
        <f>IF(COUNTIF(course_data[course_id],role_course_map[[#This Row],[course_id]])=0, "INVALID","VALID")</f>
        <v>VALID</v>
      </c>
    </row>
    <row r="2300" spans="1:14" x14ac:dyDescent="0.35">
      <c r="A2300" t="s">
        <v>95</v>
      </c>
      <c r="B2300" s="5" t="str">
        <f>_xlfn.XLOOKUP(role_course_map[[#This Row],[role_id]], role_data[role_id], role_data[Role],"")</f>
        <v>ICT Senior Manager</v>
      </c>
      <c r="C2300">
        <v>999058</v>
      </c>
      <c r="D2300" s="5" t="str">
        <f>_xlfn.XLOOKUP(role_course_map[[#This Row],[course_id]],course_data[course_id],course_data[title],"")</f>
        <v>Stress Identification &amp; Stress Management</v>
      </c>
      <c r="E2300" s="5" t="str">
        <f>_xlfn.XLOOKUP(role_course_map[[#This Row],[course_id]],course_data[course_id],course_data[topic],"")</f>
        <v>SAS : Health and Safety</v>
      </c>
      <c r="F2300" s="5" t="str">
        <f>_xlfn.XLOOKUP(role_course_map[[#This Row],[course_id]],course_data[course_id],course_data[type],"")</f>
        <v>eLearning</v>
      </c>
      <c r="K2300" t="str">
        <f>role_course_map[[#This Row],[role_id]] &amp; "|" &amp; role_course_map[[#This Row],[course_id]]</f>
        <v>R0042|999058</v>
      </c>
      <c r="L2300" t="str">
        <f>IF(COUNTIF(role_course_map[mapping_key],role_course_map[[#This Row],[mapping_key]])&gt;1,"DUPLICATE","OK")</f>
        <v>OK</v>
      </c>
      <c r="M2300" t="str">
        <f>IF(COUNTIF(role_data[role_id],role_course_map[[#This Row],[role_id]])=0, "INVALID","VALID")</f>
        <v>VALID</v>
      </c>
      <c r="N2300" t="str">
        <f>IF(COUNTIF(course_data[course_id],role_course_map[[#This Row],[course_id]])=0, "INVALID","VALID")</f>
        <v>VALID</v>
      </c>
    </row>
    <row r="2301" spans="1:14" x14ac:dyDescent="0.35">
      <c r="A2301" t="s">
        <v>95</v>
      </c>
      <c r="B2301" s="5" t="str">
        <f>_xlfn.XLOOKUP(role_course_map[[#This Row],[role_id]], role_data[role_id], role_data[Role],"")</f>
        <v>ICT Senior Manager</v>
      </c>
      <c r="C2301">
        <v>999094</v>
      </c>
      <c r="D2301" s="5" t="str">
        <f>_xlfn.XLOOKUP(role_course_map[[#This Row],[course_id]],course_data[course_id],course_data[title],"")</f>
        <v>Being well, Mind, Body &amp; Workplace</v>
      </c>
      <c r="E2301" s="5" t="str">
        <f>_xlfn.XLOOKUP(role_course_map[[#This Row],[course_id]],course_data[course_id],course_data[topic],"")</f>
        <v>SAS: Staff development and experience</v>
      </c>
      <c r="F2301" s="5" t="str">
        <f>_xlfn.XLOOKUP(role_course_map[[#This Row],[course_id]],course_data[course_id],course_data[type],"")</f>
        <v>eLearning</v>
      </c>
      <c r="K2301" t="str">
        <f>role_course_map[[#This Row],[role_id]] &amp; "|" &amp; role_course_map[[#This Row],[course_id]]</f>
        <v>R0042|999094</v>
      </c>
      <c r="L2301" t="str">
        <f>IF(COUNTIF(role_course_map[mapping_key],role_course_map[[#This Row],[mapping_key]])&gt;1,"DUPLICATE","OK")</f>
        <v>OK</v>
      </c>
      <c r="M2301" t="str">
        <f>IF(COUNTIF(role_data[role_id],role_course_map[[#This Row],[role_id]])=0, "INVALID","VALID")</f>
        <v>VALID</v>
      </c>
      <c r="N2301" t="str">
        <f>IF(COUNTIF(course_data[course_id],role_course_map[[#This Row],[course_id]])=0, "INVALID","VALID")</f>
        <v>VALID</v>
      </c>
    </row>
    <row r="2302" spans="1:14" x14ac:dyDescent="0.35">
      <c r="A2302" t="s">
        <v>97</v>
      </c>
      <c r="B2302" s="5" t="str">
        <f>_xlfn.XLOOKUP(role_course_map[[#This Row],[role_id]], role_data[role_id], role_data[Role],"")</f>
        <v>ICT Systems Development Officer</v>
      </c>
      <c r="C2302">
        <v>999056</v>
      </c>
      <c r="D2302" s="5" t="str">
        <f>_xlfn.XLOOKUP(role_course_map[[#This Row],[course_id]],course_data[course_id],course_data[title],"")</f>
        <v>Driver Assessment &amp; Training</v>
      </c>
      <c r="E2302" s="5" t="str">
        <f>_xlfn.XLOOKUP(role_course_map[[#This Row],[course_id]],course_data[course_id],course_data[topic],"")</f>
        <v>SAS : Health and Safety</v>
      </c>
      <c r="F2302" s="5" t="str">
        <f>_xlfn.XLOOKUP(role_course_map[[#This Row],[course_id]],course_data[course_id],course_data[type],"")</f>
        <v>eLearning</v>
      </c>
      <c r="K2302" t="str">
        <f>role_course_map[[#This Row],[role_id]] &amp; "|" &amp; role_course_map[[#This Row],[course_id]]</f>
        <v>R0043|999056</v>
      </c>
      <c r="L2302" t="str">
        <f>IF(COUNTIF(role_course_map[mapping_key],role_course_map[[#This Row],[mapping_key]])&gt;1,"DUPLICATE","OK")</f>
        <v>OK</v>
      </c>
      <c r="M2302" t="str">
        <f>IF(COUNTIF(role_data[role_id],role_course_map[[#This Row],[role_id]])=0, "INVALID","VALID")</f>
        <v>VALID</v>
      </c>
      <c r="N2302" t="str">
        <f>IF(COUNTIF(course_data[course_id],role_course_map[[#This Row],[course_id]])=0, "INVALID","VALID")</f>
        <v>VALID</v>
      </c>
    </row>
    <row r="2303" spans="1:14" x14ac:dyDescent="0.35">
      <c r="A2303" t="s">
        <v>97</v>
      </c>
      <c r="B2303" s="5" t="str">
        <f>_xlfn.XLOOKUP(role_course_map[[#This Row],[role_id]], role_data[role_id], role_data[Role],"")</f>
        <v>ICT Systems Development Officer</v>
      </c>
      <c r="C2303">
        <v>999057</v>
      </c>
      <c r="D2303" s="5" t="str">
        <f>_xlfn.XLOOKUP(role_course_map[[#This Row],[course_id]],course_data[course_id],course_data[title],"")</f>
        <v>Fatigue Awareness</v>
      </c>
      <c r="E2303" s="5" t="str">
        <f>_xlfn.XLOOKUP(role_course_map[[#This Row],[course_id]],course_data[course_id],course_data[topic],"")</f>
        <v>SAS : Health and Safety</v>
      </c>
      <c r="F2303" s="5" t="str">
        <f>_xlfn.XLOOKUP(role_course_map[[#This Row],[course_id]],course_data[course_id],course_data[type],"")</f>
        <v>eLearning</v>
      </c>
      <c r="K2303" t="str">
        <f>role_course_map[[#This Row],[role_id]] &amp; "|" &amp; role_course_map[[#This Row],[course_id]]</f>
        <v>R0043|999057</v>
      </c>
      <c r="L2303" t="str">
        <f>IF(COUNTIF(role_course_map[mapping_key],role_course_map[[#This Row],[mapping_key]])&gt;1,"DUPLICATE","OK")</f>
        <v>OK</v>
      </c>
      <c r="M2303" t="str">
        <f>IF(COUNTIF(role_data[role_id],role_course_map[[#This Row],[role_id]])=0, "INVALID","VALID")</f>
        <v>VALID</v>
      </c>
      <c r="N2303" t="str">
        <f>IF(COUNTIF(course_data[course_id],role_course_map[[#This Row],[course_id]])=0, "INVALID","VALID")</f>
        <v>VALID</v>
      </c>
    </row>
    <row r="2304" spans="1:14" x14ac:dyDescent="0.35">
      <c r="A2304" t="s">
        <v>97</v>
      </c>
      <c r="B2304" s="5" t="str">
        <f>_xlfn.XLOOKUP(role_course_map[[#This Row],[role_id]], role_data[role_id], role_data[Role],"")</f>
        <v>ICT Systems Development Officer</v>
      </c>
      <c r="C2304">
        <v>999058</v>
      </c>
      <c r="D2304" s="5" t="str">
        <f>_xlfn.XLOOKUP(role_course_map[[#This Row],[course_id]],course_data[course_id],course_data[title],"")</f>
        <v>Stress Identification &amp; Stress Management</v>
      </c>
      <c r="E2304" s="5" t="str">
        <f>_xlfn.XLOOKUP(role_course_map[[#This Row],[course_id]],course_data[course_id],course_data[topic],"")</f>
        <v>SAS : Health and Safety</v>
      </c>
      <c r="F2304" s="5" t="str">
        <f>_xlfn.XLOOKUP(role_course_map[[#This Row],[course_id]],course_data[course_id],course_data[type],"")</f>
        <v>eLearning</v>
      </c>
      <c r="K2304" t="str">
        <f>role_course_map[[#This Row],[role_id]] &amp; "|" &amp; role_course_map[[#This Row],[course_id]]</f>
        <v>R0043|999058</v>
      </c>
      <c r="L2304" t="str">
        <f>IF(COUNTIF(role_course_map[mapping_key],role_course_map[[#This Row],[mapping_key]])&gt;1,"DUPLICATE","OK")</f>
        <v>OK</v>
      </c>
      <c r="M2304" t="str">
        <f>IF(COUNTIF(role_data[role_id],role_course_map[[#This Row],[role_id]])=0, "INVALID","VALID")</f>
        <v>VALID</v>
      </c>
      <c r="N2304" t="str">
        <f>IF(COUNTIF(course_data[course_id],role_course_map[[#This Row],[course_id]])=0, "INVALID","VALID")</f>
        <v>VALID</v>
      </c>
    </row>
    <row r="2305" spans="1:14" x14ac:dyDescent="0.35">
      <c r="A2305" t="s">
        <v>97</v>
      </c>
      <c r="B2305" s="5" t="str">
        <f>_xlfn.XLOOKUP(role_course_map[[#This Row],[role_id]], role_data[role_id], role_data[Role],"")</f>
        <v>ICT Systems Development Officer</v>
      </c>
      <c r="C2305">
        <v>999059</v>
      </c>
      <c r="D2305" s="5" t="str">
        <f>_xlfn.XLOOKUP(role_course_map[[#This Row],[course_id]],course_data[course_id],course_data[title],"")</f>
        <v>Driving update (practical)</v>
      </c>
      <c r="E2305" s="5" t="str">
        <f>_xlfn.XLOOKUP(role_course_map[[#This Row],[course_id]],course_data[course_id],course_data[topic],"")</f>
        <v>SAS : Health and Safety</v>
      </c>
      <c r="F2305" s="5" t="str">
        <f>_xlfn.XLOOKUP(role_course_map[[#This Row],[course_id]],course_data[course_id],course_data[type],"")</f>
        <v>Course</v>
      </c>
      <c r="K2305" t="str">
        <f>role_course_map[[#This Row],[role_id]] &amp; "|" &amp; role_course_map[[#This Row],[course_id]]</f>
        <v>R0043|999059</v>
      </c>
      <c r="L2305" t="str">
        <f>IF(COUNTIF(role_course_map[mapping_key],role_course_map[[#This Row],[mapping_key]])&gt;1,"DUPLICATE","OK")</f>
        <v>OK</v>
      </c>
      <c r="M2305" t="str">
        <f>IF(COUNTIF(role_data[role_id],role_course_map[[#This Row],[role_id]])=0, "INVALID","VALID")</f>
        <v>VALID</v>
      </c>
      <c r="N2305" t="str">
        <f>IF(COUNTIF(course_data[course_id],role_course_map[[#This Row],[course_id]])=0, "INVALID","VALID")</f>
        <v>VALID</v>
      </c>
    </row>
    <row r="2306" spans="1:14" x14ac:dyDescent="0.35">
      <c r="A2306" t="s">
        <v>101</v>
      </c>
      <c r="B2306" s="5" t="str">
        <f>_xlfn.XLOOKUP(role_course_map[[#This Row],[role_id]], role_data[role_id], role_data[Role],"")</f>
        <v>ICT Technical staff</v>
      </c>
      <c r="C2306">
        <v>999056</v>
      </c>
      <c r="D2306" s="5" t="str">
        <f>_xlfn.XLOOKUP(role_course_map[[#This Row],[course_id]],course_data[course_id],course_data[title],"")</f>
        <v>Driver Assessment &amp; Training</v>
      </c>
      <c r="E2306" s="5" t="str">
        <f>_xlfn.XLOOKUP(role_course_map[[#This Row],[course_id]],course_data[course_id],course_data[topic],"")</f>
        <v>SAS : Health and Safety</v>
      </c>
      <c r="F2306" s="5" t="str">
        <f>_xlfn.XLOOKUP(role_course_map[[#This Row],[course_id]],course_data[course_id],course_data[type],"")</f>
        <v>eLearning</v>
      </c>
      <c r="K2306" t="str">
        <f>role_course_map[[#This Row],[role_id]] &amp; "|" &amp; role_course_map[[#This Row],[course_id]]</f>
        <v>R0045|999056</v>
      </c>
      <c r="L2306" t="str">
        <f>IF(COUNTIF(role_course_map[mapping_key],role_course_map[[#This Row],[mapping_key]])&gt;1,"DUPLICATE","OK")</f>
        <v>OK</v>
      </c>
      <c r="M2306" t="str">
        <f>IF(COUNTIF(role_data[role_id],role_course_map[[#This Row],[role_id]])=0, "INVALID","VALID")</f>
        <v>VALID</v>
      </c>
      <c r="N2306" t="str">
        <f>IF(COUNTIF(course_data[course_id],role_course_map[[#This Row],[course_id]])=0, "INVALID","VALID")</f>
        <v>VALID</v>
      </c>
    </row>
    <row r="2307" spans="1:14" x14ac:dyDescent="0.35">
      <c r="A2307" t="s">
        <v>101</v>
      </c>
      <c r="B2307" s="5" t="str">
        <f>_xlfn.XLOOKUP(role_course_map[[#This Row],[role_id]], role_data[role_id], role_data[Role],"")</f>
        <v>ICT Technical staff</v>
      </c>
      <c r="C2307">
        <v>999057</v>
      </c>
      <c r="D2307" s="5" t="str">
        <f>_xlfn.XLOOKUP(role_course_map[[#This Row],[course_id]],course_data[course_id],course_data[title],"")</f>
        <v>Fatigue Awareness</v>
      </c>
      <c r="E2307" s="5" t="str">
        <f>_xlfn.XLOOKUP(role_course_map[[#This Row],[course_id]],course_data[course_id],course_data[topic],"")</f>
        <v>SAS : Health and Safety</v>
      </c>
      <c r="F2307" s="5" t="str">
        <f>_xlfn.XLOOKUP(role_course_map[[#This Row],[course_id]],course_data[course_id],course_data[type],"")</f>
        <v>eLearning</v>
      </c>
      <c r="K2307" t="str">
        <f>role_course_map[[#This Row],[role_id]] &amp; "|" &amp; role_course_map[[#This Row],[course_id]]</f>
        <v>R0045|999057</v>
      </c>
      <c r="L2307" t="str">
        <f>IF(COUNTIF(role_course_map[mapping_key],role_course_map[[#This Row],[mapping_key]])&gt;1,"DUPLICATE","OK")</f>
        <v>OK</v>
      </c>
      <c r="M2307" t="str">
        <f>IF(COUNTIF(role_data[role_id],role_course_map[[#This Row],[role_id]])=0, "INVALID","VALID")</f>
        <v>VALID</v>
      </c>
      <c r="N2307" t="str">
        <f>IF(COUNTIF(course_data[course_id],role_course_map[[#This Row],[course_id]])=0, "INVALID","VALID")</f>
        <v>VALID</v>
      </c>
    </row>
    <row r="2308" spans="1:14" x14ac:dyDescent="0.35">
      <c r="A2308" t="s">
        <v>101</v>
      </c>
      <c r="B2308" s="5" t="str">
        <f>_xlfn.XLOOKUP(role_course_map[[#This Row],[role_id]], role_data[role_id], role_data[Role],"")</f>
        <v>ICT Technical staff</v>
      </c>
      <c r="C2308">
        <v>999058</v>
      </c>
      <c r="D2308" s="5" t="str">
        <f>_xlfn.XLOOKUP(role_course_map[[#This Row],[course_id]],course_data[course_id],course_data[title],"")</f>
        <v>Stress Identification &amp; Stress Management</v>
      </c>
      <c r="E2308" s="5" t="str">
        <f>_xlfn.XLOOKUP(role_course_map[[#This Row],[course_id]],course_data[course_id],course_data[topic],"")</f>
        <v>SAS : Health and Safety</v>
      </c>
      <c r="F2308" s="5" t="str">
        <f>_xlfn.XLOOKUP(role_course_map[[#This Row],[course_id]],course_data[course_id],course_data[type],"")</f>
        <v>eLearning</v>
      </c>
      <c r="K2308" t="str">
        <f>role_course_map[[#This Row],[role_id]] &amp; "|" &amp; role_course_map[[#This Row],[course_id]]</f>
        <v>R0045|999058</v>
      </c>
      <c r="L2308" t="str">
        <f>IF(COUNTIF(role_course_map[mapping_key],role_course_map[[#This Row],[mapping_key]])&gt;1,"DUPLICATE","OK")</f>
        <v>OK</v>
      </c>
      <c r="M2308" t="str">
        <f>IF(COUNTIF(role_data[role_id],role_course_map[[#This Row],[role_id]])=0, "INVALID","VALID")</f>
        <v>VALID</v>
      </c>
      <c r="N2308" t="str">
        <f>IF(COUNTIF(course_data[course_id],role_course_map[[#This Row],[course_id]])=0, "INVALID","VALID")</f>
        <v>VALID</v>
      </c>
    </row>
    <row r="2309" spans="1:14" x14ac:dyDescent="0.35">
      <c r="A2309" t="s">
        <v>101</v>
      </c>
      <c r="B2309" s="5" t="str">
        <f>_xlfn.XLOOKUP(role_course_map[[#This Row],[role_id]], role_data[role_id], role_data[Role],"")</f>
        <v>ICT Technical staff</v>
      </c>
      <c r="C2309">
        <v>999094</v>
      </c>
      <c r="D2309" s="5" t="str">
        <f>_xlfn.XLOOKUP(role_course_map[[#This Row],[course_id]],course_data[course_id],course_data[title],"")</f>
        <v>Being well, Mind, Body &amp; Workplace</v>
      </c>
      <c r="E2309" s="5" t="str">
        <f>_xlfn.XLOOKUP(role_course_map[[#This Row],[course_id]],course_data[course_id],course_data[topic],"")</f>
        <v>SAS: Staff development and experience</v>
      </c>
      <c r="F2309" s="5" t="str">
        <f>_xlfn.XLOOKUP(role_course_map[[#This Row],[course_id]],course_data[course_id],course_data[type],"")</f>
        <v>eLearning</v>
      </c>
      <c r="K2309" t="str">
        <f>role_course_map[[#This Row],[role_id]] &amp; "|" &amp; role_course_map[[#This Row],[course_id]]</f>
        <v>R0045|999094</v>
      </c>
      <c r="L2309" t="str">
        <f>IF(COUNTIF(role_course_map[mapping_key],role_course_map[[#This Row],[mapping_key]])&gt;1,"DUPLICATE","OK")</f>
        <v>OK</v>
      </c>
      <c r="M2309" t="str">
        <f>IF(COUNTIF(role_data[role_id],role_course_map[[#This Row],[role_id]])=0, "INVALID","VALID")</f>
        <v>VALID</v>
      </c>
      <c r="N2309" t="str">
        <f>IF(COUNTIF(course_data[course_id],role_course_map[[#This Row],[course_id]])=0, "INVALID","VALID")</f>
        <v>VALID</v>
      </c>
    </row>
    <row r="2310" spans="1:14" x14ac:dyDescent="0.35">
      <c r="A2310" t="s">
        <v>103</v>
      </c>
      <c r="B2310" s="5" t="str">
        <f>_xlfn.XLOOKUP(role_course_map[[#This Row],[role_id]], role_data[role_id], role_data[Role],"")</f>
        <v>Learning and Development Administrator</v>
      </c>
      <c r="C2310">
        <v>999056</v>
      </c>
      <c r="D2310" s="5" t="str">
        <f>_xlfn.XLOOKUP(role_course_map[[#This Row],[course_id]],course_data[course_id],course_data[title],"")</f>
        <v>Driver Assessment &amp; Training</v>
      </c>
      <c r="E2310" s="5" t="str">
        <f>_xlfn.XLOOKUP(role_course_map[[#This Row],[course_id]],course_data[course_id],course_data[topic],"")</f>
        <v>SAS : Health and Safety</v>
      </c>
      <c r="F2310" s="5" t="str">
        <f>_xlfn.XLOOKUP(role_course_map[[#This Row],[course_id]],course_data[course_id],course_data[type],"")</f>
        <v>eLearning</v>
      </c>
      <c r="K2310" t="str">
        <f>role_course_map[[#This Row],[role_id]] &amp; "|" &amp; role_course_map[[#This Row],[course_id]]</f>
        <v>R0046|999056</v>
      </c>
      <c r="L2310" t="str">
        <f>IF(COUNTIF(role_course_map[mapping_key],role_course_map[[#This Row],[mapping_key]])&gt;1,"DUPLICATE","OK")</f>
        <v>OK</v>
      </c>
      <c r="M2310" t="str">
        <f>IF(COUNTIF(role_data[role_id],role_course_map[[#This Row],[role_id]])=0, "INVALID","VALID")</f>
        <v>VALID</v>
      </c>
      <c r="N2310" t="str">
        <f>IF(COUNTIF(course_data[course_id],role_course_map[[#This Row],[course_id]])=0, "INVALID","VALID")</f>
        <v>VALID</v>
      </c>
    </row>
    <row r="2311" spans="1:14" x14ac:dyDescent="0.35">
      <c r="A2311" t="s">
        <v>103</v>
      </c>
      <c r="B2311" s="5" t="str">
        <f>_xlfn.XLOOKUP(role_course_map[[#This Row],[role_id]], role_data[role_id], role_data[Role],"")</f>
        <v>Learning and Development Administrator</v>
      </c>
      <c r="C2311">
        <v>999057</v>
      </c>
      <c r="D2311" s="5" t="str">
        <f>_xlfn.XLOOKUP(role_course_map[[#This Row],[course_id]],course_data[course_id],course_data[title],"")</f>
        <v>Fatigue Awareness</v>
      </c>
      <c r="E2311" s="5" t="str">
        <f>_xlfn.XLOOKUP(role_course_map[[#This Row],[course_id]],course_data[course_id],course_data[topic],"")</f>
        <v>SAS : Health and Safety</v>
      </c>
      <c r="F2311" s="5" t="str">
        <f>_xlfn.XLOOKUP(role_course_map[[#This Row],[course_id]],course_data[course_id],course_data[type],"")</f>
        <v>eLearning</v>
      </c>
      <c r="K2311" t="str">
        <f>role_course_map[[#This Row],[role_id]] &amp; "|" &amp; role_course_map[[#This Row],[course_id]]</f>
        <v>R0046|999057</v>
      </c>
      <c r="L2311" t="str">
        <f>IF(COUNTIF(role_course_map[mapping_key],role_course_map[[#This Row],[mapping_key]])&gt;1,"DUPLICATE","OK")</f>
        <v>OK</v>
      </c>
      <c r="M2311" t="str">
        <f>IF(COUNTIF(role_data[role_id],role_course_map[[#This Row],[role_id]])=0, "INVALID","VALID")</f>
        <v>VALID</v>
      </c>
      <c r="N2311" t="str">
        <f>IF(COUNTIF(course_data[course_id],role_course_map[[#This Row],[course_id]])=0, "INVALID","VALID")</f>
        <v>VALID</v>
      </c>
    </row>
    <row r="2312" spans="1:14" x14ac:dyDescent="0.35">
      <c r="A2312" t="s">
        <v>103</v>
      </c>
      <c r="B2312" s="5" t="str">
        <f>_xlfn.XLOOKUP(role_course_map[[#This Row],[role_id]], role_data[role_id], role_data[Role],"")</f>
        <v>Learning and Development Administrator</v>
      </c>
      <c r="C2312">
        <v>999058</v>
      </c>
      <c r="D2312" s="5" t="str">
        <f>_xlfn.XLOOKUP(role_course_map[[#This Row],[course_id]],course_data[course_id],course_data[title],"")</f>
        <v>Stress Identification &amp; Stress Management</v>
      </c>
      <c r="E2312" s="5" t="str">
        <f>_xlfn.XLOOKUP(role_course_map[[#This Row],[course_id]],course_data[course_id],course_data[topic],"")</f>
        <v>SAS : Health and Safety</v>
      </c>
      <c r="F2312" s="5" t="str">
        <f>_xlfn.XLOOKUP(role_course_map[[#This Row],[course_id]],course_data[course_id],course_data[type],"")</f>
        <v>eLearning</v>
      </c>
      <c r="K2312" t="str">
        <f>role_course_map[[#This Row],[role_id]] &amp; "|" &amp; role_course_map[[#This Row],[course_id]]</f>
        <v>R0046|999058</v>
      </c>
      <c r="L2312" t="str">
        <f>IF(COUNTIF(role_course_map[mapping_key],role_course_map[[#This Row],[mapping_key]])&gt;1,"DUPLICATE","OK")</f>
        <v>OK</v>
      </c>
      <c r="M2312" t="str">
        <f>IF(COUNTIF(role_data[role_id],role_course_map[[#This Row],[role_id]])=0, "INVALID","VALID")</f>
        <v>VALID</v>
      </c>
      <c r="N2312" t="str">
        <f>IF(COUNTIF(course_data[course_id],role_course_map[[#This Row],[course_id]])=0, "INVALID","VALID")</f>
        <v>VALID</v>
      </c>
    </row>
    <row r="2313" spans="1:14" x14ac:dyDescent="0.35">
      <c r="A2313" t="s">
        <v>103</v>
      </c>
      <c r="B2313" s="5" t="str">
        <f>_xlfn.XLOOKUP(role_course_map[[#This Row],[role_id]], role_data[role_id], role_data[Role],"")</f>
        <v>Learning and Development Administrator</v>
      </c>
      <c r="C2313">
        <v>999094</v>
      </c>
      <c r="D2313" s="5" t="str">
        <f>_xlfn.XLOOKUP(role_course_map[[#This Row],[course_id]],course_data[course_id],course_data[title],"")</f>
        <v>Being well, Mind, Body &amp; Workplace</v>
      </c>
      <c r="E2313" s="5" t="str">
        <f>_xlfn.XLOOKUP(role_course_map[[#This Row],[course_id]],course_data[course_id],course_data[topic],"")</f>
        <v>SAS: Staff development and experience</v>
      </c>
      <c r="F2313" s="5" t="str">
        <f>_xlfn.XLOOKUP(role_course_map[[#This Row],[course_id]],course_data[course_id],course_data[type],"")</f>
        <v>eLearning</v>
      </c>
      <c r="K2313" t="str">
        <f>role_course_map[[#This Row],[role_id]] &amp; "|" &amp; role_course_map[[#This Row],[course_id]]</f>
        <v>R0046|999094</v>
      </c>
      <c r="L2313" t="str">
        <f>IF(COUNTIF(role_course_map[mapping_key],role_course_map[[#This Row],[mapping_key]])&gt;1,"DUPLICATE","OK")</f>
        <v>OK</v>
      </c>
      <c r="M2313" t="str">
        <f>IF(COUNTIF(role_data[role_id],role_course_map[[#This Row],[role_id]])=0, "INVALID","VALID")</f>
        <v>VALID</v>
      </c>
      <c r="N2313" t="str">
        <f>IF(COUNTIF(course_data[course_id],role_course_map[[#This Row],[course_id]])=0, "INVALID","VALID")</f>
        <v>VALID</v>
      </c>
    </row>
    <row r="2314" spans="1:14" x14ac:dyDescent="0.35">
      <c r="A2314" t="s">
        <v>105</v>
      </c>
      <c r="B2314" s="5" t="str">
        <f>_xlfn.XLOOKUP(role_course_map[[#This Row],[role_id]], role_data[role_id], role_data[Role],"")</f>
        <v>Learning and Development Technologist</v>
      </c>
      <c r="C2314">
        <v>999056</v>
      </c>
      <c r="D2314" s="5" t="str">
        <f>_xlfn.XLOOKUP(role_course_map[[#This Row],[course_id]],course_data[course_id],course_data[title],"")</f>
        <v>Driver Assessment &amp; Training</v>
      </c>
      <c r="E2314" s="5" t="str">
        <f>_xlfn.XLOOKUP(role_course_map[[#This Row],[course_id]],course_data[course_id],course_data[topic],"")</f>
        <v>SAS : Health and Safety</v>
      </c>
      <c r="F2314" s="5" t="str">
        <f>_xlfn.XLOOKUP(role_course_map[[#This Row],[course_id]],course_data[course_id],course_data[type],"")</f>
        <v>eLearning</v>
      </c>
      <c r="K2314" t="str">
        <f>role_course_map[[#This Row],[role_id]] &amp; "|" &amp; role_course_map[[#This Row],[course_id]]</f>
        <v>R0047|999056</v>
      </c>
      <c r="L2314" t="str">
        <f>IF(COUNTIF(role_course_map[mapping_key],role_course_map[[#This Row],[mapping_key]])&gt;1,"DUPLICATE","OK")</f>
        <v>OK</v>
      </c>
      <c r="M2314" t="str">
        <f>IF(COUNTIF(role_data[role_id],role_course_map[[#This Row],[role_id]])=0, "INVALID","VALID")</f>
        <v>VALID</v>
      </c>
      <c r="N2314" t="str">
        <f>IF(COUNTIF(course_data[course_id],role_course_map[[#This Row],[course_id]])=0, "INVALID","VALID")</f>
        <v>VALID</v>
      </c>
    </row>
    <row r="2315" spans="1:14" x14ac:dyDescent="0.35">
      <c r="A2315" t="s">
        <v>105</v>
      </c>
      <c r="B2315" s="5" t="str">
        <f>_xlfn.XLOOKUP(role_course_map[[#This Row],[role_id]], role_data[role_id], role_data[Role],"")</f>
        <v>Learning and Development Technologist</v>
      </c>
      <c r="C2315">
        <v>999057</v>
      </c>
      <c r="D2315" s="5" t="str">
        <f>_xlfn.XLOOKUP(role_course_map[[#This Row],[course_id]],course_data[course_id],course_data[title],"")</f>
        <v>Fatigue Awareness</v>
      </c>
      <c r="E2315" s="5" t="str">
        <f>_xlfn.XLOOKUP(role_course_map[[#This Row],[course_id]],course_data[course_id],course_data[topic],"")</f>
        <v>SAS : Health and Safety</v>
      </c>
      <c r="F2315" s="5" t="str">
        <f>_xlfn.XLOOKUP(role_course_map[[#This Row],[course_id]],course_data[course_id],course_data[type],"")</f>
        <v>eLearning</v>
      </c>
      <c r="K2315" t="str">
        <f>role_course_map[[#This Row],[role_id]] &amp; "|" &amp; role_course_map[[#This Row],[course_id]]</f>
        <v>R0047|999057</v>
      </c>
      <c r="L2315" t="str">
        <f>IF(COUNTIF(role_course_map[mapping_key],role_course_map[[#This Row],[mapping_key]])&gt;1,"DUPLICATE","OK")</f>
        <v>OK</v>
      </c>
      <c r="M2315" t="str">
        <f>IF(COUNTIF(role_data[role_id],role_course_map[[#This Row],[role_id]])=0, "INVALID","VALID")</f>
        <v>VALID</v>
      </c>
      <c r="N2315" t="str">
        <f>IF(COUNTIF(course_data[course_id],role_course_map[[#This Row],[course_id]])=0, "INVALID","VALID")</f>
        <v>VALID</v>
      </c>
    </row>
    <row r="2316" spans="1:14" x14ac:dyDescent="0.35">
      <c r="A2316" t="s">
        <v>105</v>
      </c>
      <c r="B2316" s="5" t="str">
        <f>_xlfn.XLOOKUP(role_course_map[[#This Row],[role_id]], role_data[role_id], role_data[Role],"")</f>
        <v>Learning and Development Technologist</v>
      </c>
      <c r="C2316">
        <v>999058</v>
      </c>
      <c r="D2316" s="5" t="str">
        <f>_xlfn.XLOOKUP(role_course_map[[#This Row],[course_id]],course_data[course_id],course_data[title],"")</f>
        <v>Stress Identification &amp; Stress Management</v>
      </c>
      <c r="E2316" s="5" t="str">
        <f>_xlfn.XLOOKUP(role_course_map[[#This Row],[course_id]],course_data[course_id],course_data[topic],"")</f>
        <v>SAS : Health and Safety</v>
      </c>
      <c r="F2316" s="5" t="str">
        <f>_xlfn.XLOOKUP(role_course_map[[#This Row],[course_id]],course_data[course_id],course_data[type],"")</f>
        <v>eLearning</v>
      </c>
      <c r="K2316" t="str">
        <f>role_course_map[[#This Row],[role_id]] &amp; "|" &amp; role_course_map[[#This Row],[course_id]]</f>
        <v>R0047|999058</v>
      </c>
      <c r="L2316" t="str">
        <f>IF(COUNTIF(role_course_map[mapping_key],role_course_map[[#This Row],[mapping_key]])&gt;1,"DUPLICATE","OK")</f>
        <v>OK</v>
      </c>
      <c r="M2316" t="str">
        <f>IF(COUNTIF(role_data[role_id],role_course_map[[#This Row],[role_id]])=0, "INVALID","VALID")</f>
        <v>VALID</v>
      </c>
      <c r="N2316" t="str">
        <f>IF(COUNTIF(course_data[course_id],role_course_map[[#This Row],[course_id]])=0, "INVALID","VALID")</f>
        <v>VALID</v>
      </c>
    </row>
    <row r="2317" spans="1:14" x14ac:dyDescent="0.35">
      <c r="A2317" t="s">
        <v>105</v>
      </c>
      <c r="B2317" s="5" t="str">
        <f>_xlfn.XLOOKUP(role_course_map[[#This Row],[role_id]], role_data[role_id], role_data[Role],"")</f>
        <v>Learning and Development Technologist</v>
      </c>
      <c r="C2317">
        <v>999094</v>
      </c>
      <c r="D2317" s="5" t="str">
        <f>_xlfn.XLOOKUP(role_course_map[[#This Row],[course_id]],course_data[course_id],course_data[title],"")</f>
        <v>Being well, Mind, Body &amp; Workplace</v>
      </c>
      <c r="E2317" s="5" t="str">
        <f>_xlfn.XLOOKUP(role_course_map[[#This Row],[course_id]],course_data[course_id],course_data[topic],"")</f>
        <v>SAS: Staff development and experience</v>
      </c>
      <c r="F2317" s="5" t="str">
        <f>_xlfn.XLOOKUP(role_course_map[[#This Row],[course_id]],course_data[course_id],course_data[type],"")</f>
        <v>eLearning</v>
      </c>
      <c r="K2317" t="str">
        <f>role_course_map[[#This Row],[role_id]] &amp; "|" &amp; role_course_map[[#This Row],[course_id]]</f>
        <v>R0047|999094</v>
      </c>
      <c r="L2317" t="str">
        <f>IF(COUNTIF(role_course_map[mapping_key],role_course_map[[#This Row],[mapping_key]])&gt;1,"DUPLICATE","OK")</f>
        <v>OK</v>
      </c>
      <c r="M2317" t="str">
        <f>IF(COUNTIF(role_data[role_id],role_course_map[[#This Row],[role_id]])=0, "INVALID","VALID")</f>
        <v>VALID</v>
      </c>
      <c r="N2317" t="str">
        <f>IF(COUNTIF(course_data[course_id],role_course_map[[#This Row],[course_id]])=0, "INVALID","VALID")</f>
        <v>VALID</v>
      </c>
    </row>
    <row r="2318" spans="1:14" x14ac:dyDescent="0.35">
      <c r="A2318" t="s">
        <v>182</v>
      </c>
      <c r="B2318" s="5" t="str">
        <f>_xlfn.XLOOKUP(role_course_map[[#This Row],[role_id]], role_data[role_id], role_data[Role],"")</f>
        <v>Workforce Planner</v>
      </c>
      <c r="C2318">
        <v>999056</v>
      </c>
      <c r="D2318" s="5" t="str">
        <f>_xlfn.XLOOKUP(role_course_map[[#This Row],[course_id]],course_data[course_id],course_data[title],"")</f>
        <v>Driver Assessment &amp; Training</v>
      </c>
      <c r="E2318" s="5" t="str">
        <f>_xlfn.XLOOKUP(role_course_map[[#This Row],[course_id]],course_data[course_id],course_data[topic],"")</f>
        <v>SAS : Health and Safety</v>
      </c>
      <c r="F2318" s="5" t="str">
        <f>_xlfn.XLOOKUP(role_course_map[[#This Row],[course_id]],course_data[course_id],course_data[type],"")</f>
        <v>eLearning</v>
      </c>
      <c r="K2318" t="str">
        <f>role_course_map[[#This Row],[role_id]] &amp; "|" &amp; role_course_map[[#This Row],[course_id]]</f>
        <v>R0085|999056</v>
      </c>
      <c r="L2318" t="str">
        <f>IF(COUNTIF(role_course_map[mapping_key],role_course_map[[#This Row],[mapping_key]])&gt;1,"DUPLICATE","OK")</f>
        <v>OK</v>
      </c>
      <c r="M2318" t="str">
        <f>IF(COUNTIF(role_data[role_id],role_course_map[[#This Row],[role_id]])=0, "INVALID","VALID")</f>
        <v>VALID</v>
      </c>
      <c r="N2318" t="str">
        <f>IF(COUNTIF(course_data[course_id],role_course_map[[#This Row],[course_id]])=0, "INVALID","VALID")</f>
        <v>VALID</v>
      </c>
    </row>
    <row r="2319" spans="1:14" x14ac:dyDescent="0.35">
      <c r="A2319" t="s">
        <v>182</v>
      </c>
      <c r="B2319" s="5" t="str">
        <f>_xlfn.XLOOKUP(role_course_map[[#This Row],[role_id]], role_data[role_id], role_data[Role],"")</f>
        <v>Workforce Planner</v>
      </c>
      <c r="C2319">
        <v>999057</v>
      </c>
      <c r="D2319" s="5" t="str">
        <f>_xlfn.XLOOKUP(role_course_map[[#This Row],[course_id]],course_data[course_id],course_data[title],"")</f>
        <v>Fatigue Awareness</v>
      </c>
      <c r="E2319" s="5" t="str">
        <f>_xlfn.XLOOKUP(role_course_map[[#This Row],[course_id]],course_data[course_id],course_data[topic],"")</f>
        <v>SAS : Health and Safety</v>
      </c>
      <c r="F2319" s="5" t="str">
        <f>_xlfn.XLOOKUP(role_course_map[[#This Row],[course_id]],course_data[course_id],course_data[type],"")</f>
        <v>eLearning</v>
      </c>
      <c r="K2319" t="str">
        <f>role_course_map[[#This Row],[role_id]] &amp; "|" &amp; role_course_map[[#This Row],[course_id]]</f>
        <v>R0085|999057</v>
      </c>
      <c r="L2319" t="str">
        <f>IF(COUNTIF(role_course_map[mapping_key],role_course_map[[#This Row],[mapping_key]])&gt;1,"DUPLICATE","OK")</f>
        <v>OK</v>
      </c>
      <c r="M2319" t="str">
        <f>IF(COUNTIF(role_data[role_id],role_course_map[[#This Row],[role_id]])=0, "INVALID","VALID")</f>
        <v>VALID</v>
      </c>
      <c r="N2319" t="str">
        <f>IF(COUNTIF(course_data[course_id],role_course_map[[#This Row],[course_id]])=0, "INVALID","VALID")</f>
        <v>VALID</v>
      </c>
    </row>
    <row r="2320" spans="1:14" x14ac:dyDescent="0.35">
      <c r="A2320" t="s">
        <v>182</v>
      </c>
      <c r="B2320" s="5" t="str">
        <f>_xlfn.XLOOKUP(role_course_map[[#This Row],[role_id]], role_data[role_id], role_data[Role],"")</f>
        <v>Workforce Planner</v>
      </c>
      <c r="C2320">
        <v>999058</v>
      </c>
      <c r="D2320" s="5" t="str">
        <f>_xlfn.XLOOKUP(role_course_map[[#This Row],[course_id]],course_data[course_id],course_data[title],"")</f>
        <v>Stress Identification &amp; Stress Management</v>
      </c>
      <c r="E2320" s="5" t="str">
        <f>_xlfn.XLOOKUP(role_course_map[[#This Row],[course_id]],course_data[course_id],course_data[topic],"")</f>
        <v>SAS : Health and Safety</v>
      </c>
      <c r="F2320" s="5" t="str">
        <f>_xlfn.XLOOKUP(role_course_map[[#This Row],[course_id]],course_data[course_id],course_data[type],"")</f>
        <v>eLearning</v>
      </c>
      <c r="K2320" t="str">
        <f>role_course_map[[#This Row],[role_id]] &amp; "|" &amp; role_course_map[[#This Row],[course_id]]</f>
        <v>R0085|999058</v>
      </c>
      <c r="L2320" t="str">
        <f>IF(COUNTIF(role_course_map[mapping_key],role_course_map[[#This Row],[mapping_key]])&gt;1,"DUPLICATE","OK")</f>
        <v>OK</v>
      </c>
      <c r="M2320" t="str">
        <f>IF(COUNTIF(role_data[role_id],role_course_map[[#This Row],[role_id]])=0, "INVALID","VALID")</f>
        <v>VALID</v>
      </c>
      <c r="N2320" t="str">
        <f>IF(COUNTIF(course_data[course_id],role_course_map[[#This Row],[course_id]])=0, "INVALID","VALID")</f>
        <v>VALID</v>
      </c>
    </row>
    <row r="2321" spans="1:14" x14ac:dyDescent="0.35">
      <c r="A2321" t="s">
        <v>182</v>
      </c>
      <c r="B2321" s="5" t="str">
        <f>_xlfn.XLOOKUP(role_course_map[[#This Row],[role_id]], role_data[role_id], role_data[Role],"")</f>
        <v>Workforce Planner</v>
      </c>
      <c r="C2321">
        <v>999094</v>
      </c>
      <c r="D2321" s="5" t="str">
        <f>_xlfn.XLOOKUP(role_course_map[[#This Row],[course_id]],course_data[course_id],course_data[title],"")</f>
        <v>Being well, Mind, Body &amp; Workplace</v>
      </c>
      <c r="E2321" s="5" t="str">
        <f>_xlfn.XLOOKUP(role_course_map[[#This Row],[course_id]],course_data[course_id],course_data[topic],"")</f>
        <v>SAS: Staff development and experience</v>
      </c>
      <c r="F2321" s="5" t="str">
        <f>_xlfn.XLOOKUP(role_course_map[[#This Row],[course_id]],course_data[course_id],course_data[type],"")</f>
        <v>eLearning</v>
      </c>
      <c r="K2321" t="str">
        <f>role_course_map[[#This Row],[role_id]] &amp; "|" &amp; role_course_map[[#This Row],[course_id]]</f>
        <v>R0085|999094</v>
      </c>
      <c r="L2321" t="str">
        <f>IF(COUNTIF(role_course_map[mapping_key],role_course_map[[#This Row],[mapping_key]])&gt;1,"DUPLICATE","OK")</f>
        <v>OK</v>
      </c>
      <c r="M2321" t="str">
        <f>IF(COUNTIF(role_data[role_id],role_course_map[[#This Row],[role_id]])=0, "INVALID","VALID")</f>
        <v>VALID</v>
      </c>
      <c r="N2321" t="str">
        <f>IF(COUNTIF(course_data[course_id],role_course_map[[#This Row],[course_id]])=0, "INVALID","VALID")</f>
        <v>VALID</v>
      </c>
    </row>
    <row r="2322" spans="1:14" x14ac:dyDescent="0.35">
      <c r="A2322" t="s">
        <v>193</v>
      </c>
      <c r="B2322" s="5" t="str">
        <f>_xlfn.XLOOKUP(role_course_map[[#This Row],[role_id]], role_data[role_id], role_data[Role],"")</f>
        <v>Area Service Manager</v>
      </c>
      <c r="C2322">
        <v>999062</v>
      </c>
      <c r="D2322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2322" s="5" t="str">
        <f>_xlfn.XLOOKUP(role_course_map[[#This Row],[course_id]],course_data[course_id],course_data[topic],"")</f>
        <v>SAS : Health and Safety</v>
      </c>
      <c r="F2322" s="5" t="str">
        <f>_xlfn.XLOOKUP(role_course_map[[#This Row],[course_id]],course_data[course_id],course_data[type],"")</f>
        <v>Course</v>
      </c>
      <c r="K2322" t="str">
        <f>role_course_map[[#This Row],[role_id]] &amp; "|" &amp; role_course_map[[#This Row],[course_id]]</f>
        <v>R0090|999062</v>
      </c>
      <c r="L2322" t="str">
        <f>IF(COUNTIF(role_course_map[mapping_key],role_course_map[[#This Row],[mapping_key]])&gt;1,"DUPLICATE","OK")</f>
        <v>OK</v>
      </c>
      <c r="M2322" t="str">
        <f>IF(COUNTIF(role_data[role_id],role_course_map[[#This Row],[role_id]])=0, "INVALID","VALID")</f>
        <v>VALID</v>
      </c>
      <c r="N2322" t="str">
        <f>IF(COUNTIF(course_data[course_id],role_course_map[[#This Row],[course_id]])=0, "INVALID","VALID")</f>
        <v>VALID</v>
      </c>
    </row>
    <row r="2323" spans="1:14" x14ac:dyDescent="0.35">
      <c r="A2323" t="s">
        <v>193</v>
      </c>
      <c r="B2323" s="5" t="str">
        <f>_xlfn.XLOOKUP(role_course_map[[#This Row],[role_id]], role_data[role_id], role_data[Role],"")</f>
        <v>Area Service Manager</v>
      </c>
      <c r="C2323">
        <v>999056</v>
      </c>
      <c r="D2323" s="5" t="str">
        <f>_xlfn.XLOOKUP(role_course_map[[#This Row],[course_id]],course_data[course_id],course_data[title],"")</f>
        <v>Driver Assessment &amp; Training</v>
      </c>
      <c r="E2323" s="5" t="str">
        <f>_xlfn.XLOOKUP(role_course_map[[#This Row],[course_id]],course_data[course_id],course_data[topic],"")</f>
        <v>SAS : Health and Safety</v>
      </c>
      <c r="F2323" s="5" t="str">
        <f>_xlfn.XLOOKUP(role_course_map[[#This Row],[course_id]],course_data[course_id],course_data[type],"")</f>
        <v>eLearning</v>
      </c>
      <c r="K2323" t="str">
        <f>role_course_map[[#This Row],[role_id]] &amp; "|" &amp; role_course_map[[#This Row],[course_id]]</f>
        <v>R0090|999056</v>
      </c>
      <c r="L2323" t="str">
        <f>IF(COUNTIF(role_course_map[mapping_key],role_course_map[[#This Row],[mapping_key]])&gt;1,"DUPLICATE","OK")</f>
        <v>OK</v>
      </c>
      <c r="M2323" t="str">
        <f>IF(COUNTIF(role_data[role_id],role_course_map[[#This Row],[role_id]])=0, "INVALID","VALID")</f>
        <v>VALID</v>
      </c>
      <c r="N2323" t="str">
        <f>IF(COUNTIF(course_data[course_id],role_course_map[[#This Row],[course_id]])=0, "INVALID","VALID")</f>
        <v>VALID</v>
      </c>
    </row>
    <row r="2324" spans="1:14" x14ac:dyDescent="0.35">
      <c r="A2324" t="s">
        <v>193</v>
      </c>
      <c r="B2324" s="5" t="str">
        <f>_xlfn.XLOOKUP(role_course_map[[#This Row],[role_id]], role_data[role_id], role_data[Role],"")</f>
        <v>Area Service Manager</v>
      </c>
      <c r="C2324">
        <v>999057</v>
      </c>
      <c r="D2324" s="5" t="str">
        <f>_xlfn.XLOOKUP(role_course_map[[#This Row],[course_id]],course_data[course_id],course_data[title],"")</f>
        <v>Fatigue Awareness</v>
      </c>
      <c r="E2324" s="5" t="str">
        <f>_xlfn.XLOOKUP(role_course_map[[#This Row],[course_id]],course_data[course_id],course_data[topic],"")</f>
        <v>SAS : Health and Safety</v>
      </c>
      <c r="F2324" s="5" t="str">
        <f>_xlfn.XLOOKUP(role_course_map[[#This Row],[course_id]],course_data[course_id],course_data[type],"")</f>
        <v>eLearning</v>
      </c>
      <c r="K2324" t="str">
        <f>role_course_map[[#This Row],[role_id]] &amp; "|" &amp; role_course_map[[#This Row],[course_id]]</f>
        <v>R0090|999057</v>
      </c>
      <c r="L2324" t="str">
        <f>IF(COUNTIF(role_course_map[mapping_key],role_course_map[[#This Row],[mapping_key]])&gt;1,"DUPLICATE","OK")</f>
        <v>OK</v>
      </c>
      <c r="M2324" t="str">
        <f>IF(COUNTIF(role_data[role_id],role_course_map[[#This Row],[role_id]])=0, "INVALID","VALID")</f>
        <v>VALID</v>
      </c>
      <c r="N2324" t="str">
        <f>IF(COUNTIF(course_data[course_id],role_course_map[[#This Row],[course_id]])=0, "INVALID","VALID")</f>
        <v>VALID</v>
      </c>
    </row>
    <row r="2325" spans="1:14" x14ac:dyDescent="0.35">
      <c r="A2325" t="s">
        <v>193</v>
      </c>
      <c r="B2325" s="5" t="str">
        <f>_xlfn.XLOOKUP(role_course_map[[#This Row],[role_id]], role_data[role_id], role_data[Role],"")</f>
        <v>Area Service Manager</v>
      </c>
      <c r="C2325">
        <v>999058</v>
      </c>
      <c r="D2325" s="5" t="str">
        <f>_xlfn.XLOOKUP(role_course_map[[#This Row],[course_id]],course_data[course_id],course_data[title],"")</f>
        <v>Stress Identification &amp; Stress Management</v>
      </c>
      <c r="E2325" s="5" t="str">
        <f>_xlfn.XLOOKUP(role_course_map[[#This Row],[course_id]],course_data[course_id],course_data[topic],"")</f>
        <v>SAS : Health and Safety</v>
      </c>
      <c r="F2325" s="5" t="str">
        <f>_xlfn.XLOOKUP(role_course_map[[#This Row],[course_id]],course_data[course_id],course_data[type],"")</f>
        <v>eLearning</v>
      </c>
      <c r="K2325" t="str">
        <f>role_course_map[[#This Row],[role_id]] &amp; "|" &amp; role_course_map[[#This Row],[course_id]]</f>
        <v>R0090|999058</v>
      </c>
      <c r="L2325" t="str">
        <f>IF(COUNTIF(role_course_map[mapping_key],role_course_map[[#This Row],[mapping_key]])&gt;1,"DUPLICATE","OK")</f>
        <v>OK</v>
      </c>
      <c r="M2325" t="str">
        <f>IF(COUNTIF(role_data[role_id],role_course_map[[#This Row],[role_id]])=0, "INVALID","VALID")</f>
        <v>VALID</v>
      </c>
      <c r="N2325" t="str">
        <f>IF(COUNTIF(course_data[course_id],role_course_map[[#This Row],[course_id]])=0, "INVALID","VALID")</f>
        <v>VALID</v>
      </c>
    </row>
    <row r="2326" spans="1:14" x14ac:dyDescent="0.35">
      <c r="A2326" t="s">
        <v>193</v>
      </c>
      <c r="B2326" s="5" t="str">
        <f>_xlfn.XLOOKUP(role_course_map[[#This Row],[role_id]], role_data[role_id], role_data[Role],"")</f>
        <v>Area Service Manager</v>
      </c>
      <c r="C2326">
        <v>75406</v>
      </c>
      <c r="D2326" s="5" t="str">
        <f>_xlfn.XLOOKUP(role_course_map[[#This Row],[course_id]],course_data[course_id],course_data[title],"")</f>
        <v>Foundation Leadership and Management Programme (FLMP)</v>
      </c>
      <c r="E2326" s="5" t="str">
        <f>_xlfn.XLOOKUP(role_course_map[[#This Row],[course_id]],course_data[course_id],course_data[topic],"")</f>
        <v>SAS: Staff development and experience</v>
      </c>
      <c r="F2326" s="5" t="str">
        <f>_xlfn.XLOOKUP(role_course_map[[#This Row],[course_id]],course_data[course_id],course_data[type],"")</f>
        <v>Page</v>
      </c>
      <c r="K2326" t="str">
        <f>role_course_map[[#This Row],[role_id]] &amp; "|" &amp; role_course_map[[#This Row],[course_id]]</f>
        <v>R0090|75406</v>
      </c>
      <c r="L2326" t="str">
        <f>IF(COUNTIF(role_course_map[mapping_key],role_course_map[[#This Row],[mapping_key]])&gt;1,"DUPLICATE","OK")</f>
        <v>OK</v>
      </c>
      <c r="M2326" t="str">
        <f>IF(COUNTIF(role_data[role_id],role_course_map[[#This Row],[role_id]])=0, "INVALID","VALID")</f>
        <v>VALID</v>
      </c>
      <c r="N2326" t="str">
        <f>IF(COUNTIF(course_data[course_id],role_course_map[[#This Row],[course_id]])=0, "INVALID","VALID")</f>
        <v>VALID</v>
      </c>
    </row>
    <row r="2327" spans="1:14" x14ac:dyDescent="0.35">
      <c r="A2327" t="s">
        <v>193</v>
      </c>
      <c r="B2327" s="5" t="str">
        <f>_xlfn.XLOOKUP(role_course_map[[#This Row],[role_id]], role_data[role_id], role_data[Role],"")</f>
        <v>Area Service Manager</v>
      </c>
      <c r="C2327">
        <v>75407</v>
      </c>
      <c r="D2327" s="5" t="str">
        <f>_xlfn.XLOOKUP(role_course_map[[#This Row],[course_id]],course_data[course_id],course_data[title],"")</f>
        <v>Aspirant Leader Development Programme (ALDP)</v>
      </c>
      <c r="E2327" s="5" t="str">
        <f>_xlfn.XLOOKUP(role_course_map[[#This Row],[course_id]],course_data[course_id],course_data[topic],"")</f>
        <v>SAS: Staff development and experience</v>
      </c>
      <c r="F2327" s="5" t="str">
        <f>_xlfn.XLOOKUP(role_course_map[[#This Row],[course_id]],course_data[course_id],course_data[type],"")</f>
        <v>Page</v>
      </c>
      <c r="K2327" t="str">
        <f>role_course_map[[#This Row],[role_id]] &amp; "|" &amp; role_course_map[[#This Row],[course_id]]</f>
        <v>R0090|75407</v>
      </c>
      <c r="L2327" t="str">
        <f>IF(COUNTIF(role_course_map[mapping_key],role_course_map[[#This Row],[mapping_key]])&gt;1,"DUPLICATE","OK")</f>
        <v>OK</v>
      </c>
      <c r="M2327" t="str">
        <f>IF(COUNTIF(role_data[role_id],role_course_map[[#This Row],[role_id]])=0, "INVALID","VALID")</f>
        <v>VALID</v>
      </c>
      <c r="N2327" t="str">
        <f>IF(COUNTIF(course_data[course_id],role_course_map[[#This Row],[course_id]])=0, "INVALID","VALID")</f>
        <v>VALID</v>
      </c>
    </row>
    <row r="2328" spans="1:14" x14ac:dyDescent="0.35">
      <c r="A2328" t="s">
        <v>193</v>
      </c>
      <c r="B2328" s="5" t="str">
        <f>_xlfn.XLOOKUP(role_course_map[[#This Row],[role_id]], role_data[role_id], role_data[Role],"")</f>
        <v>Area Service Manager</v>
      </c>
      <c r="C2328">
        <v>999092</v>
      </c>
      <c r="D2328" s="5" t="str">
        <f>_xlfn.XLOOKUP(role_course_map[[#This Row],[course_id]],course_data[course_id],course_data[title],"")</f>
        <v>Health &amp; Wellbeing Awareness for Managers</v>
      </c>
      <c r="E2328" s="5" t="str">
        <f>_xlfn.XLOOKUP(role_course_map[[#This Row],[course_id]],course_data[course_id],course_data[topic],"")</f>
        <v>SAS: Staff development and experience</v>
      </c>
      <c r="F2328" s="5" t="str">
        <f>_xlfn.XLOOKUP(role_course_map[[#This Row],[course_id]],course_data[course_id],course_data[type],"")</f>
        <v>eLearning</v>
      </c>
      <c r="K2328" t="str">
        <f>role_course_map[[#This Row],[role_id]] &amp; "|" &amp; role_course_map[[#This Row],[course_id]]</f>
        <v>R0090|999092</v>
      </c>
      <c r="L2328" t="str">
        <f>IF(COUNTIF(role_course_map[mapping_key],role_course_map[[#This Row],[mapping_key]])&gt;1,"DUPLICATE","OK")</f>
        <v>OK</v>
      </c>
      <c r="M2328" t="str">
        <f>IF(COUNTIF(role_data[role_id],role_course_map[[#This Row],[role_id]])=0, "INVALID","VALID")</f>
        <v>VALID</v>
      </c>
      <c r="N2328" t="str">
        <f>IF(COUNTIF(course_data[course_id],role_course_map[[#This Row],[course_id]])=0, "INVALID","VALID")</f>
        <v>VALID</v>
      </c>
    </row>
    <row r="2329" spans="1:14" x14ac:dyDescent="0.35">
      <c r="A2329" t="s">
        <v>193</v>
      </c>
      <c r="B2329" s="5" t="str">
        <f>_xlfn.XLOOKUP(role_course_map[[#This Row],[role_id]], role_data[role_id], role_data[Role],"")</f>
        <v>Area Service Manager</v>
      </c>
      <c r="C2329">
        <v>999093</v>
      </c>
      <c r="D2329" s="5" t="str">
        <f>_xlfn.XLOOKUP(role_course_map[[#This Row],[course_id]],course_data[course_id],course_data[title],"")</f>
        <v>Managing Wellbeing Refresher for Managers</v>
      </c>
      <c r="E2329" s="5" t="str">
        <f>_xlfn.XLOOKUP(role_course_map[[#This Row],[course_id]],course_data[course_id],course_data[topic],"")</f>
        <v>SAS: Staff development and experience</v>
      </c>
      <c r="F2329" s="5" t="str">
        <f>_xlfn.XLOOKUP(role_course_map[[#This Row],[course_id]],course_data[course_id],course_data[type],"")</f>
        <v>eLearning</v>
      </c>
      <c r="K2329" t="str">
        <f>role_course_map[[#This Row],[role_id]] &amp; "|" &amp; role_course_map[[#This Row],[course_id]]</f>
        <v>R0090|999093</v>
      </c>
      <c r="L2329" t="str">
        <f>IF(COUNTIF(role_course_map[mapping_key],role_course_map[[#This Row],[mapping_key]])&gt;1,"DUPLICATE","OK")</f>
        <v>OK</v>
      </c>
      <c r="M2329" t="str">
        <f>IF(COUNTIF(role_data[role_id],role_course_map[[#This Row],[role_id]])=0, "INVALID","VALID")</f>
        <v>VALID</v>
      </c>
      <c r="N2329" t="str">
        <f>IF(COUNTIF(course_data[course_id],role_course_map[[#This Row],[course_id]])=0, "INVALID","VALID")</f>
        <v>VALID</v>
      </c>
    </row>
    <row r="2330" spans="1:14" x14ac:dyDescent="0.35">
      <c r="A2330" t="s">
        <v>193</v>
      </c>
      <c r="B2330" s="5" t="str">
        <f>_xlfn.XLOOKUP(role_course_map[[#This Row],[role_id]], role_data[role_id], role_data[Role],"")</f>
        <v>Area Service Manager</v>
      </c>
      <c r="C2330">
        <v>999094</v>
      </c>
      <c r="D2330" s="5" t="str">
        <f>_xlfn.XLOOKUP(role_course_map[[#This Row],[course_id]],course_data[course_id],course_data[title],"")</f>
        <v>Being well, Mind, Body &amp; Workplace</v>
      </c>
      <c r="E2330" s="5" t="str">
        <f>_xlfn.XLOOKUP(role_course_map[[#This Row],[course_id]],course_data[course_id],course_data[topic],"")</f>
        <v>SAS: Staff development and experience</v>
      </c>
      <c r="F2330" s="5" t="str">
        <f>_xlfn.XLOOKUP(role_course_map[[#This Row],[course_id]],course_data[course_id],course_data[type],"")</f>
        <v>eLearning</v>
      </c>
      <c r="K2330" t="str">
        <f>role_course_map[[#This Row],[role_id]] &amp; "|" &amp; role_course_map[[#This Row],[course_id]]</f>
        <v>R0090|999094</v>
      </c>
      <c r="L2330" t="str">
        <f>IF(COUNTIF(role_course_map[mapping_key],role_course_map[[#This Row],[mapping_key]])&gt;1,"DUPLICATE","OK")</f>
        <v>OK</v>
      </c>
      <c r="M2330" t="str">
        <f>IF(COUNTIF(role_data[role_id],role_course_map[[#This Row],[role_id]])=0, "INVALID","VALID")</f>
        <v>VALID</v>
      </c>
      <c r="N2330" t="str">
        <f>IF(COUNTIF(course_data[course_id],role_course_map[[#This Row],[course_id]])=0, "INVALID","VALID")</f>
        <v>VALID</v>
      </c>
    </row>
    <row r="2331" spans="1:14" x14ac:dyDescent="0.35">
      <c r="A2331" t="s">
        <v>186</v>
      </c>
      <c r="B2331" s="5" t="str">
        <f>_xlfn.XLOOKUP(role_course_map[[#This Row],[role_id]], role_data[role_id], role_data[Role],"")</f>
        <v>Advanced Practitioner</v>
      </c>
      <c r="C2331">
        <v>79218</v>
      </c>
      <c r="D2331" s="5" t="str">
        <f>_xlfn.XLOOKUP(role_course_map[[#This Row],[course_id]],course_data[course_id],course_data[title],"")</f>
        <v>Life support</v>
      </c>
      <c r="E2331" s="5" t="str">
        <f>_xlfn.XLOOKUP(role_course_map[[#This Row],[course_id]],course_data[course_id],course_data[topic],"")</f>
        <v>SAS : Clinical Practice</v>
      </c>
      <c r="F2331" s="5" t="str">
        <f>_xlfn.XLOOKUP(role_course_map[[#This Row],[course_id]],course_data[course_id],course_data[type],"")</f>
        <v>Page</v>
      </c>
      <c r="K2331" t="str">
        <f>role_course_map[[#This Row],[role_id]] &amp; "|" &amp; role_course_map[[#This Row],[course_id]]</f>
        <v>R0087|79218</v>
      </c>
      <c r="L2331" t="str">
        <f>IF(COUNTIF(role_course_map[mapping_key],role_course_map[[#This Row],[mapping_key]])&gt;1,"DUPLICATE","OK")</f>
        <v>OK</v>
      </c>
      <c r="M2331" t="str">
        <f>IF(COUNTIF(role_data[role_id],role_course_map[[#This Row],[role_id]])=0, "INVALID","VALID")</f>
        <v>VALID</v>
      </c>
      <c r="N2331" t="str">
        <f>IF(COUNTIF(course_data[course_id],role_course_map[[#This Row],[course_id]])=0, "INVALID","VALID")</f>
        <v>VALID</v>
      </c>
    </row>
    <row r="2332" spans="1:14" x14ac:dyDescent="0.35">
      <c r="A2332" t="s">
        <v>186</v>
      </c>
      <c r="B2332" s="5" t="str">
        <f>_xlfn.XLOOKUP(role_course_map[[#This Row],[role_id]], role_data[role_id], role_data[Role],"")</f>
        <v>Advanced Practitioner</v>
      </c>
      <c r="C2332">
        <v>999009</v>
      </c>
      <c r="D2332" s="5" t="str">
        <f>_xlfn.XLOOKUP(role_course_map[[#This Row],[course_id]],course_data[course_id],course_data[title],"")</f>
        <v>Life Support</v>
      </c>
      <c r="E2332" s="5" t="str">
        <f>_xlfn.XLOOKUP(role_course_map[[#This Row],[course_id]],course_data[course_id],course_data[topic],"")</f>
        <v>SAS : Clinical Practice</v>
      </c>
      <c r="F2332" s="5" t="str">
        <f>_xlfn.XLOOKUP(role_course_map[[#This Row],[course_id]],course_data[course_id],course_data[type],"")</f>
        <v>Course</v>
      </c>
      <c r="K2332" t="str">
        <f>role_course_map[[#This Row],[role_id]] &amp; "|" &amp; role_course_map[[#This Row],[course_id]]</f>
        <v>R0087|999009</v>
      </c>
      <c r="L2332" t="str">
        <f>IF(COUNTIF(role_course_map[mapping_key],role_course_map[[#This Row],[mapping_key]])&gt;1,"DUPLICATE","OK")</f>
        <v>OK</v>
      </c>
      <c r="M2332" t="str">
        <f>IF(COUNTIF(role_data[role_id],role_course_map[[#This Row],[role_id]])=0, "INVALID","VALID")</f>
        <v>VALID</v>
      </c>
      <c r="N2332" t="str">
        <f>IF(COUNTIF(course_data[course_id],role_course_map[[#This Row],[course_id]])=0, "INVALID","VALID")</f>
        <v>VALID</v>
      </c>
    </row>
    <row r="2333" spans="1:14" x14ac:dyDescent="0.35">
      <c r="A2333" t="s">
        <v>186</v>
      </c>
      <c r="B2333" s="5" t="str">
        <f>_xlfn.XLOOKUP(role_course_map[[#This Row],[role_id]], role_data[role_id], role_data[Role],"")</f>
        <v>Advanced Practitioner</v>
      </c>
      <c r="C2333">
        <v>999007</v>
      </c>
      <c r="D2333" s="5" t="str">
        <f>_xlfn.XLOOKUP(role_course_map[[#This Row],[course_id]],course_data[course_id],course_data[title],"")</f>
        <v>Obstetrics</v>
      </c>
      <c r="E2333" s="5" t="str">
        <f>_xlfn.XLOOKUP(role_course_map[[#This Row],[course_id]],course_data[course_id],course_data[topic],"")</f>
        <v>SAS : Clinical Practice</v>
      </c>
      <c r="F2333" s="5" t="str">
        <f>_xlfn.XLOOKUP(role_course_map[[#This Row],[course_id]],course_data[course_id],course_data[type],"")</f>
        <v>Course</v>
      </c>
      <c r="K2333" t="str">
        <f>role_course_map[[#This Row],[role_id]] &amp; "|" &amp; role_course_map[[#This Row],[course_id]]</f>
        <v>R0087|999007</v>
      </c>
      <c r="L2333" t="str">
        <f>IF(COUNTIF(role_course_map[mapping_key],role_course_map[[#This Row],[mapping_key]])&gt;1,"DUPLICATE","OK")</f>
        <v>OK</v>
      </c>
      <c r="M2333" t="str">
        <f>IF(COUNTIF(role_data[role_id],role_course_map[[#This Row],[role_id]])=0, "INVALID","VALID")</f>
        <v>VALID</v>
      </c>
      <c r="N2333" t="str">
        <f>IF(COUNTIF(course_data[course_id],role_course_map[[#This Row],[course_id]])=0, "INVALID","VALID")</f>
        <v>VALID</v>
      </c>
    </row>
    <row r="2334" spans="1:14" x14ac:dyDescent="0.35">
      <c r="A2334" t="s">
        <v>186</v>
      </c>
      <c r="B2334" s="5" t="str">
        <f>_xlfn.XLOOKUP(role_course_map[[#This Row],[role_id]], role_data[role_id], role_data[Role],"")</f>
        <v>Advanced Practitioner</v>
      </c>
      <c r="C2334">
        <v>999008</v>
      </c>
      <c r="D2334" s="5" t="str">
        <f>_xlfn.XLOOKUP(role_course_map[[#This Row],[course_id]],course_data[course_id],course_data[title],"")</f>
        <v>Obstetrics</v>
      </c>
      <c r="E2334" s="5" t="str">
        <f>_xlfn.XLOOKUP(role_course_map[[#This Row],[course_id]],course_data[course_id],course_data[topic],"")</f>
        <v>SAS : Clinical Practice</v>
      </c>
      <c r="F2334" s="5" t="str">
        <f>_xlfn.XLOOKUP(role_course_map[[#This Row],[course_id]],course_data[course_id],course_data[type],"")</f>
        <v>eLearning</v>
      </c>
      <c r="K2334" t="str">
        <f>role_course_map[[#This Row],[role_id]] &amp; "|" &amp; role_course_map[[#This Row],[course_id]]</f>
        <v>R0087|999008</v>
      </c>
      <c r="L2334" t="str">
        <f>IF(COUNTIF(role_course_map[mapping_key],role_course_map[[#This Row],[mapping_key]])&gt;1,"DUPLICATE","OK")</f>
        <v>OK</v>
      </c>
      <c r="M2334" t="str">
        <f>IF(COUNTIF(role_data[role_id],role_course_map[[#This Row],[role_id]])=0, "INVALID","VALID")</f>
        <v>VALID</v>
      </c>
      <c r="N2334" t="str">
        <f>IF(COUNTIF(course_data[course_id],role_course_map[[#This Row],[course_id]])=0, "INVALID","VALID")</f>
        <v>VALID</v>
      </c>
    </row>
    <row r="2335" spans="1:14" x14ac:dyDescent="0.35">
      <c r="A2335" t="s">
        <v>186</v>
      </c>
      <c r="B2335" s="5" t="str">
        <f>_xlfn.XLOOKUP(role_course_map[[#This Row],[role_id]], role_data[role_id], role_data[Role],"")</f>
        <v>Advanced Practitioner</v>
      </c>
      <c r="C2335">
        <v>999010</v>
      </c>
      <c r="D2335" s="5" t="str">
        <f>_xlfn.XLOOKUP(role_course_map[[#This Row],[course_id]],course_data[course_id],course_data[title],"")</f>
        <v>Paediatrics</v>
      </c>
      <c r="E2335" s="5" t="str">
        <f>_xlfn.XLOOKUP(role_course_map[[#This Row],[course_id]],course_data[course_id],course_data[topic],"")</f>
        <v>SAS : Clinical Practice</v>
      </c>
      <c r="F2335" s="5" t="str">
        <f>_xlfn.XLOOKUP(role_course_map[[#This Row],[course_id]],course_data[course_id],course_data[type],"")</f>
        <v>Course</v>
      </c>
      <c r="K2335" t="str">
        <f>role_course_map[[#This Row],[role_id]] &amp; "|" &amp; role_course_map[[#This Row],[course_id]]</f>
        <v>R0087|999010</v>
      </c>
      <c r="L2335" t="str">
        <f>IF(COUNTIF(role_course_map[mapping_key],role_course_map[[#This Row],[mapping_key]])&gt;1,"DUPLICATE","OK")</f>
        <v>OK</v>
      </c>
      <c r="M2335" t="str">
        <f>IF(COUNTIF(role_data[role_id],role_course_map[[#This Row],[role_id]])=0, "INVALID","VALID")</f>
        <v>VALID</v>
      </c>
      <c r="N2335" t="str">
        <f>IF(COUNTIF(course_data[course_id],role_course_map[[#This Row],[course_id]])=0, "INVALID","VALID")</f>
        <v>VALID</v>
      </c>
    </row>
    <row r="2336" spans="1:14" x14ac:dyDescent="0.35">
      <c r="A2336" t="s">
        <v>186</v>
      </c>
      <c r="B2336" s="5" t="str">
        <f>_xlfn.XLOOKUP(role_course_map[[#This Row],[role_id]], role_data[role_id], role_data[Role],"")</f>
        <v>Advanced Practitioner</v>
      </c>
      <c r="C2336">
        <v>999011</v>
      </c>
      <c r="D2336" s="5" t="str">
        <f>_xlfn.XLOOKUP(role_course_map[[#This Row],[course_id]],course_data[course_id],course_data[title],"")</f>
        <v>Paediatrics</v>
      </c>
      <c r="E2336" s="5" t="str">
        <f>_xlfn.XLOOKUP(role_course_map[[#This Row],[course_id]],course_data[course_id],course_data[topic],"")</f>
        <v>SAS : Clinical Practice</v>
      </c>
      <c r="F2336" s="5" t="str">
        <f>_xlfn.XLOOKUP(role_course_map[[#This Row],[course_id]],course_data[course_id],course_data[type],"")</f>
        <v>eLearning</v>
      </c>
      <c r="K2336" t="str">
        <f>role_course_map[[#This Row],[role_id]] &amp; "|" &amp; role_course_map[[#This Row],[course_id]]</f>
        <v>R0087|999011</v>
      </c>
      <c r="L2336" t="str">
        <f>IF(COUNTIF(role_course_map[mapping_key],role_course_map[[#This Row],[mapping_key]])&gt;1,"DUPLICATE","OK")</f>
        <v>OK</v>
      </c>
      <c r="M2336" t="str">
        <f>IF(COUNTIF(role_data[role_id],role_course_map[[#This Row],[role_id]])=0, "INVALID","VALID")</f>
        <v>VALID</v>
      </c>
      <c r="N2336" t="str">
        <f>IF(COUNTIF(course_data[course_id],role_course_map[[#This Row],[course_id]])=0, "INVALID","VALID")</f>
        <v>VALID</v>
      </c>
    </row>
    <row r="2337" spans="1:14" x14ac:dyDescent="0.35">
      <c r="A2337" t="s">
        <v>186</v>
      </c>
      <c r="B2337" s="5" t="str">
        <f>_xlfn.XLOOKUP(role_course_map[[#This Row],[role_id]], role_data[role_id], role_data[Role],"")</f>
        <v>Advanced Practitioner</v>
      </c>
      <c r="C2337">
        <v>999012</v>
      </c>
      <c r="D2337" s="5" t="str">
        <f>_xlfn.XLOOKUP(role_course_map[[#This Row],[course_id]],course_data[course_id],course_data[title],"")</f>
        <v>Trauma</v>
      </c>
      <c r="E2337" s="5" t="str">
        <f>_xlfn.XLOOKUP(role_course_map[[#This Row],[course_id]],course_data[course_id],course_data[topic],"")</f>
        <v>SAS : Clinical Practice</v>
      </c>
      <c r="F2337" s="5" t="str">
        <f>_xlfn.XLOOKUP(role_course_map[[#This Row],[course_id]],course_data[course_id],course_data[type],"")</f>
        <v>Course</v>
      </c>
      <c r="K2337" t="str">
        <f>role_course_map[[#This Row],[role_id]] &amp; "|" &amp; role_course_map[[#This Row],[course_id]]</f>
        <v>R0087|999012</v>
      </c>
      <c r="L2337" t="str">
        <f>IF(COUNTIF(role_course_map[mapping_key],role_course_map[[#This Row],[mapping_key]])&gt;1,"DUPLICATE","OK")</f>
        <v>OK</v>
      </c>
      <c r="M2337" t="str">
        <f>IF(COUNTIF(role_data[role_id],role_course_map[[#This Row],[role_id]])=0, "INVALID","VALID")</f>
        <v>VALID</v>
      </c>
      <c r="N2337" t="str">
        <f>IF(COUNTIF(course_data[course_id],role_course_map[[#This Row],[course_id]])=0, "INVALID","VALID")</f>
        <v>VALID</v>
      </c>
    </row>
    <row r="2338" spans="1:14" x14ac:dyDescent="0.35">
      <c r="A2338" t="s">
        <v>186</v>
      </c>
      <c r="B2338" s="5" t="str">
        <f>_xlfn.XLOOKUP(role_course_map[[#This Row],[role_id]], role_data[role_id], role_data[Role],"")</f>
        <v>Advanced Practitioner</v>
      </c>
      <c r="C2338">
        <v>999013</v>
      </c>
      <c r="D2338" s="5" t="str">
        <f>_xlfn.XLOOKUP(role_course_map[[#This Row],[course_id]],course_data[course_id],course_data[title],"")</f>
        <v>Trauma</v>
      </c>
      <c r="E2338" s="5" t="str">
        <f>_xlfn.XLOOKUP(role_course_map[[#This Row],[course_id]],course_data[course_id],course_data[topic],"")</f>
        <v>SAS : Clinical Practice</v>
      </c>
      <c r="F2338" s="5" t="str">
        <f>_xlfn.XLOOKUP(role_course_map[[#This Row],[course_id]],course_data[course_id],course_data[type],"")</f>
        <v>eLearning</v>
      </c>
      <c r="K2338" t="str">
        <f>role_course_map[[#This Row],[role_id]] &amp; "|" &amp; role_course_map[[#This Row],[course_id]]</f>
        <v>R0087|999013</v>
      </c>
      <c r="L2338" t="str">
        <f>IF(COUNTIF(role_course_map[mapping_key],role_course_map[[#This Row],[mapping_key]])&gt;1,"DUPLICATE","OK")</f>
        <v>OK</v>
      </c>
      <c r="M2338" t="str">
        <f>IF(COUNTIF(role_data[role_id],role_course_map[[#This Row],[role_id]])=0, "INVALID","VALID")</f>
        <v>VALID</v>
      </c>
      <c r="N2338" t="str">
        <f>IF(COUNTIF(course_data[course_id],role_course_map[[#This Row],[course_id]])=0, "INVALID","VALID")</f>
        <v>VALID</v>
      </c>
    </row>
    <row r="2339" spans="1:14" x14ac:dyDescent="0.35">
      <c r="A2339" t="s">
        <v>186</v>
      </c>
      <c r="B2339" s="5" t="str">
        <f>_xlfn.XLOOKUP(role_course_map[[#This Row],[role_id]], role_data[role_id], role_data[Role],"")</f>
        <v>Advanced Practitioner</v>
      </c>
      <c r="C2339">
        <v>999014</v>
      </c>
      <c r="D2339" s="5" t="str">
        <f>_xlfn.XLOOKUP(role_course_map[[#This Row],[course_id]],course_data[course_id],course_data[title],"")</f>
        <v>Patient Assessment</v>
      </c>
      <c r="E2339" s="5" t="str">
        <f>_xlfn.XLOOKUP(role_course_map[[#This Row],[course_id]],course_data[course_id],course_data[topic],"")</f>
        <v>SAS : Clinical Practice</v>
      </c>
      <c r="F2339" s="5" t="str">
        <f>_xlfn.XLOOKUP(role_course_map[[#This Row],[course_id]],course_data[course_id],course_data[type],"")</f>
        <v>Course</v>
      </c>
      <c r="K2339" t="str">
        <f>role_course_map[[#This Row],[role_id]] &amp; "|" &amp; role_course_map[[#This Row],[course_id]]</f>
        <v>R0087|999014</v>
      </c>
      <c r="L2339" t="str">
        <f>IF(COUNTIF(role_course_map[mapping_key],role_course_map[[#This Row],[mapping_key]])&gt;1,"DUPLICATE","OK")</f>
        <v>OK</v>
      </c>
      <c r="M2339" t="str">
        <f>IF(COUNTIF(role_data[role_id],role_course_map[[#This Row],[role_id]])=0, "INVALID","VALID")</f>
        <v>VALID</v>
      </c>
      <c r="N2339" t="str">
        <f>IF(COUNTIF(course_data[course_id],role_course_map[[#This Row],[course_id]])=0, "INVALID","VALID")</f>
        <v>VALID</v>
      </c>
    </row>
    <row r="2340" spans="1:14" x14ac:dyDescent="0.35">
      <c r="A2340" t="s">
        <v>186</v>
      </c>
      <c r="B2340" s="5" t="str">
        <f>_xlfn.XLOOKUP(role_course_map[[#This Row],[role_id]], role_data[role_id], role_data[Role],"")</f>
        <v>Advanced Practitioner</v>
      </c>
      <c r="C2340">
        <v>999015</v>
      </c>
      <c r="D2340" s="5" t="str">
        <f>_xlfn.XLOOKUP(role_course_map[[#This Row],[course_id]],course_data[course_id],course_data[title],"")</f>
        <v>Patient Assessment</v>
      </c>
      <c r="E2340" s="5" t="str">
        <f>_xlfn.XLOOKUP(role_course_map[[#This Row],[course_id]],course_data[course_id],course_data[topic],"")</f>
        <v>SAS : Clinical Practice</v>
      </c>
      <c r="F2340" s="5" t="str">
        <f>_xlfn.XLOOKUP(role_course_map[[#This Row],[course_id]],course_data[course_id],course_data[type],"")</f>
        <v>eLearning</v>
      </c>
      <c r="K2340" t="str">
        <f>role_course_map[[#This Row],[role_id]] &amp; "|" &amp; role_course_map[[#This Row],[course_id]]</f>
        <v>R0087|999015</v>
      </c>
      <c r="L2340" t="str">
        <f>IF(COUNTIF(role_course_map[mapping_key],role_course_map[[#This Row],[mapping_key]])&gt;1,"DUPLICATE","OK")</f>
        <v>OK</v>
      </c>
      <c r="M2340" t="str">
        <f>IF(COUNTIF(role_data[role_id],role_course_map[[#This Row],[role_id]])=0, "INVALID","VALID")</f>
        <v>VALID</v>
      </c>
      <c r="N2340" t="str">
        <f>IF(COUNTIF(course_data[course_id],role_course_map[[#This Row],[course_id]])=0, "INVALID","VALID")</f>
        <v>VALID</v>
      </c>
    </row>
    <row r="2341" spans="1:14" x14ac:dyDescent="0.35">
      <c r="A2341" t="s">
        <v>186</v>
      </c>
      <c r="B2341" s="5" t="str">
        <f>_xlfn.XLOOKUP(role_course_map[[#This Row],[role_id]], role_data[role_id], role_data[Role],"")</f>
        <v>Advanced Practitioner</v>
      </c>
      <c r="C2341">
        <v>999016</v>
      </c>
      <c r="D2341" s="5" t="str">
        <f>_xlfn.XLOOKUP(role_course_map[[#This Row],[course_id]],course_data[course_id],course_data[title],"")</f>
        <v>Clinical Skills</v>
      </c>
      <c r="E2341" s="5" t="str">
        <f>_xlfn.XLOOKUP(role_course_map[[#This Row],[course_id]],course_data[course_id],course_data[topic],"")</f>
        <v>SAS : Clinical Practice</v>
      </c>
      <c r="F2341" s="5" t="str">
        <f>_xlfn.XLOOKUP(role_course_map[[#This Row],[course_id]],course_data[course_id],course_data[type],"")</f>
        <v>Course</v>
      </c>
      <c r="K2341" t="str">
        <f>role_course_map[[#This Row],[role_id]] &amp; "|" &amp; role_course_map[[#This Row],[course_id]]</f>
        <v>R0087|999016</v>
      </c>
      <c r="L2341" t="str">
        <f>IF(COUNTIF(role_course_map[mapping_key],role_course_map[[#This Row],[mapping_key]])&gt;1,"DUPLICATE","OK")</f>
        <v>OK</v>
      </c>
      <c r="M2341" t="str">
        <f>IF(COUNTIF(role_data[role_id],role_course_map[[#This Row],[role_id]])=0, "INVALID","VALID")</f>
        <v>VALID</v>
      </c>
      <c r="N2341" t="str">
        <f>IF(COUNTIF(course_data[course_id],role_course_map[[#This Row],[course_id]])=0, "INVALID","VALID")</f>
        <v>VALID</v>
      </c>
    </row>
    <row r="2342" spans="1:14" x14ac:dyDescent="0.35">
      <c r="A2342" t="s">
        <v>186</v>
      </c>
      <c r="B2342" s="5" t="str">
        <f>_xlfn.XLOOKUP(role_course_map[[#This Row],[role_id]], role_data[role_id], role_data[Role],"")</f>
        <v>Advanced Practitioner</v>
      </c>
      <c r="C2342">
        <v>999017</v>
      </c>
      <c r="D2342" s="5" t="str">
        <f>_xlfn.XLOOKUP(role_course_map[[#This Row],[course_id]],course_data[course_id],course_data[title],"")</f>
        <v>Clinical Skills</v>
      </c>
      <c r="E2342" s="5" t="str">
        <f>_xlfn.XLOOKUP(role_course_map[[#This Row],[course_id]],course_data[course_id],course_data[topic],"")</f>
        <v>SAS : Clinical Practice</v>
      </c>
      <c r="F2342" s="5" t="str">
        <f>_xlfn.XLOOKUP(role_course_map[[#This Row],[course_id]],course_data[course_id],course_data[type],"")</f>
        <v>eLearning</v>
      </c>
      <c r="K2342" t="str">
        <f>role_course_map[[#This Row],[role_id]] &amp; "|" &amp; role_course_map[[#This Row],[course_id]]</f>
        <v>R0087|999017</v>
      </c>
      <c r="L2342" t="str">
        <f>IF(COUNTIF(role_course_map[mapping_key],role_course_map[[#This Row],[mapping_key]])&gt;1,"DUPLICATE","OK")</f>
        <v>OK</v>
      </c>
      <c r="M2342" t="str">
        <f>IF(COUNTIF(role_data[role_id],role_course_map[[#This Row],[role_id]])=0, "INVALID","VALID")</f>
        <v>VALID</v>
      </c>
      <c r="N2342" t="str">
        <f>IF(COUNTIF(course_data[course_id],role_course_map[[#This Row],[course_id]])=0, "INVALID","VALID")</f>
        <v>VALID</v>
      </c>
    </row>
    <row r="2343" spans="1:14" x14ac:dyDescent="0.35">
      <c r="A2343" t="s">
        <v>186</v>
      </c>
      <c r="B2343" s="5" t="str">
        <f>_xlfn.XLOOKUP(role_course_map[[#This Row],[role_id]], role_data[role_id], role_data[Role],"")</f>
        <v>Advanced Practitioner</v>
      </c>
      <c r="C2343">
        <v>999018</v>
      </c>
      <c r="D2343" s="5" t="str">
        <f>_xlfn.XLOOKUP(role_course_map[[#This Row],[course_id]],course_data[course_id],course_data[title],"")</f>
        <v>Learning from Events</v>
      </c>
      <c r="E2343" s="5" t="str">
        <f>_xlfn.XLOOKUP(role_course_map[[#This Row],[course_id]],course_data[course_id],course_data[topic],"")</f>
        <v>SAS : Clinical Practice</v>
      </c>
      <c r="F2343" s="5" t="str">
        <f>_xlfn.XLOOKUP(role_course_map[[#This Row],[course_id]],course_data[course_id],course_data[type],"")</f>
        <v>eLearning</v>
      </c>
      <c r="K2343" t="str">
        <f>role_course_map[[#This Row],[role_id]] &amp; "|" &amp; role_course_map[[#This Row],[course_id]]</f>
        <v>R0087|999018</v>
      </c>
      <c r="L2343" t="str">
        <f>IF(COUNTIF(role_course_map[mapping_key],role_course_map[[#This Row],[mapping_key]])&gt;1,"DUPLICATE","OK")</f>
        <v>OK</v>
      </c>
      <c r="M2343" t="str">
        <f>IF(COUNTIF(role_data[role_id],role_course_map[[#This Row],[role_id]])=0, "INVALID","VALID")</f>
        <v>VALID</v>
      </c>
      <c r="N2343" t="str">
        <f>IF(COUNTIF(course_data[course_id],role_course_map[[#This Row],[course_id]])=0, "INVALID","VALID")</f>
        <v>VALID</v>
      </c>
    </row>
    <row r="2344" spans="1:14" x14ac:dyDescent="0.35">
      <c r="A2344" t="s">
        <v>186</v>
      </c>
      <c r="B2344" s="5" t="str">
        <f>_xlfn.XLOOKUP(role_course_map[[#This Row],[role_id]], role_data[role_id], role_data[Role],"")</f>
        <v>Advanced Practitioner</v>
      </c>
      <c r="C2344">
        <v>999019</v>
      </c>
      <c r="D2344" s="5" t="str">
        <f>_xlfn.XLOOKUP(role_course_map[[#This Row],[course_id]],course_data[course_id],course_data[title],"")</f>
        <v>Medicines Management</v>
      </c>
      <c r="E2344" s="5" t="str">
        <f>_xlfn.XLOOKUP(role_course_map[[#This Row],[course_id]],course_data[course_id],course_data[topic],"")</f>
        <v>SAS : Clinical Practice</v>
      </c>
      <c r="F2344" s="5" t="str">
        <f>_xlfn.XLOOKUP(role_course_map[[#This Row],[course_id]],course_data[course_id],course_data[type],"")</f>
        <v>eLearning</v>
      </c>
      <c r="K2344" t="str">
        <f>role_course_map[[#This Row],[role_id]] &amp; "|" &amp; role_course_map[[#This Row],[course_id]]</f>
        <v>R0087|999019</v>
      </c>
      <c r="L2344" t="str">
        <f>IF(COUNTIF(role_course_map[mapping_key],role_course_map[[#This Row],[mapping_key]])&gt;1,"DUPLICATE","OK")</f>
        <v>OK</v>
      </c>
      <c r="M2344" t="str">
        <f>IF(COUNTIF(role_data[role_id],role_course_map[[#This Row],[role_id]])=0, "INVALID","VALID")</f>
        <v>VALID</v>
      </c>
      <c r="N2344" t="str">
        <f>IF(COUNTIF(course_data[course_id],role_course_map[[#This Row],[course_id]])=0, "INVALID","VALID")</f>
        <v>VALID</v>
      </c>
    </row>
    <row r="2345" spans="1:14" x14ac:dyDescent="0.35">
      <c r="A2345" t="s">
        <v>186</v>
      </c>
      <c r="B2345" s="5" t="str">
        <f>_xlfn.XLOOKUP(role_course_map[[#This Row],[role_id]], role_data[role_id], role_data[Role],"")</f>
        <v>Advanced Practitioner</v>
      </c>
      <c r="C2345">
        <v>999020</v>
      </c>
      <c r="D2345" s="5" t="str">
        <f>_xlfn.XLOOKUP(role_course_map[[#This Row],[course_id]],course_data[course_id],course_data[title],"")</f>
        <v>JRCALC Update</v>
      </c>
      <c r="E2345" s="5" t="str">
        <f>_xlfn.XLOOKUP(role_course_map[[#This Row],[course_id]],course_data[course_id],course_data[topic],"")</f>
        <v>SAS : Clinical Practice</v>
      </c>
      <c r="F2345" s="5" t="str">
        <f>_xlfn.XLOOKUP(role_course_map[[#This Row],[course_id]],course_data[course_id],course_data[type],"")</f>
        <v>eLearning</v>
      </c>
      <c r="K2345" t="str">
        <f>role_course_map[[#This Row],[role_id]] &amp; "|" &amp; role_course_map[[#This Row],[course_id]]</f>
        <v>R0087|999020</v>
      </c>
      <c r="L2345" t="str">
        <f>IF(COUNTIF(role_course_map[mapping_key],role_course_map[[#This Row],[mapping_key]])&gt;1,"DUPLICATE","OK")</f>
        <v>OK</v>
      </c>
      <c r="M2345" t="str">
        <f>IF(COUNTIF(role_data[role_id],role_course_map[[#This Row],[role_id]])=0, "INVALID","VALID")</f>
        <v>VALID</v>
      </c>
      <c r="N2345" t="str">
        <f>IF(COUNTIF(course_data[course_id],role_course_map[[#This Row],[course_id]])=0, "INVALID","VALID")</f>
        <v>VALID</v>
      </c>
    </row>
    <row r="2346" spans="1:14" x14ac:dyDescent="0.35">
      <c r="A2346" t="s">
        <v>186</v>
      </c>
      <c r="B2346" s="5" t="str">
        <f>_xlfn.XLOOKUP(role_course_map[[#This Row],[role_id]], role_data[role_id], role_data[Role],"")</f>
        <v>Advanced Practitioner</v>
      </c>
      <c r="C2346">
        <v>999021</v>
      </c>
      <c r="D2346" s="5" t="str">
        <f>_xlfn.XLOOKUP(role_course_map[[#This Row],[course_id]],course_data[course_id],course_data[title],"")</f>
        <v>Mental Health</v>
      </c>
      <c r="E2346" s="5" t="str">
        <f>_xlfn.XLOOKUP(role_course_map[[#This Row],[course_id]],course_data[course_id],course_data[topic],"")</f>
        <v>SAS : Clinical Practice</v>
      </c>
      <c r="F2346" s="5" t="str">
        <f>_xlfn.XLOOKUP(role_course_map[[#This Row],[course_id]],course_data[course_id],course_data[type],"")</f>
        <v>eLearning</v>
      </c>
      <c r="K2346" t="str">
        <f>role_course_map[[#This Row],[role_id]] &amp; "|" &amp; role_course_map[[#This Row],[course_id]]</f>
        <v>R0087|999021</v>
      </c>
      <c r="L2346" t="str">
        <f>IF(COUNTIF(role_course_map[mapping_key],role_course_map[[#This Row],[mapping_key]])&gt;1,"DUPLICATE","OK")</f>
        <v>OK</v>
      </c>
      <c r="M2346" t="str">
        <f>IF(COUNTIF(role_data[role_id],role_course_map[[#This Row],[role_id]])=0, "INVALID","VALID")</f>
        <v>VALID</v>
      </c>
      <c r="N2346" t="str">
        <f>IF(COUNTIF(course_data[course_id],role_course_map[[#This Row],[course_id]])=0, "INVALID","VALID")</f>
        <v>VALID</v>
      </c>
    </row>
    <row r="2347" spans="1:14" x14ac:dyDescent="0.35">
      <c r="A2347" t="s">
        <v>186</v>
      </c>
      <c r="B2347" s="5" t="str">
        <f>_xlfn.XLOOKUP(role_course_map[[#This Row],[role_id]], role_data[role_id], role_data[Role],"")</f>
        <v>Advanced Practitioner</v>
      </c>
      <c r="C2347">
        <v>999022</v>
      </c>
      <c r="D2347" s="5" t="str">
        <f>_xlfn.XLOOKUP(role_course_map[[#This Row],[course_id]],course_data[course_id],course_data[title],"")</f>
        <v>Learning Disabilities</v>
      </c>
      <c r="E2347" s="5" t="str">
        <f>_xlfn.XLOOKUP(role_course_map[[#This Row],[course_id]],course_data[course_id],course_data[topic],"")</f>
        <v>SAS : Clinical Practice</v>
      </c>
      <c r="F2347" s="5" t="str">
        <f>_xlfn.XLOOKUP(role_course_map[[#This Row],[course_id]],course_data[course_id],course_data[type],"")</f>
        <v>eLearning</v>
      </c>
      <c r="K2347" t="str">
        <f>role_course_map[[#This Row],[role_id]] &amp; "|" &amp; role_course_map[[#This Row],[course_id]]</f>
        <v>R0087|999022</v>
      </c>
      <c r="L2347" t="str">
        <f>IF(COUNTIF(role_course_map[mapping_key],role_course_map[[#This Row],[mapping_key]])&gt;1,"DUPLICATE","OK")</f>
        <v>OK</v>
      </c>
      <c r="M2347" t="str">
        <f>IF(COUNTIF(role_data[role_id],role_course_map[[#This Row],[role_id]])=0, "INVALID","VALID")</f>
        <v>VALID</v>
      </c>
      <c r="N2347" t="str">
        <f>IF(COUNTIF(course_data[course_id],role_course_map[[#This Row],[course_id]])=0, "INVALID","VALID")</f>
        <v>VALID</v>
      </c>
    </row>
    <row r="2348" spans="1:14" x14ac:dyDescent="0.35">
      <c r="A2348" t="s">
        <v>186</v>
      </c>
      <c r="B2348" s="5" t="str">
        <f>_xlfn.XLOOKUP(role_course_map[[#This Row],[role_id]], role_data[role_id], role_data[Role],"")</f>
        <v>Advanced Practitioner</v>
      </c>
      <c r="C2348">
        <v>75202</v>
      </c>
      <c r="D2348" s="5" t="str">
        <f>_xlfn.XLOOKUP(role_course_map[[#This Row],[course_id]],course_data[course_id],course_data[title],"")</f>
        <v>SAS : Clinical Practice</v>
      </c>
      <c r="E2348" s="5" t="str">
        <f>_xlfn.XLOOKUP(role_course_map[[#This Row],[course_id]],course_data[course_id],course_data[topic],"")</f>
        <v>SAS : Clinical Practice</v>
      </c>
      <c r="F2348" s="5" t="str">
        <f>_xlfn.XLOOKUP(role_course_map[[#This Row],[course_id]],course_data[course_id],course_data[type],"")</f>
        <v>Page</v>
      </c>
      <c r="K2348" t="str">
        <f>role_course_map[[#This Row],[role_id]] &amp; "|" &amp; role_course_map[[#This Row],[course_id]]</f>
        <v>R0087|75202</v>
      </c>
      <c r="L2348" t="str">
        <f>IF(COUNTIF(role_course_map[mapping_key],role_course_map[[#This Row],[mapping_key]])&gt;1,"DUPLICATE","OK")</f>
        <v>OK</v>
      </c>
      <c r="M2348" t="str">
        <f>IF(COUNTIF(role_data[role_id],role_course_map[[#This Row],[role_id]])=0, "INVALID","VALID")</f>
        <v>VALID</v>
      </c>
      <c r="N2348" t="str">
        <f>IF(COUNTIF(course_data[course_id],role_course_map[[#This Row],[course_id]])=0, "INVALID","VALID")</f>
        <v>VALID</v>
      </c>
    </row>
    <row r="2349" spans="1:14" x14ac:dyDescent="0.35">
      <c r="A2349" t="s">
        <v>186</v>
      </c>
      <c r="B2349" s="5" t="str">
        <f>_xlfn.XLOOKUP(role_course_map[[#This Row],[role_id]], role_data[role_id], role_data[Role],"")</f>
        <v>Advanced Practitioner</v>
      </c>
      <c r="C2349">
        <v>999023</v>
      </c>
      <c r="D2349" s="5" t="str">
        <f>_xlfn.XLOOKUP(role_course_map[[#This Row],[course_id]],course_data[course_id],course_data[title],"")</f>
        <v>Dementia</v>
      </c>
      <c r="E2349" s="5" t="str">
        <f>_xlfn.XLOOKUP(role_course_map[[#This Row],[course_id]],course_data[course_id],course_data[topic],"")</f>
        <v>SAS : Clinical Practice</v>
      </c>
      <c r="F2349" s="5" t="str">
        <f>_xlfn.XLOOKUP(role_course_map[[#This Row],[course_id]],course_data[course_id],course_data[type],"")</f>
        <v>eLearning</v>
      </c>
      <c r="K2349" t="str">
        <f>role_course_map[[#This Row],[role_id]] &amp; "|" &amp; role_course_map[[#This Row],[course_id]]</f>
        <v>R0087|999023</v>
      </c>
      <c r="L2349" t="str">
        <f>IF(COUNTIF(role_course_map[mapping_key],role_course_map[[#This Row],[mapping_key]])&gt;1,"DUPLICATE","OK")</f>
        <v>OK</v>
      </c>
      <c r="M2349" t="str">
        <f>IF(COUNTIF(role_data[role_id],role_course_map[[#This Row],[role_id]])=0, "INVALID","VALID")</f>
        <v>VALID</v>
      </c>
      <c r="N2349" t="str">
        <f>IF(COUNTIF(course_data[course_id],role_course_map[[#This Row],[course_id]])=0, "INVALID","VALID")</f>
        <v>VALID</v>
      </c>
    </row>
    <row r="2350" spans="1:14" x14ac:dyDescent="0.35">
      <c r="A2350" t="s">
        <v>186</v>
      </c>
      <c r="B2350" s="5" t="str">
        <f>_xlfn.XLOOKUP(role_course_map[[#This Row],[role_id]], role_data[role_id], role_data[Role],"")</f>
        <v>Advanced Practitioner</v>
      </c>
      <c r="C2350">
        <v>999024</v>
      </c>
      <c r="D2350" s="5" t="str">
        <f>_xlfn.XLOOKUP(role_course_map[[#This Row],[course_id]],course_data[course_id],course_data[title],"")</f>
        <v>Conditions requiring specific hospital management. I.e. Parkinsons</v>
      </c>
      <c r="E2350" s="5" t="str">
        <f>_xlfn.XLOOKUP(role_course_map[[#This Row],[course_id]],course_data[course_id],course_data[topic],"")</f>
        <v>SAS : Clinical Practice</v>
      </c>
      <c r="F2350" s="5" t="str">
        <f>_xlfn.XLOOKUP(role_course_map[[#This Row],[course_id]],course_data[course_id],course_data[type],"")</f>
        <v>eLearning</v>
      </c>
      <c r="K2350" t="str">
        <f>role_course_map[[#This Row],[role_id]] &amp; "|" &amp; role_course_map[[#This Row],[course_id]]</f>
        <v>R0087|999024</v>
      </c>
      <c r="L2350" t="str">
        <f>IF(COUNTIF(role_course_map[mapping_key],role_course_map[[#This Row],[mapping_key]])&gt;1,"DUPLICATE","OK")</f>
        <v>OK</v>
      </c>
      <c r="M2350" t="str">
        <f>IF(COUNTIF(role_data[role_id],role_course_map[[#This Row],[role_id]])=0, "INVALID","VALID")</f>
        <v>VALID</v>
      </c>
      <c r="N2350" t="str">
        <f>IF(COUNTIF(course_data[course_id],role_course_map[[#This Row],[course_id]])=0, "INVALID","VALID")</f>
        <v>VALID</v>
      </c>
    </row>
    <row r="2351" spans="1:14" x14ac:dyDescent="0.35">
      <c r="A2351" t="s">
        <v>186</v>
      </c>
      <c r="B2351" s="5" t="str">
        <f>_xlfn.XLOOKUP(role_course_map[[#This Row],[role_id]], role_data[role_id], role_data[Role],"")</f>
        <v>Advanced Practitioner</v>
      </c>
      <c r="C2351">
        <v>999095</v>
      </c>
      <c r="D2351" s="5" t="str">
        <f>_xlfn.XLOOKUP(role_course_map[[#This Row],[course_id]],course_data[course_id],course_data[title],"")</f>
        <v>Mentoring</v>
      </c>
      <c r="E2351" s="5" t="str">
        <f>_xlfn.XLOOKUP(role_course_map[[#This Row],[course_id]],course_data[course_id],course_data[topic],"")</f>
        <v>SAS: Staff development and experience</v>
      </c>
      <c r="F2351" s="5" t="str">
        <f>_xlfn.XLOOKUP(role_course_map[[#This Row],[course_id]],course_data[course_id],course_data[type],"")</f>
        <v>eLearning</v>
      </c>
      <c r="K2351" t="str">
        <f>role_course_map[[#This Row],[role_id]] &amp; "|" &amp; role_course_map[[#This Row],[course_id]]</f>
        <v>R0087|999095</v>
      </c>
      <c r="L2351" t="str">
        <f>IF(COUNTIF(role_course_map[mapping_key],role_course_map[[#This Row],[mapping_key]])&gt;1,"DUPLICATE","OK")</f>
        <v>OK</v>
      </c>
      <c r="M2351" t="str">
        <f>IF(COUNTIF(role_data[role_id],role_course_map[[#This Row],[role_id]])=0, "INVALID","VALID")</f>
        <v>VALID</v>
      </c>
      <c r="N2351" t="str">
        <f>IF(COUNTIF(course_data[course_id],role_course_map[[#This Row],[course_id]])=0, "INVALID","VALID")</f>
        <v>VALID</v>
      </c>
    </row>
    <row r="2352" spans="1:14" x14ac:dyDescent="0.35">
      <c r="A2352" t="s">
        <v>186</v>
      </c>
      <c r="B2352" s="5" t="str">
        <f>_xlfn.XLOOKUP(role_course_map[[#This Row],[role_id]], role_data[role_id], role_data[Role],"")</f>
        <v>Advanced Practitioner</v>
      </c>
      <c r="C2352">
        <v>999096</v>
      </c>
      <c r="D2352" s="5" t="str">
        <f>_xlfn.XLOOKUP(role_course_map[[#This Row],[course_id]],course_data[course_id],course_data[title],"")</f>
        <v>Supporting others in practice (Supervision)</v>
      </c>
      <c r="E2352" s="5" t="str">
        <f>_xlfn.XLOOKUP(role_course_map[[#This Row],[course_id]],course_data[course_id],course_data[topic],"")</f>
        <v>SAS: Staff development and experience</v>
      </c>
      <c r="F2352" s="5" t="str">
        <f>_xlfn.XLOOKUP(role_course_map[[#This Row],[course_id]],course_data[course_id],course_data[type],"")</f>
        <v>Course</v>
      </c>
      <c r="K2352" t="str">
        <f>role_course_map[[#This Row],[role_id]] &amp; "|" &amp; role_course_map[[#This Row],[course_id]]</f>
        <v>R0087|999096</v>
      </c>
      <c r="L2352" t="str">
        <f>IF(COUNTIF(role_course_map[mapping_key],role_course_map[[#This Row],[mapping_key]])&gt;1,"DUPLICATE","OK")</f>
        <v>OK</v>
      </c>
      <c r="M2352" t="str">
        <f>IF(COUNTIF(role_data[role_id],role_course_map[[#This Row],[role_id]])=0, "INVALID","VALID")</f>
        <v>VALID</v>
      </c>
      <c r="N2352" t="str">
        <f>IF(COUNTIF(course_data[course_id],role_course_map[[#This Row],[course_id]])=0, "INVALID","VALID")</f>
        <v>VALID</v>
      </c>
    </row>
    <row r="2353" spans="1:14" x14ac:dyDescent="0.35">
      <c r="A2353" t="s">
        <v>186</v>
      </c>
      <c r="B2353" s="5" t="str">
        <f>_xlfn.XLOOKUP(role_course_map[[#This Row],[role_id]], role_data[role_id], role_data[Role],"")</f>
        <v>Advanced Practitioner</v>
      </c>
      <c r="C2353">
        <v>999097</v>
      </c>
      <c r="D2353" s="5" t="str">
        <f>_xlfn.XLOOKUP(role_course_map[[#This Row],[course_id]],course_data[course_id],course_data[title],"")</f>
        <v>Personal Wellbeing</v>
      </c>
      <c r="E2353" s="5" t="str">
        <f>_xlfn.XLOOKUP(role_course_map[[#This Row],[course_id]],course_data[course_id],course_data[topic],"")</f>
        <v>SAS: Staff development and experience</v>
      </c>
      <c r="F2353" s="5" t="str">
        <f>_xlfn.XLOOKUP(role_course_map[[#This Row],[course_id]],course_data[course_id],course_data[type],"")</f>
        <v>eLearning</v>
      </c>
      <c r="K2353" t="str">
        <f>role_course_map[[#This Row],[role_id]] &amp; "|" &amp; role_course_map[[#This Row],[course_id]]</f>
        <v>R0087|999097</v>
      </c>
      <c r="L2353" t="str">
        <f>IF(COUNTIF(role_course_map[mapping_key],role_course_map[[#This Row],[mapping_key]])&gt;1,"DUPLICATE","OK")</f>
        <v>OK</v>
      </c>
      <c r="M2353" t="str">
        <f>IF(COUNTIF(role_data[role_id],role_course_map[[#This Row],[role_id]])=0, "INVALID","VALID")</f>
        <v>VALID</v>
      </c>
      <c r="N2353" t="str">
        <f>IF(COUNTIF(course_data[course_id],role_course_map[[#This Row],[course_id]])=0, "INVALID","VALID")</f>
        <v>VALID</v>
      </c>
    </row>
    <row r="2354" spans="1:14" x14ac:dyDescent="0.35">
      <c r="A2354" t="s">
        <v>186</v>
      </c>
      <c r="B2354" s="5" t="str">
        <f>_xlfn.XLOOKUP(role_course_map[[#This Row],[role_id]], role_data[role_id], role_data[Role],"")</f>
        <v>Advanced Practitioner</v>
      </c>
      <c r="C2354">
        <v>75407</v>
      </c>
      <c r="D2354" s="5" t="str">
        <f>_xlfn.XLOOKUP(role_course_map[[#This Row],[course_id]],course_data[course_id],course_data[title],"")</f>
        <v>Aspirant Leader Development Programme (ALDP)</v>
      </c>
      <c r="E2354" s="5" t="str">
        <f>_xlfn.XLOOKUP(role_course_map[[#This Row],[course_id]],course_data[course_id],course_data[topic],"")</f>
        <v>SAS: Staff development and experience</v>
      </c>
      <c r="F2354" s="5" t="str">
        <f>_xlfn.XLOOKUP(role_course_map[[#This Row],[course_id]],course_data[course_id],course_data[type],"")</f>
        <v>Page</v>
      </c>
      <c r="K2354" t="str">
        <f>role_course_map[[#This Row],[role_id]] &amp; "|" &amp; role_course_map[[#This Row],[course_id]]</f>
        <v>R0087|75407</v>
      </c>
      <c r="L2354" t="str">
        <f>IF(COUNTIF(role_course_map[mapping_key],role_course_map[[#This Row],[mapping_key]])&gt;1,"DUPLICATE","OK")</f>
        <v>OK</v>
      </c>
      <c r="M2354" t="str">
        <f>IF(COUNTIF(role_data[role_id],role_course_map[[#This Row],[role_id]])=0, "INVALID","VALID")</f>
        <v>VALID</v>
      </c>
      <c r="N2354" t="str">
        <f>IF(COUNTIF(course_data[course_id],role_course_map[[#This Row],[course_id]])=0, "INVALID","VALID")</f>
        <v>VALID</v>
      </c>
    </row>
    <row r="2355" spans="1:14" x14ac:dyDescent="0.35">
      <c r="A2355" t="s">
        <v>186</v>
      </c>
      <c r="B2355" s="5" t="str">
        <f>_xlfn.XLOOKUP(role_course_map[[#This Row],[role_id]], role_data[role_id], role_data[Role],"")</f>
        <v>Advanced Practitioner</v>
      </c>
      <c r="C2355">
        <v>79147</v>
      </c>
      <c r="D2355" s="5" t="str">
        <f>_xlfn.XLOOKUP(role_course_map[[#This Row],[course_id]],course_data[course_id],course_data[title],"")</f>
        <v>Driving risks at work</v>
      </c>
      <c r="E2355" s="5" t="str">
        <f>_xlfn.XLOOKUP(role_course_map[[#This Row],[course_id]],course_data[course_id],course_data[topic],"")</f>
        <v>SAS : Health and Safety</v>
      </c>
      <c r="F2355" s="5" t="str">
        <f>_xlfn.XLOOKUP(role_course_map[[#This Row],[course_id]],course_data[course_id],course_data[type],"")</f>
        <v>eLearning</v>
      </c>
      <c r="K2355" t="str">
        <f>role_course_map[[#This Row],[role_id]] &amp; "|" &amp; role_course_map[[#This Row],[course_id]]</f>
        <v>R0087|79147</v>
      </c>
      <c r="L2355" t="str">
        <f>IF(COUNTIF(role_course_map[mapping_key],role_course_map[[#This Row],[mapping_key]])&gt;1,"DUPLICATE","OK")</f>
        <v>OK</v>
      </c>
      <c r="M2355" t="str">
        <f>IF(COUNTIF(role_data[role_id],role_course_map[[#This Row],[role_id]])=0, "INVALID","VALID")</f>
        <v>VALID</v>
      </c>
      <c r="N2355" t="str">
        <f>IF(COUNTIF(course_data[course_id],role_course_map[[#This Row],[course_id]])=0, "INVALID","VALID")</f>
        <v>VALID</v>
      </c>
    </row>
    <row r="2356" spans="1:14" x14ac:dyDescent="0.35">
      <c r="A2356" t="s">
        <v>186</v>
      </c>
      <c r="B2356" s="5" t="str">
        <f>_xlfn.XLOOKUP(role_course_map[[#This Row],[role_id]], role_data[role_id], role_data[Role],"")</f>
        <v>Advanced Practitioner</v>
      </c>
      <c r="C2356">
        <v>999060</v>
      </c>
      <c r="D2356" s="5" t="str">
        <f>_xlfn.XLOOKUP(role_course_map[[#This Row],[course_id]],course_data[course_id],course_data[title],"")</f>
        <v>COSHH</v>
      </c>
      <c r="E2356" s="5" t="str">
        <f>_xlfn.XLOOKUP(role_course_map[[#This Row],[course_id]],course_data[course_id],course_data[topic],"")</f>
        <v>SAS : Health and Safety</v>
      </c>
      <c r="F2356" s="5" t="str">
        <f>_xlfn.XLOOKUP(role_course_map[[#This Row],[course_id]],course_data[course_id],course_data[type],"")</f>
        <v>eLearning</v>
      </c>
      <c r="K2356" t="str">
        <f>role_course_map[[#This Row],[role_id]] &amp; "|" &amp; role_course_map[[#This Row],[course_id]]</f>
        <v>R0087|999060</v>
      </c>
      <c r="L2356" t="str">
        <f>IF(COUNTIF(role_course_map[mapping_key],role_course_map[[#This Row],[mapping_key]])&gt;1,"DUPLICATE","OK")</f>
        <v>OK</v>
      </c>
      <c r="M2356" t="str">
        <f>IF(COUNTIF(role_data[role_id],role_course_map[[#This Row],[role_id]])=0, "INVALID","VALID")</f>
        <v>VALID</v>
      </c>
      <c r="N2356" t="str">
        <f>IF(COUNTIF(course_data[course_id],role_course_map[[#This Row],[course_id]])=0, "INVALID","VALID")</f>
        <v>VALID</v>
      </c>
    </row>
    <row r="2357" spans="1:14" x14ac:dyDescent="0.35">
      <c r="A2357" t="s">
        <v>186</v>
      </c>
      <c r="B2357" s="5" t="str">
        <f>_xlfn.XLOOKUP(role_course_map[[#This Row],[role_id]], role_data[role_id], role_data[Role],"")</f>
        <v>Advanced Practitioner</v>
      </c>
      <c r="C2357">
        <v>999066</v>
      </c>
      <c r="D2357" s="5" t="str">
        <f>_xlfn.XLOOKUP(role_course_map[[#This Row],[course_id]],course_data[course_id],course_data[title],"")</f>
        <v>NRRD Update i.e. Major Incidents/Methane/ Multiple Casualities</v>
      </c>
      <c r="E2357" s="5" t="str">
        <f>_xlfn.XLOOKUP(role_course_map[[#This Row],[course_id]],course_data[course_id],course_data[topic],"")</f>
        <v>SAS : National Risk and Resilience Department (NRRD)</v>
      </c>
      <c r="F2357" s="5" t="str">
        <f>_xlfn.XLOOKUP(role_course_map[[#This Row],[course_id]],course_data[course_id],course_data[type],"")</f>
        <v>eLearning</v>
      </c>
      <c r="K2357" t="str">
        <f>role_course_map[[#This Row],[role_id]] &amp; "|" &amp; role_course_map[[#This Row],[course_id]]</f>
        <v>R0087|999066</v>
      </c>
      <c r="L2357" t="str">
        <f>IF(COUNTIF(role_course_map[mapping_key],role_course_map[[#This Row],[mapping_key]])&gt;1,"DUPLICATE","OK")</f>
        <v>OK</v>
      </c>
      <c r="M2357" t="str">
        <f>IF(COUNTIF(role_data[role_id],role_course_map[[#This Row],[role_id]])=0, "INVALID","VALID")</f>
        <v>VALID</v>
      </c>
      <c r="N2357" t="str">
        <f>IF(COUNTIF(course_data[course_id],role_course_map[[#This Row],[course_id]])=0, "INVALID","VALID")</f>
        <v>VALID</v>
      </c>
    </row>
    <row r="2358" spans="1:14" x14ac:dyDescent="0.35">
      <c r="A2358" t="s">
        <v>186</v>
      </c>
      <c r="B2358" s="5" t="str">
        <f>_xlfn.XLOOKUP(role_course_map[[#This Row],[role_id]], role_data[role_id], role_data[Role],"")</f>
        <v>Advanced Practitioner</v>
      </c>
      <c r="C2358">
        <v>999025</v>
      </c>
      <c r="D2358" s="5" t="str">
        <f>_xlfn.XLOOKUP(role_course_map[[#This Row],[course_id]],course_data[course_id],course_data[title],"")</f>
        <v>Professional Standards</v>
      </c>
      <c r="E2358" s="5" t="str">
        <f>_xlfn.XLOOKUP(role_course_map[[#This Row],[course_id]],course_data[course_id],course_data[topic],"")</f>
        <v>SAS : Clinical Practice</v>
      </c>
      <c r="F2358" s="5" t="str">
        <f>_xlfn.XLOOKUP(role_course_map[[#This Row],[course_id]],course_data[course_id],course_data[type],"")</f>
        <v>eLearning</v>
      </c>
      <c r="K2358" t="str">
        <f>role_course_map[[#This Row],[role_id]] &amp; "|" &amp; role_course_map[[#This Row],[course_id]]</f>
        <v>R0087|999025</v>
      </c>
      <c r="L2358" t="str">
        <f>IF(COUNTIF(role_course_map[mapping_key],role_course_map[[#This Row],[mapping_key]])&gt;1,"DUPLICATE","OK")</f>
        <v>OK</v>
      </c>
      <c r="M2358" t="str">
        <f>IF(COUNTIF(role_data[role_id],role_course_map[[#This Row],[role_id]])=0, "INVALID","VALID")</f>
        <v>VALID</v>
      </c>
      <c r="N2358" t="str">
        <f>IF(COUNTIF(course_data[course_id],role_course_map[[#This Row],[course_id]])=0, "INVALID","VALID")</f>
        <v>VALID</v>
      </c>
    </row>
    <row r="2359" spans="1:14" x14ac:dyDescent="0.35">
      <c r="A2359" t="s">
        <v>186</v>
      </c>
      <c r="B2359" s="5" t="str">
        <f>_xlfn.XLOOKUP(role_course_map[[#This Row],[role_id]], role_data[role_id], role_data[Role],"")</f>
        <v>Advanced Practitioner</v>
      </c>
      <c r="C2359">
        <v>999026</v>
      </c>
      <c r="D2359" s="5" t="str">
        <f>_xlfn.XLOOKUP(role_course_map[[#This Row],[course_id]],course_data[course_id],course_data[title],"")</f>
        <v>Communication Standards</v>
      </c>
      <c r="E2359" s="5" t="str">
        <f>_xlfn.XLOOKUP(role_course_map[[#This Row],[course_id]],course_data[course_id],course_data[topic],"")</f>
        <v>SAS : Clinical Practice</v>
      </c>
      <c r="F2359" s="5" t="str">
        <f>_xlfn.XLOOKUP(role_course_map[[#This Row],[course_id]],course_data[course_id],course_data[type],"")</f>
        <v>eLearning</v>
      </c>
      <c r="K2359" t="str">
        <f>role_course_map[[#This Row],[role_id]] &amp; "|" &amp; role_course_map[[#This Row],[course_id]]</f>
        <v>R0087|999026</v>
      </c>
      <c r="L2359" t="str">
        <f>IF(COUNTIF(role_course_map[mapping_key],role_course_map[[#This Row],[mapping_key]])&gt;1,"DUPLICATE","OK")</f>
        <v>OK</v>
      </c>
      <c r="M2359" t="str">
        <f>IF(COUNTIF(role_data[role_id],role_course_map[[#This Row],[role_id]])=0, "INVALID","VALID")</f>
        <v>VALID</v>
      </c>
      <c r="N2359" t="str">
        <f>IF(COUNTIF(course_data[course_id],role_course_map[[#This Row],[course_id]])=0, "INVALID","VALID")</f>
        <v>VALID</v>
      </c>
    </row>
    <row r="2360" spans="1:14" x14ac:dyDescent="0.35">
      <c r="A2360" t="s">
        <v>186</v>
      </c>
      <c r="B2360" s="5" t="str">
        <f>_xlfn.XLOOKUP(role_course_map[[#This Row],[role_id]], role_data[role_id], role_data[Role],"")</f>
        <v>Advanced Practitioner</v>
      </c>
      <c r="C2360">
        <v>999056</v>
      </c>
      <c r="D2360" s="5" t="str">
        <f>_xlfn.XLOOKUP(role_course_map[[#This Row],[course_id]],course_data[course_id],course_data[title],"")</f>
        <v>Driver Assessment &amp; Training</v>
      </c>
      <c r="E2360" s="5" t="str">
        <f>_xlfn.XLOOKUP(role_course_map[[#This Row],[course_id]],course_data[course_id],course_data[topic],"")</f>
        <v>SAS : Health and Safety</v>
      </c>
      <c r="F2360" s="5" t="str">
        <f>_xlfn.XLOOKUP(role_course_map[[#This Row],[course_id]],course_data[course_id],course_data[type],"")</f>
        <v>eLearning</v>
      </c>
      <c r="K2360" t="str">
        <f>role_course_map[[#This Row],[role_id]] &amp; "|" &amp; role_course_map[[#This Row],[course_id]]</f>
        <v>R0087|999056</v>
      </c>
      <c r="L2360" t="str">
        <f>IF(COUNTIF(role_course_map[mapping_key],role_course_map[[#This Row],[mapping_key]])&gt;1,"DUPLICATE","OK")</f>
        <v>OK</v>
      </c>
      <c r="M2360" t="str">
        <f>IF(COUNTIF(role_data[role_id],role_course_map[[#This Row],[role_id]])=0, "INVALID","VALID")</f>
        <v>VALID</v>
      </c>
      <c r="N2360" t="str">
        <f>IF(COUNTIF(course_data[course_id],role_course_map[[#This Row],[course_id]])=0, "INVALID","VALID")</f>
        <v>VALID</v>
      </c>
    </row>
    <row r="2361" spans="1:14" x14ac:dyDescent="0.35">
      <c r="A2361" t="s">
        <v>186</v>
      </c>
      <c r="B2361" s="5" t="str">
        <f>_xlfn.XLOOKUP(role_course_map[[#This Row],[role_id]], role_data[role_id], role_data[Role],"")</f>
        <v>Advanced Practitioner</v>
      </c>
      <c r="C2361">
        <v>999057</v>
      </c>
      <c r="D2361" s="5" t="str">
        <f>_xlfn.XLOOKUP(role_course_map[[#This Row],[course_id]],course_data[course_id],course_data[title],"")</f>
        <v>Fatigue Awareness</v>
      </c>
      <c r="E2361" s="5" t="str">
        <f>_xlfn.XLOOKUP(role_course_map[[#This Row],[course_id]],course_data[course_id],course_data[topic],"")</f>
        <v>SAS : Health and Safety</v>
      </c>
      <c r="F2361" s="5" t="str">
        <f>_xlfn.XLOOKUP(role_course_map[[#This Row],[course_id]],course_data[course_id],course_data[type],"")</f>
        <v>eLearning</v>
      </c>
      <c r="K2361" t="str">
        <f>role_course_map[[#This Row],[role_id]] &amp; "|" &amp; role_course_map[[#This Row],[course_id]]</f>
        <v>R0087|999057</v>
      </c>
      <c r="L2361" t="str">
        <f>IF(COUNTIF(role_course_map[mapping_key],role_course_map[[#This Row],[mapping_key]])&gt;1,"DUPLICATE","OK")</f>
        <v>OK</v>
      </c>
      <c r="M2361" t="str">
        <f>IF(COUNTIF(role_data[role_id],role_course_map[[#This Row],[role_id]])=0, "INVALID","VALID")</f>
        <v>VALID</v>
      </c>
      <c r="N2361" t="str">
        <f>IF(COUNTIF(course_data[course_id],role_course_map[[#This Row],[course_id]])=0, "INVALID","VALID")</f>
        <v>VALID</v>
      </c>
    </row>
    <row r="2362" spans="1:14" x14ac:dyDescent="0.35">
      <c r="A2362" t="s">
        <v>186</v>
      </c>
      <c r="B2362" s="5" t="str">
        <f>_xlfn.XLOOKUP(role_course_map[[#This Row],[role_id]], role_data[role_id], role_data[Role],"")</f>
        <v>Advanced Practitioner</v>
      </c>
      <c r="C2362">
        <v>999058</v>
      </c>
      <c r="D2362" s="5" t="str">
        <f>_xlfn.XLOOKUP(role_course_map[[#This Row],[course_id]],course_data[course_id],course_data[title],"")</f>
        <v>Stress Identification &amp; Stress Management</v>
      </c>
      <c r="E2362" s="5" t="str">
        <f>_xlfn.XLOOKUP(role_course_map[[#This Row],[course_id]],course_data[course_id],course_data[topic],"")</f>
        <v>SAS : Health and Safety</v>
      </c>
      <c r="F2362" s="5" t="str">
        <f>_xlfn.XLOOKUP(role_course_map[[#This Row],[course_id]],course_data[course_id],course_data[type],"")</f>
        <v>eLearning</v>
      </c>
      <c r="K2362" t="str">
        <f>role_course_map[[#This Row],[role_id]] &amp; "|" &amp; role_course_map[[#This Row],[course_id]]</f>
        <v>R0087|999058</v>
      </c>
      <c r="L2362" t="str">
        <f>IF(COUNTIF(role_course_map[mapping_key],role_course_map[[#This Row],[mapping_key]])&gt;1,"DUPLICATE","OK")</f>
        <v>OK</v>
      </c>
      <c r="M2362" t="str">
        <f>IF(COUNTIF(role_data[role_id],role_course_map[[#This Row],[role_id]])=0, "INVALID","VALID")</f>
        <v>VALID</v>
      </c>
      <c r="N2362" t="str">
        <f>IF(COUNTIF(course_data[course_id],role_course_map[[#This Row],[course_id]])=0, "INVALID","VALID")</f>
        <v>VALID</v>
      </c>
    </row>
    <row r="2363" spans="1:14" x14ac:dyDescent="0.35">
      <c r="A2363" t="s">
        <v>186</v>
      </c>
      <c r="B2363" s="5" t="str">
        <f>_xlfn.XLOOKUP(role_course_map[[#This Row],[role_id]], role_data[role_id], role_data[Role],"")</f>
        <v>Advanced Practitioner</v>
      </c>
      <c r="C2363">
        <v>999061</v>
      </c>
      <c r="D2363" s="5" t="str">
        <f>_xlfn.XLOOKUP(role_course_map[[#This Row],[course_id]],course_data[course_id],course_data[title],"")</f>
        <v>Skin Awareness</v>
      </c>
      <c r="E2363" s="5" t="str">
        <f>_xlfn.XLOOKUP(role_course_map[[#This Row],[course_id]],course_data[course_id],course_data[topic],"")</f>
        <v>SAS : Health and Safety</v>
      </c>
      <c r="F2363" s="5" t="str">
        <f>_xlfn.XLOOKUP(role_course_map[[#This Row],[course_id]],course_data[course_id],course_data[type],"")</f>
        <v>eLearning</v>
      </c>
      <c r="K2363" t="str">
        <f>role_course_map[[#This Row],[role_id]] &amp; "|" &amp; role_course_map[[#This Row],[course_id]]</f>
        <v>R0087|999061</v>
      </c>
      <c r="L2363" t="str">
        <f>IF(COUNTIF(role_course_map[mapping_key],role_course_map[[#This Row],[mapping_key]])&gt;1,"DUPLICATE","OK")</f>
        <v>OK</v>
      </c>
      <c r="M2363" t="str">
        <f>IF(COUNTIF(role_data[role_id],role_course_map[[#This Row],[role_id]])=0, "INVALID","VALID")</f>
        <v>VALID</v>
      </c>
      <c r="N2363" t="str">
        <f>IF(COUNTIF(course_data[course_id],role_course_map[[#This Row],[course_id]])=0, "INVALID","VALID")</f>
        <v>VALID</v>
      </c>
    </row>
    <row r="2364" spans="1:14" x14ac:dyDescent="0.35">
      <c r="A2364" t="s">
        <v>186</v>
      </c>
      <c r="B2364" s="5" t="str">
        <f>_xlfn.XLOOKUP(role_course_map[[#This Row],[role_id]], role_data[role_id], role_data[Role],"")</f>
        <v>Advanced Practitioner</v>
      </c>
      <c r="C2364">
        <v>999027</v>
      </c>
      <c r="D2364" s="5" t="str">
        <f>_xlfn.XLOOKUP(role_course_map[[#This Row],[course_id]],course_data[course_id],course_data[title],"")</f>
        <v>Manual and Patient Handling Foundation Training - Level 2</v>
      </c>
      <c r="E2364" s="5" t="str">
        <f>_xlfn.XLOOKUP(role_course_map[[#This Row],[course_id]],course_data[course_id],course_data[topic],"")</f>
        <v>SAS : Clinical Practice</v>
      </c>
      <c r="F2364" s="5" t="str">
        <f>_xlfn.XLOOKUP(role_course_map[[#This Row],[course_id]],course_data[course_id],course_data[type],"")</f>
        <v>Course</v>
      </c>
      <c r="K2364" t="str">
        <f>role_course_map[[#This Row],[role_id]] &amp; "|" &amp; role_course_map[[#This Row],[course_id]]</f>
        <v>R0087|999027</v>
      </c>
      <c r="L2364" t="str">
        <f>IF(COUNTIF(role_course_map[mapping_key],role_course_map[[#This Row],[mapping_key]])&gt;1,"DUPLICATE","OK")</f>
        <v>OK</v>
      </c>
      <c r="M2364" t="str">
        <f>IF(COUNTIF(role_data[role_id],role_course_map[[#This Row],[role_id]])=0, "INVALID","VALID")</f>
        <v>VALID</v>
      </c>
      <c r="N2364" t="str">
        <f>IF(COUNTIF(course_data[course_id],role_course_map[[#This Row],[course_id]])=0, "INVALID","VALID")</f>
        <v>VALID</v>
      </c>
    </row>
    <row r="2365" spans="1:14" x14ac:dyDescent="0.35">
      <c r="A2365" t="s">
        <v>186</v>
      </c>
      <c r="B2365" s="5" t="str">
        <f>_xlfn.XLOOKUP(role_course_map[[#This Row],[role_id]], role_data[role_id], role_data[Role],"")</f>
        <v>Advanced Practitioner</v>
      </c>
      <c r="C2365">
        <v>999028</v>
      </c>
      <c r="D2365" s="5" t="str">
        <f>_xlfn.XLOOKUP(role_course_map[[#This Row],[course_id]],course_data[course_id],course_data[title],"")</f>
        <v>Manual and Patient Handling Competency Assessment - Level 3</v>
      </c>
      <c r="E2365" s="5" t="str">
        <f>_xlfn.XLOOKUP(role_course_map[[#This Row],[course_id]],course_data[course_id],course_data[topic],"")</f>
        <v>SAS : Clinical Practice</v>
      </c>
      <c r="F2365" s="5" t="str">
        <f>_xlfn.XLOOKUP(role_course_map[[#This Row],[course_id]],course_data[course_id],course_data[type],"")</f>
        <v>Course</v>
      </c>
      <c r="K2365" t="str">
        <f>role_course_map[[#This Row],[role_id]] &amp; "|" &amp; role_course_map[[#This Row],[course_id]]</f>
        <v>R0087|999028</v>
      </c>
      <c r="L2365" t="str">
        <f>IF(COUNTIF(role_course_map[mapping_key],role_course_map[[#This Row],[mapping_key]])&gt;1,"DUPLICATE","OK")</f>
        <v>OK</v>
      </c>
      <c r="M2365" t="str">
        <f>IF(COUNTIF(role_data[role_id],role_course_map[[#This Row],[role_id]])=0, "INVALID","VALID")</f>
        <v>VALID</v>
      </c>
      <c r="N2365" t="str">
        <f>IF(COUNTIF(course_data[course_id],role_course_map[[#This Row],[course_id]])=0, "INVALID","VALID")</f>
        <v>VALID</v>
      </c>
    </row>
    <row r="2366" spans="1:14" x14ac:dyDescent="0.35">
      <c r="A2366" t="s">
        <v>186</v>
      </c>
      <c r="B2366" s="5" t="str">
        <f>_xlfn.XLOOKUP(role_course_map[[#This Row],[role_id]], role_data[role_id], role_data[Role],"")</f>
        <v>Advanced Practitioner</v>
      </c>
      <c r="C2366">
        <v>999029</v>
      </c>
      <c r="D2366" s="5" t="str">
        <f>_xlfn.XLOOKUP(role_course_map[[#This Row],[course_id]],course_data[course_id],course_data[title],"")</f>
        <v>Manual and Patient Handling Competency Assessment Theory - Level 3</v>
      </c>
      <c r="E2366" s="5" t="str">
        <f>_xlfn.XLOOKUP(role_course_map[[#This Row],[course_id]],course_data[course_id],course_data[topic],"")</f>
        <v>SAS : Clinical Practice</v>
      </c>
      <c r="F2366" s="5" t="str">
        <f>_xlfn.XLOOKUP(role_course_map[[#This Row],[course_id]],course_data[course_id],course_data[type],"")</f>
        <v>Course</v>
      </c>
      <c r="K2366" t="str">
        <f>role_course_map[[#This Row],[role_id]] &amp; "|" &amp; role_course_map[[#This Row],[course_id]]</f>
        <v>R0087|999029</v>
      </c>
      <c r="L2366" t="str">
        <f>IF(COUNTIF(role_course_map[mapping_key],role_course_map[[#This Row],[mapping_key]])&gt;1,"DUPLICATE","OK")</f>
        <v>OK</v>
      </c>
      <c r="M2366" t="str">
        <f>IF(COUNTIF(role_data[role_id],role_course_map[[#This Row],[role_id]])=0, "INVALID","VALID")</f>
        <v>VALID</v>
      </c>
      <c r="N2366" t="str">
        <f>IF(COUNTIF(course_data[course_id],role_course_map[[#This Row],[course_id]])=0, "INVALID","VALID")</f>
        <v>VALID</v>
      </c>
    </row>
    <row r="2367" spans="1:14" x14ac:dyDescent="0.35">
      <c r="A2367" t="s">
        <v>186</v>
      </c>
      <c r="B2367" s="5" t="str">
        <f>_xlfn.XLOOKUP(role_course_map[[#This Row],[role_id]], role_data[role_id], role_data[Role],"")</f>
        <v>Advanced Practitioner</v>
      </c>
      <c r="C2367" t="s">
        <v>659</v>
      </c>
      <c r="D2367" s="5" t="str">
        <f>_xlfn.XLOOKUP(role_course_map[[#This Row],[course_id]],course_data[course_id],course_data[title],"")</f>
        <v>Prevention and Management of Violence and Aggression - Breakaway training Level 2 /Restrictive movement Level 3</v>
      </c>
      <c r="E2367" s="5" t="str">
        <f>_xlfn.XLOOKUP(role_course_map[[#This Row],[course_id]],course_data[course_id],course_data[topic],"")</f>
        <v>SAS : Health and Safety</v>
      </c>
      <c r="F2367" s="5" t="str">
        <f>_xlfn.XLOOKUP(role_course_map[[#This Row],[course_id]],course_data[course_id],course_data[type],"")</f>
        <v>Course</v>
      </c>
      <c r="K2367" t="str">
        <f>role_course_map[[#This Row],[role_id]] &amp; "|" &amp; role_course_map[[#This Row],[course_id]]</f>
        <v>R0087|2025-6 edition</v>
      </c>
      <c r="L2367" t="str">
        <f>IF(COUNTIF(role_course_map[mapping_key],role_course_map[[#This Row],[mapping_key]])&gt;1,"DUPLICATE","OK")</f>
        <v>OK</v>
      </c>
      <c r="M2367" t="str">
        <f>IF(COUNTIF(role_data[role_id],role_course_map[[#This Row],[role_id]])=0, "INVALID","VALID")</f>
        <v>VALID</v>
      </c>
      <c r="N2367" t="str">
        <f>IF(COUNTIF(course_data[course_id],role_course_map[[#This Row],[course_id]])=0, "INVALID","VALID")</f>
        <v>VALID</v>
      </c>
    </row>
    <row r="2368" spans="1:14" x14ac:dyDescent="0.35">
      <c r="A2368" t="s">
        <v>186</v>
      </c>
      <c r="B2368" s="5" t="str">
        <f>_xlfn.XLOOKUP(role_course_map[[#This Row],[role_id]], role_data[role_id], role_data[Role],"")</f>
        <v>Advanced Practitioner</v>
      </c>
      <c r="C2368">
        <v>999055</v>
      </c>
      <c r="D2368" s="5" t="str">
        <f>_xlfn.XLOOKUP(role_course_map[[#This Row],[course_id]],course_data[course_id],course_data[title],"")</f>
        <v>Prevention and Management of Violence and Aggression - Refresher</v>
      </c>
      <c r="E2368" s="5" t="str">
        <f>_xlfn.XLOOKUP(role_course_map[[#This Row],[course_id]],course_data[course_id],course_data[topic],"")</f>
        <v>SAS : Health and Safety</v>
      </c>
      <c r="F2368" s="5" t="str">
        <f>_xlfn.XLOOKUP(role_course_map[[#This Row],[course_id]],course_data[course_id],course_data[type],"")</f>
        <v>Course</v>
      </c>
      <c r="K2368" t="str">
        <f>role_course_map[[#This Row],[role_id]] &amp; "|" &amp; role_course_map[[#This Row],[course_id]]</f>
        <v>R0087|999055</v>
      </c>
      <c r="L2368" t="str">
        <f>IF(COUNTIF(role_course_map[mapping_key],role_course_map[[#This Row],[mapping_key]])&gt;1,"DUPLICATE","OK")</f>
        <v>OK</v>
      </c>
      <c r="M2368" t="str">
        <f>IF(COUNTIF(role_data[role_id],role_course_map[[#This Row],[role_id]])=0, "INVALID","VALID")</f>
        <v>VALID</v>
      </c>
      <c r="N2368" t="str">
        <f>IF(COUNTIF(course_data[course_id],role_course_map[[#This Row],[course_id]])=0, "INVALID","VALID")</f>
        <v>VALID</v>
      </c>
    </row>
    <row r="2369" spans="1:14" x14ac:dyDescent="0.35">
      <c r="A2369" t="s">
        <v>186</v>
      </c>
      <c r="B2369" s="5" t="str">
        <f>_xlfn.XLOOKUP(role_course_map[[#This Row],[role_id]], role_data[role_id], role_data[Role],"")</f>
        <v>Advanced Practitioner</v>
      </c>
      <c r="C2369">
        <v>64322</v>
      </c>
      <c r="D2369" s="5" t="str">
        <f>_xlfn.XLOOKUP(role_course_map[[#This Row],[course_id]],course_data[course_id],course_data[title],"")</f>
        <v>Adult support and protection: practice level 2 [skilled]</v>
      </c>
      <c r="E2369" s="5" t="str">
        <f>_xlfn.XLOOKUP(role_course_map[[#This Row],[course_id]],course_data[course_id],course_data[topic],"")</f>
        <v>SAS : Public Protection</v>
      </c>
      <c r="F2369" s="5" t="str">
        <f>_xlfn.XLOOKUP(role_course_map[[#This Row],[course_id]],course_data[course_id],course_data[type],"")</f>
        <v>eLearning</v>
      </c>
      <c r="K2369" t="str">
        <f>role_course_map[[#This Row],[role_id]] &amp; "|" &amp; role_course_map[[#This Row],[course_id]]</f>
        <v>R0087|64322</v>
      </c>
      <c r="L2369" t="str">
        <f>IF(COUNTIF(role_course_map[mapping_key],role_course_map[[#This Row],[mapping_key]])&gt;1,"DUPLICATE","OK")</f>
        <v>OK</v>
      </c>
      <c r="M2369" t="str">
        <f>IF(COUNTIF(role_data[role_id],role_course_map[[#This Row],[role_id]])=0, "INVALID","VALID")</f>
        <v>VALID</v>
      </c>
      <c r="N2369" t="str">
        <f>IF(COUNTIF(course_data[course_id],role_course_map[[#This Row],[course_id]])=0, "INVALID","VALID")</f>
        <v>VALID</v>
      </c>
    </row>
    <row r="2370" spans="1:14" x14ac:dyDescent="0.35">
      <c r="A2370" t="s">
        <v>186</v>
      </c>
      <c r="B2370" s="5" t="str">
        <f>_xlfn.XLOOKUP(role_course_map[[#This Row],[role_id]], role_data[role_id], role_data[Role],"")</f>
        <v>Advanced Practitioner</v>
      </c>
      <c r="C2370">
        <v>64324</v>
      </c>
      <c r="D2370" s="5" t="str">
        <f>_xlfn.XLOOKUP(role_course_map[[#This Row],[course_id]],course_data[course_id],course_data[title],"")</f>
        <v>Child protection: practice level 2 [skilled]</v>
      </c>
      <c r="E2370" s="5" t="str">
        <f>_xlfn.XLOOKUP(role_course_map[[#This Row],[course_id]],course_data[course_id],course_data[topic],"")</f>
        <v>SAS : Public Protection</v>
      </c>
      <c r="F2370" s="5" t="str">
        <f>_xlfn.XLOOKUP(role_course_map[[#This Row],[course_id]],course_data[course_id],course_data[type],"")</f>
        <v>eLearning</v>
      </c>
      <c r="K2370" t="str">
        <f>role_course_map[[#This Row],[role_id]] &amp; "|" &amp; role_course_map[[#This Row],[course_id]]</f>
        <v>R0087|64324</v>
      </c>
      <c r="L2370" t="str">
        <f>IF(COUNTIF(role_course_map[mapping_key],role_course_map[[#This Row],[mapping_key]])&gt;1,"DUPLICATE","OK")</f>
        <v>OK</v>
      </c>
      <c r="M2370" t="str">
        <f>IF(COUNTIF(role_data[role_id],role_course_map[[#This Row],[role_id]])=0, "INVALID","VALID")</f>
        <v>VALID</v>
      </c>
      <c r="N2370" t="str">
        <f>IF(COUNTIF(course_data[course_id],role_course_map[[#This Row],[course_id]])=0, "INVALID","VALID")</f>
        <v>VALID</v>
      </c>
    </row>
    <row r="2371" spans="1:14" x14ac:dyDescent="0.35">
      <c r="A2371" t="s">
        <v>186</v>
      </c>
      <c r="B2371" s="5" t="str">
        <f>_xlfn.XLOOKUP(role_course_map[[#This Row],[role_id]], role_data[role_id], role_data[Role],"")</f>
        <v>Advanced Practitioner</v>
      </c>
      <c r="C2371">
        <v>76716</v>
      </c>
      <c r="D2371" s="5" t="str">
        <f>_xlfn.XLOOKUP(role_course_map[[#This Row],[course_id]],course_data[course_id],course_data[title],"")</f>
        <v>Domestic abuse awareness training tool (DAART)</v>
      </c>
      <c r="E2371" s="5" t="str">
        <f>_xlfn.XLOOKUP(role_course_map[[#This Row],[course_id]],course_data[course_id],course_data[topic],"")</f>
        <v>SAS : Public Protection</v>
      </c>
      <c r="F2371" s="5" t="str">
        <f>_xlfn.XLOOKUP(role_course_map[[#This Row],[course_id]],course_data[course_id],course_data[type],"")</f>
        <v>eLearning</v>
      </c>
      <c r="K2371" t="str">
        <f>role_course_map[[#This Row],[role_id]] &amp; "|" &amp; role_course_map[[#This Row],[course_id]]</f>
        <v>R0087|76716</v>
      </c>
      <c r="L2371" t="str">
        <f>IF(COUNTIF(role_course_map[mapping_key],role_course_map[[#This Row],[mapping_key]])&gt;1,"DUPLICATE","OK")</f>
        <v>OK</v>
      </c>
      <c r="M2371" t="str">
        <f>IF(COUNTIF(role_data[role_id],role_course_map[[#This Row],[role_id]])=0, "INVALID","VALID")</f>
        <v>VALID</v>
      </c>
      <c r="N2371" t="str">
        <f>IF(COUNTIF(course_data[course_id],role_course_map[[#This Row],[course_id]])=0, "INVALID","VALID")</f>
        <v>VALID</v>
      </c>
    </row>
    <row r="2372" spans="1:14" x14ac:dyDescent="0.35">
      <c r="A2372" t="s">
        <v>186</v>
      </c>
      <c r="B2372" s="5" t="str">
        <f>_xlfn.XLOOKUP(role_course_map[[#This Row],[role_id]], role_data[role_id], role_data[Role],"")</f>
        <v>Advanced Practitioner</v>
      </c>
      <c r="C2372">
        <v>79666</v>
      </c>
      <c r="D2372" s="5" t="str">
        <f>_xlfn.XLOOKUP(role_course_map[[#This Row],[course_id]],course_data[course_id],course_data[title],"")</f>
        <v>Getting it right for every child (GIRFEC): informed level</v>
      </c>
      <c r="E2372" s="5" t="str">
        <f>_xlfn.XLOOKUP(role_course_map[[#This Row],[course_id]],course_data[course_id],course_data[topic],"")</f>
        <v>SAS : Public Protection</v>
      </c>
      <c r="F2372" s="5" t="str">
        <f>_xlfn.XLOOKUP(role_course_map[[#This Row],[course_id]],course_data[course_id],course_data[type],"")</f>
        <v>eLearning</v>
      </c>
      <c r="K2372" t="str">
        <f>role_course_map[[#This Row],[role_id]] &amp; "|" &amp; role_course_map[[#This Row],[course_id]]</f>
        <v>R0087|79666</v>
      </c>
      <c r="L2372" t="str">
        <f>IF(COUNTIF(role_course_map[mapping_key],role_course_map[[#This Row],[mapping_key]])&gt;1,"DUPLICATE","OK")</f>
        <v>OK</v>
      </c>
      <c r="M2372" t="str">
        <f>IF(COUNTIF(role_data[role_id],role_course_map[[#This Row],[role_id]])=0, "INVALID","VALID")</f>
        <v>VALID</v>
      </c>
      <c r="N2372" t="str">
        <f>IF(COUNTIF(course_data[course_id],role_course_map[[#This Row],[course_id]])=0, "INVALID","VALID")</f>
        <v>VALID</v>
      </c>
    </row>
    <row r="2373" spans="1:14" x14ac:dyDescent="0.35">
      <c r="A2373" t="s">
        <v>186</v>
      </c>
      <c r="B2373" s="5" t="str">
        <f>_xlfn.XLOOKUP(role_course_map[[#This Row],[role_id]], role_data[role_id], role_data[Role],"")</f>
        <v>Advanced Practitioner</v>
      </c>
      <c r="C2373">
        <v>999074</v>
      </c>
      <c r="D2373" s="5" t="str">
        <f>_xlfn.XLOOKUP(role_course_map[[#This Row],[course_id]],course_data[course_id],course_data[title],"")</f>
        <v>SAS-specific Children’s rights</v>
      </c>
      <c r="E2373" s="5" t="str">
        <f>_xlfn.XLOOKUP(role_course_map[[#This Row],[course_id]],course_data[course_id],course_data[topic],"")</f>
        <v>SAS : Public Protection</v>
      </c>
      <c r="F2373" s="5" t="str">
        <f>_xlfn.XLOOKUP(role_course_map[[#This Row],[course_id]],course_data[course_id],course_data[type],"")</f>
        <v>eLearning</v>
      </c>
      <c r="K2373" t="str">
        <f>role_course_map[[#This Row],[role_id]] &amp; "|" &amp; role_course_map[[#This Row],[course_id]]</f>
        <v>R0087|999074</v>
      </c>
      <c r="L2373" t="str">
        <f>IF(COUNTIF(role_course_map[mapping_key],role_course_map[[#This Row],[mapping_key]])&gt;1,"DUPLICATE","OK")</f>
        <v>OK</v>
      </c>
      <c r="M2373" t="str">
        <f>IF(COUNTIF(role_data[role_id],role_course_map[[#This Row],[role_id]])=0, "INVALID","VALID")</f>
        <v>VALID</v>
      </c>
      <c r="N2373" t="str">
        <f>IF(COUNTIF(course_data[course_id],role_course_map[[#This Row],[course_id]])=0, "INVALID","VALID")</f>
        <v>VALID</v>
      </c>
    </row>
    <row r="2374" spans="1:14" x14ac:dyDescent="0.35">
      <c r="A2374" t="s">
        <v>186</v>
      </c>
      <c r="B2374" s="5" t="str">
        <f>_xlfn.XLOOKUP(role_course_map[[#This Row],[role_id]], role_data[role_id], role_data[Role],"")</f>
        <v>Advanced Practitioner</v>
      </c>
      <c r="C2374">
        <v>999075</v>
      </c>
      <c r="D2374" s="5" t="str">
        <f>_xlfn.XLOOKUP(role_course_map[[#This Row],[course_id]],course_data[course_id],course_data[title],"")</f>
        <v>Multiagency local or bespoke Level 3 delivery training</v>
      </c>
      <c r="E2374" s="5" t="str">
        <f>_xlfn.XLOOKUP(role_course_map[[#This Row],[course_id]],course_data[course_id],course_data[topic],"")</f>
        <v>SAS : Public Protection</v>
      </c>
      <c r="F2374" s="5" t="str">
        <f>_xlfn.XLOOKUP(role_course_map[[#This Row],[course_id]],course_data[course_id],course_data[type],"")</f>
        <v>eLearning</v>
      </c>
      <c r="K2374" t="str">
        <f>role_course_map[[#This Row],[role_id]] &amp; "|" &amp; role_course_map[[#This Row],[course_id]]</f>
        <v>R0087|999075</v>
      </c>
      <c r="L2374" t="str">
        <f>IF(COUNTIF(role_course_map[mapping_key],role_course_map[[#This Row],[mapping_key]])&gt;1,"DUPLICATE","OK")</f>
        <v>OK</v>
      </c>
      <c r="M2374" t="str">
        <f>IF(COUNTIF(role_data[role_id],role_course_map[[#This Row],[role_id]])=0, "INVALID","VALID")</f>
        <v>VALID</v>
      </c>
      <c r="N2374" t="str">
        <f>IF(COUNTIF(course_data[course_id],role_course_map[[#This Row],[course_id]])=0, "INVALID","VALID")</f>
        <v>VALID</v>
      </c>
    </row>
    <row r="2375" spans="1:14" x14ac:dyDescent="0.35">
      <c r="A2375" t="s">
        <v>186</v>
      </c>
      <c r="B2375" s="5" t="str">
        <f>_xlfn.XLOOKUP(role_course_map[[#This Row],[role_id]], role_data[role_id], role_data[Role],"")</f>
        <v>Advanced Practitioner</v>
      </c>
      <c r="C2375">
        <v>15249</v>
      </c>
      <c r="D2375" s="5" t="str">
        <f>_xlfn.XLOOKUP(role_course_map[[#This Row],[course_id]],course_data[course_id],course_data[title],"")</f>
        <v>Human trafficking</v>
      </c>
      <c r="E2375" s="5" t="str">
        <f>_xlfn.XLOOKUP(role_course_map[[#This Row],[course_id]],course_data[course_id],course_data[topic],"")</f>
        <v>SAS : Public Protection</v>
      </c>
      <c r="F2375" s="5" t="str">
        <f>_xlfn.XLOOKUP(role_course_map[[#This Row],[course_id]],course_data[course_id],course_data[type],"")</f>
        <v>eLearning</v>
      </c>
      <c r="K2375" t="str">
        <f>role_course_map[[#This Row],[role_id]] &amp; "|" &amp; role_course_map[[#This Row],[course_id]]</f>
        <v>R0087|15249</v>
      </c>
      <c r="L2375" t="str">
        <f>IF(COUNTIF(role_course_map[mapping_key],role_course_map[[#This Row],[mapping_key]])&gt;1,"DUPLICATE","OK")</f>
        <v>OK</v>
      </c>
      <c r="M2375" t="str">
        <f>IF(COUNTIF(role_data[role_id],role_course_map[[#This Row],[role_id]])=0, "INVALID","VALID")</f>
        <v>VALID</v>
      </c>
      <c r="N2375" t="str">
        <f>IF(COUNTIF(course_data[course_id],role_course_map[[#This Row],[course_id]])=0, "INVALID","VALID")</f>
        <v>VALID</v>
      </c>
    </row>
    <row r="2376" spans="1:14" x14ac:dyDescent="0.35">
      <c r="A2376" t="s">
        <v>186</v>
      </c>
      <c r="B2376" s="5" t="str">
        <f>_xlfn.XLOOKUP(role_course_map[[#This Row],[role_id]], role_data[role_id], role_data[Role],"")</f>
        <v>Advanced Practitioner</v>
      </c>
      <c r="C2376">
        <v>89161</v>
      </c>
      <c r="D2376" s="5" t="str">
        <f>_xlfn.XLOOKUP(role_course_map[[#This Row],[course_id]],course_data[course_id],course_data[title],"")</f>
        <v>Personal Protective Equipment</v>
      </c>
      <c r="E2376" s="5" t="str">
        <f>_xlfn.XLOOKUP(role_course_map[[#This Row],[course_id]],course_data[course_id],course_data[topic],"")</f>
        <v>SAS : Infection Prevention and Control (IPC)</v>
      </c>
      <c r="F2376" s="5" t="str">
        <f>_xlfn.XLOOKUP(role_course_map[[#This Row],[course_id]],course_data[course_id],course_data[type],"")</f>
        <v>eLearning</v>
      </c>
      <c r="K2376" t="str">
        <f>role_course_map[[#This Row],[role_id]] &amp; "|" &amp; role_course_map[[#This Row],[course_id]]</f>
        <v>R0087|89161</v>
      </c>
      <c r="L2376" t="str">
        <f>IF(COUNTIF(role_course_map[mapping_key],role_course_map[[#This Row],[mapping_key]])&gt;1,"DUPLICATE","OK")</f>
        <v>OK</v>
      </c>
      <c r="M2376" t="str">
        <f>IF(COUNTIF(role_data[role_id],role_course_map[[#This Row],[role_id]])=0, "INVALID","VALID")</f>
        <v>VALID</v>
      </c>
      <c r="N2376" t="str">
        <f>IF(COUNTIF(course_data[course_id],role_course_map[[#This Row],[course_id]])=0, "INVALID","VALID")</f>
        <v>VALID</v>
      </c>
    </row>
    <row r="2377" spans="1:14" x14ac:dyDescent="0.35">
      <c r="A2377" t="s">
        <v>186</v>
      </c>
      <c r="B2377" s="5" t="str">
        <f>_xlfn.XLOOKUP(role_course_map[[#This Row],[role_id]], role_data[role_id], role_data[Role],"")</f>
        <v>Advanced Practitioner</v>
      </c>
      <c r="C2377">
        <v>89157</v>
      </c>
      <c r="D2377" s="5" t="str">
        <f>_xlfn.XLOOKUP(role_course_map[[#This Row],[course_id]],course_data[course_id],course_data[title],"")</f>
        <v>Safe Management of Care Equipment</v>
      </c>
      <c r="E2377" s="5" t="str">
        <f>_xlfn.XLOOKUP(role_course_map[[#This Row],[course_id]],course_data[course_id],course_data[topic],"")</f>
        <v>SAS : Infection Prevention and Control (IPC)</v>
      </c>
      <c r="F2377" s="5" t="str">
        <f>_xlfn.XLOOKUP(role_course_map[[#This Row],[course_id]],course_data[course_id],course_data[type],"")</f>
        <v>eLearning</v>
      </c>
      <c r="K2377" t="str">
        <f>role_course_map[[#This Row],[role_id]] &amp; "|" &amp; role_course_map[[#This Row],[course_id]]</f>
        <v>R0087|89157</v>
      </c>
      <c r="L2377" t="str">
        <f>IF(COUNTIF(role_course_map[mapping_key],role_course_map[[#This Row],[mapping_key]])&gt;1,"DUPLICATE","OK")</f>
        <v>OK</v>
      </c>
      <c r="M2377" t="str">
        <f>IF(COUNTIF(role_data[role_id],role_course_map[[#This Row],[role_id]])=0, "INVALID","VALID")</f>
        <v>VALID</v>
      </c>
      <c r="N2377" t="str">
        <f>IF(COUNTIF(course_data[course_id],role_course_map[[#This Row],[course_id]])=0, "INVALID","VALID")</f>
        <v>VALID</v>
      </c>
    </row>
    <row r="2378" spans="1:14" x14ac:dyDescent="0.35">
      <c r="A2378" t="s">
        <v>186</v>
      </c>
      <c r="B2378" s="5" t="str">
        <f>_xlfn.XLOOKUP(role_course_map[[#This Row],[role_id]], role_data[role_id], role_data[Role],"")</f>
        <v>Advanced Practitioner</v>
      </c>
      <c r="C2378">
        <v>89158</v>
      </c>
      <c r="D2378" s="5" t="str">
        <f>_xlfn.XLOOKUP(role_course_map[[#This Row],[course_id]],course_data[course_id],course_data[title],"")</f>
        <v>Safe Management of Care Environment</v>
      </c>
      <c r="E2378" s="5" t="str">
        <f>_xlfn.XLOOKUP(role_course_map[[#This Row],[course_id]],course_data[course_id],course_data[topic],"")</f>
        <v>SAS : Infection Prevention and Control (IPC)</v>
      </c>
      <c r="F2378" s="5" t="str">
        <f>_xlfn.XLOOKUP(role_course_map[[#This Row],[course_id]],course_data[course_id],course_data[type],"")</f>
        <v>eLearning</v>
      </c>
      <c r="K2378" t="str">
        <f>role_course_map[[#This Row],[role_id]] &amp; "|" &amp; role_course_map[[#This Row],[course_id]]</f>
        <v>R0087|89158</v>
      </c>
      <c r="L2378" t="str">
        <f>IF(COUNTIF(role_course_map[mapping_key],role_course_map[[#This Row],[mapping_key]])&gt;1,"DUPLICATE","OK")</f>
        <v>OK</v>
      </c>
      <c r="M2378" t="str">
        <f>IF(COUNTIF(role_data[role_id],role_course_map[[#This Row],[role_id]])=0, "INVALID","VALID")</f>
        <v>VALID</v>
      </c>
      <c r="N2378" t="str">
        <f>IF(COUNTIF(course_data[course_id],role_course_map[[#This Row],[course_id]])=0, "INVALID","VALID")</f>
        <v>VALID</v>
      </c>
    </row>
    <row r="2379" spans="1:14" x14ac:dyDescent="0.35">
      <c r="A2379" t="s">
        <v>186</v>
      </c>
      <c r="B2379" s="5" t="str">
        <f>_xlfn.XLOOKUP(role_course_map[[#This Row],[role_id]], role_data[role_id], role_data[Role],"")</f>
        <v>Advanced Practitioner</v>
      </c>
      <c r="C2379">
        <v>89159</v>
      </c>
      <c r="D2379" s="5" t="str">
        <f>_xlfn.XLOOKUP(role_course_map[[#This Row],[course_id]],course_data[course_id],course_data[title],"")</f>
        <v>Safe Management of Linen</v>
      </c>
      <c r="E2379" s="5" t="str">
        <f>_xlfn.XLOOKUP(role_course_map[[#This Row],[course_id]],course_data[course_id],course_data[topic],"")</f>
        <v>SAS : Infection Prevention and Control (IPC)</v>
      </c>
      <c r="F2379" s="5" t="str">
        <f>_xlfn.XLOOKUP(role_course_map[[#This Row],[course_id]],course_data[course_id],course_data[type],"")</f>
        <v>eLearning</v>
      </c>
      <c r="K2379" t="str">
        <f>role_course_map[[#This Row],[role_id]] &amp; "|" &amp; role_course_map[[#This Row],[course_id]]</f>
        <v>R0087|89159</v>
      </c>
      <c r="L2379" t="str">
        <f>IF(COUNTIF(role_course_map[mapping_key],role_course_map[[#This Row],[mapping_key]])&gt;1,"DUPLICATE","OK")</f>
        <v>OK</v>
      </c>
      <c r="M2379" t="str">
        <f>IF(COUNTIF(role_data[role_id],role_course_map[[#This Row],[role_id]])=0, "INVALID","VALID")</f>
        <v>VALID</v>
      </c>
      <c r="N2379" t="str">
        <f>IF(COUNTIF(course_data[course_id],role_course_map[[#This Row],[course_id]])=0, "INVALID","VALID")</f>
        <v>VALID</v>
      </c>
    </row>
    <row r="2380" spans="1:14" x14ac:dyDescent="0.35">
      <c r="A2380" t="s">
        <v>186</v>
      </c>
      <c r="B2380" s="5" t="str">
        <f>_xlfn.XLOOKUP(role_course_map[[#This Row],[role_id]], role_data[role_id], role_data[Role],"")</f>
        <v>Advanced Practitioner</v>
      </c>
      <c r="C2380">
        <v>89160</v>
      </c>
      <c r="D2380" s="5" t="str">
        <f>_xlfn.XLOOKUP(role_course_map[[#This Row],[course_id]],course_data[course_id],course_data[title],"")</f>
        <v>Safe Management of blood and body fluids</v>
      </c>
      <c r="E2380" s="5" t="str">
        <f>_xlfn.XLOOKUP(role_course_map[[#This Row],[course_id]],course_data[course_id],course_data[topic],"")</f>
        <v>SAS : Infection Prevention and Control (IPC)</v>
      </c>
      <c r="F2380" s="5" t="str">
        <f>_xlfn.XLOOKUP(role_course_map[[#This Row],[course_id]],course_data[course_id],course_data[type],"")</f>
        <v>eLearning</v>
      </c>
      <c r="K2380" t="str">
        <f>role_course_map[[#This Row],[role_id]] &amp; "|" &amp; role_course_map[[#This Row],[course_id]]</f>
        <v>R0087|89160</v>
      </c>
      <c r="L2380" t="str">
        <f>IF(COUNTIF(role_course_map[mapping_key],role_course_map[[#This Row],[mapping_key]])&gt;1,"DUPLICATE","OK")</f>
        <v>OK</v>
      </c>
      <c r="M2380" t="str">
        <f>IF(COUNTIF(role_data[role_id],role_course_map[[#This Row],[role_id]])=0, "INVALID","VALID")</f>
        <v>VALID</v>
      </c>
      <c r="N2380" t="str">
        <f>IF(COUNTIF(course_data[course_id],role_course_map[[#This Row],[course_id]])=0, "INVALID","VALID")</f>
        <v>VALID</v>
      </c>
    </row>
    <row r="2381" spans="1:14" x14ac:dyDescent="0.35">
      <c r="A2381" t="s">
        <v>186</v>
      </c>
      <c r="B2381" s="5" t="str">
        <f>_xlfn.XLOOKUP(role_course_map[[#This Row],[role_id]], role_data[role_id], role_data[Role],"")</f>
        <v>Advanced Practitioner</v>
      </c>
      <c r="C2381">
        <v>89154</v>
      </c>
      <c r="D2381" s="5" t="str">
        <f>_xlfn.XLOOKUP(role_course_map[[#This Row],[course_id]],course_data[course_id],course_data[title],"")</f>
        <v>Safe disposal of waste</v>
      </c>
      <c r="E2381" s="5" t="str">
        <f>_xlfn.XLOOKUP(role_course_map[[#This Row],[course_id]],course_data[course_id],course_data[topic],"")</f>
        <v>SAS : Infection Prevention and Control (IPC)</v>
      </c>
      <c r="F2381" s="5" t="str">
        <f>_xlfn.XLOOKUP(role_course_map[[#This Row],[course_id]],course_data[course_id],course_data[type],"")</f>
        <v>eLearning</v>
      </c>
      <c r="K2381" t="str">
        <f>role_course_map[[#This Row],[role_id]] &amp; "|" &amp; role_course_map[[#This Row],[course_id]]</f>
        <v>R0087|89154</v>
      </c>
      <c r="L2381" t="str">
        <f>IF(COUNTIF(role_course_map[mapping_key],role_course_map[[#This Row],[mapping_key]])&gt;1,"DUPLICATE","OK")</f>
        <v>OK</v>
      </c>
      <c r="M2381" t="str">
        <f>IF(COUNTIF(role_data[role_id],role_course_map[[#This Row],[role_id]])=0, "INVALID","VALID")</f>
        <v>VALID</v>
      </c>
      <c r="N2381" t="str">
        <f>IF(COUNTIF(course_data[course_id],role_course_map[[#This Row],[course_id]])=0, "INVALID","VALID")</f>
        <v>VALID</v>
      </c>
    </row>
    <row r="2382" spans="1:14" x14ac:dyDescent="0.35">
      <c r="A2382" t="s">
        <v>186</v>
      </c>
      <c r="B2382" s="5" t="str">
        <f>_xlfn.XLOOKUP(role_course_map[[#This Row],[role_id]], role_data[role_id], role_data[Role],"")</f>
        <v>Advanced Practitioner</v>
      </c>
      <c r="C2382">
        <v>89155</v>
      </c>
      <c r="D2382" s="5" t="str">
        <f>_xlfn.XLOOKUP(role_course_map[[#This Row],[course_id]],course_data[course_id],course_data[title],"")</f>
        <v>Prevention &amp; management of occupational exposure</v>
      </c>
      <c r="E2382" s="5" t="str">
        <f>_xlfn.XLOOKUP(role_course_map[[#This Row],[course_id]],course_data[course_id],course_data[topic],"")</f>
        <v>SAS : Infection Prevention and Control (IPC)</v>
      </c>
      <c r="F2382" s="5" t="str">
        <f>_xlfn.XLOOKUP(role_course_map[[#This Row],[course_id]],course_data[course_id],course_data[type],"")</f>
        <v>eLearning</v>
      </c>
      <c r="K2382" t="str">
        <f>role_course_map[[#This Row],[role_id]] &amp; "|" &amp; role_course_map[[#This Row],[course_id]]</f>
        <v>R0087|89155</v>
      </c>
      <c r="L2382" t="str">
        <f>IF(COUNTIF(role_course_map[mapping_key],role_course_map[[#This Row],[mapping_key]])&gt;1,"DUPLICATE","OK")</f>
        <v>OK</v>
      </c>
      <c r="M2382" t="str">
        <f>IF(COUNTIF(role_data[role_id],role_course_map[[#This Row],[role_id]])=0, "INVALID","VALID")</f>
        <v>VALID</v>
      </c>
      <c r="N2382" t="str">
        <f>IF(COUNTIF(course_data[course_id],role_course_map[[#This Row],[course_id]])=0, "INVALID","VALID")</f>
        <v>VALID</v>
      </c>
    </row>
    <row r="2383" spans="1:14" x14ac:dyDescent="0.35">
      <c r="A2383" t="s">
        <v>186</v>
      </c>
      <c r="B2383" s="5" t="str">
        <f>_xlfn.XLOOKUP(role_course_map[[#This Row],[role_id]], role_data[role_id], role_data[Role],"")</f>
        <v>Advanced Practitioner</v>
      </c>
      <c r="C2383">
        <v>999064</v>
      </c>
      <c r="D2383" s="5" t="str">
        <f>_xlfn.XLOOKUP(role_course_map[[#This Row],[course_id]],course_data[course_id],course_data[title],"")</f>
        <v>Infection prevention and control: Clostridioides difficile infection</v>
      </c>
      <c r="E2383" s="5" t="str">
        <f>_xlfn.XLOOKUP(role_course_map[[#This Row],[course_id]],course_data[course_id],course_data[topic],"")</f>
        <v>SAS : Infection Prevention and Control (IPC)</v>
      </c>
      <c r="F2383" s="5" t="str">
        <f>_xlfn.XLOOKUP(role_course_map[[#This Row],[course_id]],course_data[course_id],course_data[type],"")</f>
        <v>eLearning</v>
      </c>
      <c r="K2383" t="str">
        <f>role_course_map[[#This Row],[role_id]] &amp; "|" &amp; role_course_map[[#This Row],[course_id]]</f>
        <v>R0087|999064</v>
      </c>
      <c r="L2383" t="str">
        <f>IF(COUNTIF(role_course_map[mapping_key],role_course_map[[#This Row],[mapping_key]])&gt;1,"DUPLICATE","OK")</f>
        <v>OK</v>
      </c>
      <c r="M2383" t="str">
        <f>IF(COUNTIF(role_data[role_id],role_course_map[[#This Row],[role_id]])=0, "INVALID","VALID")</f>
        <v>VALID</v>
      </c>
      <c r="N2383" t="str">
        <f>IF(COUNTIF(course_data[course_id],role_course_map[[#This Row],[course_id]])=0, "INVALID","VALID")</f>
        <v>VALID</v>
      </c>
    </row>
    <row r="2384" spans="1:14" x14ac:dyDescent="0.35">
      <c r="A2384" t="s">
        <v>186</v>
      </c>
      <c r="B2384" s="5" t="str">
        <f>_xlfn.XLOOKUP(role_course_map[[#This Row],[role_id]], role_data[role_id], role_data[Role],"")</f>
        <v>Advanced Practitioner</v>
      </c>
      <c r="C2384">
        <v>3588</v>
      </c>
      <c r="D2384" s="5" t="str">
        <f>_xlfn.XLOOKUP(role_course_map[[#This Row],[course_id]],course_data[course_id],course_data[title],"")</f>
        <v>Antibiotic management</v>
      </c>
      <c r="E2384" s="5" t="str">
        <f>_xlfn.XLOOKUP(role_course_map[[#This Row],[course_id]],course_data[course_id],course_data[topic],"")</f>
        <v>SAS : Clinical Practice</v>
      </c>
      <c r="F2384" s="5" t="str">
        <f>_xlfn.XLOOKUP(role_course_map[[#This Row],[course_id]],course_data[course_id],course_data[type],"")</f>
        <v>Page</v>
      </c>
      <c r="K2384" t="str">
        <f>role_course_map[[#This Row],[role_id]] &amp; "|" &amp; role_course_map[[#This Row],[course_id]]</f>
        <v>R0087|3588</v>
      </c>
      <c r="L2384" t="str">
        <f>IF(COUNTIF(role_course_map[mapping_key],role_course_map[[#This Row],[mapping_key]])&gt;1,"DUPLICATE","OK")</f>
        <v>OK</v>
      </c>
      <c r="M2384" t="str">
        <f>IF(COUNTIF(role_data[role_id],role_course_map[[#This Row],[role_id]])=0, "INVALID","VALID")</f>
        <v>VALID</v>
      </c>
      <c r="N2384" t="str">
        <f>IF(COUNTIF(course_data[course_id],role_course_map[[#This Row],[course_id]])=0, "INVALID","VALID")</f>
        <v>VALID</v>
      </c>
    </row>
    <row r="2385" spans="1:14" x14ac:dyDescent="0.35">
      <c r="A2385" t="s">
        <v>186</v>
      </c>
      <c r="B2385" s="5" t="str">
        <f>_xlfn.XLOOKUP(role_course_map[[#This Row],[role_id]], role_data[role_id], role_data[Role],"")</f>
        <v>Advanced Practitioner</v>
      </c>
      <c r="C2385">
        <v>82383</v>
      </c>
      <c r="D2385" s="5" t="str">
        <f>_xlfn.XLOOKUP(role_course_map[[#This Row],[course_id]],course_data[course_id],course_data[title],"")</f>
        <v>Aseptic technique</v>
      </c>
      <c r="E2385" s="5" t="str">
        <f>_xlfn.XLOOKUP(role_course_map[[#This Row],[course_id]],course_data[course_id],course_data[topic],"")</f>
        <v>SAS : Infection Prevention and Control (IPC)</v>
      </c>
      <c r="F2385" s="5" t="str">
        <f>_xlfn.XLOOKUP(role_course_map[[#This Row],[course_id]],course_data[course_id],course_data[type],"")</f>
        <v>eLearning</v>
      </c>
      <c r="K2385" t="str">
        <f>role_course_map[[#This Row],[role_id]] &amp; "|" &amp; role_course_map[[#This Row],[course_id]]</f>
        <v>R0087|82383</v>
      </c>
      <c r="L2385" t="str">
        <f>IF(COUNTIF(role_course_map[mapping_key],role_course_map[[#This Row],[mapping_key]])&gt;1,"DUPLICATE","OK")</f>
        <v>OK</v>
      </c>
      <c r="M2385" t="str">
        <f>IF(COUNTIF(role_data[role_id],role_course_map[[#This Row],[role_id]])=0, "INVALID","VALID")</f>
        <v>VALID</v>
      </c>
      <c r="N2385" t="str">
        <f>IF(COUNTIF(course_data[course_id],role_course_map[[#This Row],[course_id]])=0, "INVALID","VALID")</f>
        <v>VALID</v>
      </c>
    </row>
    <row r="2386" spans="1:14" x14ac:dyDescent="0.35">
      <c r="A2386" t="s">
        <v>186</v>
      </c>
      <c r="B2386" s="5" t="str">
        <f>_xlfn.XLOOKUP(role_course_map[[#This Row],[role_id]], role_data[role_id], role_data[Role],"")</f>
        <v>Advanced Practitioner</v>
      </c>
      <c r="C2386">
        <v>3886</v>
      </c>
      <c r="D2386" s="5" t="str">
        <f>_xlfn.XLOOKUP(role_course_map[[#This Row],[course_id]],course_data[course_id],course_data[title],"")</f>
        <v>Prevention and management of pressure ulcers</v>
      </c>
      <c r="E2386" s="5" t="str">
        <f>_xlfn.XLOOKUP(role_course_map[[#This Row],[course_id]],course_data[course_id],course_data[topic],"")</f>
        <v>SAS : Clinical Practice</v>
      </c>
      <c r="F2386" s="5" t="str">
        <f>_xlfn.XLOOKUP(role_course_map[[#This Row],[course_id]],course_data[course_id],course_data[type],"")</f>
        <v>Page</v>
      </c>
      <c r="K2386" t="str">
        <f>role_course_map[[#This Row],[role_id]] &amp; "|" &amp; role_course_map[[#This Row],[course_id]]</f>
        <v>R0087|3886</v>
      </c>
      <c r="L2386" t="str">
        <f>IF(COUNTIF(role_course_map[mapping_key],role_course_map[[#This Row],[mapping_key]])&gt;1,"DUPLICATE","OK")</f>
        <v>OK</v>
      </c>
      <c r="M2386" t="str">
        <f>IF(COUNTIF(role_data[role_id],role_course_map[[#This Row],[role_id]])=0, "INVALID","VALID")</f>
        <v>VALID</v>
      </c>
      <c r="N2386" t="str">
        <f>IF(COUNTIF(course_data[course_id],role_course_map[[#This Row],[course_id]])=0, "INVALID","VALID")</f>
        <v>VALID</v>
      </c>
    </row>
    <row r="2387" spans="1:14" x14ac:dyDescent="0.35">
      <c r="A2387" t="s">
        <v>186</v>
      </c>
      <c r="B2387" s="5" t="str">
        <f>_xlfn.XLOOKUP(role_course_map[[#This Row],[role_id]], role_data[role_id], role_data[Role],"")</f>
        <v>Advanced Practitioner</v>
      </c>
      <c r="C2387">
        <v>999094</v>
      </c>
      <c r="D2387" s="5" t="str">
        <f>_xlfn.XLOOKUP(role_course_map[[#This Row],[course_id]],course_data[course_id],course_data[title],"")</f>
        <v>Being well, Mind, Body &amp; Workplace</v>
      </c>
      <c r="E2387" s="5" t="str">
        <f>_xlfn.XLOOKUP(role_course_map[[#This Row],[course_id]],course_data[course_id],course_data[topic],"")</f>
        <v>SAS: Staff development and experience</v>
      </c>
      <c r="F2387" s="5" t="str">
        <f>_xlfn.XLOOKUP(role_course_map[[#This Row],[course_id]],course_data[course_id],course_data[type],"")</f>
        <v>eLearning</v>
      </c>
      <c r="K2387" t="str">
        <f>role_course_map[[#This Row],[role_id]] &amp; "|" &amp; role_course_map[[#This Row],[course_id]]</f>
        <v>R0087|999094</v>
      </c>
      <c r="L2387" t="str">
        <f>IF(COUNTIF(role_course_map[mapping_key],role_course_map[[#This Row],[mapping_key]])&gt;1,"DUPLICATE","OK")</f>
        <v>OK</v>
      </c>
      <c r="M2387" t="str">
        <f>IF(COUNTIF(role_data[role_id],role_course_map[[#This Row],[role_id]])=0, "INVALID","VALID")</f>
        <v>VALID</v>
      </c>
      <c r="N2387" t="str">
        <f>IF(COUNTIF(course_data[course_id],role_course_map[[#This Row],[course_id]])=0, "INVALID","VALID")</f>
        <v>VALID</v>
      </c>
    </row>
    <row r="2388" spans="1:14" x14ac:dyDescent="0.35">
      <c r="A2388" t="s">
        <v>189</v>
      </c>
      <c r="B2388" s="5" t="str">
        <f>_xlfn.XLOOKUP(role_course_map[[#This Row],[role_id]], role_data[role_id], role_data[Role],"")</f>
        <v>Ambulance Care Assistant</v>
      </c>
      <c r="C2388">
        <v>79218</v>
      </c>
      <c r="D2388" s="5" t="str">
        <f>_xlfn.XLOOKUP(role_course_map[[#This Row],[course_id]],course_data[course_id],course_data[title],"")</f>
        <v>Life support</v>
      </c>
      <c r="E2388" s="5" t="str">
        <f>_xlfn.XLOOKUP(role_course_map[[#This Row],[course_id]],course_data[course_id],course_data[topic],"")</f>
        <v>SAS : Clinical Practice</v>
      </c>
      <c r="F2388" s="5" t="str">
        <f>_xlfn.XLOOKUP(role_course_map[[#This Row],[course_id]],course_data[course_id],course_data[type],"")</f>
        <v>Page</v>
      </c>
      <c r="K2388" t="str">
        <f>role_course_map[[#This Row],[role_id]] &amp; "|" &amp; role_course_map[[#This Row],[course_id]]</f>
        <v>R0088|79218</v>
      </c>
      <c r="L2388" t="str">
        <f>IF(COUNTIF(role_course_map[mapping_key],role_course_map[[#This Row],[mapping_key]])&gt;1,"DUPLICATE","OK")</f>
        <v>OK</v>
      </c>
      <c r="M2388" t="str">
        <f>IF(COUNTIF(role_data[role_id],role_course_map[[#This Row],[role_id]])=0, "INVALID","VALID")</f>
        <v>VALID</v>
      </c>
      <c r="N2388" t="str">
        <f>IF(COUNTIF(course_data[course_id],role_course_map[[#This Row],[course_id]])=0, "INVALID","VALID")</f>
        <v>VALID</v>
      </c>
    </row>
    <row r="2389" spans="1:14" x14ac:dyDescent="0.35">
      <c r="A2389" t="s">
        <v>189</v>
      </c>
      <c r="B2389" s="5" t="str">
        <f>_xlfn.XLOOKUP(role_course_map[[#This Row],[role_id]], role_data[role_id], role_data[Role],"")</f>
        <v>Ambulance Care Assistant</v>
      </c>
      <c r="C2389">
        <v>999009</v>
      </c>
      <c r="D2389" s="5" t="str">
        <f>_xlfn.XLOOKUP(role_course_map[[#This Row],[course_id]],course_data[course_id],course_data[title],"")</f>
        <v>Life Support</v>
      </c>
      <c r="E2389" s="5" t="str">
        <f>_xlfn.XLOOKUP(role_course_map[[#This Row],[course_id]],course_data[course_id],course_data[topic],"")</f>
        <v>SAS : Clinical Practice</v>
      </c>
      <c r="F2389" s="5" t="str">
        <f>_xlfn.XLOOKUP(role_course_map[[#This Row],[course_id]],course_data[course_id],course_data[type],"")</f>
        <v>Course</v>
      </c>
      <c r="K2389" t="str">
        <f>role_course_map[[#This Row],[role_id]] &amp; "|" &amp; role_course_map[[#This Row],[course_id]]</f>
        <v>R0088|999009</v>
      </c>
      <c r="L2389" t="str">
        <f>IF(COUNTIF(role_course_map[mapping_key],role_course_map[[#This Row],[mapping_key]])&gt;1,"DUPLICATE","OK")</f>
        <v>OK</v>
      </c>
      <c r="M2389" t="str">
        <f>IF(COUNTIF(role_data[role_id],role_course_map[[#This Row],[role_id]])=0, "INVALID","VALID")</f>
        <v>VALID</v>
      </c>
      <c r="N2389" t="str">
        <f>IF(COUNTIF(course_data[course_id],role_course_map[[#This Row],[course_id]])=0, "INVALID","VALID")</f>
        <v>VALID</v>
      </c>
    </row>
    <row r="2390" spans="1:14" x14ac:dyDescent="0.35">
      <c r="A2390" t="s">
        <v>189</v>
      </c>
      <c r="B2390" s="5" t="str">
        <f>_xlfn.XLOOKUP(role_course_map[[#This Row],[role_id]], role_data[role_id], role_data[Role],"")</f>
        <v>Ambulance Care Assistant</v>
      </c>
      <c r="C2390">
        <v>999007</v>
      </c>
      <c r="D2390" s="5" t="str">
        <f>_xlfn.XLOOKUP(role_course_map[[#This Row],[course_id]],course_data[course_id],course_data[title],"")</f>
        <v>Obstetrics</v>
      </c>
      <c r="E2390" s="5" t="str">
        <f>_xlfn.XLOOKUP(role_course_map[[#This Row],[course_id]],course_data[course_id],course_data[topic],"")</f>
        <v>SAS : Clinical Practice</v>
      </c>
      <c r="F2390" s="5" t="str">
        <f>_xlfn.XLOOKUP(role_course_map[[#This Row],[course_id]],course_data[course_id],course_data[type],"")</f>
        <v>Course</v>
      </c>
      <c r="K2390" t="str">
        <f>role_course_map[[#This Row],[role_id]] &amp; "|" &amp; role_course_map[[#This Row],[course_id]]</f>
        <v>R0088|999007</v>
      </c>
      <c r="L2390" t="str">
        <f>IF(COUNTIF(role_course_map[mapping_key],role_course_map[[#This Row],[mapping_key]])&gt;1,"DUPLICATE","OK")</f>
        <v>OK</v>
      </c>
      <c r="M2390" t="str">
        <f>IF(COUNTIF(role_data[role_id],role_course_map[[#This Row],[role_id]])=0, "INVALID","VALID")</f>
        <v>VALID</v>
      </c>
      <c r="N2390" t="str">
        <f>IF(COUNTIF(course_data[course_id],role_course_map[[#This Row],[course_id]])=0, "INVALID","VALID")</f>
        <v>VALID</v>
      </c>
    </row>
    <row r="2391" spans="1:14" x14ac:dyDescent="0.35">
      <c r="A2391" t="s">
        <v>189</v>
      </c>
      <c r="B2391" s="5" t="str">
        <f>_xlfn.XLOOKUP(role_course_map[[#This Row],[role_id]], role_data[role_id], role_data[Role],"")</f>
        <v>Ambulance Care Assistant</v>
      </c>
      <c r="C2391">
        <v>999008</v>
      </c>
      <c r="D2391" s="5" t="str">
        <f>_xlfn.XLOOKUP(role_course_map[[#This Row],[course_id]],course_data[course_id],course_data[title],"")</f>
        <v>Obstetrics</v>
      </c>
      <c r="E2391" s="5" t="str">
        <f>_xlfn.XLOOKUP(role_course_map[[#This Row],[course_id]],course_data[course_id],course_data[topic],"")</f>
        <v>SAS : Clinical Practice</v>
      </c>
      <c r="F2391" s="5" t="str">
        <f>_xlfn.XLOOKUP(role_course_map[[#This Row],[course_id]],course_data[course_id],course_data[type],"")</f>
        <v>eLearning</v>
      </c>
      <c r="K2391" t="str">
        <f>role_course_map[[#This Row],[role_id]] &amp; "|" &amp; role_course_map[[#This Row],[course_id]]</f>
        <v>R0088|999008</v>
      </c>
      <c r="L2391" t="str">
        <f>IF(COUNTIF(role_course_map[mapping_key],role_course_map[[#This Row],[mapping_key]])&gt;1,"DUPLICATE","OK")</f>
        <v>OK</v>
      </c>
      <c r="M2391" t="str">
        <f>IF(COUNTIF(role_data[role_id],role_course_map[[#This Row],[role_id]])=0, "INVALID","VALID")</f>
        <v>VALID</v>
      </c>
      <c r="N2391" t="str">
        <f>IF(COUNTIF(course_data[course_id],role_course_map[[#This Row],[course_id]])=0, "INVALID","VALID")</f>
        <v>VALID</v>
      </c>
    </row>
    <row r="2392" spans="1:14" x14ac:dyDescent="0.35">
      <c r="A2392" t="s">
        <v>189</v>
      </c>
      <c r="B2392" s="5" t="str">
        <f>_xlfn.XLOOKUP(role_course_map[[#This Row],[role_id]], role_data[role_id], role_data[Role],"")</f>
        <v>Ambulance Care Assistant</v>
      </c>
      <c r="C2392">
        <v>999010</v>
      </c>
      <c r="D2392" s="5" t="str">
        <f>_xlfn.XLOOKUP(role_course_map[[#This Row],[course_id]],course_data[course_id],course_data[title],"")</f>
        <v>Paediatrics</v>
      </c>
      <c r="E2392" s="5" t="str">
        <f>_xlfn.XLOOKUP(role_course_map[[#This Row],[course_id]],course_data[course_id],course_data[topic],"")</f>
        <v>SAS : Clinical Practice</v>
      </c>
      <c r="F2392" s="5" t="str">
        <f>_xlfn.XLOOKUP(role_course_map[[#This Row],[course_id]],course_data[course_id],course_data[type],"")</f>
        <v>Course</v>
      </c>
      <c r="K2392" t="str">
        <f>role_course_map[[#This Row],[role_id]] &amp; "|" &amp; role_course_map[[#This Row],[course_id]]</f>
        <v>R0088|999010</v>
      </c>
      <c r="L2392" t="str">
        <f>IF(COUNTIF(role_course_map[mapping_key],role_course_map[[#This Row],[mapping_key]])&gt;1,"DUPLICATE","OK")</f>
        <v>OK</v>
      </c>
      <c r="M2392" t="str">
        <f>IF(COUNTIF(role_data[role_id],role_course_map[[#This Row],[role_id]])=0, "INVALID","VALID")</f>
        <v>VALID</v>
      </c>
      <c r="N2392" t="str">
        <f>IF(COUNTIF(course_data[course_id],role_course_map[[#This Row],[course_id]])=0, "INVALID","VALID")</f>
        <v>VALID</v>
      </c>
    </row>
    <row r="2393" spans="1:14" x14ac:dyDescent="0.35">
      <c r="A2393" t="s">
        <v>189</v>
      </c>
      <c r="B2393" s="5" t="str">
        <f>_xlfn.XLOOKUP(role_course_map[[#This Row],[role_id]], role_data[role_id], role_data[Role],"")</f>
        <v>Ambulance Care Assistant</v>
      </c>
      <c r="C2393">
        <v>999011</v>
      </c>
      <c r="D2393" s="5" t="str">
        <f>_xlfn.XLOOKUP(role_course_map[[#This Row],[course_id]],course_data[course_id],course_data[title],"")</f>
        <v>Paediatrics</v>
      </c>
      <c r="E2393" s="5" t="str">
        <f>_xlfn.XLOOKUP(role_course_map[[#This Row],[course_id]],course_data[course_id],course_data[topic],"")</f>
        <v>SAS : Clinical Practice</v>
      </c>
      <c r="F2393" s="5" t="str">
        <f>_xlfn.XLOOKUP(role_course_map[[#This Row],[course_id]],course_data[course_id],course_data[type],"")</f>
        <v>eLearning</v>
      </c>
      <c r="K2393" t="str">
        <f>role_course_map[[#This Row],[role_id]] &amp; "|" &amp; role_course_map[[#This Row],[course_id]]</f>
        <v>R0088|999011</v>
      </c>
      <c r="L2393" t="str">
        <f>IF(COUNTIF(role_course_map[mapping_key],role_course_map[[#This Row],[mapping_key]])&gt;1,"DUPLICATE","OK")</f>
        <v>OK</v>
      </c>
      <c r="M2393" t="str">
        <f>IF(COUNTIF(role_data[role_id],role_course_map[[#This Row],[role_id]])=0, "INVALID","VALID")</f>
        <v>VALID</v>
      </c>
      <c r="N2393" t="str">
        <f>IF(COUNTIF(course_data[course_id],role_course_map[[#This Row],[course_id]])=0, "INVALID","VALID")</f>
        <v>VALID</v>
      </c>
    </row>
    <row r="2394" spans="1:14" x14ac:dyDescent="0.35">
      <c r="A2394" t="s">
        <v>189</v>
      </c>
      <c r="B2394" s="5" t="str">
        <f>_xlfn.XLOOKUP(role_course_map[[#This Row],[role_id]], role_data[role_id], role_data[Role],"")</f>
        <v>Ambulance Care Assistant</v>
      </c>
      <c r="C2394">
        <v>999012</v>
      </c>
      <c r="D2394" s="5" t="str">
        <f>_xlfn.XLOOKUP(role_course_map[[#This Row],[course_id]],course_data[course_id],course_data[title],"")</f>
        <v>Trauma</v>
      </c>
      <c r="E2394" s="5" t="str">
        <f>_xlfn.XLOOKUP(role_course_map[[#This Row],[course_id]],course_data[course_id],course_data[topic],"")</f>
        <v>SAS : Clinical Practice</v>
      </c>
      <c r="F2394" s="5" t="str">
        <f>_xlfn.XLOOKUP(role_course_map[[#This Row],[course_id]],course_data[course_id],course_data[type],"")</f>
        <v>Course</v>
      </c>
      <c r="K2394" t="str">
        <f>role_course_map[[#This Row],[role_id]] &amp; "|" &amp; role_course_map[[#This Row],[course_id]]</f>
        <v>R0088|999012</v>
      </c>
      <c r="L2394" t="str">
        <f>IF(COUNTIF(role_course_map[mapping_key],role_course_map[[#This Row],[mapping_key]])&gt;1,"DUPLICATE","OK")</f>
        <v>OK</v>
      </c>
      <c r="M2394" t="str">
        <f>IF(COUNTIF(role_data[role_id],role_course_map[[#This Row],[role_id]])=0, "INVALID","VALID")</f>
        <v>VALID</v>
      </c>
      <c r="N2394" t="str">
        <f>IF(COUNTIF(course_data[course_id],role_course_map[[#This Row],[course_id]])=0, "INVALID","VALID")</f>
        <v>VALID</v>
      </c>
    </row>
    <row r="2395" spans="1:14" x14ac:dyDescent="0.35">
      <c r="A2395" t="s">
        <v>189</v>
      </c>
      <c r="B2395" s="5" t="str">
        <f>_xlfn.XLOOKUP(role_course_map[[#This Row],[role_id]], role_data[role_id], role_data[Role],"")</f>
        <v>Ambulance Care Assistant</v>
      </c>
      <c r="C2395">
        <v>999013</v>
      </c>
      <c r="D2395" s="5" t="str">
        <f>_xlfn.XLOOKUP(role_course_map[[#This Row],[course_id]],course_data[course_id],course_data[title],"")</f>
        <v>Trauma</v>
      </c>
      <c r="E2395" s="5" t="str">
        <f>_xlfn.XLOOKUP(role_course_map[[#This Row],[course_id]],course_data[course_id],course_data[topic],"")</f>
        <v>SAS : Clinical Practice</v>
      </c>
      <c r="F2395" s="5" t="str">
        <f>_xlfn.XLOOKUP(role_course_map[[#This Row],[course_id]],course_data[course_id],course_data[type],"")</f>
        <v>eLearning</v>
      </c>
      <c r="K2395" t="str">
        <f>role_course_map[[#This Row],[role_id]] &amp; "|" &amp; role_course_map[[#This Row],[course_id]]</f>
        <v>R0088|999013</v>
      </c>
      <c r="L2395" t="str">
        <f>IF(COUNTIF(role_course_map[mapping_key],role_course_map[[#This Row],[mapping_key]])&gt;1,"DUPLICATE","OK")</f>
        <v>OK</v>
      </c>
      <c r="M2395" t="str">
        <f>IF(COUNTIF(role_data[role_id],role_course_map[[#This Row],[role_id]])=0, "INVALID","VALID")</f>
        <v>VALID</v>
      </c>
      <c r="N2395" t="str">
        <f>IF(COUNTIF(course_data[course_id],role_course_map[[#This Row],[course_id]])=0, "INVALID","VALID")</f>
        <v>VALID</v>
      </c>
    </row>
    <row r="2396" spans="1:14" x14ac:dyDescent="0.35">
      <c r="A2396" t="s">
        <v>189</v>
      </c>
      <c r="B2396" s="5" t="str">
        <f>_xlfn.XLOOKUP(role_course_map[[#This Row],[role_id]], role_data[role_id], role_data[Role],"")</f>
        <v>Ambulance Care Assistant</v>
      </c>
      <c r="C2396">
        <v>999014</v>
      </c>
      <c r="D2396" s="5" t="str">
        <f>_xlfn.XLOOKUP(role_course_map[[#This Row],[course_id]],course_data[course_id],course_data[title],"")</f>
        <v>Patient Assessment</v>
      </c>
      <c r="E2396" s="5" t="str">
        <f>_xlfn.XLOOKUP(role_course_map[[#This Row],[course_id]],course_data[course_id],course_data[topic],"")</f>
        <v>SAS : Clinical Practice</v>
      </c>
      <c r="F2396" s="5" t="str">
        <f>_xlfn.XLOOKUP(role_course_map[[#This Row],[course_id]],course_data[course_id],course_data[type],"")</f>
        <v>Course</v>
      </c>
      <c r="K2396" t="str">
        <f>role_course_map[[#This Row],[role_id]] &amp; "|" &amp; role_course_map[[#This Row],[course_id]]</f>
        <v>R0088|999014</v>
      </c>
      <c r="L2396" t="str">
        <f>IF(COUNTIF(role_course_map[mapping_key],role_course_map[[#This Row],[mapping_key]])&gt;1,"DUPLICATE","OK")</f>
        <v>OK</v>
      </c>
      <c r="M2396" t="str">
        <f>IF(COUNTIF(role_data[role_id],role_course_map[[#This Row],[role_id]])=0, "INVALID","VALID")</f>
        <v>VALID</v>
      </c>
      <c r="N2396" t="str">
        <f>IF(COUNTIF(course_data[course_id],role_course_map[[#This Row],[course_id]])=0, "INVALID","VALID")</f>
        <v>VALID</v>
      </c>
    </row>
    <row r="2397" spans="1:14" x14ac:dyDescent="0.35">
      <c r="A2397" t="s">
        <v>189</v>
      </c>
      <c r="B2397" s="5" t="str">
        <f>_xlfn.XLOOKUP(role_course_map[[#This Row],[role_id]], role_data[role_id], role_data[Role],"")</f>
        <v>Ambulance Care Assistant</v>
      </c>
      <c r="C2397">
        <v>999015</v>
      </c>
      <c r="D2397" s="5" t="str">
        <f>_xlfn.XLOOKUP(role_course_map[[#This Row],[course_id]],course_data[course_id],course_data[title],"")</f>
        <v>Patient Assessment</v>
      </c>
      <c r="E2397" s="5" t="str">
        <f>_xlfn.XLOOKUP(role_course_map[[#This Row],[course_id]],course_data[course_id],course_data[topic],"")</f>
        <v>SAS : Clinical Practice</v>
      </c>
      <c r="F2397" s="5" t="str">
        <f>_xlfn.XLOOKUP(role_course_map[[#This Row],[course_id]],course_data[course_id],course_data[type],"")</f>
        <v>eLearning</v>
      </c>
      <c r="K2397" t="str">
        <f>role_course_map[[#This Row],[role_id]] &amp; "|" &amp; role_course_map[[#This Row],[course_id]]</f>
        <v>R0088|999015</v>
      </c>
      <c r="L2397" t="str">
        <f>IF(COUNTIF(role_course_map[mapping_key],role_course_map[[#This Row],[mapping_key]])&gt;1,"DUPLICATE","OK")</f>
        <v>OK</v>
      </c>
      <c r="M2397" t="str">
        <f>IF(COUNTIF(role_data[role_id],role_course_map[[#This Row],[role_id]])=0, "INVALID","VALID")</f>
        <v>VALID</v>
      </c>
      <c r="N2397" t="str">
        <f>IF(COUNTIF(course_data[course_id],role_course_map[[#This Row],[course_id]])=0, "INVALID","VALID")</f>
        <v>VALID</v>
      </c>
    </row>
    <row r="2398" spans="1:14" x14ac:dyDescent="0.35">
      <c r="A2398" t="s">
        <v>189</v>
      </c>
      <c r="B2398" s="5" t="str">
        <f>_xlfn.XLOOKUP(role_course_map[[#This Row],[role_id]], role_data[role_id], role_data[Role],"")</f>
        <v>Ambulance Care Assistant</v>
      </c>
      <c r="C2398">
        <v>999016</v>
      </c>
      <c r="D2398" s="5" t="str">
        <f>_xlfn.XLOOKUP(role_course_map[[#This Row],[course_id]],course_data[course_id],course_data[title],"")</f>
        <v>Clinical Skills</v>
      </c>
      <c r="E2398" s="5" t="str">
        <f>_xlfn.XLOOKUP(role_course_map[[#This Row],[course_id]],course_data[course_id],course_data[topic],"")</f>
        <v>SAS : Clinical Practice</v>
      </c>
      <c r="F2398" s="5" t="str">
        <f>_xlfn.XLOOKUP(role_course_map[[#This Row],[course_id]],course_data[course_id],course_data[type],"")</f>
        <v>Course</v>
      </c>
      <c r="K2398" t="str">
        <f>role_course_map[[#This Row],[role_id]] &amp; "|" &amp; role_course_map[[#This Row],[course_id]]</f>
        <v>R0088|999016</v>
      </c>
      <c r="L2398" t="str">
        <f>IF(COUNTIF(role_course_map[mapping_key],role_course_map[[#This Row],[mapping_key]])&gt;1,"DUPLICATE","OK")</f>
        <v>OK</v>
      </c>
      <c r="M2398" t="str">
        <f>IF(COUNTIF(role_data[role_id],role_course_map[[#This Row],[role_id]])=0, "INVALID","VALID")</f>
        <v>VALID</v>
      </c>
      <c r="N2398" t="str">
        <f>IF(COUNTIF(course_data[course_id],role_course_map[[#This Row],[course_id]])=0, "INVALID","VALID")</f>
        <v>VALID</v>
      </c>
    </row>
    <row r="2399" spans="1:14" x14ac:dyDescent="0.35">
      <c r="A2399" t="s">
        <v>189</v>
      </c>
      <c r="B2399" s="5" t="str">
        <f>_xlfn.XLOOKUP(role_course_map[[#This Row],[role_id]], role_data[role_id], role_data[Role],"")</f>
        <v>Ambulance Care Assistant</v>
      </c>
      <c r="C2399">
        <v>999017</v>
      </c>
      <c r="D2399" s="5" t="str">
        <f>_xlfn.XLOOKUP(role_course_map[[#This Row],[course_id]],course_data[course_id],course_data[title],"")</f>
        <v>Clinical Skills</v>
      </c>
      <c r="E2399" s="5" t="str">
        <f>_xlfn.XLOOKUP(role_course_map[[#This Row],[course_id]],course_data[course_id],course_data[topic],"")</f>
        <v>SAS : Clinical Practice</v>
      </c>
      <c r="F2399" s="5" t="str">
        <f>_xlfn.XLOOKUP(role_course_map[[#This Row],[course_id]],course_data[course_id],course_data[type],"")</f>
        <v>eLearning</v>
      </c>
      <c r="K2399" t="str">
        <f>role_course_map[[#This Row],[role_id]] &amp; "|" &amp; role_course_map[[#This Row],[course_id]]</f>
        <v>R0088|999017</v>
      </c>
      <c r="L2399" t="str">
        <f>IF(COUNTIF(role_course_map[mapping_key],role_course_map[[#This Row],[mapping_key]])&gt;1,"DUPLICATE","OK")</f>
        <v>OK</v>
      </c>
      <c r="M2399" t="str">
        <f>IF(COUNTIF(role_data[role_id],role_course_map[[#This Row],[role_id]])=0, "INVALID","VALID")</f>
        <v>VALID</v>
      </c>
      <c r="N2399" t="str">
        <f>IF(COUNTIF(course_data[course_id],role_course_map[[#This Row],[course_id]])=0, "INVALID","VALID")</f>
        <v>VALID</v>
      </c>
    </row>
    <row r="2400" spans="1:14" x14ac:dyDescent="0.35">
      <c r="A2400" t="s">
        <v>189</v>
      </c>
      <c r="B2400" s="5" t="str">
        <f>_xlfn.XLOOKUP(role_course_map[[#This Row],[role_id]], role_data[role_id], role_data[Role],"")</f>
        <v>Ambulance Care Assistant</v>
      </c>
      <c r="C2400">
        <v>999018</v>
      </c>
      <c r="D2400" s="5" t="str">
        <f>_xlfn.XLOOKUP(role_course_map[[#This Row],[course_id]],course_data[course_id],course_data[title],"")</f>
        <v>Learning from Events</v>
      </c>
      <c r="E2400" s="5" t="str">
        <f>_xlfn.XLOOKUP(role_course_map[[#This Row],[course_id]],course_data[course_id],course_data[topic],"")</f>
        <v>SAS : Clinical Practice</v>
      </c>
      <c r="F2400" s="5" t="str">
        <f>_xlfn.XLOOKUP(role_course_map[[#This Row],[course_id]],course_data[course_id],course_data[type],"")</f>
        <v>eLearning</v>
      </c>
      <c r="K2400" t="str">
        <f>role_course_map[[#This Row],[role_id]] &amp; "|" &amp; role_course_map[[#This Row],[course_id]]</f>
        <v>R0088|999018</v>
      </c>
      <c r="L2400" t="str">
        <f>IF(COUNTIF(role_course_map[mapping_key],role_course_map[[#This Row],[mapping_key]])&gt;1,"DUPLICATE","OK")</f>
        <v>OK</v>
      </c>
      <c r="M2400" t="str">
        <f>IF(COUNTIF(role_data[role_id],role_course_map[[#This Row],[role_id]])=0, "INVALID","VALID")</f>
        <v>VALID</v>
      </c>
      <c r="N2400" t="str">
        <f>IF(COUNTIF(course_data[course_id],role_course_map[[#This Row],[course_id]])=0, "INVALID","VALID")</f>
        <v>VALID</v>
      </c>
    </row>
    <row r="2401" spans="1:14" x14ac:dyDescent="0.35">
      <c r="A2401" t="s">
        <v>189</v>
      </c>
      <c r="B2401" s="5" t="str">
        <f>_xlfn.XLOOKUP(role_course_map[[#This Row],[role_id]], role_data[role_id], role_data[Role],"")</f>
        <v>Ambulance Care Assistant</v>
      </c>
      <c r="C2401">
        <v>999019</v>
      </c>
      <c r="D2401" s="5" t="str">
        <f>_xlfn.XLOOKUP(role_course_map[[#This Row],[course_id]],course_data[course_id],course_data[title],"")</f>
        <v>Medicines Management</v>
      </c>
      <c r="E2401" s="5" t="str">
        <f>_xlfn.XLOOKUP(role_course_map[[#This Row],[course_id]],course_data[course_id],course_data[topic],"")</f>
        <v>SAS : Clinical Practice</v>
      </c>
      <c r="F2401" s="5" t="str">
        <f>_xlfn.XLOOKUP(role_course_map[[#This Row],[course_id]],course_data[course_id],course_data[type],"")</f>
        <v>eLearning</v>
      </c>
      <c r="K2401" t="str">
        <f>role_course_map[[#This Row],[role_id]] &amp; "|" &amp; role_course_map[[#This Row],[course_id]]</f>
        <v>R0088|999019</v>
      </c>
      <c r="L2401" t="str">
        <f>IF(COUNTIF(role_course_map[mapping_key],role_course_map[[#This Row],[mapping_key]])&gt;1,"DUPLICATE","OK")</f>
        <v>OK</v>
      </c>
      <c r="M2401" t="str">
        <f>IF(COUNTIF(role_data[role_id],role_course_map[[#This Row],[role_id]])=0, "INVALID","VALID")</f>
        <v>VALID</v>
      </c>
      <c r="N2401" t="str">
        <f>IF(COUNTIF(course_data[course_id],role_course_map[[#This Row],[course_id]])=0, "INVALID","VALID")</f>
        <v>VALID</v>
      </c>
    </row>
    <row r="2402" spans="1:14" x14ac:dyDescent="0.35">
      <c r="A2402" t="s">
        <v>189</v>
      </c>
      <c r="B2402" s="5" t="str">
        <f>_xlfn.XLOOKUP(role_course_map[[#This Row],[role_id]], role_data[role_id], role_data[Role],"")</f>
        <v>Ambulance Care Assistant</v>
      </c>
      <c r="C2402">
        <v>999020</v>
      </c>
      <c r="D2402" s="5" t="str">
        <f>_xlfn.XLOOKUP(role_course_map[[#This Row],[course_id]],course_data[course_id],course_data[title],"")</f>
        <v>JRCALC Update</v>
      </c>
      <c r="E2402" s="5" t="str">
        <f>_xlfn.XLOOKUP(role_course_map[[#This Row],[course_id]],course_data[course_id],course_data[topic],"")</f>
        <v>SAS : Clinical Practice</v>
      </c>
      <c r="F2402" s="5" t="str">
        <f>_xlfn.XLOOKUP(role_course_map[[#This Row],[course_id]],course_data[course_id],course_data[type],"")</f>
        <v>eLearning</v>
      </c>
      <c r="K2402" t="str">
        <f>role_course_map[[#This Row],[role_id]] &amp; "|" &amp; role_course_map[[#This Row],[course_id]]</f>
        <v>R0088|999020</v>
      </c>
      <c r="L2402" t="str">
        <f>IF(COUNTIF(role_course_map[mapping_key],role_course_map[[#This Row],[mapping_key]])&gt;1,"DUPLICATE","OK")</f>
        <v>OK</v>
      </c>
      <c r="M2402" t="str">
        <f>IF(COUNTIF(role_data[role_id],role_course_map[[#This Row],[role_id]])=0, "INVALID","VALID")</f>
        <v>VALID</v>
      </c>
      <c r="N2402" t="str">
        <f>IF(COUNTIF(course_data[course_id],role_course_map[[#This Row],[course_id]])=0, "INVALID","VALID")</f>
        <v>VALID</v>
      </c>
    </row>
    <row r="2403" spans="1:14" x14ac:dyDescent="0.35">
      <c r="A2403" t="s">
        <v>189</v>
      </c>
      <c r="B2403" s="5" t="str">
        <f>_xlfn.XLOOKUP(role_course_map[[#This Row],[role_id]], role_data[role_id], role_data[Role],"")</f>
        <v>Ambulance Care Assistant</v>
      </c>
      <c r="C2403">
        <v>999021</v>
      </c>
      <c r="D2403" s="5" t="str">
        <f>_xlfn.XLOOKUP(role_course_map[[#This Row],[course_id]],course_data[course_id],course_data[title],"")</f>
        <v>Mental Health</v>
      </c>
      <c r="E2403" s="5" t="str">
        <f>_xlfn.XLOOKUP(role_course_map[[#This Row],[course_id]],course_data[course_id],course_data[topic],"")</f>
        <v>SAS : Clinical Practice</v>
      </c>
      <c r="F2403" s="5" t="str">
        <f>_xlfn.XLOOKUP(role_course_map[[#This Row],[course_id]],course_data[course_id],course_data[type],"")</f>
        <v>eLearning</v>
      </c>
      <c r="K2403" t="str">
        <f>role_course_map[[#This Row],[role_id]] &amp; "|" &amp; role_course_map[[#This Row],[course_id]]</f>
        <v>R0088|999021</v>
      </c>
      <c r="L2403" t="str">
        <f>IF(COUNTIF(role_course_map[mapping_key],role_course_map[[#This Row],[mapping_key]])&gt;1,"DUPLICATE","OK")</f>
        <v>OK</v>
      </c>
      <c r="M2403" t="str">
        <f>IF(COUNTIF(role_data[role_id],role_course_map[[#This Row],[role_id]])=0, "INVALID","VALID")</f>
        <v>VALID</v>
      </c>
      <c r="N2403" t="str">
        <f>IF(COUNTIF(course_data[course_id],role_course_map[[#This Row],[course_id]])=0, "INVALID","VALID")</f>
        <v>VALID</v>
      </c>
    </row>
    <row r="2404" spans="1:14" x14ac:dyDescent="0.35">
      <c r="A2404" t="s">
        <v>189</v>
      </c>
      <c r="B2404" s="5" t="str">
        <f>_xlfn.XLOOKUP(role_course_map[[#This Row],[role_id]], role_data[role_id], role_data[Role],"")</f>
        <v>Ambulance Care Assistant</v>
      </c>
      <c r="C2404">
        <v>999022</v>
      </c>
      <c r="D2404" s="5" t="str">
        <f>_xlfn.XLOOKUP(role_course_map[[#This Row],[course_id]],course_data[course_id],course_data[title],"")</f>
        <v>Learning Disabilities</v>
      </c>
      <c r="E2404" s="5" t="str">
        <f>_xlfn.XLOOKUP(role_course_map[[#This Row],[course_id]],course_data[course_id],course_data[topic],"")</f>
        <v>SAS : Clinical Practice</v>
      </c>
      <c r="F2404" s="5" t="str">
        <f>_xlfn.XLOOKUP(role_course_map[[#This Row],[course_id]],course_data[course_id],course_data[type],"")</f>
        <v>eLearning</v>
      </c>
      <c r="K2404" t="str">
        <f>role_course_map[[#This Row],[role_id]] &amp; "|" &amp; role_course_map[[#This Row],[course_id]]</f>
        <v>R0088|999022</v>
      </c>
      <c r="L2404" t="str">
        <f>IF(COUNTIF(role_course_map[mapping_key],role_course_map[[#This Row],[mapping_key]])&gt;1,"DUPLICATE","OK")</f>
        <v>OK</v>
      </c>
      <c r="M2404" t="str">
        <f>IF(COUNTIF(role_data[role_id],role_course_map[[#This Row],[role_id]])=0, "INVALID","VALID")</f>
        <v>VALID</v>
      </c>
      <c r="N2404" t="str">
        <f>IF(COUNTIF(course_data[course_id],role_course_map[[#This Row],[course_id]])=0, "INVALID","VALID")</f>
        <v>VALID</v>
      </c>
    </row>
    <row r="2405" spans="1:14" x14ac:dyDescent="0.35">
      <c r="A2405" t="s">
        <v>189</v>
      </c>
      <c r="B2405" s="5" t="str">
        <f>_xlfn.XLOOKUP(role_course_map[[#This Row],[role_id]], role_data[role_id], role_data[Role],"")</f>
        <v>Ambulance Care Assistant</v>
      </c>
      <c r="C2405">
        <v>75202</v>
      </c>
      <c r="D2405" s="5" t="str">
        <f>_xlfn.XLOOKUP(role_course_map[[#This Row],[course_id]],course_data[course_id],course_data[title],"")</f>
        <v>SAS : Clinical Practice</v>
      </c>
      <c r="E2405" s="5" t="str">
        <f>_xlfn.XLOOKUP(role_course_map[[#This Row],[course_id]],course_data[course_id],course_data[topic],"")</f>
        <v>SAS : Clinical Practice</v>
      </c>
      <c r="F2405" s="5" t="str">
        <f>_xlfn.XLOOKUP(role_course_map[[#This Row],[course_id]],course_data[course_id],course_data[type],"")</f>
        <v>Page</v>
      </c>
      <c r="K2405" t="str">
        <f>role_course_map[[#This Row],[role_id]] &amp; "|" &amp; role_course_map[[#This Row],[course_id]]</f>
        <v>R0088|75202</v>
      </c>
      <c r="L2405" t="str">
        <f>IF(COUNTIF(role_course_map[mapping_key],role_course_map[[#This Row],[mapping_key]])&gt;1,"DUPLICATE","OK")</f>
        <v>OK</v>
      </c>
      <c r="M2405" t="str">
        <f>IF(COUNTIF(role_data[role_id],role_course_map[[#This Row],[role_id]])=0, "INVALID","VALID")</f>
        <v>VALID</v>
      </c>
      <c r="N2405" t="str">
        <f>IF(COUNTIF(course_data[course_id],role_course_map[[#This Row],[course_id]])=0, "INVALID","VALID")</f>
        <v>VALID</v>
      </c>
    </row>
    <row r="2406" spans="1:14" x14ac:dyDescent="0.35">
      <c r="A2406" t="s">
        <v>189</v>
      </c>
      <c r="B2406" s="5" t="str">
        <f>_xlfn.XLOOKUP(role_course_map[[#This Row],[role_id]], role_data[role_id], role_data[Role],"")</f>
        <v>Ambulance Care Assistant</v>
      </c>
      <c r="C2406">
        <v>999023</v>
      </c>
      <c r="D2406" s="5" t="str">
        <f>_xlfn.XLOOKUP(role_course_map[[#This Row],[course_id]],course_data[course_id],course_data[title],"")</f>
        <v>Dementia</v>
      </c>
      <c r="E2406" s="5" t="str">
        <f>_xlfn.XLOOKUP(role_course_map[[#This Row],[course_id]],course_data[course_id],course_data[topic],"")</f>
        <v>SAS : Clinical Practice</v>
      </c>
      <c r="F2406" s="5" t="str">
        <f>_xlfn.XLOOKUP(role_course_map[[#This Row],[course_id]],course_data[course_id],course_data[type],"")</f>
        <v>eLearning</v>
      </c>
      <c r="K2406" t="str">
        <f>role_course_map[[#This Row],[role_id]] &amp; "|" &amp; role_course_map[[#This Row],[course_id]]</f>
        <v>R0088|999023</v>
      </c>
      <c r="L2406" t="str">
        <f>IF(COUNTIF(role_course_map[mapping_key],role_course_map[[#This Row],[mapping_key]])&gt;1,"DUPLICATE","OK")</f>
        <v>OK</v>
      </c>
      <c r="M2406" t="str">
        <f>IF(COUNTIF(role_data[role_id],role_course_map[[#This Row],[role_id]])=0, "INVALID","VALID")</f>
        <v>VALID</v>
      </c>
      <c r="N2406" t="str">
        <f>IF(COUNTIF(course_data[course_id],role_course_map[[#This Row],[course_id]])=0, "INVALID","VALID")</f>
        <v>VALID</v>
      </c>
    </row>
    <row r="2407" spans="1:14" x14ac:dyDescent="0.35">
      <c r="A2407" t="s">
        <v>189</v>
      </c>
      <c r="B2407" s="5" t="str">
        <f>_xlfn.XLOOKUP(role_course_map[[#This Row],[role_id]], role_data[role_id], role_data[Role],"")</f>
        <v>Ambulance Care Assistant</v>
      </c>
      <c r="C2407">
        <v>999024</v>
      </c>
      <c r="D2407" s="5" t="str">
        <f>_xlfn.XLOOKUP(role_course_map[[#This Row],[course_id]],course_data[course_id],course_data[title],"")</f>
        <v>Conditions requiring specific hospital management. I.e. Parkinsons</v>
      </c>
      <c r="E2407" s="5" t="str">
        <f>_xlfn.XLOOKUP(role_course_map[[#This Row],[course_id]],course_data[course_id],course_data[topic],"")</f>
        <v>SAS : Clinical Practice</v>
      </c>
      <c r="F2407" s="5" t="str">
        <f>_xlfn.XLOOKUP(role_course_map[[#This Row],[course_id]],course_data[course_id],course_data[type],"")</f>
        <v>eLearning</v>
      </c>
      <c r="K2407" t="str">
        <f>role_course_map[[#This Row],[role_id]] &amp; "|" &amp; role_course_map[[#This Row],[course_id]]</f>
        <v>R0088|999024</v>
      </c>
      <c r="L2407" t="str">
        <f>IF(COUNTIF(role_course_map[mapping_key],role_course_map[[#This Row],[mapping_key]])&gt;1,"DUPLICATE","OK")</f>
        <v>OK</v>
      </c>
      <c r="M2407" t="str">
        <f>IF(COUNTIF(role_data[role_id],role_course_map[[#This Row],[role_id]])=0, "INVALID","VALID")</f>
        <v>VALID</v>
      </c>
      <c r="N2407" t="str">
        <f>IF(COUNTIF(course_data[course_id],role_course_map[[#This Row],[course_id]])=0, "INVALID","VALID")</f>
        <v>VALID</v>
      </c>
    </row>
    <row r="2408" spans="1:14" x14ac:dyDescent="0.35">
      <c r="A2408" t="s">
        <v>189</v>
      </c>
      <c r="B2408" s="5" t="str">
        <f>_xlfn.XLOOKUP(role_course_map[[#This Row],[role_id]], role_data[role_id], role_data[Role],"")</f>
        <v>Ambulance Care Assistant</v>
      </c>
      <c r="C2408">
        <v>999095</v>
      </c>
      <c r="D2408" s="5" t="str">
        <f>_xlfn.XLOOKUP(role_course_map[[#This Row],[course_id]],course_data[course_id],course_data[title],"")</f>
        <v>Mentoring</v>
      </c>
      <c r="E2408" s="5" t="str">
        <f>_xlfn.XLOOKUP(role_course_map[[#This Row],[course_id]],course_data[course_id],course_data[topic],"")</f>
        <v>SAS: Staff development and experience</v>
      </c>
      <c r="F2408" s="5" t="str">
        <f>_xlfn.XLOOKUP(role_course_map[[#This Row],[course_id]],course_data[course_id],course_data[type],"")</f>
        <v>eLearning</v>
      </c>
      <c r="K2408" t="str">
        <f>role_course_map[[#This Row],[role_id]] &amp; "|" &amp; role_course_map[[#This Row],[course_id]]</f>
        <v>R0088|999095</v>
      </c>
      <c r="L2408" t="str">
        <f>IF(COUNTIF(role_course_map[mapping_key],role_course_map[[#This Row],[mapping_key]])&gt;1,"DUPLICATE","OK")</f>
        <v>OK</v>
      </c>
      <c r="M2408" t="str">
        <f>IF(COUNTIF(role_data[role_id],role_course_map[[#This Row],[role_id]])=0, "INVALID","VALID")</f>
        <v>VALID</v>
      </c>
      <c r="N2408" t="str">
        <f>IF(COUNTIF(course_data[course_id],role_course_map[[#This Row],[course_id]])=0, "INVALID","VALID")</f>
        <v>VALID</v>
      </c>
    </row>
    <row r="2409" spans="1:14" x14ac:dyDescent="0.35">
      <c r="A2409" t="s">
        <v>189</v>
      </c>
      <c r="B2409" s="5" t="str">
        <f>_xlfn.XLOOKUP(role_course_map[[#This Row],[role_id]], role_data[role_id], role_data[Role],"")</f>
        <v>Ambulance Care Assistant</v>
      </c>
      <c r="C2409">
        <v>999096</v>
      </c>
      <c r="D2409" s="5" t="str">
        <f>_xlfn.XLOOKUP(role_course_map[[#This Row],[course_id]],course_data[course_id],course_data[title],"")</f>
        <v>Supporting others in practice (Supervision)</v>
      </c>
      <c r="E2409" s="5" t="str">
        <f>_xlfn.XLOOKUP(role_course_map[[#This Row],[course_id]],course_data[course_id],course_data[topic],"")</f>
        <v>SAS: Staff development and experience</v>
      </c>
      <c r="F2409" s="5" t="str">
        <f>_xlfn.XLOOKUP(role_course_map[[#This Row],[course_id]],course_data[course_id],course_data[type],"")</f>
        <v>Course</v>
      </c>
      <c r="K2409" t="str">
        <f>role_course_map[[#This Row],[role_id]] &amp; "|" &amp; role_course_map[[#This Row],[course_id]]</f>
        <v>R0088|999096</v>
      </c>
      <c r="L2409" t="str">
        <f>IF(COUNTIF(role_course_map[mapping_key],role_course_map[[#This Row],[mapping_key]])&gt;1,"DUPLICATE","OK")</f>
        <v>OK</v>
      </c>
      <c r="M2409" t="str">
        <f>IF(COUNTIF(role_data[role_id],role_course_map[[#This Row],[role_id]])=0, "INVALID","VALID")</f>
        <v>VALID</v>
      </c>
      <c r="N2409" t="str">
        <f>IF(COUNTIF(course_data[course_id],role_course_map[[#This Row],[course_id]])=0, "INVALID","VALID")</f>
        <v>VALID</v>
      </c>
    </row>
    <row r="2410" spans="1:14" x14ac:dyDescent="0.35">
      <c r="A2410" t="s">
        <v>189</v>
      </c>
      <c r="B2410" s="5" t="str">
        <f>_xlfn.XLOOKUP(role_course_map[[#This Row],[role_id]], role_data[role_id], role_data[Role],"")</f>
        <v>Ambulance Care Assistant</v>
      </c>
      <c r="C2410">
        <v>999097</v>
      </c>
      <c r="D2410" s="5" t="str">
        <f>_xlfn.XLOOKUP(role_course_map[[#This Row],[course_id]],course_data[course_id],course_data[title],"")</f>
        <v>Personal Wellbeing</v>
      </c>
      <c r="E2410" s="5" t="str">
        <f>_xlfn.XLOOKUP(role_course_map[[#This Row],[course_id]],course_data[course_id],course_data[topic],"")</f>
        <v>SAS: Staff development and experience</v>
      </c>
      <c r="F2410" s="5" t="str">
        <f>_xlfn.XLOOKUP(role_course_map[[#This Row],[course_id]],course_data[course_id],course_data[type],"")</f>
        <v>eLearning</v>
      </c>
      <c r="K2410" t="str">
        <f>role_course_map[[#This Row],[role_id]] &amp; "|" &amp; role_course_map[[#This Row],[course_id]]</f>
        <v>R0088|999097</v>
      </c>
      <c r="L2410" t="str">
        <f>IF(COUNTIF(role_course_map[mapping_key],role_course_map[[#This Row],[mapping_key]])&gt;1,"DUPLICATE","OK")</f>
        <v>OK</v>
      </c>
      <c r="M2410" t="str">
        <f>IF(COUNTIF(role_data[role_id],role_course_map[[#This Row],[role_id]])=0, "INVALID","VALID")</f>
        <v>VALID</v>
      </c>
      <c r="N2410" t="str">
        <f>IF(COUNTIF(course_data[course_id],role_course_map[[#This Row],[course_id]])=0, "INVALID","VALID")</f>
        <v>VALID</v>
      </c>
    </row>
    <row r="2411" spans="1:14" x14ac:dyDescent="0.35">
      <c r="A2411" t="s">
        <v>189</v>
      </c>
      <c r="B2411" s="5" t="str">
        <f>_xlfn.XLOOKUP(role_course_map[[#This Row],[role_id]], role_data[role_id], role_data[Role],"")</f>
        <v>Ambulance Care Assistant</v>
      </c>
      <c r="C2411">
        <v>75407</v>
      </c>
      <c r="D2411" s="5" t="str">
        <f>_xlfn.XLOOKUP(role_course_map[[#This Row],[course_id]],course_data[course_id],course_data[title],"")</f>
        <v>Aspirant Leader Development Programme (ALDP)</v>
      </c>
      <c r="E2411" s="5" t="str">
        <f>_xlfn.XLOOKUP(role_course_map[[#This Row],[course_id]],course_data[course_id],course_data[topic],"")</f>
        <v>SAS: Staff development and experience</v>
      </c>
      <c r="F2411" s="5" t="str">
        <f>_xlfn.XLOOKUP(role_course_map[[#This Row],[course_id]],course_data[course_id],course_data[type],"")</f>
        <v>Page</v>
      </c>
      <c r="K2411" t="str">
        <f>role_course_map[[#This Row],[role_id]] &amp; "|" &amp; role_course_map[[#This Row],[course_id]]</f>
        <v>R0088|75407</v>
      </c>
      <c r="L2411" t="str">
        <f>IF(COUNTIF(role_course_map[mapping_key],role_course_map[[#This Row],[mapping_key]])&gt;1,"DUPLICATE","OK")</f>
        <v>OK</v>
      </c>
      <c r="M2411" t="str">
        <f>IF(COUNTIF(role_data[role_id],role_course_map[[#This Row],[role_id]])=0, "INVALID","VALID")</f>
        <v>VALID</v>
      </c>
      <c r="N2411" t="str">
        <f>IF(COUNTIF(course_data[course_id],role_course_map[[#This Row],[course_id]])=0, "INVALID","VALID")</f>
        <v>VALID</v>
      </c>
    </row>
    <row r="2412" spans="1:14" x14ac:dyDescent="0.35">
      <c r="A2412" t="s">
        <v>189</v>
      </c>
      <c r="B2412" s="5" t="str">
        <f>_xlfn.XLOOKUP(role_course_map[[#This Row],[role_id]], role_data[role_id], role_data[Role],"")</f>
        <v>Ambulance Care Assistant</v>
      </c>
      <c r="C2412">
        <v>79147</v>
      </c>
      <c r="D2412" s="5" t="str">
        <f>_xlfn.XLOOKUP(role_course_map[[#This Row],[course_id]],course_data[course_id],course_data[title],"")</f>
        <v>Driving risks at work</v>
      </c>
      <c r="E2412" s="5" t="str">
        <f>_xlfn.XLOOKUP(role_course_map[[#This Row],[course_id]],course_data[course_id],course_data[topic],"")</f>
        <v>SAS : Health and Safety</v>
      </c>
      <c r="F2412" s="5" t="str">
        <f>_xlfn.XLOOKUP(role_course_map[[#This Row],[course_id]],course_data[course_id],course_data[type],"")</f>
        <v>eLearning</v>
      </c>
      <c r="K2412" t="str">
        <f>role_course_map[[#This Row],[role_id]] &amp; "|" &amp; role_course_map[[#This Row],[course_id]]</f>
        <v>R0088|79147</v>
      </c>
      <c r="L2412" t="str">
        <f>IF(COUNTIF(role_course_map[mapping_key],role_course_map[[#This Row],[mapping_key]])&gt;1,"DUPLICATE","OK")</f>
        <v>OK</v>
      </c>
      <c r="M2412" t="str">
        <f>IF(COUNTIF(role_data[role_id],role_course_map[[#This Row],[role_id]])=0, "INVALID","VALID")</f>
        <v>VALID</v>
      </c>
      <c r="N2412" t="str">
        <f>IF(COUNTIF(course_data[course_id],role_course_map[[#This Row],[course_id]])=0, "INVALID","VALID")</f>
        <v>VALID</v>
      </c>
    </row>
    <row r="2413" spans="1:14" x14ac:dyDescent="0.35">
      <c r="A2413" t="s">
        <v>189</v>
      </c>
      <c r="B2413" s="5" t="str">
        <f>_xlfn.XLOOKUP(role_course_map[[#This Row],[role_id]], role_data[role_id], role_data[Role],"")</f>
        <v>Ambulance Care Assistant</v>
      </c>
      <c r="C2413">
        <v>999060</v>
      </c>
      <c r="D2413" s="5" t="str">
        <f>_xlfn.XLOOKUP(role_course_map[[#This Row],[course_id]],course_data[course_id],course_data[title],"")</f>
        <v>COSHH</v>
      </c>
      <c r="E2413" s="5" t="str">
        <f>_xlfn.XLOOKUP(role_course_map[[#This Row],[course_id]],course_data[course_id],course_data[topic],"")</f>
        <v>SAS : Health and Safety</v>
      </c>
      <c r="F2413" s="5" t="str">
        <f>_xlfn.XLOOKUP(role_course_map[[#This Row],[course_id]],course_data[course_id],course_data[type],"")</f>
        <v>eLearning</v>
      </c>
      <c r="K2413" t="str">
        <f>role_course_map[[#This Row],[role_id]] &amp; "|" &amp; role_course_map[[#This Row],[course_id]]</f>
        <v>R0088|999060</v>
      </c>
      <c r="L2413" t="str">
        <f>IF(COUNTIF(role_course_map[mapping_key],role_course_map[[#This Row],[mapping_key]])&gt;1,"DUPLICATE","OK")</f>
        <v>OK</v>
      </c>
      <c r="M2413" t="str">
        <f>IF(COUNTIF(role_data[role_id],role_course_map[[#This Row],[role_id]])=0, "INVALID","VALID")</f>
        <v>VALID</v>
      </c>
      <c r="N2413" t="str">
        <f>IF(COUNTIF(course_data[course_id],role_course_map[[#This Row],[course_id]])=0, "INVALID","VALID")</f>
        <v>VALID</v>
      </c>
    </row>
    <row r="2414" spans="1:14" x14ac:dyDescent="0.35">
      <c r="A2414" t="s">
        <v>189</v>
      </c>
      <c r="B2414" s="5" t="str">
        <f>_xlfn.XLOOKUP(role_course_map[[#This Row],[role_id]], role_data[role_id], role_data[Role],"")</f>
        <v>Ambulance Care Assistant</v>
      </c>
      <c r="C2414">
        <v>999066</v>
      </c>
      <c r="D2414" s="5" t="str">
        <f>_xlfn.XLOOKUP(role_course_map[[#This Row],[course_id]],course_data[course_id],course_data[title],"")</f>
        <v>NRRD Update i.e. Major Incidents/Methane/ Multiple Casualities</v>
      </c>
      <c r="E2414" s="5" t="str">
        <f>_xlfn.XLOOKUP(role_course_map[[#This Row],[course_id]],course_data[course_id],course_data[topic],"")</f>
        <v>SAS : National Risk and Resilience Department (NRRD)</v>
      </c>
      <c r="F2414" s="5" t="str">
        <f>_xlfn.XLOOKUP(role_course_map[[#This Row],[course_id]],course_data[course_id],course_data[type],"")</f>
        <v>eLearning</v>
      </c>
      <c r="K2414" t="str">
        <f>role_course_map[[#This Row],[role_id]] &amp; "|" &amp; role_course_map[[#This Row],[course_id]]</f>
        <v>R0088|999066</v>
      </c>
      <c r="L2414" t="str">
        <f>IF(COUNTIF(role_course_map[mapping_key],role_course_map[[#This Row],[mapping_key]])&gt;1,"DUPLICATE","OK")</f>
        <v>OK</v>
      </c>
      <c r="M2414" t="str">
        <f>IF(COUNTIF(role_data[role_id],role_course_map[[#This Row],[role_id]])=0, "INVALID","VALID")</f>
        <v>VALID</v>
      </c>
      <c r="N2414" t="str">
        <f>IF(COUNTIF(course_data[course_id],role_course_map[[#This Row],[course_id]])=0, "INVALID","VALID")</f>
        <v>VALID</v>
      </c>
    </row>
    <row r="2415" spans="1:14" x14ac:dyDescent="0.35">
      <c r="A2415" t="s">
        <v>189</v>
      </c>
      <c r="B2415" s="5" t="str">
        <f>_xlfn.XLOOKUP(role_course_map[[#This Row],[role_id]], role_data[role_id], role_data[Role],"")</f>
        <v>Ambulance Care Assistant</v>
      </c>
      <c r="C2415">
        <v>999025</v>
      </c>
      <c r="D2415" s="5" t="str">
        <f>_xlfn.XLOOKUP(role_course_map[[#This Row],[course_id]],course_data[course_id],course_data[title],"")</f>
        <v>Professional Standards</v>
      </c>
      <c r="E2415" s="5" t="str">
        <f>_xlfn.XLOOKUP(role_course_map[[#This Row],[course_id]],course_data[course_id],course_data[topic],"")</f>
        <v>SAS : Clinical Practice</v>
      </c>
      <c r="F2415" s="5" t="str">
        <f>_xlfn.XLOOKUP(role_course_map[[#This Row],[course_id]],course_data[course_id],course_data[type],"")</f>
        <v>eLearning</v>
      </c>
      <c r="K2415" t="str">
        <f>role_course_map[[#This Row],[role_id]] &amp; "|" &amp; role_course_map[[#This Row],[course_id]]</f>
        <v>R0088|999025</v>
      </c>
      <c r="L2415" t="str">
        <f>IF(COUNTIF(role_course_map[mapping_key],role_course_map[[#This Row],[mapping_key]])&gt;1,"DUPLICATE","OK")</f>
        <v>OK</v>
      </c>
      <c r="M2415" t="str">
        <f>IF(COUNTIF(role_data[role_id],role_course_map[[#This Row],[role_id]])=0, "INVALID","VALID")</f>
        <v>VALID</v>
      </c>
      <c r="N2415" t="str">
        <f>IF(COUNTIF(course_data[course_id],role_course_map[[#This Row],[course_id]])=0, "INVALID","VALID")</f>
        <v>VALID</v>
      </c>
    </row>
    <row r="2416" spans="1:14" x14ac:dyDescent="0.35">
      <c r="A2416" t="s">
        <v>189</v>
      </c>
      <c r="B2416" s="5" t="str">
        <f>_xlfn.XLOOKUP(role_course_map[[#This Row],[role_id]], role_data[role_id], role_data[Role],"")</f>
        <v>Ambulance Care Assistant</v>
      </c>
      <c r="C2416">
        <v>999026</v>
      </c>
      <c r="D2416" s="5" t="str">
        <f>_xlfn.XLOOKUP(role_course_map[[#This Row],[course_id]],course_data[course_id],course_data[title],"")</f>
        <v>Communication Standards</v>
      </c>
      <c r="E2416" s="5" t="str">
        <f>_xlfn.XLOOKUP(role_course_map[[#This Row],[course_id]],course_data[course_id],course_data[topic],"")</f>
        <v>SAS : Clinical Practice</v>
      </c>
      <c r="F2416" s="5" t="str">
        <f>_xlfn.XLOOKUP(role_course_map[[#This Row],[course_id]],course_data[course_id],course_data[type],"")</f>
        <v>eLearning</v>
      </c>
      <c r="K2416" t="str">
        <f>role_course_map[[#This Row],[role_id]] &amp; "|" &amp; role_course_map[[#This Row],[course_id]]</f>
        <v>R0088|999026</v>
      </c>
      <c r="L2416" t="str">
        <f>IF(COUNTIF(role_course_map[mapping_key],role_course_map[[#This Row],[mapping_key]])&gt;1,"DUPLICATE","OK")</f>
        <v>OK</v>
      </c>
      <c r="M2416" t="str">
        <f>IF(COUNTIF(role_data[role_id],role_course_map[[#This Row],[role_id]])=0, "INVALID","VALID")</f>
        <v>VALID</v>
      </c>
      <c r="N2416" t="str">
        <f>IF(COUNTIF(course_data[course_id],role_course_map[[#This Row],[course_id]])=0, "INVALID","VALID")</f>
        <v>VALID</v>
      </c>
    </row>
    <row r="2417" spans="1:14" x14ac:dyDescent="0.35">
      <c r="A2417" t="s">
        <v>189</v>
      </c>
      <c r="B2417" s="5" t="str">
        <f>_xlfn.XLOOKUP(role_course_map[[#This Row],[role_id]], role_data[role_id], role_data[Role],"")</f>
        <v>Ambulance Care Assistant</v>
      </c>
      <c r="C2417">
        <v>999056</v>
      </c>
      <c r="D2417" s="5" t="str">
        <f>_xlfn.XLOOKUP(role_course_map[[#This Row],[course_id]],course_data[course_id],course_data[title],"")</f>
        <v>Driver Assessment &amp; Training</v>
      </c>
      <c r="E2417" s="5" t="str">
        <f>_xlfn.XLOOKUP(role_course_map[[#This Row],[course_id]],course_data[course_id],course_data[topic],"")</f>
        <v>SAS : Health and Safety</v>
      </c>
      <c r="F2417" s="5" t="str">
        <f>_xlfn.XLOOKUP(role_course_map[[#This Row],[course_id]],course_data[course_id],course_data[type],"")</f>
        <v>eLearning</v>
      </c>
      <c r="K2417" t="str">
        <f>role_course_map[[#This Row],[role_id]] &amp; "|" &amp; role_course_map[[#This Row],[course_id]]</f>
        <v>R0088|999056</v>
      </c>
      <c r="L2417" t="str">
        <f>IF(COUNTIF(role_course_map[mapping_key],role_course_map[[#This Row],[mapping_key]])&gt;1,"DUPLICATE","OK")</f>
        <v>OK</v>
      </c>
      <c r="M2417" t="str">
        <f>IF(COUNTIF(role_data[role_id],role_course_map[[#This Row],[role_id]])=0, "INVALID","VALID")</f>
        <v>VALID</v>
      </c>
      <c r="N2417" t="str">
        <f>IF(COUNTIF(course_data[course_id],role_course_map[[#This Row],[course_id]])=0, "INVALID","VALID")</f>
        <v>VALID</v>
      </c>
    </row>
    <row r="2418" spans="1:14" x14ac:dyDescent="0.35">
      <c r="A2418" t="s">
        <v>189</v>
      </c>
      <c r="B2418" s="5" t="str">
        <f>_xlfn.XLOOKUP(role_course_map[[#This Row],[role_id]], role_data[role_id], role_data[Role],"")</f>
        <v>Ambulance Care Assistant</v>
      </c>
      <c r="C2418">
        <v>999057</v>
      </c>
      <c r="D2418" s="5" t="str">
        <f>_xlfn.XLOOKUP(role_course_map[[#This Row],[course_id]],course_data[course_id],course_data[title],"")</f>
        <v>Fatigue Awareness</v>
      </c>
      <c r="E2418" s="5" t="str">
        <f>_xlfn.XLOOKUP(role_course_map[[#This Row],[course_id]],course_data[course_id],course_data[topic],"")</f>
        <v>SAS : Health and Safety</v>
      </c>
      <c r="F2418" s="5" t="str">
        <f>_xlfn.XLOOKUP(role_course_map[[#This Row],[course_id]],course_data[course_id],course_data[type],"")</f>
        <v>eLearning</v>
      </c>
      <c r="K2418" t="str">
        <f>role_course_map[[#This Row],[role_id]] &amp; "|" &amp; role_course_map[[#This Row],[course_id]]</f>
        <v>R0088|999057</v>
      </c>
      <c r="L2418" t="str">
        <f>IF(COUNTIF(role_course_map[mapping_key],role_course_map[[#This Row],[mapping_key]])&gt;1,"DUPLICATE","OK")</f>
        <v>OK</v>
      </c>
      <c r="M2418" t="str">
        <f>IF(COUNTIF(role_data[role_id],role_course_map[[#This Row],[role_id]])=0, "INVALID","VALID")</f>
        <v>VALID</v>
      </c>
      <c r="N2418" t="str">
        <f>IF(COUNTIF(course_data[course_id],role_course_map[[#This Row],[course_id]])=0, "INVALID","VALID")</f>
        <v>VALID</v>
      </c>
    </row>
    <row r="2419" spans="1:14" x14ac:dyDescent="0.35">
      <c r="A2419" t="s">
        <v>189</v>
      </c>
      <c r="B2419" s="5" t="str">
        <f>_xlfn.XLOOKUP(role_course_map[[#This Row],[role_id]], role_data[role_id], role_data[Role],"")</f>
        <v>Ambulance Care Assistant</v>
      </c>
      <c r="C2419">
        <v>999058</v>
      </c>
      <c r="D2419" s="5" t="str">
        <f>_xlfn.XLOOKUP(role_course_map[[#This Row],[course_id]],course_data[course_id],course_data[title],"")</f>
        <v>Stress Identification &amp; Stress Management</v>
      </c>
      <c r="E2419" s="5" t="str">
        <f>_xlfn.XLOOKUP(role_course_map[[#This Row],[course_id]],course_data[course_id],course_data[topic],"")</f>
        <v>SAS : Health and Safety</v>
      </c>
      <c r="F2419" s="5" t="str">
        <f>_xlfn.XLOOKUP(role_course_map[[#This Row],[course_id]],course_data[course_id],course_data[type],"")</f>
        <v>eLearning</v>
      </c>
      <c r="K2419" t="str">
        <f>role_course_map[[#This Row],[role_id]] &amp; "|" &amp; role_course_map[[#This Row],[course_id]]</f>
        <v>R0088|999058</v>
      </c>
      <c r="L2419" t="str">
        <f>IF(COUNTIF(role_course_map[mapping_key],role_course_map[[#This Row],[mapping_key]])&gt;1,"DUPLICATE","OK")</f>
        <v>OK</v>
      </c>
      <c r="M2419" t="str">
        <f>IF(COUNTIF(role_data[role_id],role_course_map[[#This Row],[role_id]])=0, "INVALID","VALID")</f>
        <v>VALID</v>
      </c>
      <c r="N2419" t="str">
        <f>IF(COUNTIF(course_data[course_id],role_course_map[[#This Row],[course_id]])=0, "INVALID","VALID")</f>
        <v>VALID</v>
      </c>
    </row>
    <row r="2420" spans="1:14" x14ac:dyDescent="0.35">
      <c r="A2420" t="s">
        <v>189</v>
      </c>
      <c r="B2420" s="5" t="str">
        <f>_xlfn.XLOOKUP(role_course_map[[#This Row],[role_id]], role_data[role_id], role_data[Role],"")</f>
        <v>Ambulance Care Assistant</v>
      </c>
      <c r="C2420">
        <v>999061</v>
      </c>
      <c r="D2420" s="5" t="str">
        <f>_xlfn.XLOOKUP(role_course_map[[#This Row],[course_id]],course_data[course_id],course_data[title],"")</f>
        <v>Skin Awareness</v>
      </c>
      <c r="E2420" s="5" t="str">
        <f>_xlfn.XLOOKUP(role_course_map[[#This Row],[course_id]],course_data[course_id],course_data[topic],"")</f>
        <v>SAS : Health and Safety</v>
      </c>
      <c r="F2420" s="5" t="str">
        <f>_xlfn.XLOOKUP(role_course_map[[#This Row],[course_id]],course_data[course_id],course_data[type],"")</f>
        <v>eLearning</v>
      </c>
      <c r="K2420" t="str">
        <f>role_course_map[[#This Row],[role_id]] &amp; "|" &amp; role_course_map[[#This Row],[course_id]]</f>
        <v>R0088|999061</v>
      </c>
      <c r="L2420" t="str">
        <f>IF(COUNTIF(role_course_map[mapping_key],role_course_map[[#This Row],[mapping_key]])&gt;1,"DUPLICATE","OK")</f>
        <v>OK</v>
      </c>
      <c r="M2420" t="str">
        <f>IF(COUNTIF(role_data[role_id],role_course_map[[#This Row],[role_id]])=0, "INVALID","VALID")</f>
        <v>VALID</v>
      </c>
      <c r="N2420" t="str">
        <f>IF(COUNTIF(course_data[course_id],role_course_map[[#This Row],[course_id]])=0, "INVALID","VALID")</f>
        <v>VALID</v>
      </c>
    </row>
    <row r="2421" spans="1:14" x14ac:dyDescent="0.35">
      <c r="A2421" t="s">
        <v>189</v>
      </c>
      <c r="B2421" s="5" t="str">
        <f>_xlfn.XLOOKUP(role_course_map[[#This Row],[role_id]], role_data[role_id], role_data[Role],"")</f>
        <v>Ambulance Care Assistant</v>
      </c>
      <c r="C2421">
        <v>999027</v>
      </c>
      <c r="D2421" s="5" t="str">
        <f>_xlfn.XLOOKUP(role_course_map[[#This Row],[course_id]],course_data[course_id],course_data[title],"")</f>
        <v>Manual and Patient Handling Foundation Training - Level 2</v>
      </c>
      <c r="E2421" s="5" t="str">
        <f>_xlfn.XLOOKUP(role_course_map[[#This Row],[course_id]],course_data[course_id],course_data[topic],"")</f>
        <v>SAS : Clinical Practice</v>
      </c>
      <c r="F2421" s="5" t="str">
        <f>_xlfn.XLOOKUP(role_course_map[[#This Row],[course_id]],course_data[course_id],course_data[type],"")</f>
        <v>Course</v>
      </c>
      <c r="K2421" t="str">
        <f>role_course_map[[#This Row],[role_id]] &amp; "|" &amp; role_course_map[[#This Row],[course_id]]</f>
        <v>R0088|999027</v>
      </c>
      <c r="L2421" t="str">
        <f>IF(COUNTIF(role_course_map[mapping_key],role_course_map[[#This Row],[mapping_key]])&gt;1,"DUPLICATE","OK")</f>
        <v>OK</v>
      </c>
      <c r="M2421" t="str">
        <f>IF(COUNTIF(role_data[role_id],role_course_map[[#This Row],[role_id]])=0, "INVALID","VALID")</f>
        <v>VALID</v>
      </c>
      <c r="N2421" t="str">
        <f>IF(COUNTIF(course_data[course_id],role_course_map[[#This Row],[course_id]])=0, "INVALID","VALID")</f>
        <v>VALID</v>
      </c>
    </row>
    <row r="2422" spans="1:14" x14ac:dyDescent="0.35">
      <c r="A2422" t="s">
        <v>189</v>
      </c>
      <c r="B2422" s="5" t="str">
        <f>_xlfn.XLOOKUP(role_course_map[[#This Row],[role_id]], role_data[role_id], role_data[Role],"")</f>
        <v>Ambulance Care Assistant</v>
      </c>
      <c r="C2422">
        <v>999028</v>
      </c>
      <c r="D2422" s="5" t="str">
        <f>_xlfn.XLOOKUP(role_course_map[[#This Row],[course_id]],course_data[course_id],course_data[title],"")</f>
        <v>Manual and Patient Handling Competency Assessment - Level 3</v>
      </c>
      <c r="E2422" s="5" t="str">
        <f>_xlfn.XLOOKUP(role_course_map[[#This Row],[course_id]],course_data[course_id],course_data[topic],"")</f>
        <v>SAS : Clinical Practice</v>
      </c>
      <c r="F2422" s="5" t="str">
        <f>_xlfn.XLOOKUP(role_course_map[[#This Row],[course_id]],course_data[course_id],course_data[type],"")</f>
        <v>Course</v>
      </c>
      <c r="K2422" t="str">
        <f>role_course_map[[#This Row],[role_id]] &amp; "|" &amp; role_course_map[[#This Row],[course_id]]</f>
        <v>R0088|999028</v>
      </c>
      <c r="L2422" t="str">
        <f>IF(COUNTIF(role_course_map[mapping_key],role_course_map[[#This Row],[mapping_key]])&gt;1,"DUPLICATE","OK")</f>
        <v>OK</v>
      </c>
      <c r="M2422" t="str">
        <f>IF(COUNTIF(role_data[role_id],role_course_map[[#This Row],[role_id]])=0, "INVALID","VALID")</f>
        <v>VALID</v>
      </c>
      <c r="N2422" t="str">
        <f>IF(COUNTIF(course_data[course_id],role_course_map[[#This Row],[course_id]])=0, "INVALID","VALID")</f>
        <v>VALID</v>
      </c>
    </row>
    <row r="2423" spans="1:14" x14ac:dyDescent="0.35">
      <c r="A2423" t="s">
        <v>189</v>
      </c>
      <c r="B2423" s="5" t="str">
        <f>_xlfn.XLOOKUP(role_course_map[[#This Row],[role_id]], role_data[role_id], role_data[Role],"")</f>
        <v>Ambulance Care Assistant</v>
      </c>
      <c r="C2423">
        <v>999029</v>
      </c>
      <c r="D2423" s="5" t="str">
        <f>_xlfn.XLOOKUP(role_course_map[[#This Row],[course_id]],course_data[course_id],course_data[title],"")</f>
        <v>Manual and Patient Handling Competency Assessment Theory - Level 3</v>
      </c>
      <c r="E2423" s="5" t="str">
        <f>_xlfn.XLOOKUP(role_course_map[[#This Row],[course_id]],course_data[course_id],course_data[topic],"")</f>
        <v>SAS : Clinical Practice</v>
      </c>
      <c r="F2423" s="5" t="str">
        <f>_xlfn.XLOOKUP(role_course_map[[#This Row],[course_id]],course_data[course_id],course_data[type],"")</f>
        <v>Course</v>
      </c>
      <c r="K2423" t="str">
        <f>role_course_map[[#This Row],[role_id]] &amp; "|" &amp; role_course_map[[#This Row],[course_id]]</f>
        <v>R0088|999029</v>
      </c>
      <c r="L2423" t="str">
        <f>IF(COUNTIF(role_course_map[mapping_key],role_course_map[[#This Row],[mapping_key]])&gt;1,"DUPLICATE","OK")</f>
        <v>OK</v>
      </c>
      <c r="M2423" t="str">
        <f>IF(COUNTIF(role_data[role_id],role_course_map[[#This Row],[role_id]])=0, "INVALID","VALID")</f>
        <v>VALID</v>
      </c>
      <c r="N2423" t="str">
        <f>IF(COUNTIF(course_data[course_id],role_course_map[[#This Row],[course_id]])=0, "INVALID","VALID")</f>
        <v>VALID</v>
      </c>
    </row>
    <row r="2424" spans="1:14" x14ac:dyDescent="0.35">
      <c r="A2424" t="s">
        <v>189</v>
      </c>
      <c r="B2424" s="5" t="str">
        <f>_xlfn.XLOOKUP(role_course_map[[#This Row],[role_id]], role_data[role_id], role_data[Role],"")</f>
        <v>Ambulance Care Assistant</v>
      </c>
      <c r="C2424" t="s">
        <v>659</v>
      </c>
      <c r="D2424" s="5" t="str">
        <f>_xlfn.XLOOKUP(role_course_map[[#This Row],[course_id]],course_data[course_id],course_data[title],"")</f>
        <v>Prevention and Management of Violence and Aggression - Breakaway training Level 2 /Restrictive movement Level 3</v>
      </c>
      <c r="E2424" s="5" t="str">
        <f>_xlfn.XLOOKUP(role_course_map[[#This Row],[course_id]],course_data[course_id],course_data[topic],"")</f>
        <v>SAS : Health and Safety</v>
      </c>
      <c r="F2424" s="5" t="str">
        <f>_xlfn.XLOOKUP(role_course_map[[#This Row],[course_id]],course_data[course_id],course_data[type],"")</f>
        <v>Course</v>
      </c>
      <c r="K2424" t="str">
        <f>role_course_map[[#This Row],[role_id]] &amp; "|" &amp; role_course_map[[#This Row],[course_id]]</f>
        <v>R0088|2025-6 edition</v>
      </c>
      <c r="L2424" t="str">
        <f>IF(COUNTIF(role_course_map[mapping_key],role_course_map[[#This Row],[mapping_key]])&gt;1,"DUPLICATE","OK")</f>
        <v>OK</v>
      </c>
      <c r="M2424" t="str">
        <f>IF(COUNTIF(role_data[role_id],role_course_map[[#This Row],[role_id]])=0, "INVALID","VALID")</f>
        <v>VALID</v>
      </c>
      <c r="N2424" t="str">
        <f>IF(COUNTIF(course_data[course_id],role_course_map[[#This Row],[course_id]])=0, "INVALID","VALID")</f>
        <v>VALID</v>
      </c>
    </row>
    <row r="2425" spans="1:14" x14ac:dyDescent="0.35">
      <c r="A2425" t="s">
        <v>189</v>
      </c>
      <c r="B2425" s="5" t="str">
        <f>_xlfn.XLOOKUP(role_course_map[[#This Row],[role_id]], role_data[role_id], role_data[Role],"")</f>
        <v>Ambulance Care Assistant</v>
      </c>
      <c r="C2425">
        <v>999055</v>
      </c>
      <c r="D2425" s="5" t="str">
        <f>_xlfn.XLOOKUP(role_course_map[[#This Row],[course_id]],course_data[course_id],course_data[title],"")</f>
        <v>Prevention and Management of Violence and Aggression - Refresher</v>
      </c>
      <c r="E2425" s="5" t="str">
        <f>_xlfn.XLOOKUP(role_course_map[[#This Row],[course_id]],course_data[course_id],course_data[topic],"")</f>
        <v>SAS : Health and Safety</v>
      </c>
      <c r="F2425" s="5" t="str">
        <f>_xlfn.XLOOKUP(role_course_map[[#This Row],[course_id]],course_data[course_id],course_data[type],"")</f>
        <v>Course</v>
      </c>
      <c r="K2425" t="str">
        <f>role_course_map[[#This Row],[role_id]] &amp; "|" &amp; role_course_map[[#This Row],[course_id]]</f>
        <v>R0088|999055</v>
      </c>
      <c r="L2425" t="str">
        <f>IF(COUNTIF(role_course_map[mapping_key],role_course_map[[#This Row],[mapping_key]])&gt;1,"DUPLICATE","OK")</f>
        <v>OK</v>
      </c>
      <c r="M2425" t="str">
        <f>IF(COUNTIF(role_data[role_id],role_course_map[[#This Row],[role_id]])=0, "INVALID","VALID")</f>
        <v>VALID</v>
      </c>
      <c r="N2425" t="str">
        <f>IF(COUNTIF(course_data[course_id],role_course_map[[#This Row],[course_id]])=0, "INVALID","VALID")</f>
        <v>VALID</v>
      </c>
    </row>
    <row r="2426" spans="1:14" x14ac:dyDescent="0.35">
      <c r="A2426" t="s">
        <v>189</v>
      </c>
      <c r="B2426" s="5" t="str">
        <f>_xlfn.XLOOKUP(role_course_map[[#This Row],[role_id]], role_data[role_id], role_data[Role],"")</f>
        <v>Ambulance Care Assistant</v>
      </c>
      <c r="C2426">
        <v>64322</v>
      </c>
      <c r="D2426" s="5" t="str">
        <f>_xlfn.XLOOKUP(role_course_map[[#This Row],[course_id]],course_data[course_id],course_data[title],"")</f>
        <v>Adult support and protection: practice level 2 [skilled]</v>
      </c>
      <c r="E2426" s="5" t="str">
        <f>_xlfn.XLOOKUP(role_course_map[[#This Row],[course_id]],course_data[course_id],course_data[topic],"")</f>
        <v>SAS : Public Protection</v>
      </c>
      <c r="F2426" s="5" t="str">
        <f>_xlfn.XLOOKUP(role_course_map[[#This Row],[course_id]],course_data[course_id],course_data[type],"")</f>
        <v>eLearning</v>
      </c>
      <c r="K2426" t="str">
        <f>role_course_map[[#This Row],[role_id]] &amp; "|" &amp; role_course_map[[#This Row],[course_id]]</f>
        <v>R0088|64322</v>
      </c>
      <c r="L2426" t="str">
        <f>IF(COUNTIF(role_course_map[mapping_key],role_course_map[[#This Row],[mapping_key]])&gt;1,"DUPLICATE","OK")</f>
        <v>OK</v>
      </c>
      <c r="M2426" t="str">
        <f>IF(COUNTIF(role_data[role_id],role_course_map[[#This Row],[role_id]])=0, "INVALID","VALID")</f>
        <v>VALID</v>
      </c>
      <c r="N2426" t="str">
        <f>IF(COUNTIF(course_data[course_id],role_course_map[[#This Row],[course_id]])=0, "INVALID","VALID")</f>
        <v>VALID</v>
      </c>
    </row>
    <row r="2427" spans="1:14" x14ac:dyDescent="0.35">
      <c r="A2427" t="s">
        <v>189</v>
      </c>
      <c r="B2427" s="5" t="str">
        <f>_xlfn.XLOOKUP(role_course_map[[#This Row],[role_id]], role_data[role_id], role_data[Role],"")</f>
        <v>Ambulance Care Assistant</v>
      </c>
      <c r="C2427">
        <v>64324</v>
      </c>
      <c r="D2427" s="5" t="str">
        <f>_xlfn.XLOOKUP(role_course_map[[#This Row],[course_id]],course_data[course_id],course_data[title],"")</f>
        <v>Child protection: practice level 2 [skilled]</v>
      </c>
      <c r="E2427" s="5" t="str">
        <f>_xlfn.XLOOKUP(role_course_map[[#This Row],[course_id]],course_data[course_id],course_data[topic],"")</f>
        <v>SAS : Public Protection</v>
      </c>
      <c r="F2427" s="5" t="str">
        <f>_xlfn.XLOOKUP(role_course_map[[#This Row],[course_id]],course_data[course_id],course_data[type],"")</f>
        <v>eLearning</v>
      </c>
      <c r="K2427" t="str">
        <f>role_course_map[[#This Row],[role_id]] &amp; "|" &amp; role_course_map[[#This Row],[course_id]]</f>
        <v>R0088|64324</v>
      </c>
      <c r="L2427" t="str">
        <f>IF(COUNTIF(role_course_map[mapping_key],role_course_map[[#This Row],[mapping_key]])&gt;1,"DUPLICATE","OK")</f>
        <v>OK</v>
      </c>
      <c r="M2427" t="str">
        <f>IF(COUNTIF(role_data[role_id],role_course_map[[#This Row],[role_id]])=0, "INVALID","VALID")</f>
        <v>VALID</v>
      </c>
      <c r="N2427" t="str">
        <f>IF(COUNTIF(course_data[course_id],role_course_map[[#This Row],[course_id]])=0, "INVALID","VALID")</f>
        <v>VALID</v>
      </c>
    </row>
    <row r="2428" spans="1:14" x14ac:dyDescent="0.35">
      <c r="A2428" t="s">
        <v>189</v>
      </c>
      <c r="B2428" s="5" t="str">
        <f>_xlfn.XLOOKUP(role_course_map[[#This Row],[role_id]], role_data[role_id], role_data[Role],"")</f>
        <v>Ambulance Care Assistant</v>
      </c>
      <c r="C2428">
        <v>76716</v>
      </c>
      <c r="D2428" s="5" t="str">
        <f>_xlfn.XLOOKUP(role_course_map[[#This Row],[course_id]],course_data[course_id],course_data[title],"")</f>
        <v>Domestic abuse awareness training tool (DAART)</v>
      </c>
      <c r="E2428" s="5" t="str">
        <f>_xlfn.XLOOKUP(role_course_map[[#This Row],[course_id]],course_data[course_id],course_data[topic],"")</f>
        <v>SAS : Public Protection</v>
      </c>
      <c r="F2428" s="5" t="str">
        <f>_xlfn.XLOOKUP(role_course_map[[#This Row],[course_id]],course_data[course_id],course_data[type],"")</f>
        <v>eLearning</v>
      </c>
      <c r="K2428" t="str">
        <f>role_course_map[[#This Row],[role_id]] &amp; "|" &amp; role_course_map[[#This Row],[course_id]]</f>
        <v>R0088|76716</v>
      </c>
      <c r="L2428" t="str">
        <f>IF(COUNTIF(role_course_map[mapping_key],role_course_map[[#This Row],[mapping_key]])&gt;1,"DUPLICATE","OK")</f>
        <v>OK</v>
      </c>
      <c r="M2428" t="str">
        <f>IF(COUNTIF(role_data[role_id],role_course_map[[#This Row],[role_id]])=0, "INVALID","VALID")</f>
        <v>VALID</v>
      </c>
      <c r="N2428" t="str">
        <f>IF(COUNTIF(course_data[course_id],role_course_map[[#This Row],[course_id]])=0, "INVALID","VALID")</f>
        <v>VALID</v>
      </c>
    </row>
    <row r="2429" spans="1:14" x14ac:dyDescent="0.35">
      <c r="A2429" t="s">
        <v>189</v>
      </c>
      <c r="B2429" s="5" t="str">
        <f>_xlfn.XLOOKUP(role_course_map[[#This Row],[role_id]], role_data[role_id], role_data[Role],"")</f>
        <v>Ambulance Care Assistant</v>
      </c>
      <c r="C2429">
        <v>79666</v>
      </c>
      <c r="D2429" s="5" t="str">
        <f>_xlfn.XLOOKUP(role_course_map[[#This Row],[course_id]],course_data[course_id],course_data[title],"")</f>
        <v>Getting it right for every child (GIRFEC): informed level</v>
      </c>
      <c r="E2429" s="5" t="str">
        <f>_xlfn.XLOOKUP(role_course_map[[#This Row],[course_id]],course_data[course_id],course_data[topic],"")</f>
        <v>SAS : Public Protection</v>
      </c>
      <c r="F2429" s="5" t="str">
        <f>_xlfn.XLOOKUP(role_course_map[[#This Row],[course_id]],course_data[course_id],course_data[type],"")</f>
        <v>eLearning</v>
      </c>
      <c r="K2429" t="str">
        <f>role_course_map[[#This Row],[role_id]] &amp; "|" &amp; role_course_map[[#This Row],[course_id]]</f>
        <v>R0088|79666</v>
      </c>
      <c r="L2429" t="str">
        <f>IF(COUNTIF(role_course_map[mapping_key],role_course_map[[#This Row],[mapping_key]])&gt;1,"DUPLICATE","OK")</f>
        <v>OK</v>
      </c>
      <c r="M2429" t="str">
        <f>IF(COUNTIF(role_data[role_id],role_course_map[[#This Row],[role_id]])=0, "INVALID","VALID")</f>
        <v>VALID</v>
      </c>
      <c r="N2429" t="str">
        <f>IF(COUNTIF(course_data[course_id],role_course_map[[#This Row],[course_id]])=0, "INVALID","VALID")</f>
        <v>VALID</v>
      </c>
    </row>
    <row r="2430" spans="1:14" x14ac:dyDescent="0.35">
      <c r="A2430" t="s">
        <v>189</v>
      </c>
      <c r="B2430" s="5" t="str">
        <f>_xlfn.XLOOKUP(role_course_map[[#This Row],[role_id]], role_data[role_id], role_data[Role],"")</f>
        <v>Ambulance Care Assistant</v>
      </c>
      <c r="C2430">
        <v>999074</v>
      </c>
      <c r="D2430" s="5" t="str">
        <f>_xlfn.XLOOKUP(role_course_map[[#This Row],[course_id]],course_data[course_id],course_data[title],"")</f>
        <v>SAS-specific Children’s rights</v>
      </c>
      <c r="E2430" s="5" t="str">
        <f>_xlfn.XLOOKUP(role_course_map[[#This Row],[course_id]],course_data[course_id],course_data[topic],"")</f>
        <v>SAS : Public Protection</v>
      </c>
      <c r="F2430" s="5" t="str">
        <f>_xlfn.XLOOKUP(role_course_map[[#This Row],[course_id]],course_data[course_id],course_data[type],"")</f>
        <v>eLearning</v>
      </c>
      <c r="K2430" t="str">
        <f>role_course_map[[#This Row],[role_id]] &amp; "|" &amp; role_course_map[[#This Row],[course_id]]</f>
        <v>R0088|999074</v>
      </c>
      <c r="L2430" t="str">
        <f>IF(COUNTIF(role_course_map[mapping_key],role_course_map[[#This Row],[mapping_key]])&gt;1,"DUPLICATE","OK")</f>
        <v>OK</v>
      </c>
      <c r="M2430" t="str">
        <f>IF(COUNTIF(role_data[role_id],role_course_map[[#This Row],[role_id]])=0, "INVALID","VALID")</f>
        <v>VALID</v>
      </c>
      <c r="N2430" t="str">
        <f>IF(COUNTIF(course_data[course_id],role_course_map[[#This Row],[course_id]])=0, "INVALID","VALID")</f>
        <v>VALID</v>
      </c>
    </row>
    <row r="2431" spans="1:14" x14ac:dyDescent="0.35">
      <c r="A2431" t="s">
        <v>189</v>
      </c>
      <c r="B2431" s="5" t="str">
        <f>_xlfn.XLOOKUP(role_course_map[[#This Row],[role_id]], role_data[role_id], role_data[Role],"")</f>
        <v>Ambulance Care Assistant</v>
      </c>
      <c r="C2431">
        <v>999075</v>
      </c>
      <c r="D2431" s="5" t="str">
        <f>_xlfn.XLOOKUP(role_course_map[[#This Row],[course_id]],course_data[course_id],course_data[title],"")</f>
        <v>Multiagency local or bespoke Level 3 delivery training</v>
      </c>
      <c r="E2431" s="5" t="str">
        <f>_xlfn.XLOOKUP(role_course_map[[#This Row],[course_id]],course_data[course_id],course_data[topic],"")</f>
        <v>SAS : Public Protection</v>
      </c>
      <c r="F2431" s="5" t="str">
        <f>_xlfn.XLOOKUP(role_course_map[[#This Row],[course_id]],course_data[course_id],course_data[type],"")</f>
        <v>eLearning</v>
      </c>
      <c r="K2431" t="str">
        <f>role_course_map[[#This Row],[role_id]] &amp; "|" &amp; role_course_map[[#This Row],[course_id]]</f>
        <v>R0088|999075</v>
      </c>
      <c r="L2431" t="str">
        <f>IF(COUNTIF(role_course_map[mapping_key],role_course_map[[#This Row],[mapping_key]])&gt;1,"DUPLICATE","OK")</f>
        <v>OK</v>
      </c>
      <c r="M2431" t="str">
        <f>IF(COUNTIF(role_data[role_id],role_course_map[[#This Row],[role_id]])=0, "INVALID","VALID")</f>
        <v>VALID</v>
      </c>
      <c r="N2431" t="str">
        <f>IF(COUNTIF(course_data[course_id],role_course_map[[#This Row],[course_id]])=0, "INVALID","VALID")</f>
        <v>VALID</v>
      </c>
    </row>
    <row r="2432" spans="1:14" x14ac:dyDescent="0.35">
      <c r="A2432" t="s">
        <v>189</v>
      </c>
      <c r="B2432" s="5" t="str">
        <f>_xlfn.XLOOKUP(role_course_map[[#This Row],[role_id]], role_data[role_id], role_data[Role],"")</f>
        <v>Ambulance Care Assistant</v>
      </c>
      <c r="C2432">
        <v>15249</v>
      </c>
      <c r="D2432" s="5" t="str">
        <f>_xlfn.XLOOKUP(role_course_map[[#This Row],[course_id]],course_data[course_id],course_data[title],"")</f>
        <v>Human trafficking</v>
      </c>
      <c r="E2432" s="5" t="str">
        <f>_xlfn.XLOOKUP(role_course_map[[#This Row],[course_id]],course_data[course_id],course_data[topic],"")</f>
        <v>SAS : Public Protection</v>
      </c>
      <c r="F2432" s="5" t="str">
        <f>_xlfn.XLOOKUP(role_course_map[[#This Row],[course_id]],course_data[course_id],course_data[type],"")</f>
        <v>eLearning</v>
      </c>
      <c r="K2432" t="str">
        <f>role_course_map[[#This Row],[role_id]] &amp; "|" &amp; role_course_map[[#This Row],[course_id]]</f>
        <v>R0088|15249</v>
      </c>
      <c r="L2432" t="str">
        <f>IF(COUNTIF(role_course_map[mapping_key],role_course_map[[#This Row],[mapping_key]])&gt;1,"DUPLICATE","OK")</f>
        <v>OK</v>
      </c>
      <c r="M2432" t="str">
        <f>IF(COUNTIF(role_data[role_id],role_course_map[[#This Row],[role_id]])=0, "INVALID","VALID")</f>
        <v>VALID</v>
      </c>
      <c r="N2432" t="str">
        <f>IF(COUNTIF(course_data[course_id],role_course_map[[#This Row],[course_id]])=0, "INVALID","VALID")</f>
        <v>VALID</v>
      </c>
    </row>
    <row r="2433" spans="1:14" x14ac:dyDescent="0.35">
      <c r="A2433" t="s">
        <v>189</v>
      </c>
      <c r="B2433" s="5" t="str">
        <f>_xlfn.XLOOKUP(role_course_map[[#This Row],[role_id]], role_data[role_id], role_data[Role],"")</f>
        <v>Ambulance Care Assistant</v>
      </c>
      <c r="C2433">
        <v>89161</v>
      </c>
      <c r="D2433" s="5" t="str">
        <f>_xlfn.XLOOKUP(role_course_map[[#This Row],[course_id]],course_data[course_id],course_data[title],"")</f>
        <v>Personal Protective Equipment</v>
      </c>
      <c r="E2433" s="5" t="str">
        <f>_xlfn.XLOOKUP(role_course_map[[#This Row],[course_id]],course_data[course_id],course_data[topic],"")</f>
        <v>SAS : Infection Prevention and Control (IPC)</v>
      </c>
      <c r="F2433" s="5" t="str">
        <f>_xlfn.XLOOKUP(role_course_map[[#This Row],[course_id]],course_data[course_id],course_data[type],"")</f>
        <v>eLearning</v>
      </c>
      <c r="K2433" t="str">
        <f>role_course_map[[#This Row],[role_id]] &amp; "|" &amp; role_course_map[[#This Row],[course_id]]</f>
        <v>R0088|89161</v>
      </c>
      <c r="L2433" t="str">
        <f>IF(COUNTIF(role_course_map[mapping_key],role_course_map[[#This Row],[mapping_key]])&gt;1,"DUPLICATE","OK")</f>
        <v>OK</v>
      </c>
      <c r="M2433" t="str">
        <f>IF(COUNTIF(role_data[role_id],role_course_map[[#This Row],[role_id]])=0, "INVALID","VALID")</f>
        <v>VALID</v>
      </c>
      <c r="N2433" t="str">
        <f>IF(COUNTIF(course_data[course_id],role_course_map[[#This Row],[course_id]])=0, "INVALID","VALID")</f>
        <v>VALID</v>
      </c>
    </row>
    <row r="2434" spans="1:14" x14ac:dyDescent="0.35">
      <c r="A2434" t="s">
        <v>189</v>
      </c>
      <c r="B2434" s="5" t="str">
        <f>_xlfn.XLOOKUP(role_course_map[[#This Row],[role_id]], role_data[role_id], role_data[Role],"")</f>
        <v>Ambulance Care Assistant</v>
      </c>
      <c r="C2434">
        <v>89157</v>
      </c>
      <c r="D2434" s="5" t="str">
        <f>_xlfn.XLOOKUP(role_course_map[[#This Row],[course_id]],course_data[course_id],course_data[title],"")</f>
        <v>Safe Management of Care Equipment</v>
      </c>
      <c r="E2434" s="5" t="str">
        <f>_xlfn.XLOOKUP(role_course_map[[#This Row],[course_id]],course_data[course_id],course_data[topic],"")</f>
        <v>SAS : Infection Prevention and Control (IPC)</v>
      </c>
      <c r="F2434" s="5" t="str">
        <f>_xlfn.XLOOKUP(role_course_map[[#This Row],[course_id]],course_data[course_id],course_data[type],"")</f>
        <v>eLearning</v>
      </c>
      <c r="K2434" t="str">
        <f>role_course_map[[#This Row],[role_id]] &amp; "|" &amp; role_course_map[[#This Row],[course_id]]</f>
        <v>R0088|89157</v>
      </c>
      <c r="L2434" t="str">
        <f>IF(COUNTIF(role_course_map[mapping_key],role_course_map[[#This Row],[mapping_key]])&gt;1,"DUPLICATE","OK")</f>
        <v>OK</v>
      </c>
      <c r="M2434" t="str">
        <f>IF(COUNTIF(role_data[role_id],role_course_map[[#This Row],[role_id]])=0, "INVALID","VALID")</f>
        <v>VALID</v>
      </c>
      <c r="N2434" t="str">
        <f>IF(COUNTIF(course_data[course_id],role_course_map[[#This Row],[course_id]])=0, "INVALID","VALID")</f>
        <v>VALID</v>
      </c>
    </row>
    <row r="2435" spans="1:14" x14ac:dyDescent="0.35">
      <c r="A2435" t="s">
        <v>189</v>
      </c>
      <c r="B2435" s="5" t="str">
        <f>_xlfn.XLOOKUP(role_course_map[[#This Row],[role_id]], role_data[role_id], role_data[Role],"")</f>
        <v>Ambulance Care Assistant</v>
      </c>
      <c r="C2435">
        <v>89158</v>
      </c>
      <c r="D2435" s="5" t="str">
        <f>_xlfn.XLOOKUP(role_course_map[[#This Row],[course_id]],course_data[course_id],course_data[title],"")</f>
        <v>Safe Management of Care Environment</v>
      </c>
      <c r="E2435" s="5" t="str">
        <f>_xlfn.XLOOKUP(role_course_map[[#This Row],[course_id]],course_data[course_id],course_data[topic],"")</f>
        <v>SAS : Infection Prevention and Control (IPC)</v>
      </c>
      <c r="F2435" s="5" t="str">
        <f>_xlfn.XLOOKUP(role_course_map[[#This Row],[course_id]],course_data[course_id],course_data[type],"")</f>
        <v>eLearning</v>
      </c>
      <c r="K2435" t="str">
        <f>role_course_map[[#This Row],[role_id]] &amp; "|" &amp; role_course_map[[#This Row],[course_id]]</f>
        <v>R0088|89158</v>
      </c>
      <c r="L2435" t="str">
        <f>IF(COUNTIF(role_course_map[mapping_key],role_course_map[[#This Row],[mapping_key]])&gt;1,"DUPLICATE","OK")</f>
        <v>OK</v>
      </c>
      <c r="M2435" t="str">
        <f>IF(COUNTIF(role_data[role_id],role_course_map[[#This Row],[role_id]])=0, "INVALID","VALID")</f>
        <v>VALID</v>
      </c>
      <c r="N2435" t="str">
        <f>IF(COUNTIF(course_data[course_id],role_course_map[[#This Row],[course_id]])=0, "INVALID","VALID")</f>
        <v>VALID</v>
      </c>
    </row>
    <row r="2436" spans="1:14" x14ac:dyDescent="0.35">
      <c r="A2436" t="s">
        <v>189</v>
      </c>
      <c r="B2436" s="5" t="str">
        <f>_xlfn.XLOOKUP(role_course_map[[#This Row],[role_id]], role_data[role_id], role_data[Role],"")</f>
        <v>Ambulance Care Assistant</v>
      </c>
      <c r="C2436">
        <v>89159</v>
      </c>
      <c r="D2436" s="5" t="str">
        <f>_xlfn.XLOOKUP(role_course_map[[#This Row],[course_id]],course_data[course_id],course_data[title],"")</f>
        <v>Safe Management of Linen</v>
      </c>
      <c r="E2436" s="5" t="str">
        <f>_xlfn.XLOOKUP(role_course_map[[#This Row],[course_id]],course_data[course_id],course_data[topic],"")</f>
        <v>SAS : Infection Prevention and Control (IPC)</v>
      </c>
      <c r="F2436" s="5" t="str">
        <f>_xlfn.XLOOKUP(role_course_map[[#This Row],[course_id]],course_data[course_id],course_data[type],"")</f>
        <v>eLearning</v>
      </c>
      <c r="K2436" t="str">
        <f>role_course_map[[#This Row],[role_id]] &amp; "|" &amp; role_course_map[[#This Row],[course_id]]</f>
        <v>R0088|89159</v>
      </c>
      <c r="L2436" t="str">
        <f>IF(COUNTIF(role_course_map[mapping_key],role_course_map[[#This Row],[mapping_key]])&gt;1,"DUPLICATE","OK")</f>
        <v>OK</v>
      </c>
      <c r="M2436" t="str">
        <f>IF(COUNTIF(role_data[role_id],role_course_map[[#This Row],[role_id]])=0, "INVALID","VALID")</f>
        <v>VALID</v>
      </c>
      <c r="N2436" t="str">
        <f>IF(COUNTIF(course_data[course_id],role_course_map[[#This Row],[course_id]])=0, "INVALID","VALID")</f>
        <v>VALID</v>
      </c>
    </row>
    <row r="2437" spans="1:14" x14ac:dyDescent="0.35">
      <c r="A2437" t="s">
        <v>189</v>
      </c>
      <c r="B2437" s="5" t="str">
        <f>_xlfn.XLOOKUP(role_course_map[[#This Row],[role_id]], role_data[role_id], role_data[Role],"")</f>
        <v>Ambulance Care Assistant</v>
      </c>
      <c r="C2437">
        <v>89160</v>
      </c>
      <c r="D2437" s="5" t="str">
        <f>_xlfn.XLOOKUP(role_course_map[[#This Row],[course_id]],course_data[course_id],course_data[title],"")</f>
        <v>Safe Management of blood and body fluids</v>
      </c>
      <c r="E2437" s="5" t="str">
        <f>_xlfn.XLOOKUP(role_course_map[[#This Row],[course_id]],course_data[course_id],course_data[topic],"")</f>
        <v>SAS : Infection Prevention and Control (IPC)</v>
      </c>
      <c r="F2437" s="5" t="str">
        <f>_xlfn.XLOOKUP(role_course_map[[#This Row],[course_id]],course_data[course_id],course_data[type],"")</f>
        <v>eLearning</v>
      </c>
      <c r="K2437" t="str">
        <f>role_course_map[[#This Row],[role_id]] &amp; "|" &amp; role_course_map[[#This Row],[course_id]]</f>
        <v>R0088|89160</v>
      </c>
      <c r="L2437" t="str">
        <f>IF(COUNTIF(role_course_map[mapping_key],role_course_map[[#This Row],[mapping_key]])&gt;1,"DUPLICATE","OK")</f>
        <v>OK</v>
      </c>
      <c r="M2437" t="str">
        <f>IF(COUNTIF(role_data[role_id],role_course_map[[#This Row],[role_id]])=0, "INVALID","VALID")</f>
        <v>VALID</v>
      </c>
      <c r="N2437" t="str">
        <f>IF(COUNTIF(course_data[course_id],role_course_map[[#This Row],[course_id]])=0, "INVALID","VALID")</f>
        <v>VALID</v>
      </c>
    </row>
    <row r="2438" spans="1:14" x14ac:dyDescent="0.35">
      <c r="A2438" t="s">
        <v>189</v>
      </c>
      <c r="B2438" s="5" t="str">
        <f>_xlfn.XLOOKUP(role_course_map[[#This Row],[role_id]], role_data[role_id], role_data[Role],"")</f>
        <v>Ambulance Care Assistant</v>
      </c>
      <c r="C2438">
        <v>89154</v>
      </c>
      <c r="D2438" s="5" t="str">
        <f>_xlfn.XLOOKUP(role_course_map[[#This Row],[course_id]],course_data[course_id],course_data[title],"")</f>
        <v>Safe disposal of waste</v>
      </c>
      <c r="E2438" s="5" t="str">
        <f>_xlfn.XLOOKUP(role_course_map[[#This Row],[course_id]],course_data[course_id],course_data[topic],"")</f>
        <v>SAS : Infection Prevention and Control (IPC)</v>
      </c>
      <c r="F2438" s="5" t="str">
        <f>_xlfn.XLOOKUP(role_course_map[[#This Row],[course_id]],course_data[course_id],course_data[type],"")</f>
        <v>eLearning</v>
      </c>
      <c r="K2438" t="str">
        <f>role_course_map[[#This Row],[role_id]] &amp; "|" &amp; role_course_map[[#This Row],[course_id]]</f>
        <v>R0088|89154</v>
      </c>
      <c r="L2438" t="str">
        <f>IF(COUNTIF(role_course_map[mapping_key],role_course_map[[#This Row],[mapping_key]])&gt;1,"DUPLICATE","OK")</f>
        <v>OK</v>
      </c>
      <c r="M2438" t="str">
        <f>IF(COUNTIF(role_data[role_id],role_course_map[[#This Row],[role_id]])=0, "INVALID","VALID")</f>
        <v>VALID</v>
      </c>
      <c r="N2438" t="str">
        <f>IF(COUNTIF(course_data[course_id],role_course_map[[#This Row],[course_id]])=0, "INVALID","VALID")</f>
        <v>VALID</v>
      </c>
    </row>
    <row r="2439" spans="1:14" x14ac:dyDescent="0.35">
      <c r="A2439" t="s">
        <v>189</v>
      </c>
      <c r="B2439" s="5" t="str">
        <f>_xlfn.XLOOKUP(role_course_map[[#This Row],[role_id]], role_data[role_id], role_data[Role],"")</f>
        <v>Ambulance Care Assistant</v>
      </c>
      <c r="C2439">
        <v>89155</v>
      </c>
      <c r="D2439" s="5" t="str">
        <f>_xlfn.XLOOKUP(role_course_map[[#This Row],[course_id]],course_data[course_id],course_data[title],"")</f>
        <v>Prevention &amp; management of occupational exposure</v>
      </c>
      <c r="E2439" s="5" t="str">
        <f>_xlfn.XLOOKUP(role_course_map[[#This Row],[course_id]],course_data[course_id],course_data[topic],"")</f>
        <v>SAS : Infection Prevention and Control (IPC)</v>
      </c>
      <c r="F2439" s="5" t="str">
        <f>_xlfn.XLOOKUP(role_course_map[[#This Row],[course_id]],course_data[course_id],course_data[type],"")</f>
        <v>eLearning</v>
      </c>
      <c r="K2439" t="str">
        <f>role_course_map[[#This Row],[role_id]] &amp; "|" &amp; role_course_map[[#This Row],[course_id]]</f>
        <v>R0088|89155</v>
      </c>
      <c r="L2439" t="str">
        <f>IF(COUNTIF(role_course_map[mapping_key],role_course_map[[#This Row],[mapping_key]])&gt;1,"DUPLICATE","OK")</f>
        <v>OK</v>
      </c>
      <c r="M2439" t="str">
        <f>IF(COUNTIF(role_data[role_id],role_course_map[[#This Row],[role_id]])=0, "INVALID","VALID")</f>
        <v>VALID</v>
      </c>
      <c r="N2439" t="str">
        <f>IF(COUNTIF(course_data[course_id],role_course_map[[#This Row],[course_id]])=0, "INVALID","VALID")</f>
        <v>VALID</v>
      </c>
    </row>
    <row r="2440" spans="1:14" x14ac:dyDescent="0.35">
      <c r="A2440" t="s">
        <v>189</v>
      </c>
      <c r="B2440" s="5" t="str">
        <f>_xlfn.XLOOKUP(role_course_map[[#This Row],[role_id]], role_data[role_id], role_data[Role],"")</f>
        <v>Ambulance Care Assistant</v>
      </c>
      <c r="C2440">
        <v>999064</v>
      </c>
      <c r="D2440" s="5" t="str">
        <f>_xlfn.XLOOKUP(role_course_map[[#This Row],[course_id]],course_data[course_id],course_data[title],"")</f>
        <v>Infection prevention and control: Clostridioides difficile infection</v>
      </c>
      <c r="E2440" s="5" t="str">
        <f>_xlfn.XLOOKUP(role_course_map[[#This Row],[course_id]],course_data[course_id],course_data[topic],"")</f>
        <v>SAS : Infection Prevention and Control (IPC)</v>
      </c>
      <c r="F2440" s="5" t="str">
        <f>_xlfn.XLOOKUP(role_course_map[[#This Row],[course_id]],course_data[course_id],course_data[type],"")</f>
        <v>eLearning</v>
      </c>
      <c r="K2440" t="str">
        <f>role_course_map[[#This Row],[role_id]] &amp; "|" &amp; role_course_map[[#This Row],[course_id]]</f>
        <v>R0088|999064</v>
      </c>
      <c r="L2440" t="str">
        <f>IF(COUNTIF(role_course_map[mapping_key],role_course_map[[#This Row],[mapping_key]])&gt;1,"DUPLICATE","OK")</f>
        <v>OK</v>
      </c>
      <c r="M2440" t="str">
        <f>IF(COUNTIF(role_data[role_id],role_course_map[[#This Row],[role_id]])=0, "INVALID","VALID")</f>
        <v>VALID</v>
      </c>
      <c r="N2440" t="str">
        <f>IF(COUNTIF(course_data[course_id],role_course_map[[#This Row],[course_id]])=0, "INVALID","VALID")</f>
        <v>VALID</v>
      </c>
    </row>
    <row r="2441" spans="1:14" x14ac:dyDescent="0.35">
      <c r="A2441" t="s">
        <v>189</v>
      </c>
      <c r="B2441" s="5" t="str">
        <f>_xlfn.XLOOKUP(role_course_map[[#This Row],[role_id]], role_data[role_id], role_data[Role],"")</f>
        <v>Ambulance Care Assistant</v>
      </c>
      <c r="C2441">
        <v>3588</v>
      </c>
      <c r="D2441" s="5" t="str">
        <f>_xlfn.XLOOKUP(role_course_map[[#This Row],[course_id]],course_data[course_id],course_data[title],"")</f>
        <v>Antibiotic management</v>
      </c>
      <c r="E2441" s="5" t="str">
        <f>_xlfn.XLOOKUP(role_course_map[[#This Row],[course_id]],course_data[course_id],course_data[topic],"")</f>
        <v>SAS : Clinical Practice</v>
      </c>
      <c r="F2441" s="5" t="str">
        <f>_xlfn.XLOOKUP(role_course_map[[#This Row],[course_id]],course_data[course_id],course_data[type],"")</f>
        <v>Page</v>
      </c>
      <c r="K2441" t="str">
        <f>role_course_map[[#This Row],[role_id]] &amp; "|" &amp; role_course_map[[#This Row],[course_id]]</f>
        <v>R0088|3588</v>
      </c>
      <c r="L2441" t="str">
        <f>IF(COUNTIF(role_course_map[mapping_key],role_course_map[[#This Row],[mapping_key]])&gt;1,"DUPLICATE","OK")</f>
        <v>OK</v>
      </c>
      <c r="M2441" t="str">
        <f>IF(COUNTIF(role_data[role_id],role_course_map[[#This Row],[role_id]])=0, "INVALID","VALID")</f>
        <v>VALID</v>
      </c>
      <c r="N2441" t="str">
        <f>IF(COUNTIF(course_data[course_id],role_course_map[[#This Row],[course_id]])=0, "INVALID","VALID")</f>
        <v>VALID</v>
      </c>
    </row>
    <row r="2442" spans="1:14" x14ac:dyDescent="0.35">
      <c r="A2442" t="s">
        <v>189</v>
      </c>
      <c r="B2442" s="5" t="str">
        <f>_xlfn.XLOOKUP(role_course_map[[#This Row],[role_id]], role_data[role_id], role_data[Role],"")</f>
        <v>Ambulance Care Assistant</v>
      </c>
      <c r="C2442">
        <v>82383</v>
      </c>
      <c r="D2442" s="5" t="str">
        <f>_xlfn.XLOOKUP(role_course_map[[#This Row],[course_id]],course_data[course_id],course_data[title],"")</f>
        <v>Aseptic technique</v>
      </c>
      <c r="E2442" s="5" t="str">
        <f>_xlfn.XLOOKUP(role_course_map[[#This Row],[course_id]],course_data[course_id],course_data[topic],"")</f>
        <v>SAS : Infection Prevention and Control (IPC)</v>
      </c>
      <c r="F2442" s="5" t="str">
        <f>_xlfn.XLOOKUP(role_course_map[[#This Row],[course_id]],course_data[course_id],course_data[type],"")</f>
        <v>eLearning</v>
      </c>
      <c r="K2442" t="str">
        <f>role_course_map[[#This Row],[role_id]] &amp; "|" &amp; role_course_map[[#This Row],[course_id]]</f>
        <v>R0088|82383</v>
      </c>
      <c r="L2442" t="str">
        <f>IF(COUNTIF(role_course_map[mapping_key],role_course_map[[#This Row],[mapping_key]])&gt;1,"DUPLICATE","OK")</f>
        <v>OK</v>
      </c>
      <c r="M2442" t="str">
        <f>IF(COUNTIF(role_data[role_id],role_course_map[[#This Row],[role_id]])=0, "INVALID","VALID")</f>
        <v>VALID</v>
      </c>
      <c r="N2442" t="str">
        <f>IF(COUNTIF(course_data[course_id],role_course_map[[#This Row],[course_id]])=0, "INVALID","VALID")</f>
        <v>VALID</v>
      </c>
    </row>
    <row r="2443" spans="1:14" x14ac:dyDescent="0.35">
      <c r="A2443" t="s">
        <v>189</v>
      </c>
      <c r="B2443" s="5" t="str">
        <f>_xlfn.XLOOKUP(role_course_map[[#This Row],[role_id]], role_data[role_id], role_data[Role],"")</f>
        <v>Ambulance Care Assistant</v>
      </c>
      <c r="C2443">
        <v>3886</v>
      </c>
      <c r="D2443" s="5" t="str">
        <f>_xlfn.XLOOKUP(role_course_map[[#This Row],[course_id]],course_data[course_id],course_data[title],"")</f>
        <v>Prevention and management of pressure ulcers</v>
      </c>
      <c r="E2443" s="5" t="str">
        <f>_xlfn.XLOOKUP(role_course_map[[#This Row],[course_id]],course_data[course_id],course_data[topic],"")</f>
        <v>SAS : Clinical Practice</v>
      </c>
      <c r="F2443" s="5" t="str">
        <f>_xlfn.XLOOKUP(role_course_map[[#This Row],[course_id]],course_data[course_id],course_data[type],"")</f>
        <v>Page</v>
      </c>
      <c r="K2443" t="str">
        <f>role_course_map[[#This Row],[role_id]] &amp; "|" &amp; role_course_map[[#This Row],[course_id]]</f>
        <v>R0088|3886</v>
      </c>
      <c r="L2443" t="str">
        <f>IF(COUNTIF(role_course_map[mapping_key],role_course_map[[#This Row],[mapping_key]])&gt;1,"DUPLICATE","OK")</f>
        <v>OK</v>
      </c>
      <c r="M2443" t="str">
        <f>IF(COUNTIF(role_data[role_id],role_course_map[[#This Row],[role_id]])=0, "INVALID","VALID")</f>
        <v>VALID</v>
      </c>
      <c r="N2443" t="str">
        <f>IF(COUNTIF(course_data[course_id],role_course_map[[#This Row],[course_id]])=0, "INVALID","VALID")</f>
        <v>VALID</v>
      </c>
    </row>
    <row r="2444" spans="1:14" x14ac:dyDescent="0.35">
      <c r="A2444" t="s">
        <v>189</v>
      </c>
      <c r="B2444" s="5" t="str">
        <f>_xlfn.XLOOKUP(role_course_map[[#This Row],[role_id]], role_data[role_id], role_data[Role],"")</f>
        <v>Ambulance Care Assistant</v>
      </c>
      <c r="C2444">
        <v>999094</v>
      </c>
      <c r="D2444" s="5" t="str">
        <f>_xlfn.XLOOKUP(role_course_map[[#This Row],[course_id]],course_data[course_id],course_data[title],"")</f>
        <v>Being well, Mind, Body &amp; Workplace</v>
      </c>
      <c r="E2444" s="5" t="str">
        <f>_xlfn.XLOOKUP(role_course_map[[#This Row],[course_id]],course_data[course_id],course_data[topic],"")</f>
        <v>SAS: Staff development and experience</v>
      </c>
      <c r="F2444" s="5" t="str">
        <f>_xlfn.XLOOKUP(role_course_map[[#This Row],[course_id]],course_data[course_id],course_data[type],"")</f>
        <v>eLearning</v>
      </c>
      <c r="K2444" t="str">
        <f>role_course_map[[#This Row],[role_id]] &amp; "|" &amp; role_course_map[[#This Row],[course_id]]</f>
        <v>R0088|999094</v>
      </c>
      <c r="L2444" t="str">
        <f>IF(COUNTIF(role_course_map[mapping_key],role_course_map[[#This Row],[mapping_key]])&gt;1,"DUPLICATE","OK")</f>
        <v>OK</v>
      </c>
      <c r="M2444" t="str">
        <f>IF(COUNTIF(role_data[role_id],role_course_map[[#This Row],[role_id]])=0, "INVALID","VALID")</f>
        <v>VALID</v>
      </c>
      <c r="N2444" t="str">
        <f>IF(COUNTIF(course_data[course_id],role_course_map[[#This Row],[course_id]])=0, "INVALID","VALID")</f>
        <v>VALID</v>
      </c>
    </row>
    <row r="2445" spans="1:14" x14ac:dyDescent="0.35">
      <c r="A2445" t="s">
        <v>191</v>
      </c>
      <c r="B2445" s="5" t="str">
        <f>_xlfn.XLOOKUP(role_course_map[[#This Row],[role_id]], role_data[role_id], role_data[Role],"")</f>
        <v>Ambulance Technician</v>
      </c>
      <c r="C2445">
        <v>79218</v>
      </c>
      <c r="D2445" s="5" t="str">
        <f>_xlfn.XLOOKUP(role_course_map[[#This Row],[course_id]],course_data[course_id],course_data[title],"")</f>
        <v>Life support</v>
      </c>
      <c r="E2445" s="5" t="str">
        <f>_xlfn.XLOOKUP(role_course_map[[#This Row],[course_id]],course_data[course_id],course_data[topic],"")</f>
        <v>SAS : Clinical Practice</v>
      </c>
      <c r="F2445" s="5" t="str">
        <f>_xlfn.XLOOKUP(role_course_map[[#This Row],[course_id]],course_data[course_id],course_data[type],"")</f>
        <v>Page</v>
      </c>
      <c r="K2445" t="str">
        <f>role_course_map[[#This Row],[role_id]] &amp; "|" &amp; role_course_map[[#This Row],[course_id]]</f>
        <v>R0089|79218</v>
      </c>
      <c r="L2445" t="str">
        <f>IF(COUNTIF(role_course_map[mapping_key],role_course_map[[#This Row],[mapping_key]])&gt;1,"DUPLICATE","OK")</f>
        <v>OK</v>
      </c>
      <c r="M2445" t="str">
        <f>IF(COUNTIF(role_data[role_id],role_course_map[[#This Row],[role_id]])=0, "INVALID","VALID")</f>
        <v>VALID</v>
      </c>
      <c r="N2445" t="str">
        <f>IF(COUNTIF(course_data[course_id],role_course_map[[#This Row],[course_id]])=0, "INVALID","VALID")</f>
        <v>VALID</v>
      </c>
    </row>
    <row r="2446" spans="1:14" x14ac:dyDescent="0.35">
      <c r="A2446" t="s">
        <v>191</v>
      </c>
      <c r="B2446" s="5" t="str">
        <f>_xlfn.XLOOKUP(role_course_map[[#This Row],[role_id]], role_data[role_id], role_data[Role],"")</f>
        <v>Ambulance Technician</v>
      </c>
      <c r="C2446">
        <v>999009</v>
      </c>
      <c r="D2446" s="5" t="str">
        <f>_xlfn.XLOOKUP(role_course_map[[#This Row],[course_id]],course_data[course_id],course_data[title],"")</f>
        <v>Life Support</v>
      </c>
      <c r="E2446" s="5" t="str">
        <f>_xlfn.XLOOKUP(role_course_map[[#This Row],[course_id]],course_data[course_id],course_data[topic],"")</f>
        <v>SAS : Clinical Practice</v>
      </c>
      <c r="F2446" s="5" t="str">
        <f>_xlfn.XLOOKUP(role_course_map[[#This Row],[course_id]],course_data[course_id],course_data[type],"")</f>
        <v>Course</v>
      </c>
      <c r="K2446" t="str">
        <f>role_course_map[[#This Row],[role_id]] &amp; "|" &amp; role_course_map[[#This Row],[course_id]]</f>
        <v>R0089|999009</v>
      </c>
      <c r="L2446" t="str">
        <f>IF(COUNTIF(role_course_map[mapping_key],role_course_map[[#This Row],[mapping_key]])&gt;1,"DUPLICATE","OK")</f>
        <v>OK</v>
      </c>
      <c r="M2446" t="str">
        <f>IF(COUNTIF(role_data[role_id],role_course_map[[#This Row],[role_id]])=0, "INVALID","VALID")</f>
        <v>VALID</v>
      </c>
      <c r="N2446" t="str">
        <f>IF(COUNTIF(course_data[course_id],role_course_map[[#This Row],[course_id]])=0, "INVALID","VALID")</f>
        <v>VALID</v>
      </c>
    </row>
    <row r="2447" spans="1:14" x14ac:dyDescent="0.35">
      <c r="A2447" t="s">
        <v>191</v>
      </c>
      <c r="B2447" s="5" t="str">
        <f>_xlfn.XLOOKUP(role_course_map[[#This Row],[role_id]], role_data[role_id], role_data[Role],"")</f>
        <v>Ambulance Technician</v>
      </c>
      <c r="C2447">
        <v>999007</v>
      </c>
      <c r="D2447" s="5" t="str">
        <f>_xlfn.XLOOKUP(role_course_map[[#This Row],[course_id]],course_data[course_id],course_data[title],"")</f>
        <v>Obstetrics</v>
      </c>
      <c r="E2447" s="5" t="str">
        <f>_xlfn.XLOOKUP(role_course_map[[#This Row],[course_id]],course_data[course_id],course_data[topic],"")</f>
        <v>SAS : Clinical Practice</v>
      </c>
      <c r="F2447" s="5" t="str">
        <f>_xlfn.XLOOKUP(role_course_map[[#This Row],[course_id]],course_data[course_id],course_data[type],"")</f>
        <v>Course</v>
      </c>
      <c r="K2447" t="str">
        <f>role_course_map[[#This Row],[role_id]] &amp; "|" &amp; role_course_map[[#This Row],[course_id]]</f>
        <v>R0089|999007</v>
      </c>
      <c r="L2447" t="str">
        <f>IF(COUNTIF(role_course_map[mapping_key],role_course_map[[#This Row],[mapping_key]])&gt;1,"DUPLICATE","OK")</f>
        <v>OK</v>
      </c>
      <c r="M2447" t="str">
        <f>IF(COUNTIF(role_data[role_id],role_course_map[[#This Row],[role_id]])=0, "INVALID","VALID")</f>
        <v>VALID</v>
      </c>
      <c r="N2447" t="str">
        <f>IF(COUNTIF(course_data[course_id],role_course_map[[#This Row],[course_id]])=0, "INVALID","VALID")</f>
        <v>VALID</v>
      </c>
    </row>
    <row r="2448" spans="1:14" x14ac:dyDescent="0.35">
      <c r="A2448" t="s">
        <v>191</v>
      </c>
      <c r="B2448" s="5" t="str">
        <f>_xlfn.XLOOKUP(role_course_map[[#This Row],[role_id]], role_data[role_id], role_data[Role],"")</f>
        <v>Ambulance Technician</v>
      </c>
      <c r="C2448">
        <v>999008</v>
      </c>
      <c r="D2448" s="5" t="str">
        <f>_xlfn.XLOOKUP(role_course_map[[#This Row],[course_id]],course_data[course_id],course_data[title],"")</f>
        <v>Obstetrics</v>
      </c>
      <c r="E2448" s="5" t="str">
        <f>_xlfn.XLOOKUP(role_course_map[[#This Row],[course_id]],course_data[course_id],course_data[topic],"")</f>
        <v>SAS : Clinical Practice</v>
      </c>
      <c r="F2448" s="5" t="str">
        <f>_xlfn.XLOOKUP(role_course_map[[#This Row],[course_id]],course_data[course_id],course_data[type],"")</f>
        <v>eLearning</v>
      </c>
      <c r="K2448" t="str">
        <f>role_course_map[[#This Row],[role_id]] &amp; "|" &amp; role_course_map[[#This Row],[course_id]]</f>
        <v>R0089|999008</v>
      </c>
      <c r="L2448" t="str">
        <f>IF(COUNTIF(role_course_map[mapping_key],role_course_map[[#This Row],[mapping_key]])&gt;1,"DUPLICATE","OK")</f>
        <v>OK</v>
      </c>
      <c r="M2448" t="str">
        <f>IF(COUNTIF(role_data[role_id],role_course_map[[#This Row],[role_id]])=0, "INVALID","VALID")</f>
        <v>VALID</v>
      </c>
      <c r="N2448" t="str">
        <f>IF(COUNTIF(course_data[course_id],role_course_map[[#This Row],[course_id]])=0, "INVALID","VALID")</f>
        <v>VALID</v>
      </c>
    </row>
    <row r="2449" spans="1:14" x14ac:dyDescent="0.35">
      <c r="A2449" t="s">
        <v>191</v>
      </c>
      <c r="B2449" s="5" t="str">
        <f>_xlfn.XLOOKUP(role_course_map[[#This Row],[role_id]], role_data[role_id], role_data[Role],"")</f>
        <v>Ambulance Technician</v>
      </c>
      <c r="C2449">
        <v>999010</v>
      </c>
      <c r="D2449" s="5" t="str">
        <f>_xlfn.XLOOKUP(role_course_map[[#This Row],[course_id]],course_data[course_id],course_data[title],"")</f>
        <v>Paediatrics</v>
      </c>
      <c r="E2449" s="5" t="str">
        <f>_xlfn.XLOOKUP(role_course_map[[#This Row],[course_id]],course_data[course_id],course_data[topic],"")</f>
        <v>SAS : Clinical Practice</v>
      </c>
      <c r="F2449" s="5" t="str">
        <f>_xlfn.XLOOKUP(role_course_map[[#This Row],[course_id]],course_data[course_id],course_data[type],"")</f>
        <v>Course</v>
      </c>
      <c r="K2449" t="str">
        <f>role_course_map[[#This Row],[role_id]] &amp; "|" &amp; role_course_map[[#This Row],[course_id]]</f>
        <v>R0089|999010</v>
      </c>
      <c r="L2449" t="str">
        <f>IF(COUNTIF(role_course_map[mapping_key],role_course_map[[#This Row],[mapping_key]])&gt;1,"DUPLICATE","OK")</f>
        <v>OK</v>
      </c>
      <c r="M2449" t="str">
        <f>IF(COUNTIF(role_data[role_id],role_course_map[[#This Row],[role_id]])=0, "INVALID","VALID")</f>
        <v>VALID</v>
      </c>
      <c r="N2449" t="str">
        <f>IF(COUNTIF(course_data[course_id],role_course_map[[#This Row],[course_id]])=0, "INVALID","VALID")</f>
        <v>VALID</v>
      </c>
    </row>
    <row r="2450" spans="1:14" x14ac:dyDescent="0.35">
      <c r="A2450" t="s">
        <v>191</v>
      </c>
      <c r="B2450" s="5" t="str">
        <f>_xlfn.XLOOKUP(role_course_map[[#This Row],[role_id]], role_data[role_id], role_data[Role],"")</f>
        <v>Ambulance Technician</v>
      </c>
      <c r="C2450">
        <v>999011</v>
      </c>
      <c r="D2450" s="5" t="str">
        <f>_xlfn.XLOOKUP(role_course_map[[#This Row],[course_id]],course_data[course_id],course_data[title],"")</f>
        <v>Paediatrics</v>
      </c>
      <c r="E2450" s="5" t="str">
        <f>_xlfn.XLOOKUP(role_course_map[[#This Row],[course_id]],course_data[course_id],course_data[topic],"")</f>
        <v>SAS : Clinical Practice</v>
      </c>
      <c r="F2450" s="5" t="str">
        <f>_xlfn.XLOOKUP(role_course_map[[#This Row],[course_id]],course_data[course_id],course_data[type],"")</f>
        <v>eLearning</v>
      </c>
      <c r="K2450" t="str">
        <f>role_course_map[[#This Row],[role_id]] &amp; "|" &amp; role_course_map[[#This Row],[course_id]]</f>
        <v>R0089|999011</v>
      </c>
      <c r="L2450" t="str">
        <f>IF(COUNTIF(role_course_map[mapping_key],role_course_map[[#This Row],[mapping_key]])&gt;1,"DUPLICATE","OK")</f>
        <v>OK</v>
      </c>
      <c r="M2450" t="str">
        <f>IF(COUNTIF(role_data[role_id],role_course_map[[#This Row],[role_id]])=0, "INVALID","VALID")</f>
        <v>VALID</v>
      </c>
      <c r="N2450" t="str">
        <f>IF(COUNTIF(course_data[course_id],role_course_map[[#This Row],[course_id]])=0, "INVALID","VALID")</f>
        <v>VALID</v>
      </c>
    </row>
    <row r="2451" spans="1:14" x14ac:dyDescent="0.35">
      <c r="A2451" t="s">
        <v>191</v>
      </c>
      <c r="B2451" s="5" t="str">
        <f>_xlfn.XLOOKUP(role_course_map[[#This Row],[role_id]], role_data[role_id], role_data[Role],"")</f>
        <v>Ambulance Technician</v>
      </c>
      <c r="C2451">
        <v>999012</v>
      </c>
      <c r="D2451" s="5" t="str">
        <f>_xlfn.XLOOKUP(role_course_map[[#This Row],[course_id]],course_data[course_id],course_data[title],"")</f>
        <v>Trauma</v>
      </c>
      <c r="E2451" s="5" t="str">
        <f>_xlfn.XLOOKUP(role_course_map[[#This Row],[course_id]],course_data[course_id],course_data[topic],"")</f>
        <v>SAS : Clinical Practice</v>
      </c>
      <c r="F2451" s="5" t="str">
        <f>_xlfn.XLOOKUP(role_course_map[[#This Row],[course_id]],course_data[course_id],course_data[type],"")</f>
        <v>Course</v>
      </c>
      <c r="K2451" t="str">
        <f>role_course_map[[#This Row],[role_id]] &amp; "|" &amp; role_course_map[[#This Row],[course_id]]</f>
        <v>R0089|999012</v>
      </c>
      <c r="L2451" t="str">
        <f>IF(COUNTIF(role_course_map[mapping_key],role_course_map[[#This Row],[mapping_key]])&gt;1,"DUPLICATE","OK")</f>
        <v>OK</v>
      </c>
      <c r="M2451" t="str">
        <f>IF(COUNTIF(role_data[role_id],role_course_map[[#This Row],[role_id]])=0, "INVALID","VALID")</f>
        <v>VALID</v>
      </c>
      <c r="N2451" t="str">
        <f>IF(COUNTIF(course_data[course_id],role_course_map[[#This Row],[course_id]])=0, "INVALID","VALID")</f>
        <v>VALID</v>
      </c>
    </row>
    <row r="2452" spans="1:14" x14ac:dyDescent="0.35">
      <c r="A2452" t="s">
        <v>191</v>
      </c>
      <c r="B2452" s="5" t="str">
        <f>_xlfn.XLOOKUP(role_course_map[[#This Row],[role_id]], role_data[role_id], role_data[Role],"")</f>
        <v>Ambulance Technician</v>
      </c>
      <c r="C2452">
        <v>999013</v>
      </c>
      <c r="D2452" s="5" t="str">
        <f>_xlfn.XLOOKUP(role_course_map[[#This Row],[course_id]],course_data[course_id],course_data[title],"")</f>
        <v>Trauma</v>
      </c>
      <c r="E2452" s="5" t="str">
        <f>_xlfn.XLOOKUP(role_course_map[[#This Row],[course_id]],course_data[course_id],course_data[topic],"")</f>
        <v>SAS : Clinical Practice</v>
      </c>
      <c r="F2452" s="5" t="str">
        <f>_xlfn.XLOOKUP(role_course_map[[#This Row],[course_id]],course_data[course_id],course_data[type],"")</f>
        <v>eLearning</v>
      </c>
      <c r="K2452" t="str">
        <f>role_course_map[[#This Row],[role_id]] &amp; "|" &amp; role_course_map[[#This Row],[course_id]]</f>
        <v>R0089|999013</v>
      </c>
      <c r="L2452" t="str">
        <f>IF(COUNTIF(role_course_map[mapping_key],role_course_map[[#This Row],[mapping_key]])&gt;1,"DUPLICATE","OK")</f>
        <v>OK</v>
      </c>
      <c r="M2452" t="str">
        <f>IF(COUNTIF(role_data[role_id],role_course_map[[#This Row],[role_id]])=0, "INVALID","VALID")</f>
        <v>VALID</v>
      </c>
      <c r="N2452" t="str">
        <f>IF(COUNTIF(course_data[course_id],role_course_map[[#This Row],[course_id]])=0, "INVALID","VALID")</f>
        <v>VALID</v>
      </c>
    </row>
    <row r="2453" spans="1:14" x14ac:dyDescent="0.35">
      <c r="A2453" t="s">
        <v>191</v>
      </c>
      <c r="B2453" s="5" t="str">
        <f>_xlfn.XLOOKUP(role_course_map[[#This Row],[role_id]], role_data[role_id], role_data[Role],"")</f>
        <v>Ambulance Technician</v>
      </c>
      <c r="C2453">
        <v>999014</v>
      </c>
      <c r="D2453" s="5" t="str">
        <f>_xlfn.XLOOKUP(role_course_map[[#This Row],[course_id]],course_data[course_id],course_data[title],"")</f>
        <v>Patient Assessment</v>
      </c>
      <c r="E2453" s="5" t="str">
        <f>_xlfn.XLOOKUP(role_course_map[[#This Row],[course_id]],course_data[course_id],course_data[topic],"")</f>
        <v>SAS : Clinical Practice</v>
      </c>
      <c r="F2453" s="5" t="str">
        <f>_xlfn.XLOOKUP(role_course_map[[#This Row],[course_id]],course_data[course_id],course_data[type],"")</f>
        <v>Course</v>
      </c>
      <c r="K2453" t="str">
        <f>role_course_map[[#This Row],[role_id]] &amp; "|" &amp; role_course_map[[#This Row],[course_id]]</f>
        <v>R0089|999014</v>
      </c>
      <c r="L2453" t="str">
        <f>IF(COUNTIF(role_course_map[mapping_key],role_course_map[[#This Row],[mapping_key]])&gt;1,"DUPLICATE","OK")</f>
        <v>OK</v>
      </c>
      <c r="M2453" t="str">
        <f>IF(COUNTIF(role_data[role_id],role_course_map[[#This Row],[role_id]])=0, "INVALID","VALID")</f>
        <v>VALID</v>
      </c>
      <c r="N2453" t="str">
        <f>IF(COUNTIF(course_data[course_id],role_course_map[[#This Row],[course_id]])=0, "INVALID","VALID")</f>
        <v>VALID</v>
      </c>
    </row>
    <row r="2454" spans="1:14" x14ac:dyDescent="0.35">
      <c r="A2454" t="s">
        <v>191</v>
      </c>
      <c r="B2454" s="5" t="str">
        <f>_xlfn.XLOOKUP(role_course_map[[#This Row],[role_id]], role_data[role_id], role_data[Role],"")</f>
        <v>Ambulance Technician</v>
      </c>
      <c r="C2454">
        <v>999015</v>
      </c>
      <c r="D2454" s="5" t="str">
        <f>_xlfn.XLOOKUP(role_course_map[[#This Row],[course_id]],course_data[course_id],course_data[title],"")</f>
        <v>Patient Assessment</v>
      </c>
      <c r="E2454" s="5" t="str">
        <f>_xlfn.XLOOKUP(role_course_map[[#This Row],[course_id]],course_data[course_id],course_data[topic],"")</f>
        <v>SAS : Clinical Practice</v>
      </c>
      <c r="F2454" s="5" t="str">
        <f>_xlfn.XLOOKUP(role_course_map[[#This Row],[course_id]],course_data[course_id],course_data[type],"")</f>
        <v>eLearning</v>
      </c>
      <c r="K2454" t="str">
        <f>role_course_map[[#This Row],[role_id]] &amp; "|" &amp; role_course_map[[#This Row],[course_id]]</f>
        <v>R0089|999015</v>
      </c>
      <c r="L2454" t="str">
        <f>IF(COUNTIF(role_course_map[mapping_key],role_course_map[[#This Row],[mapping_key]])&gt;1,"DUPLICATE","OK")</f>
        <v>OK</v>
      </c>
      <c r="M2454" t="str">
        <f>IF(COUNTIF(role_data[role_id],role_course_map[[#This Row],[role_id]])=0, "INVALID","VALID")</f>
        <v>VALID</v>
      </c>
      <c r="N2454" t="str">
        <f>IF(COUNTIF(course_data[course_id],role_course_map[[#This Row],[course_id]])=0, "INVALID","VALID")</f>
        <v>VALID</v>
      </c>
    </row>
    <row r="2455" spans="1:14" x14ac:dyDescent="0.35">
      <c r="A2455" t="s">
        <v>191</v>
      </c>
      <c r="B2455" s="5" t="str">
        <f>_xlfn.XLOOKUP(role_course_map[[#This Row],[role_id]], role_data[role_id], role_data[Role],"")</f>
        <v>Ambulance Technician</v>
      </c>
      <c r="C2455">
        <v>999016</v>
      </c>
      <c r="D2455" s="5" t="str">
        <f>_xlfn.XLOOKUP(role_course_map[[#This Row],[course_id]],course_data[course_id],course_data[title],"")</f>
        <v>Clinical Skills</v>
      </c>
      <c r="E2455" s="5" t="str">
        <f>_xlfn.XLOOKUP(role_course_map[[#This Row],[course_id]],course_data[course_id],course_data[topic],"")</f>
        <v>SAS : Clinical Practice</v>
      </c>
      <c r="F2455" s="5" t="str">
        <f>_xlfn.XLOOKUP(role_course_map[[#This Row],[course_id]],course_data[course_id],course_data[type],"")</f>
        <v>Course</v>
      </c>
      <c r="K2455" t="str">
        <f>role_course_map[[#This Row],[role_id]] &amp; "|" &amp; role_course_map[[#This Row],[course_id]]</f>
        <v>R0089|999016</v>
      </c>
      <c r="L2455" t="str">
        <f>IF(COUNTIF(role_course_map[mapping_key],role_course_map[[#This Row],[mapping_key]])&gt;1,"DUPLICATE","OK")</f>
        <v>OK</v>
      </c>
      <c r="M2455" t="str">
        <f>IF(COUNTIF(role_data[role_id],role_course_map[[#This Row],[role_id]])=0, "INVALID","VALID")</f>
        <v>VALID</v>
      </c>
      <c r="N2455" t="str">
        <f>IF(COUNTIF(course_data[course_id],role_course_map[[#This Row],[course_id]])=0, "INVALID","VALID")</f>
        <v>VALID</v>
      </c>
    </row>
    <row r="2456" spans="1:14" x14ac:dyDescent="0.35">
      <c r="A2456" t="s">
        <v>191</v>
      </c>
      <c r="B2456" s="5" t="str">
        <f>_xlfn.XLOOKUP(role_course_map[[#This Row],[role_id]], role_data[role_id], role_data[Role],"")</f>
        <v>Ambulance Technician</v>
      </c>
      <c r="C2456">
        <v>999017</v>
      </c>
      <c r="D2456" s="5" t="str">
        <f>_xlfn.XLOOKUP(role_course_map[[#This Row],[course_id]],course_data[course_id],course_data[title],"")</f>
        <v>Clinical Skills</v>
      </c>
      <c r="E2456" s="5" t="str">
        <f>_xlfn.XLOOKUP(role_course_map[[#This Row],[course_id]],course_data[course_id],course_data[topic],"")</f>
        <v>SAS : Clinical Practice</v>
      </c>
      <c r="F2456" s="5" t="str">
        <f>_xlfn.XLOOKUP(role_course_map[[#This Row],[course_id]],course_data[course_id],course_data[type],"")</f>
        <v>eLearning</v>
      </c>
      <c r="K2456" t="str">
        <f>role_course_map[[#This Row],[role_id]] &amp; "|" &amp; role_course_map[[#This Row],[course_id]]</f>
        <v>R0089|999017</v>
      </c>
      <c r="L2456" t="str">
        <f>IF(COUNTIF(role_course_map[mapping_key],role_course_map[[#This Row],[mapping_key]])&gt;1,"DUPLICATE","OK")</f>
        <v>OK</v>
      </c>
      <c r="M2456" t="str">
        <f>IF(COUNTIF(role_data[role_id],role_course_map[[#This Row],[role_id]])=0, "INVALID","VALID")</f>
        <v>VALID</v>
      </c>
      <c r="N2456" t="str">
        <f>IF(COUNTIF(course_data[course_id],role_course_map[[#This Row],[course_id]])=0, "INVALID","VALID")</f>
        <v>VALID</v>
      </c>
    </row>
    <row r="2457" spans="1:14" x14ac:dyDescent="0.35">
      <c r="A2457" t="s">
        <v>191</v>
      </c>
      <c r="B2457" s="5" t="str">
        <f>_xlfn.XLOOKUP(role_course_map[[#This Row],[role_id]], role_data[role_id], role_data[Role],"")</f>
        <v>Ambulance Technician</v>
      </c>
      <c r="C2457">
        <v>999018</v>
      </c>
      <c r="D2457" s="5" t="str">
        <f>_xlfn.XLOOKUP(role_course_map[[#This Row],[course_id]],course_data[course_id],course_data[title],"")</f>
        <v>Learning from Events</v>
      </c>
      <c r="E2457" s="5" t="str">
        <f>_xlfn.XLOOKUP(role_course_map[[#This Row],[course_id]],course_data[course_id],course_data[topic],"")</f>
        <v>SAS : Clinical Practice</v>
      </c>
      <c r="F2457" s="5" t="str">
        <f>_xlfn.XLOOKUP(role_course_map[[#This Row],[course_id]],course_data[course_id],course_data[type],"")</f>
        <v>eLearning</v>
      </c>
      <c r="K2457" t="str">
        <f>role_course_map[[#This Row],[role_id]] &amp; "|" &amp; role_course_map[[#This Row],[course_id]]</f>
        <v>R0089|999018</v>
      </c>
      <c r="L2457" t="str">
        <f>IF(COUNTIF(role_course_map[mapping_key],role_course_map[[#This Row],[mapping_key]])&gt;1,"DUPLICATE","OK")</f>
        <v>OK</v>
      </c>
      <c r="M2457" t="str">
        <f>IF(COUNTIF(role_data[role_id],role_course_map[[#This Row],[role_id]])=0, "INVALID","VALID")</f>
        <v>VALID</v>
      </c>
      <c r="N2457" t="str">
        <f>IF(COUNTIF(course_data[course_id],role_course_map[[#This Row],[course_id]])=0, "INVALID","VALID")</f>
        <v>VALID</v>
      </c>
    </row>
    <row r="2458" spans="1:14" x14ac:dyDescent="0.35">
      <c r="A2458" t="s">
        <v>191</v>
      </c>
      <c r="B2458" s="5" t="str">
        <f>_xlfn.XLOOKUP(role_course_map[[#This Row],[role_id]], role_data[role_id], role_data[Role],"")</f>
        <v>Ambulance Technician</v>
      </c>
      <c r="C2458">
        <v>999019</v>
      </c>
      <c r="D2458" s="5" t="str">
        <f>_xlfn.XLOOKUP(role_course_map[[#This Row],[course_id]],course_data[course_id],course_data[title],"")</f>
        <v>Medicines Management</v>
      </c>
      <c r="E2458" s="5" t="str">
        <f>_xlfn.XLOOKUP(role_course_map[[#This Row],[course_id]],course_data[course_id],course_data[topic],"")</f>
        <v>SAS : Clinical Practice</v>
      </c>
      <c r="F2458" s="5" t="str">
        <f>_xlfn.XLOOKUP(role_course_map[[#This Row],[course_id]],course_data[course_id],course_data[type],"")</f>
        <v>eLearning</v>
      </c>
      <c r="K2458" t="str">
        <f>role_course_map[[#This Row],[role_id]] &amp; "|" &amp; role_course_map[[#This Row],[course_id]]</f>
        <v>R0089|999019</v>
      </c>
      <c r="L2458" t="str">
        <f>IF(COUNTIF(role_course_map[mapping_key],role_course_map[[#This Row],[mapping_key]])&gt;1,"DUPLICATE","OK")</f>
        <v>OK</v>
      </c>
      <c r="M2458" t="str">
        <f>IF(COUNTIF(role_data[role_id],role_course_map[[#This Row],[role_id]])=0, "INVALID","VALID")</f>
        <v>VALID</v>
      </c>
      <c r="N2458" t="str">
        <f>IF(COUNTIF(course_data[course_id],role_course_map[[#This Row],[course_id]])=0, "INVALID","VALID")</f>
        <v>VALID</v>
      </c>
    </row>
    <row r="2459" spans="1:14" x14ac:dyDescent="0.35">
      <c r="A2459" t="s">
        <v>191</v>
      </c>
      <c r="B2459" s="5" t="str">
        <f>_xlfn.XLOOKUP(role_course_map[[#This Row],[role_id]], role_data[role_id], role_data[Role],"")</f>
        <v>Ambulance Technician</v>
      </c>
      <c r="C2459">
        <v>999020</v>
      </c>
      <c r="D2459" s="5" t="str">
        <f>_xlfn.XLOOKUP(role_course_map[[#This Row],[course_id]],course_data[course_id],course_data[title],"")</f>
        <v>JRCALC Update</v>
      </c>
      <c r="E2459" s="5" t="str">
        <f>_xlfn.XLOOKUP(role_course_map[[#This Row],[course_id]],course_data[course_id],course_data[topic],"")</f>
        <v>SAS : Clinical Practice</v>
      </c>
      <c r="F2459" s="5" t="str">
        <f>_xlfn.XLOOKUP(role_course_map[[#This Row],[course_id]],course_data[course_id],course_data[type],"")</f>
        <v>eLearning</v>
      </c>
      <c r="K2459" t="str">
        <f>role_course_map[[#This Row],[role_id]] &amp; "|" &amp; role_course_map[[#This Row],[course_id]]</f>
        <v>R0089|999020</v>
      </c>
      <c r="L2459" t="str">
        <f>IF(COUNTIF(role_course_map[mapping_key],role_course_map[[#This Row],[mapping_key]])&gt;1,"DUPLICATE","OK")</f>
        <v>OK</v>
      </c>
      <c r="M2459" t="str">
        <f>IF(COUNTIF(role_data[role_id],role_course_map[[#This Row],[role_id]])=0, "INVALID","VALID")</f>
        <v>VALID</v>
      </c>
      <c r="N2459" t="str">
        <f>IF(COUNTIF(course_data[course_id],role_course_map[[#This Row],[course_id]])=0, "INVALID","VALID")</f>
        <v>VALID</v>
      </c>
    </row>
    <row r="2460" spans="1:14" x14ac:dyDescent="0.35">
      <c r="A2460" t="s">
        <v>191</v>
      </c>
      <c r="B2460" s="5" t="str">
        <f>_xlfn.XLOOKUP(role_course_map[[#This Row],[role_id]], role_data[role_id], role_data[Role],"")</f>
        <v>Ambulance Technician</v>
      </c>
      <c r="C2460">
        <v>999021</v>
      </c>
      <c r="D2460" s="5" t="str">
        <f>_xlfn.XLOOKUP(role_course_map[[#This Row],[course_id]],course_data[course_id],course_data[title],"")</f>
        <v>Mental Health</v>
      </c>
      <c r="E2460" s="5" t="str">
        <f>_xlfn.XLOOKUP(role_course_map[[#This Row],[course_id]],course_data[course_id],course_data[topic],"")</f>
        <v>SAS : Clinical Practice</v>
      </c>
      <c r="F2460" s="5" t="str">
        <f>_xlfn.XLOOKUP(role_course_map[[#This Row],[course_id]],course_data[course_id],course_data[type],"")</f>
        <v>eLearning</v>
      </c>
      <c r="K2460" t="str">
        <f>role_course_map[[#This Row],[role_id]] &amp; "|" &amp; role_course_map[[#This Row],[course_id]]</f>
        <v>R0089|999021</v>
      </c>
      <c r="L2460" t="str">
        <f>IF(COUNTIF(role_course_map[mapping_key],role_course_map[[#This Row],[mapping_key]])&gt;1,"DUPLICATE","OK")</f>
        <v>OK</v>
      </c>
      <c r="M2460" t="str">
        <f>IF(COUNTIF(role_data[role_id],role_course_map[[#This Row],[role_id]])=0, "INVALID","VALID")</f>
        <v>VALID</v>
      </c>
      <c r="N2460" t="str">
        <f>IF(COUNTIF(course_data[course_id],role_course_map[[#This Row],[course_id]])=0, "INVALID","VALID")</f>
        <v>VALID</v>
      </c>
    </row>
    <row r="2461" spans="1:14" x14ac:dyDescent="0.35">
      <c r="A2461" t="s">
        <v>191</v>
      </c>
      <c r="B2461" s="5" t="str">
        <f>_xlfn.XLOOKUP(role_course_map[[#This Row],[role_id]], role_data[role_id], role_data[Role],"")</f>
        <v>Ambulance Technician</v>
      </c>
      <c r="C2461">
        <v>999022</v>
      </c>
      <c r="D2461" s="5" t="str">
        <f>_xlfn.XLOOKUP(role_course_map[[#This Row],[course_id]],course_data[course_id],course_data[title],"")</f>
        <v>Learning Disabilities</v>
      </c>
      <c r="E2461" s="5" t="str">
        <f>_xlfn.XLOOKUP(role_course_map[[#This Row],[course_id]],course_data[course_id],course_data[topic],"")</f>
        <v>SAS : Clinical Practice</v>
      </c>
      <c r="F2461" s="5" t="str">
        <f>_xlfn.XLOOKUP(role_course_map[[#This Row],[course_id]],course_data[course_id],course_data[type],"")</f>
        <v>eLearning</v>
      </c>
      <c r="K2461" t="str">
        <f>role_course_map[[#This Row],[role_id]] &amp; "|" &amp; role_course_map[[#This Row],[course_id]]</f>
        <v>R0089|999022</v>
      </c>
      <c r="L2461" t="str">
        <f>IF(COUNTIF(role_course_map[mapping_key],role_course_map[[#This Row],[mapping_key]])&gt;1,"DUPLICATE","OK")</f>
        <v>OK</v>
      </c>
      <c r="M2461" t="str">
        <f>IF(COUNTIF(role_data[role_id],role_course_map[[#This Row],[role_id]])=0, "INVALID","VALID")</f>
        <v>VALID</v>
      </c>
      <c r="N2461" t="str">
        <f>IF(COUNTIF(course_data[course_id],role_course_map[[#This Row],[course_id]])=0, "INVALID","VALID")</f>
        <v>VALID</v>
      </c>
    </row>
    <row r="2462" spans="1:14" x14ac:dyDescent="0.35">
      <c r="A2462" t="s">
        <v>191</v>
      </c>
      <c r="B2462" s="5" t="str">
        <f>_xlfn.XLOOKUP(role_course_map[[#This Row],[role_id]], role_data[role_id], role_data[Role],"")</f>
        <v>Ambulance Technician</v>
      </c>
      <c r="C2462">
        <v>75202</v>
      </c>
      <c r="D2462" s="5" t="str">
        <f>_xlfn.XLOOKUP(role_course_map[[#This Row],[course_id]],course_data[course_id],course_data[title],"")</f>
        <v>SAS : Clinical Practice</v>
      </c>
      <c r="E2462" s="5" t="str">
        <f>_xlfn.XLOOKUP(role_course_map[[#This Row],[course_id]],course_data[course_id],course_data[topic],"")</f>
        <v>SAS : Clinical Practice</v>
      </c>
      <c r="F2462" s="5" t="str">
        <f>_xlfn.XLOOKUP(role_course_map[[#This Row],[course_id]],course_data[course_id],course_data[type],"")</f>
        <v>Page</v>
      </c>
      <c r="K2462" t="str">
        <f>role_course_map[[#This Row],[role_id]] &amp; "|" &amp; role_course_map[[#This Row],[course_id]]</f>
        <v>R0089|75202</v>
      </c>
      <c r="L2462" t="str">
        <f>IF(COUNTIF(role_course_map[mapping_key],role_course_map[[#This Row],[mapping_key]])&gt;1,"DUPLICATE","OK")</f>
        <v>OK</v>
      </c>
      <c r="M2462" t="str">
        <f>IF(COUNTIF(role_data[role_id],role_course_map[[#This Row],[role_id]])=0, "INVALID","VALID")</f>
        <v>VALID</v>
      </c>
      <c r="N2462" t="str">
        <f>IF(COUNTIF(course_data[course_id],role_course_map[[#This Row],[course_id]])=0, "INVALID","VALID")</f>
        <v>VALID</v>
      </c>
    </row>
    <row r="2463" spans="1:14" x14ac:dyDescent="0.35">
      <c r="A2463" t="s">
        <v>191</v>
      </c>
      <c r="B2463" s="5" t="str">
        <f>_xlfn.XLOOKUP(role_course_map[[#This Row],[role_id]], role_data[role_id], role_data[Role],"")</f>
        <v>Ambulance Technician</v>
      </c>
      <c r="C2463">
        <v>999023</v>
      </c>
      <c r="D2463" s="5" t="str">
        <f>_xlfn.XLOOKUP(role_course_map[[#This Row],[course_id]],course_data[course_id],course_data[title],"")</f>
        <v>Dementia</v>
      </c>
      <c r="E2463" s="5" t="str">
        <f>_xlfn.XLOOKUP(role_course_map[[#This Row],[course_id]],course_data[course_id],course_data[topic],"")</f>
        <v>SAS : Clinical Practice</v>
      </c>
      <c r="F2463" s="5" t="str">
        <f>_xlfn.XLOOKUP(role_course_map[[#This Row],[course_id]],course_data[course_id],course_data[type],"")</f>
        <v>eLearning</v>
      </c>
      <c r="K2463" t="str">
        <f>role_course_map[[#This Row],[role_id]] &amp; "|" &amp; role_course_map[[#This Row],[course_id]]</f>
        <v>R0089|999023</v>
      </c>
      <c r="L2463" t="str">
        <f>IF(COUNTIF(role_course_map[mapping_key],role_course_map[[#This Row],[mapping_key]])&gt;1,"DUPLICATE","OK")</f>
        <v>OK</v>
      </c>
      <c r="M2463" t="str">
        <f>IF(COUNTIF(role_data[role_id],role_course_map[[#This Row],[role_id]])=0, "INVALID","VALID")</f>
        <v>VALID</v>
      </c>
      <c r="N2463" t="str">
        <f>IF(COUNTIF(course_data[course_id],role_course_map[[#This Row],[course_id]])=0, "INVALID","VALID")</f>
        <v>VALID</v>
      </c>
    </row>
    <row r="2464" spans="1:14" x14ac:dyDescent="0.35">
      <c r="A2464" t="s">
        <v>191</v>
      </c>
      <c r="B2464" s="5" t="str">
        <f>_xlfn.XLOOKUP(role_course_map[[#This Row],[role_id]], role_data[role_id], role_data[Role],"")</f>
        <v>Ambulance Technician</v>
      </c>
      <c r="C2464">
        <v>999024</v>
      </c>
      <c r="D2464" s="5" t="str">
        <f>_xlfn.XLOOKUP(role_course_map[[#This Row],[course_id]],course_data[course_id],course_data[title],"")</f>
        <v>Conditions requiring specific hospital management. I.e. Parkinsons</v>
      </c>
      <c r="E2464" s="5" t="str">
        <f>_xlfn.XLOOKUP(role_course_map[[#This Row],[course_id]],course_data[course_id],course_data[topic],"")</f>
        <v>SAS : Clinical Practice</v>
      </c>
      <c r="F2464" s="5" t="str">
        <f>_xlfn.XLOOKUP(role_course_map[[#This Row],[course_id]],course_data[course_id],course_data[type],"")</f>
        <v>eLearning</v>
      </c>
      <c r="K2464" t="str">
        <f>role_course_map[[#This Row],[role_id]] &amp; "|" &amp; role_course_map[[#This Row],[course_id]]</f>
        <v>R0089|999024</v>
      </c>
      <c r="L2464" t="str">
        <f>IF(COUNTIF(role_course_map[mapping_key],role_course_map[[#This Row],[mapping_key]])&gt;1,"DUPLICATE","OK")</f>
        <v>OK</v>
      </c>
      <c r="M2464" t="str">
        <f>IF(COUNTIF(role_data[role_id],role_course_map[[#This Row],[role_id]])=0, "INVALID","VALID")</f>
        <v>VALID</v>
      </c>
      <c r="N2464" t="str">
        <f>IF(COUNTIF(course_data[course_id],role_course_map[[#This Row],[course_id]])=0, "INVALID","VALID")</f>
        <v>VALID</v>
      </c>
    </row>
    <row r="2465" spans="1:14" x14ac:dyDescent="0.35">
      <c r="A2465" t="s">
        <v>191</v>
      </c>
      <c r="B2465" s="5" t="str">
        <f>_xlfn.XLOOKUP(role_course_map[[#This Row],[role_id]], role_data[role_id], role_data[Role],"")</f>
        <v>Ambulance Technician</v>
      </c>
      <c r="C2465">
        <v>999095</v>
      </c>
      <c r="D2465" s="5" t="str">
        <f>_xlfn.XLOOKUP(role_course_map[[#This Row],[course_id]],course_data[course_id],course_data[title],"")</f>
        <v>Mentoring</v>
      </c>
      <c r="E2465" s="5" t="str">
        <f>_xlfn.XLOOKUP(role_course_map[[#This Row],[course_id]],course_data[course_id],course_data[topic],"")</f>
        <v>SAS: Staff development and experience</v>
      </c>
      <c r="F2465" s="5" t="str">
        <f>_xlfn.XLOOKUP(role_course_map[[#This Row],[course_id]],course_data[course_id],course_data[type],"")</f>
        <v>eLearning</v>
      </c>
      <c r="K2465" t="str">
        <f>role_course_map[[#This Row],[role_id]] &amp; "|" &amp; role_course_map[[#This Row],[course_id]]</f>
        <v>R0089|999095</v>
      </c>
      <c r="L2465" t="str">
        <f>IF(COUNTIF(role_course_map[mapping_key],role_course_map[[#This Row],[mapping_key]])&gt;1,"DUPLICATE","OK")</f>
        <v>OK</v>
      </c>
      <c r="M2465" t="str">
        <f>IF(COUNTIF(role_data[role_id],role_course_map[[#This Row],[role_id]])=0, "INVALID","VALID")</f>
        <v>VALID</v>
      </c>
      <c r="N2465" t="str">
        <f>IF(COUNTIF(course_data[course_id],role_course_map[[#This Row],[course_id]])=0, "INVALID","VALID")</f>
        <v>VALID</v>
      </c>
    </row>
    <row r="2466" spans="1:14" x14ac:dyDescent="0.35">
      <c r="A2466" t="s">
        <v>191</v>
      </c>
      <c r="B2466" s="5" t="str">
        <f>_xlfn.XLOOKUP(role_course_map[[#This Row],[role_id]], role_data[role_id], role_data[Role],"")</f>
        <v>Ambulance Technician</v>
      </c>
      <c r="C2466">
        <v>999096</v>
      </c>
      <c r="D2466" s="5" t="str">
        <f>_xlfn.XLOOKUP(role_course_map[[#This Row],[course_id]],course_data[course_id],course_data[title],"")</f>
        <v>Supporting others in practice (Supervision)</v>
      </c>
      <c r="E2466" s="5" t="str">
        <f>_xlfn.XLOOKUP(role_course_map[[#This Row],[course_id]],course_data[course_id],course_data[topic],"")</f>
        <v>SAS: Staff development and experience</v>
      </c>
      <c r="F2466" s="5" t="str">
        <f>_xlfn.XLOOKUP(role_course_map[[#This Row],[course_id]],course_data[course_id],course_data[type],"")</f>
        <v>Course</v>
      </c>
      <c r="K2466" t="str">
        <f>role_course_map[[#This Row],[role_id]] &amp; "|" &amp; role_course_map[[#This Row],[course_id]]</f>
        <v>R0089|999096</v>
      </c>
      <c r="L2466" t="str">
        <f>IF(COUNTIF(role_course_map[mapping_key],role_course_map[[#This Row],[mapping_key]])&gt;1,"DUPLICATE","OK")</f>
        <v>OK</v>
      </c>
      <c r="M2466" t="str">
        <f>IF(COUNTIF(role_data[role_id],role_course_map[[#This Row],[role_id]])=0, "INVALID","VALID")</f>
        <v>VALID</v>
      </c>
      <c r="N2466" t="str">
        <f>IF(COUNTIF(course_data[course_id],role_course_map[[#This Row],[course_id]])=0, "INVALID","VALID")</f>
        <v>VALID</v>
      </c>
    </row>
    <row r="2467" spans="1:14" x14ac:dyDescent="0.35">
      <c r="A2467" t="s">
        <v>191</v>
      </c>
      <c r="B2467" s="5" t="str">
        <f>_xlfn.XLOOKUP(role_course_map[[#This Row],[role_id]], role_data[role_id], role_data[Role],"")</f>
        <v>Ambulance Technician</v>
      </c>
      <c r="C2467">
        <v>999097</v>
      </c>
      <c r="D2467" s="5" t="str">
        <f>_xlfn.XLOOKUP(role_course_map[[#This Row],[course_id]],course_data[course_id],course_data[title],"")</f>
        <v>Personal Wellbeing</v>
      </c>
      <c r="E2467" s="5" t="str">
        <f>_xlfn.XLOOKUP(role_course_map[[#This Row],[course_id]],course_data[course_id],course_data[topic],"")</f>
        <v>SAS: Staff development and experience</v>
      </c>
      <c r="F2467" s="5" t="str">
        <f>_xlfn.XLOOKUP(role_course_map[[#This Row],[course_id]],course_data[course_id],course_data[type],"")</f>
        <v>eLearning</v>
      </c>
      <c r="K2467" t="str">
        <f>role_course_map[[#This Row],[role_id]] &amp; "|" &amp; role_course_map[[#This Row],[course_id]]</f>
        <v>R0089|999097</v>
      </c>
      <c r="L2467" t="str">
        <f>IF(COUNTIF(role_course_map[mapping_key],role_course_map[[#This Row],[mapping_key]])&gt;1,"DUPLICATE","OK")</f>
        <v>OK</v>
      </c>
      <c r="M2467" t="str">
        <f>IF(COUNTIF(role_data[role_id],role_course_map[[#This Row],[role_id]])=0, "INVALID","VALID")</f>
        <v>VALID</v>
      </c>
      <c r="N2467" t="str">
        <f>IF(COUNTIF(course_data[course_id],role_course_map[[#This Row],[course_id]])=0, "INVALID","VALID")</f>
        <v>VALID</v>
      </c>
    </row>
    <row r="2468" spans="1:14" x14ac:dyDescent="0.35">
      <c r="A2468" t="s">
        <v>191</v>
      </c>
      <c r="B2468" s="5" t="str">
        <f>_xlfn.XLOOKUP(role_course_map[[#This Row],[role_id]], role_data[role_id], role_data[Role],"")</f>
        <v>Ambulance Technician</v>
      </c>
      <c r="C2468">
        <v>75407</v>
      </c>
      <c r="D2468" s="5" t="str">
        <f>_xlfn.XLOOKUP(role_course_map[[#This Row],[course_id]],course_data[course_id],course_data[title],"")</f>
        <v>Aspirant Leader Development Programme (ALDP)</v>
      </c>
      <c r="E2468" s="5" t="str">
        <f>_xlfn.XLOOKUP(role_course_map[[#This Row],[course_id]],course_data[course_id],course_data[topic],"")</f>
        <v>SAS: Staff development and experience</v>
      </c>
      <c r="F2468" s="5" t="str">
        <f>_xlfn.XLOOKUP(role_course_map[[#This Row],[course_id]],course_data[course_id],course_data[type],"")</f>
        <v>Page</v>
      </c>
      <c r="K2468" t="str">
        <f>role_course_map[[#This Row],[role_id]] &amp; "|" &amp; role_course_map[[#This Row],[course_id]]</f>
        <v>R0089|75407</v>
      </c>
      <c r="L2468" t="str">
        <f>IF(COUNTIF(role_course_map[mapping_key],role_course_map[[#This Row],[mapping_key]])&gt;1,"DUPLICATE","OK")</f>
        <v>OK</v>
      </c>
      <c r="M2468" t="str">
        <f>IF(COUNTIF(role_data[role_id],role_course_map[[#This Row],[role_id]])=0, "INVALID","VALID")</f>
        <v>VALID</v>
      </c>
      <c r="N2468" t="str">
        <f>IF(COUNTIF(course_data[course_id],role_course_map[[#This Row],[course_id]])=0, "INVALID","VALID")</f>
        <v>VALID</v>
      </c>
    </row>
    <row r="2469" spans="1:14" x14ac:dyDescent="0.35">
      <c r="A2469" t="s">
        <v>191</v>
      </c>
      <c r="B2469" s="5" t="str">
        <f>_xlfn.XLOOKUP(role_course_map[[#This Row],[role_id]], role_data[role_id], role_data[Role],"")</f>
        <v>Ambulance Technician</v>
      </c>
      <c r="C2469">
        <v>79147</v>
      </c>
      <c r="D2469" s="5" t="str">
        <f>_xlfn.XLOOKUP(role_course_map[[#This Row],[course_id]],course_data[course_id],course_data[title],"")</f>
        <v>Driving risks at work</v>
      </c>
      <c r="E2469" s="5" t="str">
        <f>_xlfn.XLOOKUP(role_course_map[[#This Row],[course_id]],course_data[course_id],course_data[topic],"")</f>
        <v>SAS : Health and Safety</v>
      </c>
      <c r="F2469" s="5" t="str">
        <f>_xlfn.XLOOKUP(role_course_map[[#This Row],[course_id]],course_data[course_id],course_data[type],"")</f>
        <v>eLearning</v>
      </c>
      <c r="K2469" t="str">
        <f>role_course_map[[#This Row],[role_id]] &amp; "|" &amp; role_course_map[[#This Row],[course_id]]</f>
        <v>R0089|79147</v>
      </c>
      <c r="L2469" t="str">
        <f>IF(COUNTIF(role_course_map[mapping_key],role_course_map[[#This Row],[mapping_key]])&gt;1,"DUPLICATE","OK")</f>
        <v>OK</v>
      </c>
      <c r="M2469" t="str">
        <f>IF(COUNTIF(role_data[role_id],role_course_map[[#This Row],[role_id]])=0, "INVALID","VALID")</f>
        <v>VALID</v>
      </c>
      <c r="N2469" t="str">
        <f>IF(COUNTIF(course_data[course_id],role_course_map[[#This Row],[course_id]])=0, "INVALID","VALID")</f>
        <v>VALID</v>
      </c>
    </row>
    <row r="2470" spans="1:14" x14ac:dyDescent="0.35">
      <c r="A2470" t="s">
        <v>191</v>
      </c>
      <c r="B2470" s="5" t="str">
        <f>_xlfn.XLOOKUP(role_course_map[[#This Row],[role_id]], role_data[role_id], role_data[Role],"")</f>
        <v>Ambulance Technician</v>
      </c>
      <c r="C2470">
        <v>999060</v>
      </c>
      <c r="D2470" s="5" t="str">
        <f>_xlfn.XLOOKUP(role_course_map[[#This Row],[course_id]],course_data[course_id],course_data[title],"")</f>
        <v>COSHH</v>
      </c>
      <c r="E2470" s="5" t="str">
        <f>_xlfn.XLOOKUP(role_course_map[[#This Row],[course_id]],course_data[course_id],course_data[topic],"")</f>
        <v>SAS : Health and Safety</v>
      </c>
      <c r="F2470" s="5" t="str">
        <f>_xlfn.XLOOKUP(role_course_map[[#This Row],[course_id]],course_data[course_id],course_data[type],"")</f>
        <v>eLearning</v>
      </c>
      <c r="K2470" t="str">
        <f>role_course_map[[#This Row],[role_id]] &amp; "|" &amp; role_course_map[[#This Row],[course_id]]</f>
        <v>R0089|999060</v>
      </c>
      <c r="L2470" t="str">
        <f>IF(COUNTIF(role_course_map[mapping_key],role_course_map[[#This Row],[mapping_key]])&gt;1,"DUPLICATE","OK")</f>
        <v>OK</v>
      </c>
      <c r="M2470" t="str">
        <f>IF(COUNTIF(role_data[role_id],role_course_map[[#This Row],[role_id]])=0, "INVALID","VALID")</f>
        <v>VALID</v>
      </c>
      <c r="N2470" t="str">
        <f>IF(COUNTIF(course_data[course_id],role_course_map[[#This Row],[course_id]])=0, "INVALID","VALID")</f>
        <v>VALID</v>
      </c>
    </row>
    <row r="2471" spans="1:14" x14ac:dyDescent="0.35">
      <c r="A2471" t="s">
        <v>191</v>
      </c>
      <c r="B2471" s="5" t="str">
        <f>_xlfn.XLOOKUP(role_course_map[[#This Row],[role_id]], role_data[role_id], role_data[Role],"")</f>
        <v>Ambulance Technician</v>
      </c>
      <c r="C2471">
        <v>999066</v>
      </c>
      <c r="D2471" s="5" t="str">
        <f>_xlfn.XLOOKUP(role_course_map[[#This Row],[course_id]],course_data[course_id],course_data[title],"")</f>
        <v>NRRD Update i.e. Major Incidents/Methane/ Multiple Casualities</v>
      </c>
      <c r="E2471" s="5" t="str">
        <f>_xlfn.XLOOKUP(role_course_map[[#This Row],[course_id]],course_data[course_id],course_data[topic],"")</f>
        <v>SAS : National Risk and Resilience Department (NRRD)</v>
      </c>
      <c r="F2471" s="5" t="str">
        <f>_xlfn.XLOOKUP(role_course_map[[#This Row],[course_id]],course_data[course_id],course_data[type],"")</f>
        <v>eLearning</v>
      </c>
      <c r="K2471" t="str">
        <f>role_course_map[[#This Row],[role_id]] &amp; "|" &amp; role_course_map[[#This Row],[course_id]]</f>
        <v>R0089|999066</v>
      </c>
      <c r="L2471" t="str">
        <f>IF(COUNTIF(role_course_map[mapping_key],role_course_map[[#This Row],[mapping_key]])&gt;1,"DUPLICATE","OK")</f>
        <v>OK</v>
      </c>
      <c r="M2471" t="str">
        <f>IF(COUNTIF(role_data[role_id],role_course_map[[#This Row],[role_id]])=0, "INVALID","VALID")</f>
        <v>VALID</v>
      </c>
      <c r="N2471" t="str">
        <f>IF(COUNTIF(course_data[course_id],role_course_map[[#This Row],[course_id]])=0, "INVALID","VALID")</f>
        <v>VALID</v>
      </c>
    </row>
    <row r="2472" spans="1:14" x14ac:dyDescent="0.35">
      <c r="A2472" t="s">
        <v>191</v>
      </c>
      <c r="B2472" s="5" t="str">
        <f>_xlfn.XLOOKUP(role_course_map[[#This Row],[role_id]], role_data[role_id], role_data[Role],"")</f>
        <v>Ambulance Technician</v>
      </c>
      <c r="C2472">
        <v>999025</v>
      </c>
      <c r="D2472" s="5" t="str">
        <f>_xlfn.XLOOKUP(role_course_map[[#This Row],[course_id]],course_data[course_id],course_data[title],"")</f>
        <v>Professional Standards</v>
      </c>
      <c r="E2472" s="5" t="str">
        <f>_xlfn.XLOOKUP(role_course_map[[#This Row],[course_id]],course_data[course_id],course_data[topic],"")</f>
        <v>SAS : Clinical Practice</v>
      </c>
      <c r="F2472" s="5" t="str">
        <f>_xlfn.XLOOKUP(role_course_map[[#This Row],[course_id]],course_data[course_id],course_data[type],"")</f>
        <v>eLearning</v>
      </c>
      <c r="K2472" t="str">
        <f>role_course_map[[#This Row],[role_id]] &amp; "|" &amp; role_course_map[[#This Row],[course_id]]</f>
        <v>R0089|999025</v>
      </c>
      <c r="L2472" t="str">
        <f>IF(COUNTIF(role_course_map[mapping_key],role_course_map[[#This Row],[mapping_key]])&gt;1,"DUPLICATE","OK")</f>
        <v>OK</v>
      </c>
      <c r="M2472" t="str">
        <f>IF(COUNTIF(role_data[role_id],role_course_map[[#This Row],[role_id]])=0, "INVALID","VALID")</f>
        <v>VALID</v>
      </c>
      <c r="N2472" t="str">
        <f>IF(COUNTIF(course_data[course_id],role_course_map[[#This Row],[course_id]])=0, "INVALID","VALID")</f>
        <v>VALID</v>
      </c>
    </row>
    <row r="2473" spans="1:14" x14ac:dyDescent="0.35">
      <c r="A2473" t="s">
        <v>191</v>
      </c>
      <c r="B2473" s="5" t="str">
        <f>_xlfn.XLOOKUP(role_course_map[[#This Row],[role_id]], role_data[role_id], role_data[Role],"")</f>
        <v>Ambulance Technician</v>
      </c>
      <c r="C2473">
        <v>999026</v>
      </c>
      <c r="D2473" s="5" t="str">
        <f>_xlfn.XLOOKUP(role_course_map[[#This Row],[course_id]],course_data[course_id],course_data[title],"")</f>
        <v>Communication Standards</v>
      </c>
      <c r="E2473" s="5" t="str">
        <f>_xlfn.XLOOKUP(role_course_map[[#This Row],[course_id]],course_data[course_id],course_data[topic],"")</f>
        <v>SAS : Clinical Practice</v>
      </c>
      <c r="F2473" s="5" t="str">
        <f>_xlfn.XLOOKUP(role_course_map[[#This Row],[course_id]],course_data[course_id],course_data[type],"")</f>
        <v>eLearning</v>
      </c>
      <c r="K2473" t="str">
        <f>role_course_map[[#This Row],[role_id]] &amp; "|" &amp; role_course_map[[#This Row],[course_id]]</f>
        <v>R0089|999026</v>
      </c>
      <c r="L2473" t="str">
        <f>IF(COUNTIF(role_course_map[mapping_key],role_course_map[[#This Row],[mapping_key]])&gt;1,"DUPLICATE","OK")</f>
        <v>OK</v>
      </c>
      <c r="M2473" t="str">
        <f>IF(COUNTIF(role_data[role_id],role_course_map[[#This Row],[role_id]])=0, "INVALID","VALID")</f>
        <v>VALID</v>
      </c>
      <c r="N2473" t="str">
        <f>IF(COUNTIF(course_data[course_id],role_course_map[[#This Row],[course_id]])=0, "INVALID","VALID")</f>
        <v>VALID</v>
      </c>
    </row>
    <row r="2474" spans="1:14" x14ac:dyDescent="0.35">
      <c r="A2474" t="s">
        <v>191</v>
      </c>
      <c r="B2474" s="5" t="str">
        <f>_xlfn.XLOOKUP(role_course_map[[#This Row],[role_id]], role_data[role_id], role_data[Role],"")</f>
        <v>Ambulance Technician</v>
      </c>
      <c r="C2474">
        <v>999056</v>
      </c>
      <c r="D2474" s="5" t="str">
        <f>_xlfn.XLOOKUP(role_course_map[[#This Row],[course_id]],course_data[course_id],course_data[title],"")</f>
        <v>Driver Assessment &amp; Training</v>
      </c>
      <c r="E2474" s="5" t="str">
        <f>_xlfn.XLOOKUP(role_course_map[[#This Row],[course_id]],course_data[course_id],course_data[topic],"")</f>
        <v>SAS : Health and Safety</v>
      </c>
      <c r="F2474" s="5" t="str">
        <f>_xlfn.XLOOKUP(role_course_map[[#This Row],[course_id]],course_data[course_id],course_data[type],"")</f>
        <v>eLearning</v>
      </c>
      <c r="K2474" t="str">
        <f>role_course_map[[#This Row],[role_id]] &amp; "|" &amp; role_course_map[[#This Row],[course_id]]</f>
        <v>R0089|999056</v>
      </c>
      <c r="L2474" t="str">
        <f>IF(COUNTIF(role_course_map[mapping_key],role_course_map[[#This Row],[mapping_key]])&gt;1,"DUPLICATE","OK")</f>
        <v>OK</v>
      </c>
      <c r="M2474" t="str">
        <f>IF(COUNTIF(role_data[role_id],role_course_map[[#This Row],[role_id]])=0, "INVALID","VALID")</f>
        <v>VALID</v>
      </c>
      <c r="N2474" t="str">
        <f>IF(COUNTIF(course_data[course_id],role_course_map[[#This Row],[course_id]])=0, "INVALID","VALID")</f>
        <v>VALID</v>
      </c>
    </row>
    <row r="2475" spans="1:14" x14ac:dyDescent="0.35">
      <c r="A2475" t="s">
        <v>191</v>
      </c>
      <c r="B2475" s="5" t="str">
        <f>_xlfn.XLOOKUP(role_course_map[[#This Row],[role_id]], role_data[role_id], role_data[Role],"")</f>
        <v>Ambulance Technician</v>
      </c>
      <c r="C2475">
        <v>999057</v>
      </c>
      <c r="D2475" s="5" t="str">
        <f>_xlfn.XLOOKUP(role_course_map[[#This Row],[course_id]],course_data[course_id],course_data[title],"")</f>
        <v>Fatigue Awareness</v>
      </c>
      <c r="E2475" s="5" t="str">
        <f>_xlfn.XLOOKUP(role_course_map[[#This Row],[course_id]],course_data[course_id],course_data[topic],"")</f>
        <v>SAS : Health and Safety</v>
      </c>
      <c r="F2475" s="5" t="str">
        <f>_xlfn.XLOOKUP(role_course_map[[#This Row],[course_id]],course_data[course_id],course_data[type],"")</f>
        <v>eLearning</v>
      </c>
      <c r="K2475" t="str">
        <f>role_course_map[[#This Row],[role_id]] &amp; "|" &amp; role_course_map[[#This Row],[course_id]]</f>
        <v>R0089|999057</v>
      </c>
      <c r="L2475" t="str">
        <f>IF(COUNTIF(role_course_map[mapping_key],role_course_map[[#This Row],[mapping_key]])&gt;1,"DUPLICATE","OK")</f>
        <v>OK</v>
      </c>
      <c r="M2475" t="str">
        <f>IF(COUNTIF(role_data[role_id],role_course_map[[#This Row],[role_id]])=0, "INVALID","VALID")</f>
        <v>VALID</v>
      </c>
      <c r="N2475" t="str">
        <f>IF(COUNTIF(course_data[course_id],role_course_map[[#This Row],[course_id]])=0, "INVALID","VALID")</f>
        <v>VALID</v>
      </c>
    </row>
    <row r="2476" spans="1:14" x14ac:dyDescent="0.35">
      <c r="A2476" t="s">
        <v>191</v>
      </c>
      <c r="B2476" s="5" t="str">
        <f>_xlfn.XLOOKUP(role_course_map[[#This Row],[role_id]], role_data[role_id], role_data[Role],"")</f>
        <v>Ambulance Technician</v>
      </c>
      <c r="C2476">
        <v>999058</v>
      </c>
      <c r="D2476" s="5" t="str">
        <f>_xlfn.XLOOKUP(role_course_map[[#This Row],[course_id]],course_data[course_id],course_data[title],"")</f>
        <v>Stress Identification &amp; Stress Management</v>
      </c>
      <c r="E2476" s="5" t="str">
        <f>_xlfn.XLOOKUP(role_course_map[[#This Row],[course_id]],course_data[course_id],course_data[topic],"")</f>
        <v>SAS : Health and Safety</v>
      </c>
      <c r="F2476" s="5" t="str">
        <f>_xlfn.XLOOKUP(role_course_map[[#This Row],[course_id]],course_data[course_id],course_data[type],"")</f>
        <v>eLearning</v>
      </c>
      <c r="K2476" t="str">
        <f>role_course_map[[#This Row],[role_id]] &amp; "|" &amp; role_course_map[[#This Row],[course_id]]</f>
        <v>R0089|999058</v>
      </c>
      <c r="L2476" t="str">
        <f>IF(COUNTIF(role_course_map[mapping_key],role_course_map[[#This Row],[mapping_key]])&gt;1,"DUPLICATE","OK")</f>
        <v>OK</v>
      </c>
      <c r="M2476" t="str">
        <f>IF(COUNTIF(role_data[role_id],role_course_map[[#This Row],[role_id]])=0, "INVALID","VALID")</f>
        <v>VALID</v>
      </c>
      <c r="N2476" t="str">
        <f>IF(COUNTIF(course_data[course_id],role_course_map[[#This Row],[course_id]])=0, "INVALID","VALID")</f>
        <v>VALID</v>
      </c>
    </row>
    <row r="2477" spans="1:14" x14ac:dyDescent="0.35">
      <c r="A2477" t="s">
        <v>191</v>
      </c>
      <c r="B2477" s="5" t="str">
        <f>_xlfn.XLOOKUP(role_course_map[[#This Row],[role_id]], role_data[role_id], role_data[Role],"")</f>
        <v>Ambulance Technician</v>
      </c>
      <c r="C2477">
        <v>999061</v>
      </c>
      <c r="D2477" s="5" t="str">
        <f>_xlfn.XLOOKUP(role_course_map[[#This Row],[course_id]],course_data[course_id],course_data[title],"")</f>
        <v>Skin Awareness</v>
      </c>
      <c r="E2477" s="5" t="str">
        <f>_xlfn.XLOOKUP(role_course_map[[#This Row],[course_id]],course_data[course_id],course_data[topic],"")</f>
        <v>SAS : Health and Safety</v>
      </c>
      <c r="F2477" s="5" t="str">
        <f>_xlfn.XLOOKUP(role_course_map[[#This Row],[course_id]],course_data[course_id],course_data[type],"")</f>
        <v>eLearning</v>
      </c>
      <c r="K2477" t="str">
        <f>role_course_map[[#This Row],[role_id]] &amp; "|" &amp; role_course_map[[#This Row],[course_id]]</f>
        <v>R0089|999061</v>
      </c>
      <c r="L2477" t="str">
        <f>IF(COUNTIF(role_course_map[mapping_key],role_course_map[[#This Row],[mapping_key]])&gt;1,"DUPLICATE","OK")</f>
        <v>OK</v>
      </c>
      <c r="M2477" t="str">
        <f>IF(COUNTIF(role_data[role_id],role_course_map[[#This Row],[role_id]])=0, "INVALID","VALID")</f>
        <v>VALID</v>
      </c>
      <c r="N2477" t="str">
        <f>IF(COUNTIF(course_data[course_id],role_course_map[[#This Row],[course_id]])=0, "INVALID","VALID")</f>
        <v>VALID</v>
      </c>
    </row>
    <row r="2478" spans="1:14" x14ac:dyDescent="0.35">
      <c r="A2478" t="s">
        <v>191</v>
      </c>
      <c r="B2478" s="5" t="str">
        <f>_xlfn.XLOOKUP(role_course_map[[#This Row],[role_id]], role_data[role_id], role_data[Role],"")</f>
        <v>Ambulance Technician</v>
      </c>
      <c r="C2478">
        <v>999027</v>
      </c>
      <c r="D2478" s="5" t="str">
        <f>_xlfn.XLOOKUP(role_course_map[[#This Row],[course_id]],course_data[course_id],course_data[title],"")</f>
        <v>Manual and Patient Handling Foundation Training - Level 2</v>
      </c>
      <c r="E2478" s="5" t="str">
        <f>_xlfn.XLOOKUP(role_course_map[[#This Row],[course_id]],course_data[course_id],course_data[topic],"")</f>
        <v>SAS : Clinical Practice</v>
      </c>
      <c r="F2478" s="5" t="str">
        <f>_xlfn.XLOOKUP(role_course_map[[#This Row],[course_id]],course_data[course_id],course_data[type],"")</f>
        <v>Course</v>
      </c>
      <c r="K2478" t="str">
        <f>role_course_map[[#This Row],[role_id]] &amp; "|" &amp; role_course_map[[#This Row],[course_id]]</f>
        <v>R0089|999027</v>
      </c>
      <c r="L2478" t="str">
        <f>IF(COUNTIF(role_course_map[mapping_key],role_course_map[[#This Row],[mapping_key]])&gt;1,"DUPLICATE","OK")</f>
        <v>OK</v>
      </c>
      <c r="M2478" t="str">
        <f>IF(COUNTIF(role_data[role_id],role_course_map[[#This Row],[role_id]])=0, "INVALID","VALID")</f>
        <v>VALID</v>
      </c>
      <c r="N2478" t="str">
        <f>IF(COUNTIF(course_data[course_id],role_course_map[[#This Row],[course_id]])=0, "INVALID","VALID")</f>
        <v>VALID</v>
      </c>
    </row>
    <row r="2479" spans="1:14" x14ac:dyDescent="0.35">
      <c r="A2479" t="s">
        <v>191</v>
      </c>
      <c r="B2479" s="5" t="str">
        <f>_xlfn.XLOOKUP(role_course_map[[#This Row],[role_id]], role_data[role_id], role_data[Role],"")</f>
        <v>Ambulance Technician</v>
      </c>
      <c r="C2479">
        <v>999028</v>
      </c>
      <c r="D2479" s="5" t="str">
        <f>_xlfn.XLOOKUP(role_course_map[[#This Row],[course_id]],course_data[course_id],course_data[title],"")</f>
        <v>Manual and Patient Handling Competency Assessment - Level 3</v>
      </c>
      <c r="E2479" s="5" t="str">
        <f>_xlfn.XLOOKUP(role_course_map[[#This Row],[course_id]],course_data[course_id],course_data[topic],"")</f>
        <v>SAS : Clinical Practice</v>
      </c>
      <c r="F2479" s="5" t="str">
        <f>_xlfn.XLOOKUP(role_course_map[[#This Row],[course_id]],course_data[course_id],course_data[type],"")</f>
        <v>Course</v>
      </c>
      <c r="K2479" t="str">
        <f>role_course_map[[#This Row],[role_id]] &amp; "|" &amp; role_course_map[[#This Row],[course_id]]</f>
        <v>R0089|999028</v>
      </c>
      <c r="L2479" t="str">
        <f>IF(COUNTIF(role_course_map[mapping_key],role_course_map[[#This Row],[mapping_key]])&gt;1,"DUPLICATE","OK")</f>
        <v>OK</v>
      </c>
      <c r="M2479" t="str">
        <f>IF(COUNTIF(role_data[role_id],role_course_map[[#This Row],[role_id]])=0, "INVALID","VALID")</f>
        <v>VALID</v>
      </c>
      <c r="N2479" t="str">
        <f>IF(COUNTIF(course_data[course_id],role_course_map[[#This Row],[course_id]])=0, "INVALID","VALID")</f>
        <v>VALID</v>
      </c>
    </row>
    <row r="2480" spans="1:14" x14ac:dyDescent="0.35">
      <c r="A2480" t="s">
        <v>191</v>
      </c>
      <c r="B2480" s="5" t="str">
        <f>_xlfn.XLOOKUP(role_course_map[[#This Row],[role_id]], role_data[role_id], role_data[Role],"")</f>
        <v>Ambulance Technician</v>
      </c>
      <c r="C2480">
        <v>999029</v>
      </c>
      <c r="D2480" s="5" t="str">
        <f>_xlfn.XLOOKUP(role_course_map[[#This Row],[course_id]],course_data[course_id],course_data[title],"")</f>
        <v>Manual and Patient Handling Competency Assessment Theory - Level 3</v>
      </c>
      <c r="E2480" s="5" t="str">
        <f>_xlfn.XLOOKUP(role_course_map[[#This Row],[course_id]],course_data[course_id],course_data[topic],"")</f>
        <v>SAS : Clinical Practice</v>
      </c>
      <c r="F2480" s="5" t="str">
        <f>_xlfn.XLOOKUP(role_course_map[[#This Row],[course_id]],course_data[course_id],course_data[type],"")</f>
        <v>Course</v>
      </c>
      <c r="K2480" t="str">
        <f>role_course_map[[#This Row],[role_id]] &amp; "|" &amp; role_course_map[[#This Row],[course_id]]</f>
        <v>R0089|999029</v>
      </c>
      <c r="L2480" t="str">
        <f>IF(COUNTIF(role_course_map[mapping_key],role_course_map[[#This Row],[mapping_key]])&gt;1,"DUPLICATE","OK")</f>
        <v>OK</v>
      </c>
      <c r="M2480" t="str">
        <f>IF(COUNTIF(role_data[role_id],role_course_map[[#This Row],[role_id]])=0, "INVALID","VALID")</f>
        <v>VALID</v>
      </c>
      <c r="N2480" t="str">
        <f>IF(COUNTIF(course_data[course_id],role_course_map[[#This Row],[course_id]])=0, "INVALID","VALID")</f>
        <v>VALID</v>
      </c>
    </row>
    <row r="2481" spans="1:14" x14ac:dyDescent="0.35">
      <c r="A2481" t="s">
        <v>191</v>
      </c>
      <c r="B2481" s="5" t="str">
        <f>_xlfn.XLOOKUP(role_course_map[[#This Row],[role_id]], role_data[role_id], role_data[Role],"")</f>
        <v>Ambulance Technician</v>
      </c>
      <c r="C2481" t="s">
        <v>659</v>
      </c>
      <c r="D2481" s="5" t="str">
        <f>_xlfn.XLOOKUP(role_course_map[[#This Row],[course_id]],course_data[course_id],course_data[title],"")</f>
        <v>Prevention and Management of Violence and Aggression - Breakaway training Level 2 /Restrictive movement Level 3</v>
      </c>
      <c r="E2481" s="5" t="str">
        <f>_xlfn.XLOOKUP(role_course_map[[#This Row],[course_id]],course_data[course_id],course_data[topic],"")</f>
        <v>SAS : Health and Safety</v>
      </c>
      <c r="F2481" s="5" t="str">
        <f>_xlfn.XLOOKUP(role_course_map[[#This Row],[course_id]],course_data[course_id],course_data[type],"")</f>
        <v>Course</v>
      </c>
      <c r="K2481" t="str">
        <f>role_course_map[[#This Row],[role_id]] &amp; "|" &amp; role_course_map[[#This Row],[course_id]]</f>
        <v>R0089|2025-6 edition</v>
      </c>
      <c r="L2481" t="str">
        <f>IF(COUNTIF(role_course_map[mapping_key],role_course_map[[#This Row],[mapping_key]])&gt;1,"DUPLICATE","OK")</f>
        <v>OK</v>
      </c>
      <c r="M2481" t="str">
        <f>IF(COUNTIF(role_data[role_id],role_course_map[[#This Row],[role_id]])=0, "INVALID","VALID")</f>
        <v>VALID</v>
      </c>
      <c r="N2481" t="str">
        <f>IF(COUNTIF(course_data[course_id],role_course_map[[#This Row],[course_id]])=0, "INVALID","VALID")</f>
        <v>VALID</v>
      </c>
    </row>
    <row r="2482" spans="1:14" x14ac:dyDescent="0.35">
      <c r="A2482" t="s">
        <v>191</v>
      </c>
      <c r="B2482" s="5" t="str">
        <f>_xlfn.XLOOKUP(role_course_map[[#This Row],[role_id]], role_data[role_id], role_data[Role],"")</f>
        <v>Ambulance Technician</v>
      </c>
      <c r="C2482">
        <v>999055</v>
      </c>
      <c r="D2482" s="5" t="str">
        <f>_xlfn.XLOOKUP(role_course_map[[#This Row],[course_id]],course_data[course_id],course_data[title],"")</f>
        <v>Prevention and Management of Violence and Aggression - Refresher</v>
      </c>
      <c r="E2482" s="5" t="str">
        <f>_xlfn.XLOOKUP(role_course_map[[#This Row],[course_id]],course_data[course_id],course_data[topic],"")</f>
        <v>SAS : Health and Safety</v>
      </c>
      <c r="F2482" s="5" t="str">
        <f>_xlfn.XLOOKUP(role_course_map[[#This Row],[course_id]],course_data[course_id],course_data[type],"")</f>
        <v>Course</v>
      </c>
      <c r="K2482" t="str">
        <f>role_course_map[[#This Row],[role_id]] &amp; "|" &amp; role_course_map[[#This Row],[course_id]]</f>
        <v>R0089|999055</v>
      </c>
      <c r="L2482" t="str">
        <f>IF(COUNTIF(role_course_map[mapping_key],role_course_map[[#This Row],[mapping_key]])&gt;1,"DUPLICATE","OK")</f>
        <v>OK</v>
      </c>
      <c r="M2482" t="str">
        <f>IF(COUNTIF(role_data[role_id],role_course_map[[#This Row],[role_id]])=0, "INVALID","VALID")</f>
        <v>VALID</v>
      </c>
      <c r="N2482" t="str">
        <f>IF(COUNTIF(course_data[course_id],role_course_map[[#This Row],[course_id]])=0, "INVALID","VALID")</f>
        <v>VALID</v>
      </c>
    </row>
    <row r="2483" spans="1:14" x14ac:dyDescent="0.35">
      <c r="A2483" t="s">
        <v>191</v>
      </c>
      <c r="B2483" s="5" t="str">
        <f>_xlfn.XLOOKUP(role_course_map[[#This Row],[role_id]], role_data[role_id], role_data[Role],"")</f>
        <v>Ambulance Technician</v>
      </c>
      <c r="C2483">
        <v>64322</v>
      </c>
      <c r="D2483" s="5" t="str">
        <f>_xlfn.XLOOKUP(role_course_map[[#This Row],[course_id]],course_data[course_id],course_data[title],"")</f>
        <v>Adult support and protection: practice level 2 [skilled]</v>
      </c>
      <c r="E2483" s="5" t="str">
        <f>_xlfn.XLOOKUP(role_course_map[[#This Row],[course_id]],course_data[course_id],course_data[topic],"")</f>
        <v>SAS : Public Protection</v>
      </c>
      <c r="F2483" s="5" t="str">
        <f>_xlfn.XLOOKUP(role_course_map[[#This Row],[course_id]],course_data[course_id],course_data[type],"")</f>
        <v>eLearning</v>
      </c>
      <c r="K2483" t="str">
        <f>role_course_map[[#This Row],[role_id]] &amp; "|" &amp; role_course_map[[#This Row],[course_id]]</f>
        <v>R0089|64322</v>
      </c>
      <c r="L2483" t="str">
        <f>IF(COUNTIF(role_course_map[mapping_key],role_course_map[[#This Row],[mapping_key]])&gt;1,"DUPLICATE","OK")</f>
        <v>OK</v>
      </c>
      <c r="M2483" t="str">
        <f>IF(COUNTIF(role_data[role_id],role_course_map[[#This Row],[role_id]])=0, "INVALID","VALID")</f>
        <v>VALID</v>
      </c>
      <c r="N2483" t="str">
        <f>IF(COUNTIF(course_data[course_id],role_course_map[[#This Row],[course_id]])=0, "INVALID","VALID")</f>
        <v>VALID</v>
      </c>
    </row>
    <row r="2484" spans="1:14" x14ac:dyDescent="0.35">
      <c r="A2484" t="s">
        <v>191</v>
      </c>
      <c r="B2484" s="5" t="str">
        <f>_xlfn.XLOOKUP(role_course_map[[#This Row],[role_id]], role_data[role_id], role_data[Role],"")</f>
        <v>Ambulance Technician</v>
      </c>
      <c r="C2484">
        <v>64324</v>
      </c>
      <c r="D2484" s="5" t="str">
        <f>_xlfn.XLOOKUP(role_course_map[[#This Row],[course_id]],course_data[course_id],course_data[title],"")</f>
        <v>Child protection: practice level 2 [skilled]</v>
      </c>
      <c r="E2484" s="5" t="str">
        <f>_xlfn.XLOOKUP(role_course_map[[#This Row],[course_id]],course_data[course_id],course_data[topic],"")</f>
        <v>SAS : Public Protection</v>
      </c>
      <c r="F2484" s="5" t="str">
        <f>_xlfn.XLOOKUP(role_course_map[[#This Row],[course_id]],course_data[course_id],course_data[type],"")</f>
        <v>eLearning</v>
      </c>
      <c r="K2484" t="str">
        <f>role_course_map[[#This Row],[role_id]] &amp; "|" &amp; role_course_map[[#This Row],[course_id]]</f>
        <v>R0089|64324</v>
      </c>
      <c r="L2484" t="str">
        <f>IF(COUNTIF(role_course_map[mapping_key],role_course_map[[#This Row],[mapping_key]])&gt;1,"DUPLICATE","OK")</f>
        <v>OK</v>
      </c>
      <c r="M2484" t="str">
        <f>IF(COUNTIF(role_data[role_id],role_course_map[[#This Row],[role_id]])=0, "INVALID","VALID")</f>
        <v>VALID</v>
      </c>
      <c r="N2484" t="str">
        <f>IF(COUNTIF(course_data[course_id],role_course_map[[#This Row],[course_id]])=0, "INVALID","VALID")</f>
        <v>VALID</v>
      </c>
    </row>
    <row r="2485" spans="1:14" x14ac:dyDescent="0.35">
      <c r="A2485" t="s">
        <v>191</v>
      </c>
      <c r="B2485" s="5" t="str">
        <f>_xlfn.XLOOKUP(role_course_map[[#This Row],[role_id]], role_data[role_id], role_data[Role],"")</f>
        <v>Ambulance Technician</v>
      </c>
      <c r="C2485">
        <v>76716</v>
      </c>
      <c r="D2485" s="5" t="str">
        <f>_xlfn.XLOOKUP(role_course_map[[#This Row],[course_id]],course_data[course_id],course_data[title],"")</f>
        <v>Domestic abuse awareness training tool (DAART)</v>
      </c>
      <c r="E2485" s="5" t="str">
        <f>_xlfn.XLOOKUP(role_course_map[[#This Row],[course_id]],course_data[course_id],course_data[topic],"")</f>
        <v>SAS : Public Protection</v>
      </c>
      <c r="F2485" s="5" t="str">
        <f>_xlfn.XLOOKUP(role_course_map[[#This Row],[course_id]],course_data[course_id],course_data[type],"")</f>
        <v>eLearning</v>
      </c>
      <c r="K2485" t="str">
        <f>role_course_map[[#This Row],[role_id]] &amp; "|" &amp; role_course_map[[#This Row],[course_id]]</f>
        <v>R0089|76716</v>
      </c>
      <c r="L2485" t="str">
        <f>IF(COUNTIF(role_course_map[mapping_key],role_course_map[[#This Row],[mapping_key]])&gt;1,"DUPLICATE","OK")</f>
        <v>OK</v>
      </c>
      <c r="M2485" t="str">
        <f>IF(COUNTIF(role_data[role_id],role_course_map[[#This Row],[role_id]])=0, "INVALID","VALID")</f>
        <v>VALID</v>
      </c>
      <c r="N2485" t="str">
        <f>IF(COUNTIF(course_data[course_id],role_course_map[[#This Row],[course_id]])=0, "INVALID","VALID")</f>
        <v>VALID</v>
      </c>
    </row>
    <row r="2486" spans="1:14" x14ac:dyDescent="0.35">
      <c r="A2486" t="s">
        <v>191</v>
      </c>
      <c r="B2486" s="5" t="str">
        <f>_xlfn.XLOOKUP(role_course_map[[#This Row],[role_id]], role_data[role_id], role_data[Role],"")</f>
        <v>Ambulance Technician</v>
      </c>
      <c r="C2486">
        <v>79666</v>
      </c>
      <c r="D2486" s="5" t="str">
        <f>_xlfn.XLOOKUP(role_course_map[[#This Row],[course_id]],course_data[course_id],course_data[title],"")</f>
        <v>Getting it right for every child (GIRFEC): informed level</v>
      </c>
      <c r="E2486" s="5" t="str">
        <f>_xlfn.XLOOKUP(role_course_map[[#This Row],[course_id]],course_data[course_id],course_data[topic],"")</f>
        <v>SAS : Public Protection</v>
      </c>
      <c r="F2486" s="5" t="str">
        <f>_xlfn.XLOOKUP(role_course_map[[#This Row],[course_id]],course_data[course_id],course_data[type],"")</f>
        <v>eLearning</v>
      </c>
      <c r="K2486" t="str">
        <f>role_course_map[[#This Row],[role_id]] &amp; "|" &amp; role_course_map[[#This Row],[course_id]]</f>
        <v>R0089|79666</v>
      </c>
      <c r="L2486" t="str">
        <f>IF(COUNTIF(role_course_map[mapping_key],role_course_map[[#This Row],[mapping_key]])&gt;1,"DUPLICATE","OK")</f>
        <v>OK</v>
      </c>
      <c r="M2486" t="str">
        <f>IF(COUNTIF(role_data[role_id],role_course_map[[#This Row],[role_id]])=0, "INVALID","VALID")</f>
        <v>VALID</v>
      </c>
      <c r="N2486" t="str">
        <f>IF(COUNTIF(course_data[course_id],role_course_map[[#This Row],[course_id]])=0, "INVALID","VALID")</f>
        <v>VALID</v>
      </c>
    </row>
    <row r="2487" spans="1:14" x14ac:dyDescent="0.35">
      <c r="A2487" t="s">
        <v>191</v>
      </c>
      <c r="B2487" s="5" t="str">
        <f>_xlfn.XLOOKUP(role_course_map[[#This Row],[role_id]], role_data[role_id], role_data[Role],"")</f>
        <v>Ambulance Technician</v>
      </c>
      <c r="C2487">
        <v>999074</v>
      </c>
      <c r="D2487" s="5" t="str">
        <f>_xlfn.XLOOKUP(role_course_map[[#This Row],[course_id]],course_data[course_id],course_data[title],"")</f>
        <v>SAS-specific Children’s rights</v>
      </c>
      <c r="E2487" s="5" t="str">
        <f>_xlfn.XLOOKUP(role_course_map[[#This Row],[course_id]],course_data[course_id],course_data[topic],"")</f>
        <v>SAS : Public Protection</v>
      </c>
      <c r="F2487" s="5" t="str">
        <f>_xlfn.XLOOKUP(role_course_map[[#This Row],[course_id]],course_data[course_id],course_data[type],"")</f>
        <v>eLearning</v>
      </c>
      <c r="K2487" t="str">
        <f>role_course_map[[#This Row],[role_id]] &amp; "|" &amp; role_course_map[[#This Row],[course_id]]</f>
        <v>R0089|999074</v>
      </c>
      <c r="L2487" t="str">
        <f>IF(COUNTIF(role_course_map[mapping_key],role_course_map[[#This Row],[mapping_key]])&gt;1,"DUPLICATE","OK")</f>
        <v>OK</v>
      </c>
      <c r="M2487" t="str">
        <f>IF(COUNTIF(role_data[role_id],role_course_map[[#This Row],[role_id]])=0, "INVALID","VALID")</f>
        <v>VALID</v>
      </c>
      <c r="N2487" t="str">
        <f>IF(COUNTIF(course_data[course_id],role_course_map[[#This Row],[course_id]])=0, "INVALID","VALID")</f>
        <v>VALID</v>
      </c>
    </row>
    <row r="2488" spans="1:14" x14ac:dyDescent="0.35">
      <c r="A2488" t="s">
        <v>191</v>
      </c>
      <c r="B2488" s="5" t="str">
        <f>_xlfn.XLOOKUP(role_course_map[[#This Row],[role_id]], role_data[role_id], role_data[Role],"")</f>
        <v>Ambulance Technician</v>
      </c>
      <c r="C2488">
        <v>999075</v>
      </c>
      <c r="D2488" s="5" t="str">
        <f>_xlfn.XLOOKUP(role_course_map[[#This Row],[course_id]],course_data[course_id],course_data[title],"")</f>
        <v>Multiagency local or bespoke Level 3 delivery training</v>
      </c>
      <c r="E2488" s="5" t="str">
        <f>_xlfn.XLOOKUP(role_course_map[[#This Row],[course_id]],course_data[course_id],course_data[topic],"")</f>
        <v>SAS : Public Protection</v>
      </c>
      <c r="F2488" s="5" t="str">
        <f>_xlfn.XLOOKUP(role_course_map[[#This Row],[course_id]],course_data[course_id],course_data[type],"")</f>
        <v>eLearning</v>
      </c>
      <c r="K2488" t="str">
        <f>role_course_map[[#This Row],[role_id]] &amp; "|" &amp; role_course_map[[#This Row],[course_id]]</f>
        <v>R0089|999075</v>
      </c>
      <c r="L2488" t="str">
        <f>IF(COUNTIF(role_course_map[mapping_key],role_course_map[[#This Row],[mapping_key]])&gt;1,"DUPLICATE","OK")</f>
        <v>OK</v>
      </c>
      <c r="M2488" t="str">
        <f>IF(COUNTIF(role_data[role_id],role_course_map[[#This Row],[role_id]])=0, "INVALID","VALID")</f>
        <v>VALID</v>
      </c>
      <c r="N2488" t="str">
        <f>IF(COUNTIF(course_data[course_id],role_course_map[[#This Row],[course_id]])=0, "INVALID","VALID")</f>
        <v>VALID</v>
      </c>
    </row>
    <row r="2489" spans="1:14" x14ac:dyDescent="0.35">
      <c r="A2489" t="s">
        <v>191</v>
      </c>
      <c r="B2489" s="5" t="str">
        <f>_xlfn.XLOOKUP(role_course_map[[#This Row],[role_id]], role_data[role_id], role_data[Role],"")</f>
        <v>Ambulance Technician</v>
      </c>
      <c r="C2489">
        <v>15249</v>
      </c>
      <c r="D2489" s="5" t="str">
        <f>_xlfn.XLOOKUP(role_course_map[[#This Row],[course_id]],course_data[course_id],course_data[title],"")</f>
        <v>Human trafficking</v>
      </c>
      <c r="E2489" s="5" t="str">
        <f>_xlfn.XLOOKUP(role_course_map[[#This Row],[course_id]],course_data[course_id],course_data[topic],"")</f>
        <v>SAS : Public Protection</v>
      </c>
      <c r="F2489" s="5" t="str">
        <f>_xlfn.XLOOKUP(role_course_map[[#This Row],[course_id]],course_data[course_id],course_data[type],"")</f>
        <v>eLearning</v>
      </c>
      <c r="K2489" t="str">
        <f>role_course_map[[#This Row],[role_id]] &amp; "|" &amp; role_course_map[[#This Row],[course_id]]</f>
        <v>R0089|15249</v>
      </c>
      <c r="L2489" t="str">
        <f>IF(COUNTIF(role_course_map[mapping_key],role_course_map[[#This Row],[mapping_key]])&gt;1,"DUPLICATE","OK")</f>
        <v>OK</v>
      </c>
      <c r="M2489" t="str">
        <f>IF(COUNTIF(role_data[role_id],role_course_map[[#This Row],[role_id]])=0, "INVALID","VALID")</f>
        <v>VALID</v>
      </c>
      <c r="N2489" t="str">
        <f>IF(COUNTIF(course_data[course_id],role_course_map[[#This Row],[course_id]])=0, "INVALID","VALID")</f>
        <v>VALID</v>
      </c>
    </row>
    <row r="2490" spans="1:14" x14ac:dyDescent="0.35">
      <c r="A2490" t="s">
        <v>191</v>
      </c>
      <c r="B2490" s="5" t="str">
        <f>_xlfn.XLOOKUP(role_course_map[[#This Row],[role_id]], role_data[role_id], role_data[Role],"")</f>
        <v>Ambulance Technician</v>
      </c>
      <c r="C2490">
        <v>89161</v>
      </c>
      <c r="D2490" s="5" t="str">
        <f>_xlfn.XLOOKUP(role_course_map[[#This Row],[course_id]],course_data[course_id],course_data[title],"")</f>
        <v>Personal Protective Equipment</v>
      </c>
      <c r="E2490" s="5" t="str">
        <f>_xlfn.XLOOKUP(role_course_map[[#This Row],[course_id]],course_data[course_id],course_data[topic],"")</f>
        <v>SAS : Infection Prevention and Control (IPC)</v>
      </c>
      <c r="F2490" s="5" t="str">
        <f>_xlfn.XLOOKUP(role_course_map[[#This Row],[course_id]],course_data[course_id],course_data[type],"")</f>
        <v>eLearning</v>
      </c>
      <c r="K2490" t="str">
        <f>role_course_map[[#This Row],[role_id]] &amp; "|" &amp; role_course_map[[#This Row],[course_id]]</f>
        <v>R0089|89161</v>
      </c>
      <c r="L2490" t="str">
        <f>IF(COUNTIF(role_course_map[mapping_key],role_course_map[[#This Row],[mapping_key]])&gt;1,"DUPLICATE","OK")</f>
        <v>OK</v>
      </c>
      <c r="M2490" t="str">
        <f>IF(COUNTIF(role_data[role_id],role_course_map[[#This Row],[role_id]])=0, "INVALID","VALID")</f>
        <v>VALID</v>
      </c>
      <c r="N2490" t="str">
        <f>IF(COUNTIF(course_data[course_id],role_course_map[[#This Row],[course_id]])=0, "INVALID","VALID")</f>
        <v>VALID</v>
      </c>
    </row>
    <row r="2491" spans="1:14" x14ac:dyDescent="0.35">
      <c r="A2491" t="s">
        <v>191</v>
      </c>
      <c r="B2491" s="5" t="str">
        <f>_xlfn.XLOOKUP(role_course_map[[#This Row],[role_id]], role_data[role_id], role_data[Role],"")</f>
        <v>Ambulance Technician</v>
      </c>
      <c r="C2491">
        <v>89157</v>
      </c>
      <c r="D2491" s="5" t="str">
        <f>_xlfn.XLOOKUP(role_course_map[[#This Row],[course_id]],course_data[course_id],course_data[title],"")</f>
        <v>Safe Management of Care Equipment</v>
      </c>
      <c r="E2491" s="5" t="str">
        <f>_xlfn.XLOOKUP(role_course_map[[#This Row],[course_id]],course_data[course_id],course_data[topic],"")</f>
        <v>SAS : Infection Prevention and Control (IPC)</v>
      </c>
      <c r="F2491" s="5" t="str">
        <f>_xlfn.XLOOKUP(role_course_map[[#This Row],[course_id]],course_data[course_id],course_data[type],"")</f>
        <v>eLearning</v>
      </c>
      <c r="K2491" t="str">
        <f>role_course_map[[#This Row],[role_id]] &amp; "|" &amp; role_course_map[[#This Row],[course_id]]</f>
        <v>R0089|89157</v>
      </c>
      <c r="L2491" t="str">
        <f>IF(COUNTIF(role_course_map[mapping_key],role_course_map[[#This Row],[mapping_key]])&gt;1,"DUPLICATE","OK")</f>
        <v>OK</v>
      </c>
      <c r="M2491" t="str">
        <f>IF(COUNTIF(role_data[role_id],role_course_map[[#This Row],[role_id]])=0, "INVALID","VALID")</f>
        <v>VALID</v>
      </c>
      <c r="N2491" t="str">
        <f>IF(COUNTIF(course_data[course_id],role_course_map[[#This Row],[course_id]])=0, "INVALID","VALID")</f>
        <v>VALID</v>
      </c>
    </row>
    <row r="2492" spans="1:14" x14ac:dyDescent="0.35">
      <c r="A2492" t="s">
        <v>191</v>
      </c>
      <c r="B2492" s="5" t="str">
        <f>_xlfn.XLOOKUP(role_course_map[[#This Row],[role_id]], role_data[role_id], role_data[Role],"")</f>
        <v>Ambulance Technician</v>
      </c>
      <c r="C2492">
        <v>89158</v>
      </c>
      <c r="D2492" s="5" t="str">
        <f>_xlfn.XLOOKUP(role_course_map[[#This Row],[course_id]],course_data[course_id],course_data[title],"")</f>
        <v>Safe Management of Care Environment</v>
      </c>
      <c r="E2492" s="5" t="str">
        <f>_xlfn.XLOOKUP(role_course_map[[#This Row],[course_id]],course_data[course_id],course_data[topic],"")</f>
        <v>SAS : Infection Prevention and Control (IPC)</v>
      </c>
      <c r="F2492" s="5" t="str">
        <f>_xlfn.XLOOKUP(role_course_map[[#This Row],[course_id]],course_data[course_id],course_data[type],"")</f>
        <v>eLearning</v>
      </c>
      <c r="K2492" t="str">
        <f>role_course_map[[#This Row],[role_id]] &amp; "|" &amp; role_course_map[[#This Row],[course_id]]</f>
        <v>R0089|89158</v>
      </c>
      <c r="L2492" t="str">
        <f>IF(COUNTIF(role_course_map[mapping_key],role_course_map[[#This Row],[mapping_key]])&gt;1,"DUPLICATE","OK")</f>
        <v>OK</v>
      </c>
      <c r="M2492" t="str">
        <f>IF(COUNTIF(role_data[role_id],role_course_map[[#This Row],[role_id]])=0, "INVALID","VALID")</f>
        <v>VALID</v>
      </c>
      <c r="N2492" t="str">
        <f>IF(COUNTIF(course_data[course_id],role_course_map[[#This Row],[course_id]])=0, "INVALID","VALID")</f>
        <v>VALID</v>
      </c>
    </row>
    <row r="2493" spans="1:14" x14ac:dyDescent="0.35">
      <c r="A2493" t="s">
        <v>191</v>
      </c>
      <c r="B2493" s="5" t="str">
        <f>_xlfn.XLOOKUP(role_course_map[[#This Row],[role_id]], role_data[role_id], role_data[Role],"")</f>
        <v>Ambulance Technician</v>
      </c>
      <c r="C2493">
        <v>89159</v>
      </c>
      <c r="D2493" s="5" t="str">
        <f>_xlfn.XLOOKUP(role_course_map[[#This Row],[course_id]],course_data[course_id],course_data[title],"")</f>
        <v>Safe Management of Linen</v>
      </c>
      <c r="E2493" s="5" t="str">
        <f>_xlfn.XLOOKUP(role_course_map[[#This Row],[course_id]],course_data[course_id],course_data[topic],"")</f>
        <v>SAS : Infection Prevention and Control (IPC)</v>
      </c>
      <c r="F2493" s="5" t="str">
        <f>_xlfn.XLOOKUP(role_course_map[[#This Row],[course_id]],course_data[course_id],course_data[type],"")</f>
        <v>eLearning</v>
      </c>
      <c r="K2493" t="str">
        <f>role_course_map[[#This Row],[role_id]] &amp; "|" &amp; role_course_map[[#This Row],[course_id]]</f>
        <v>R0089|89159</v>
      </c>
      <c r="L2493" t="str">
        <f>IF(COUNTIF(role_course_map[mapping_key],role_course_map[[#This Row],[mapping_key]])&gt;1,"DUPLICATE","OK")</f>
        <v>OK</v>
      </c>
      <c r="M2493" t="str">
        <f>IF(COUNTIF(role_data[role_id],role_course_map[[#This Row],[role_id]])=0, "INVALID","VALID")</f>
        <v>VALID</v>
      </c>
      <c r="N2493" t="str">
        <f>IF(COUNTIF(course_data[course_id],role_course_map[[#This Row],[course_id]])=0, "INVALID","VALID")</f>
        <v>VALID</v>
      </c>
    </row>
    <row r="2494" spans="1:14" x14ac:dyDescent="0.35">
      <c r="A2494" t="s">
        <v>191</v>
      </c>
      <c r="B2494" s="5" t="str">
        <f>_xlfn.XLOOKUP(role_course_map[[#This Row],[role_id]], role_data[role_id], role_data[Role],"")</f>
        <v>Ambulance Technician</v>
      </c>
      <c r="C2494">
        <v>89160</v>
      </c>
      <c r="D2494" s="5" t="str">
        <f>_xlfn.XLOOKUP(role_course_map[[#This Row],[course_id]],course_data[course_id],course_data[title],"")</f>
        <v>Safe Management of blood and body fluids</v>
      </c>
      <c r="E2494" s="5" t="str">
        <f>_xlfn.XLOOKUP(role_course_map[[#This Row],[course_id]],course_data[course_id],course_data[topic],"")</f>
        <v>SAS : Infection Prevention and Control (IPC)</v>
      </c>
      <c r="F2494" s="5" t="str">
        <f>_xlfn.XLOOKUP(role_course_map[[#This Row],[course_id]],course_data[course_id],course_data[type],"")</f>
        <v>eLearning</v>
      </c>
      <c r="K2494" t="str">
        <f>role_course_map[[#This Row],[role_id]] &amp; "|" &amp; role_course_map[[#This Row],[course_id]]</f>
        <v>R0089|89160</v>
      </c>
      <c r="L2494" t="str">
        <f>IF(COUNTIF(role_course_map[mapping_key],role_course_map[[#This Row],[mapping_key]])&gt;1,"DUPLICATE","OK")</f>
        <v>OK</v>
      </c>
      <c r="M2494" t="str">
        <f>IF(COUNTIF(role_data[role_id],role_course_map[[#This Row],[role_id]])=0, "INVALID","VALID")</f>
        <v>VALID</v>
      </c>
      <c r="N2494" t="str">
        <f>IF(COUNTIF(course_data[course_id],role_course_map[[#This Row],[course_id]])=0, "INVALID","VALID")</f>
        <v>VALID</v>
      </c>
    </row>
    <row r="2495" spans="1:14" x14ac:dyDescent="0.35">
      <c r="A2495" t="s">
        <v>191</v>
      </c>
      <c r="B2495" s="5" t="str">
        <f>_xlfn.XLOOKUP(role_course_map[[#This Row],[role_id]], role_data[role_id], role_data[Role],"")</f>
        <v>Ambulance Technician</v>
      </c>
      <c r="C2495">
        <v>89154</v>
      </c>
      <c r="D2495" s="5" t="str">
        <f>_xlfn.XLOOKUP(role_course_map[[#This Row],[course_id]],course_data[course_id],course_data[title],"")</f>
        <v>Safe disposal of waste</v>
      </c>
      <c r="E2495" s="5" t="str">
        <f>_xlfn.XLOOKUP(role_course_map[[#This Row],[course_id]],course_data[course_id],course_data[topic],"")</f>
        <v>SAS : Infection Prevention and Control (IPC)</v>
      </c>
      <c r="F2495" s="5" t="str">
        <f>_xlfn.XLOOKUP(role_course_map[[#This Row],[course_id]],course_data[course_id],course_data[type],"")</f>
        <v>eLearning</v>
      </c>
      <c r="K2495" t="str">
        <f>role_course_map[[#This Row],[role_id]] &amp; "|" &amp; role_course_map[[#This Row],[course_id]]</f>
        <v>R0089|89154</v>
      </c>
      <c r="L2495" t="str">
        <f>IF(COUNTIF(role_course_map[mapping_key],role_course_map[[#This Row],[mapping_key]])&gt;1,"DUPLICATE","OK")</f>
        <v>OK</v>
      </c>
      <c r="M2495" t="str">
        <f>IF(COUNTIF(role_data[role_id],role_course_map[[#This Row],[role_id]])=0, "INVALID","VALID")</f>
        <v>VALID</v>
      </c>
      <c r="N2495" t="str">
        <f>IF(COUNTIF(course_data[course_id],role_course_map[[#This Row],[course_id]])=0, "INVALID","VALID")</f>
        <v>VALID</v>
      </c>
    </row>
    <row r="2496" spans="1:14" x14ac:dyDescent="0.35">
      <c r="A2496" t="s">
        <v>191</v>
      </c>
      <c r="B2496" s="5" t="str">
        <f>_xlfn.XLOOKUP(role_course_map[[#This Row],[role_id]], role_data[role_id], role_data[Role],"")</f>
        <v>Ambulance Technician</v>
      </c>
      <c r="C2496">
        <v>89155</v>
      </c>
      <c r="D2496" s="5" t="str">
        <f>_xlfn.XLOOKUP(role_course_map[[#This Row],[course_id]],course_data[course_id],course_data[title],"")</f>
        <v>Prevention &amp; management of occupational exposure</v>
      </c>
      <c r="E2496" s="5" t="str">
        <f>_xlfn.XLOOKUP(role_course_map[[#This Row],[course_id]],course_data[course_id],course_data[topic],"")</f>
        <v>SAS : Infection Prevention and Control (IPC)</v>
      </c>
      <c r="F2496" s="5" t="str">
        <f>_xlfn.XLOOKUP(role_course_map[[#This Row],[course_id]],course_data[course_id],course_data[type],"")</f>
        <v>eLearning</v>
      </c>
      <c r="K2496" t="str">
        <f>role_course_map[[#This Row],[role_id]] &amp; "|" &amp; role_course_map[[#This Row],[course_id]]</f>
        <v>R0089|89155</v>
      </c>
      <c r="L2496" t="str">
        <f>IF(COUNTIF(role_course_map[mapping_key],role_course_map[[#This Row],[mapping_key]])&gt;1,"DUPLICATE","OK")</f>
        <v>OK</v>
      </c>
      <c r="M2496" t="str">
        <f>IF(COUNTIF(role_data[role_id],role_course_map[[#This Row],[role_id]])=0, "INVALID","VALID")</f>
        <v>VALID</v>
      </c>
      <c r="N2496" t="str">
        <f>IF(COUNTIF(course_data[course_id],role_course_map[[#This Row],[course_id]])=0, "INVALID","VALID")</f>
        <v>VALID</v>
      </c>
    </row>
    <row r="2497" spans="1:14" x14ac:dyDescent="0.35">
      <c r="A2497" t="s">
        <v>191</v>
      </c>
      <c r="B2497" s="5" t="str">
        <f>_xlfn.XLOOKUP(role_course_map[[#This Row],[role_id]], role_data[role_id], role_data[Role],"")</f>
        <v>Ambulance Technician</v>
      </c>
      <c r="C2497">
        <v>999064</v>
      </c>
      <c r="D2497" s="5" t="str">
        <f>_xlfn.XLOOKUP(role_course_map[[#This Row],[course_id]],course_data[course_id],course_data[title],"")</f>
        <v>Infection prevention and control: Clostridioides difficile infection</v>
      </c>
      <c r="E2497" s="5" t="str">
        <f>_xlfn.XLOOKUP(role_course_map[[#This Row],[course_id]],course_data[course_id],course_data[topic],"")</f>
        <v>SAS : Infection Prevention and Control (IPC)</v>
      </c>
      <c r="F2497" s="5" t="str">
        <f>_xlfn.XLOOKUP(role_course_map[[#This Row],[course_id]],course_data[course_id],course_data[type],"")</f>
        <v>eLearning</v>
      </c>
      <c r="K2497" t="str">
        <f>role_course_map[[#This Row],[role_id]] &amp; "|" &amp; role_course_map[[#This Row],[course_id]]</f>
        <v>R0089|999064</v>
      </c>
      <c r="L2497" t="str">
        <f>IF(COUNTIF(role_course_map[mapping_key],role_course_map[[#This Row],[mapping_key]])&gt;1,"DUPLICATE","OK")</f>
        <v>OK</v>
      </c>
      <c r="M2497" t="str">
        <f>IF(COUNTIF(role_data[role_id],role_course_map[[#This Row],[role_id]])=0, "INVALID","VALID")</f>
        <v>VALID</v>
      </c>
      <c r="N2497" t="str">
        <f>IF(COUNTIF(course_data[course_id],role_course_map[[#This Row],[course_id]])=0, "INVALID","VALID")</f>
        <v>VALID</v>
      </c>
    </row>
    <row r="2498" spans="1:14" x14ac:dyDescent="0.35">
      <c r="A2498" t="s">
        <v>191</v>
      </c>
      <c r="B2498" s="5" t="str">
        <f>_xlfn.XLOOKUP(role_course_map[[#This Row],[role_id]], role_data[role_id], role_data[Role],"")</f>
        <v>Ambulance Technician</v>
      </c>
      <c r="C2498">
        <v>3588</v>
      </c>
      <c r="D2498" s="5" t="str">
        <f>_xlfn.XLOOKUP(role_course_map[[#This Row],[course_id]],course_data[course_id],course_data[title],"")</f>
        <v>Antibiotic management</v>
      </c>
      <c r="E2498" s="5" t="str">
        <f>_xlfn.XLOOKUP(role_course_map[[#This Row],[course_id]],course_data[course_id],course_data[topic],"")</f>
        <v>SAS : Clinical Practice</v>
      </c>
      <c r="F2498" s="5" t="str">
        <f>_xlfn.XLOOKUP(role_course_map[[#This Row],[course_id]],course_data[course_id],course_data[type],"")</f>
        <v>Page</v>
      </c>
      <c r="K2498" t="str">
        <f>role_course_map[[#This Row],[role_id]] &amp; "|" &amp; role_course_map[[#This Row],[course_id]]</f>
        <v>R0089|3588</v>
      </c>
      <c r="L2498" t="str">
        <f>IF(COUNTIF(role_course_map[mapping_key],role_course_map[[#This Row],[mapping_key]])&gt;1,"DUPLICATE","OK")</f>
        <v>OK</v>
      </c>
      <c r="M2498" t="str">
        <f>IF(COUNTIF(role_data[role_id],role_course_map[[#This Row],[role_id]])=0, "INVALID","VALID")</f>
        <v>VALID</v>
      </c>
      <c r="N2498" t="str">
        <f>IF(COUNTIF(course_data[course_id],role_course_map[[#This Row],[course_id]])=0, "INVALID","VALID")</f>
        <v>VALID</v>
      </c>
    </row>
    <row r="2499" spans="1:14" x14ac:dyDescent="0.35">
      <c r="A2499" t="s">
        <v>191</v>
      </c>
      <c r="B2499" s="5" t="str">
        <f>_xlfn.XLOOKUP(role_course_map[[#This Row],[role_id]], role_data[role_id], role_data[Role],"")</f>
        <v>Ambulance Technician</v>
      </c>
      <c r="C2499">
        <v>82383</v>
      </c>
      <c r="D2499" s="5" t="str">
        <f>_xlfn.XLOOKUP(role_course_map[[#This Row],[course_id]],course_data[course_id],course_data[title],"")</f>
        <v>Aseptic technique</v>
      </c>
      <c r="E2499" s="5" t="str">
        <f>_xlfn.XLOOKUP(role_course_map[[#This Row],[course_id]],course_data[course_id],course_data[topic],"")</f>
        <v>SAS : Infection Prevention and Control (IPC)</v>
      </c>
      <c r="F2499" s="5" t="str">
        <f>_xlfn.XLOOKUP(role_course_map[[#This Row],[course_id]],course_data[course_id],course_data[type],"")</f>
        <v>eLearning</v>
      </c>
      <c r="K2499" t="str">
        <f>role_course_map[[#This Row],[role_id]] &amp; "|" &amp; role_course_map[[#This Row],[course_id]]</f>
        <v>R0089|82383</v>
      </c>
      <c r="L2499" t="str">
        <f>IF(COUNTIF(role_course_map[mapping_key],role_course_map[[#This Row],[mapping_key]])&gt;1,"DUPLICATE","OK")</f>
        <v>OK</v>
      </c>
      <c r="M2499" t="str">
        <f>IF(COUNTIF(role_data[role_id],role_course_map[[#This Row],[role_id]])=0, "INVALID","VALID")</f>
        <v>VALID</v>
      </c>
      <c r="N2499" t="str">
        <f>IF(COUNTIF(course_data[course_id],role_course_map[[#This Row],[course_id]])=0, "INVALID","VALID")</f>
        <v>VALID</v>
      </c>
    </row>
    <row r="2500" spans="1:14" x14ac:dyDescent="0.35">
      <c r="A2500" t="s">
        <v>191</v>
      </c>
      <c r="B2500" s="5" t="str">
        <f>_xlfn.XLOOKUP(role_course_map[[#This Row],[role_id]], role_data[role_id], role_data[Role],"")</f>
        <v>Ambulance Technician</v>
      </c>
      <c r="C2500">
        <v>3886</v>
      </c>
      <c r="D2500" s="5" t="str">
        <f>_xlfn.XLOOKUP(role_course_map[[#This Row],[course_id]],course_data[course_id],course_data[title],"")</f>
        <v>Prevention and management of pressure ulcers</v>
      </c>
      <c r="E2500" s="5" t="str">
        <f>_xlfn.XLOOKUP(role_course_map[[#This Row],[course_id]],course_data[course_id],course_data[topic],"")</f>
        <v>SAS : Clinical Practice</v>
      </c>
      <c r="F2500" s="5" t="str">
        <f>_xlfn.XLOOKUP(role_course_map[[#This Row],[course_id]],course_data[course_id],course_data[type],"")</f>
        <v>Page</v>
      </c>
      <c r="K2500" t="str">
        <f>role_course_map[[#This Row],[role_id]] &amp; "|" &amp; role_course_map[[#This Row],[course_id]]</f>
        <v>R0089|3886</v>
      </c>
      <c r="L2500" t="str">
        <f>IF(COUNTIF(role_course_map[mapping_key],role_course_map[[#This Row],[mapping_key]])&gt;1,"DUPLICATE","OK")</f>
        <v>OK</v>
      </c>
      <c r="M2500" t="str">
        <f>IF(COUNTIF(role_data[role_id],role_course_map[[#This Row],[role_id]])=0, "INVALID","VALID")</f>
        <v>VALID</v>
      </c>
      <c r="N2500" t="str">
        <f>IF(COUNTIF(course_data[course_id],role_course_map[[#This Row],[course_id]])=0, "INVALID","VALID")</f>
        <v>VALID</v>
      </c>
    </row>
    <row r="2501" spans="1:14" x14ac:dyDescent="0.35">
      <c r="A2501" t="s">
        <v>191</v>
      </c>
      <c r="B2501" s="5" t="str">
        <f>_xlfn.XLOOKUP(role_course_map[[#This Row],[role_id]], role_data[role_id], role_data[Role],"")</f>
        <v>Ambulance Technician</v>
      </c>
      <c r="C2501">
        <v>999094</v>
      </c>
      <c r="D2501" s="5" t="str">
        <f>_xlfn.XLOOKUP(role_course_map[[#This Row],[course_id]],course_data[course_id],course_data[title],"")</f>
        <v>Being well, Mind, Body &amp; Workplace</v>
      </c>
      <c r="E2501" s="5" t="str">
        <f>_xlfn.XLOOKUP(role_course_map[[#This Row],[course_id]],course_data[course_id],course_data[topic],"")</f>
        <v>SAS: Staff development and experience</v>
      </c>
      <c r="F2501" s="5" t="str">
        <f>_xlfn.XLOOKUP(role_course_map[[#This Row],[course_id]],course_data[course_id],course_data[type],"")</f>
        <v>eLearning</v>
      </c>
      <c r="K2501" t="str">
        <f>role_course_map[[#This Row],[role_id]] &amp; "|" &amp; role_course_map[[#This Row],[course_id]]</f>
        <v>R0089|999094</v>
      </c>
      <c r="L2501" t="str">
        <f>IF(COUNTIF(role_course_map[mapping_key],role_course_map[[#This Row],[mapping_key]])&gt;1,"DUPLICATE","OK")</f>
        <v>OK</v>
      </c>
      <c r="M2501" t="str">
        <f>IF(COUNTIF(role_data[role_id],role_course_map[[#This Row],[role_id]])=0, "INVALID","VALID")</f>
        <v>VALID</v>
      </c>
      <c r="N2501" t="str">
        <f>IF(COUNTIF(course_data[course_id],role_course_map[[#This Row],[course_id]])=0, "INVALID","VALID")</f>
        <v>VALID</v>
      </c>
    </row>
    <row r="2502" spans="1:14" x14ac:dyDescent="0.35">
      <c r="A2502" t="s">
        <v>199</v>
      </c>
      <c r="B2502" s="5" t="str">
        <f>_xlfn.XLOOKUP(role_course_map[[#This Row],[role_id]], role_data[role_id], role_data[Role],"")</f>
        <v>Paramedic</v>
      </c>
      <c r="C2502">
        <v>79218</v>
      </c>
      <c r="D2502" s="5" t="str">
        <f>_xlfn.XLOOKUP(role_course_map[[#This Row],[course_id]],course_data[course_id],course_data[title],"")</f>
        <v>Life support</v>
      </c>
      <c r="E2502" s="5" t="str">
        <f>_xlfn.XLOOKUP(role_course_map[[#This Row],[course_id]],course_data[course_id],course_data[topic],"")</f>
        <v>SAS : Clinical Practice</v>
      </c>
      <c r="F2502" s="5" t="str">
        <f>_xlfn.XLOOKUP(role_course_map[[#This Row],[course_id]],course_data[course_id],course_data[type],"")</f>
        <v>Page</v>
      </c>
      <c r="K2502" t="str">
        <f>role_course_map[[#This Row],[role_id]] &amp; "|" &amp; role_course_map[[#This Row],[course_id]]</f>
        <v>R0093|79218</v>
      </c>
      <c r="L2502" t="str">
        <f>IF(COUNTIF(role_course_map[mapping_key],role_course_map[[#This Row],[mapping_key]])&gt;1,"DUPLICATE","OK")</f>
        <v>OK</v>
      </c>
      <c r="M2502" t="str">
        <f>IF(COUNTIF(role_data[role_id],role_course_map[[#This Row],[role_id]])=0, "INVALID","VALID")</f>
        <v>VALID</v>
      </c>
      <c r="N2502" t="str">
        <f>IF(COUNTIF(course_data[course_id],role_course_map[[#This Row],[course_id]])=0, "INVALID","VALID")</f>
        <v>VALID</v>
      </c>
    </row>
    <row r="2503" spans="1:14" x14ac:dyDescent="0.35">
      <c r="A2503" t="s">
        <v>199</v>
      </c>
      <c r="B2503" s="5" t="str">
        <f>_xlfn.XLOOKUP(role_course_map[[#This Row],[role_id]], role_data[role_id], role_data[Role],"")</f>
        <v>Paramedic</v>
      </c>
      <c r="C2503">
        <v>999009</v>
      </c>
      <c r="D2503" s="5" t="str">
        <f>_xlfn.XLOOKUP(role_course_map[[#This Row],[course_id]],course_data[course_id],course_data[title],"")</f>
        <v>Life Support</v>
      </c>
      <c r="E2503" s="5" t="str">
        <f>_xlfn.XLOOKUP(role_course_map[[#This Row],[course_id]],course_data[course_id],course_data[topic],"")</f>
        <v>SAS : Clinical Practice</v>
      </c>
      <c r="F2503" s="5" t="str">
        <f>_xlfn.XLOOKUP(role_course_map[[#This Row],[course_id]],course_data[course_id],course_data[type],"")</f>
        <v>Course</v>
      </c>
      <c r="K2503" t="str">
        <f>role_course_map[[#This Row],[role_id]] &amp; "|" &amp; role_course_map[[#This Row],[course_id]]</f>
        <v>R0093|999009</v>
      </c>
      <c r="L2503" t="str">
        <f>IF(COUNTIF(role_course_map[mapping_key],role_course_map[[#This Row],[mapping_key]])&gt;1,"DUPLICATE","OK")</f>
        <v>OK</v>
      </c>
      <c r="M2503" t="str">
        <f>IF(COUNTIF(role_data[role_id],role_course_map[[#This Row],[role_id]])=0, "INVALID","VALID")</f>
        <v>VALID</v>
      </c>
      <c r="N2503" t="str">
        <f>IF(COUNTIF(course_data[course_id],role_course_map[[#This Row],[course_id]])=0, "INVALID","VALID")</f>
        <v>VALID</v>
      </c>
    </row>
    <row r="2504" spans="1:14" x14ac:dyDescent="0.35">
      <c r="A2504" t="s">
        <v>199</v>
      </c>
      <c r="B2504" s="5" t="str">
        <f>_xlfn.XLOOKUP(role_course_map[[#This Row],[role_id]], role_data[role_id], role_data[Role],"")</f>
        <v>Paramedic</v>
      </c>
      <c r="C2504">
        <v>999007</v>
      </c>
      <c r="D2504" s="5" t="str">
        <f>_xlfn.XLOOKUP(role_course_map[[#This Row],[course_id]],course_data[course_id],course_data[title],"")</f>
        <v>Obstetrics</v>
      </c>
      <c r="E2504" s="5" t="str">
        <f>_xlfn.XLOOKUP(role_course_map[[#This Row],[course_id]],course_data[course_id],course_data[topic],"")</f>
        <v>SAS : Clinical Practice</v>
      </c>
      <c r="F2504" s="5" t="str">
        <f>_xlfn.XLOOKUP(role_course_map[[#This Row],[course_id]],course_data[course_id],course_data[type],"")</f>
        <v>Course</v>
      </c>
      <c r="K2504" t="str">
        <f>role_course_map[[#This Row],[role_id]] &amp; "|" &amp; role_course_map[[#This Row],[course_id]]</f>
        <v>R0093|999007</v>
      </c>
      <c r="L2504" t="str">
        <f>IF(COUNTIF(role_course_map[mapping_key],role_course_map[[#This Row],[mapping_key]])&gt;1,"DUPLICATE","OK")</f>
        <v>OK</v>
      </c>
      <c r="M2504" t="str">
        <f>IF(COUNTIF(role_data[role_id],role_course_map[[#This Row],[role_id]])=0, "INVALID","VALID")</f>
        <v>VALID</v>
      </c>
      <c r="N2504" t="str">
        <f>IF(COUNTIF(course_data[course_id],role_course_map[[#This Row],[course_id]])=0, "INVALID","VALID")</f>
        <v>VALID</v>
      </c>
    </row>
    <row r="2505" spans="1:14" x14ac:dyDescent="0.35">
      <c r="A2505" t="s">
        <v>199</v>
      </c>
      <c r="B2505" s="5" t="str">
        <f>_xlfn.XLOOKUP(role_course_map[[#This Row],[role_id]], role_data[role_id], role_data[Role],"")</f>
        <v>Paramedic</v>
      </c>
      <c r="C2505">
        <v>999008</v>
      </c>
      <c r="D2505" s="5" t="str">
        <f>_xlfn.XLOOKUP(role_course_map[[#This Row],[course_id]],course_data[course_id],course_data[title],"")</f>
        <v>Obstetrics</v>
      </c>
      <c r="E2505" s="5" t="str">
        <f>_xlfn.XLOOKUP(role_course_map[[#This Row],[course_id]],course_data[course_id],course_data[topic],"")</f>
        <v>SAS : Clinical Practice</v>
      </c>
      <c r="F2505" s="5" t="str">
        <f>_xlfn.XLOOKUP(role_course_map[[#This Row],[course_id]],course_data[course_id],course_data[type],"")</f>
        <v>eLearning</v>
      </c>
      <c r="K2505" t="str">
        <f>role_course_map[[#This Row],[role_id]] &amp; "|" &amp; role_course_map[[#This Row],[course_id]]</f>
        <v>R0093|999008</v>
      </c>
      <c r="L2505" t="str">
        <f>IF(COUNTIF(role_course_map[mapping_key],role_course_map[[#This Row],[mapping_key]])&gt;1,"DUPLICATE","OK")</f>
        <v>OK</v>
      </c>
      <c r="M2505" t="str">
        <f>IF(COUNTIF(role_data[role_id],role_course_map[[#This Row],[role_id]])=0, "INVALID","VALID")</f>
        <v>VALID</v>
      </c>
      <c r="N2505" t="str">
        <f>IF(COUNTIF(course_data[course_id],role_course_map[[#This Row],[course_id]])=0, "INVALID","VALID")</f>
        <v>VALID</v>
      </c>
    </row>
    <row r="2506" spans="1:14" x14ac:dyDescent="0.35">
      <c r="A2506" t="s">
        <v>199</v>
      </c>
      <c r="B2506" s="5" t="str">
        <f>_xlfn.XLOOKUP(role_course_map[[#This Row],[role_id]], role_data[role_id], role_data[Role],"")</f>
        <v>Paramedic</v>
      </c>
      <c r="C2506">
        <v>999010</v>
      </c>
      <c r="D2506" s="5" t="str">
        <f>_xlfn.XLOOKUP(role_course_map[[#This Row],[course_id]],course_data[course_id],course_data[title],"")</f>
        <v>Paediatrics</v>
      </c>
      <c r="E2506" s="5" t="str">
        <f>_xlfn.XLOOKUP(role_course_map[[#This Row],[course_id]],course_data[course_id],course_data[topic],"")</f>
        <v>SAS : Clinical Practice</v>
      </c>
      <c r="F2506" s="5" t="str">
        <f>_xlfn.XLOOKUP(role_course_map[[#This Row],[course_id]],course_data[course_id],course_data[type],"")</f>
        <v>Course</v>
      </c>
      <c r="K2506" t="str">
        <f>role_course_map[[#This Row],[role_id]] &amp; "|" &amp; role_course_map[[#This Row],[course_id]]</f>
        <v>R0093|999010</v>
      </c>
      <c r="L2506" t="str">
        <f>IF(COUNTIF(role_course_map[mapping_key],role_course_map[[#This Row],[mapping_key]])&gt;1,"DUPLICATE","OK")</f>
        <v>OK</v>
      </c>
      <c r="M2506" t="str">
        <f>IF(COUNTIF(role_data[role_id],role_course_map[[#This Row],[role_id]])=0, "INVALID","VALID")</f>
        <v>VALID</v>
      </c>
      <c r="N2506" t="str">
        <f>IF(COUNTIF(course_data[course_id],role_course_map[[#This Row],[course_id]])=0, "INVALID","VALID")</f>
        <v>VALID</v>
      </c>
    </row>
    <row r="2507" spans="1:14" x14ac:dyDescent="0.35">
      <c r="A2507" t="s">
        <v>199</v>
      </c>
      <c r="B2507" s="5" t="str">
        <f>_xlfn.XLOOKUP(role_course_map[[#This Row],[role_id]], role_data[role_id], role_data[Role],"")</f>
        <v>Paramedic</v>
      </c>
      <c r="C2507">
        <v>999011</v>
      </c>
      <c r="D2507" s="5" t="str">
        <f>_xlfn.XLOOKUP(role_course_map[[#This Row],[course_id]],course_data[course_id],course_data[title],"")</f>
        <v>Paediatrics</v>
      </c>
      <c r="E2507" s="5" t="str">
        <f>_xlfn.XLOOKUP(role_course_map[[#This Row],[course_id]],course_data[course_id],course_data[topic],"")</f>
        <v>SAS : Clinical Practice</v>
      </c>
      <c r="F2507" s="5" t="str">
        <f>_xlfn.XLOOKUP(role_course_map[[#This Row],[course_id]],course_data[course_id],course_data[type],"")</f>
        <v>eLearning</v>
      </c>
      <c r="K2507" t="str">
        <f>role_course_map[[#This Row],[role_id]] &amp; "|" &amp; role_course_map[[#This Row],[course_id]]</f>
        <v>R0093|999011</v>
      </c>
      <c r="L2507" t="str">
        <f>IF(COUNTIF(role_course_map[mapping_key],role_course_map[[#This Row],[mapping_key]])&gt;1,"DUPLICATE","OK")</f>
        <v>OK</v>
      </c>
      <c r="M2507" t="str">
        <f>IF(COUNTIF(role_data[role_id],role_course_map[[#This Row],[role_id]])=0, "INVALID","VALID")</f>
        <v>VALID</v>
      </c>
      <c r="N2507" t="str">
        <f>IF(COUNTIF(course_data[course_id],role_course_map[[#This Row],[course_id]])=0, "INVALID","VALID")</f>
        <v>VALID</v>
      </c>
    </row>
    <row r="2508" spans="1:14" x14ac:dyDescent="0.35">
      <c r="A2508" t="s">
        <v>199</v>
      </c>
      <c r="B2508" s="5" t="str">
        <f>_xlfn.XLOOKUP(role_course_map[[#This Row],[role_id]], role_data[role_id], role_data[Role],"")</f>
        <v>Paramedic</v>
      </c>
      <c r="C2508">
        <v>999012</v>
      </c>
      <c r="D2508" s="5" t="str">
        <f>_xlfn.XLOOKUP(role_course_map[[#This Row],[course_id]],course_data[course_id],course_data[title],"")</f>
        <v>Trauma</v>
      </c>
      <c r="E2508" s="5" t="str">
        <f>_xlfn.XLOOKUP(role_course_map[[#This Row],[course_id]],course_data[course_id],course_data[topic],"")</f>
        <v>SAS : Clinical Practice</v>
      </c>
      <c r="F2508" s="5" t="str">
        <f>_xlfn.XLOOKUP(role_course_map[[#This Row],[course_id]],course_data[course_id],course_data[type],"")</f>
        <v>Course</v>
      </c>
      <c r="K2508" t="str">
        <f>role_course_map[[#This Row],[role_id]] &amp; "|" &amp; role_course_map[[#This Row],[course_id]]</f>
        <v>R0093|999012</v>
      </c>
      <c r="L2508" t="str">
        <f>IF(COUNTIF(role_course_map[mapping_key],role_course_map[[#This Row],[mapping_key]])&gt;1,"DUPLICATE","OK")</f>
        <v>OK</v>
      </c>
      <c r="M2508" t="str">
        <f>IF(COUNTIF(role_data[role_id],role_course_map[[#This Row],[role_id]])=0, "INVALID","VALID")</f>
        <v>VALID</v>
      </c>
      <c r="N2508" t="str">
        <f>IF(COUNTIF(course_data[course_id],role_course_map[[#This Row],[course_id]])=0, "INVALID","VALID")</f>
        <v>VALID</v>
      </c>
    </row>
    <row r="2509" spans="1:14" x14ac:dyDescent="0.35">
      <c r="A2509" t="s">
        <v>199</v>
      </c>
      <c r="B2509" s="5" t="str">
        <f>_xlfn.XLOOKUP(role_course_map[[#This Row],[role_id]], role_data[role_id], role_data[Role],"")</f>
        <v>Paramedic</v>
      </c>
      <c r="C2509">
        <v>999013</v>
      </c>
      <c r="D2509" s="5" t="str">
        <f>_xlfn.XLOOKUP(role_course_map[[#This Row],[course_id]],course_data[course_id],course_data[title],"")</f>
        <v>Trauma</v>
      </c>
      <c r="E2509" s="5" t="str">
        <f>_xlfn.XLOOKUP(role_course_map[[#This Row],[course_id]],course_data[course_id],course_data[topic],"")</f>
        <v>SAS : Clinical Practice</v>
      </c>
      <c r="F2509" s="5" t="str">
        <f>_xlfn.XLOOKUP(role_course_map[[#This Row],[course_id]],course_data[course_id],course_data[type],"")</f>
        <v>eLearning</v>
      </c>
      <c r="K2509" t="str">
        <f>role_course_map[[#This Row],[role_id]] &amp; "|" &amp; role_course_map[[#This Row],[course_id]]</f>
        <v>R0093|999013</v>
      </c>
      <c r="L2509" t="str">
        <f>IF(COUNTIF(role_course_map[mapping_key],role_course_map[[#This Row],[mapping_key]])&gt;1,"DUPLICATE","OK")</f>
        <v>OK</v>
      </c>
      <c r="M2509" t="str">
        <f>IF(COUNTIF(role_data[role_id],role_course_map[[#This Row],[role_id]])=0, "INVALID","VALID")</f>
        <v>VALID</v>
      </c>
      <c r="N2509" t="str">
        <f>IF(COUNTIF(course_data[course_id],role_course_map[[#This Row],[course_id]])=0, "INVALID","VALID")</f>
        <v>VALID</v>
      </c>
    </row>
    <row r="2510" spans="1:14" x14ac:dyDescent="0.35">
      <c r="A2510" t="s">
        <v>199</v>
      </c>
      <c r="B2510" s="5" t="str">
        <f>_xlfn.XLOOKUP(role_course_map[[#This Row],[role_id]], role_data[role_id], role_data[Role],"")</f>
        <v>Paramedic</v>
      </c>
      <c r="C2510">
        <v>999014</v>
      </c>
      <c r="D2510" s="5" t="str">
        <f>_xlfn.XLOOKUP(role_course_map[[#This Row],[course_id]],course_data[course_id],course_data[title],"")</f>
        <v>Patient Assessment</v>
      </c>
      <c r="E2510" s="5" t="str">
        <f>_xlfn.XLOOKUP(role_course_map[[#This Row],[course_id]],course_data[course_id],course_data[topic],"")</f>
        <v>SAS : Clinical Practice</v>
      </c>
      <c r="F2510" s="5" t="str">
        <f>_xlfn.XLOOKUP(role_course_map[[#This Row],[course_id]],course_data[course_id],course_data[type],"")</f>
        <v>Course</v>
      </c>
      <c r="K2510" t="str">
        <f>role_course_map[[#This Row],[role_id]] &amp; "|" &amp; role_course_map[[#This Row],[course_id]]</f>
        <v>R0093|999014</v>
      </c>
      <c r="L2510" t="str">
        <f>IF(COUNTIF(role_course_map[mapping_key],role_course_map[[#This Row],[mapping_key]])&gt;1,"DUPLICATE","OK")</f>
        <v>OK</v>
      </c>
      <c r="M2510" t="str">
        <f>IF(COUNTIF(role_data[role_id],role_course_map[[#This Row],[role_id]])=0, "INVALID","VALID")</f>
        <v>VALID</v>
      </c>
      <c r="N2510" t="str">
        <f>IF(COUNTIF(course_data[course_id],role_course_map[[#This Row],[course_id]])=0, "INVALID","VALID")</f>
        <v>VALID</v>
      </c>
    </row>
    <row r="2511" spans="1:14" x14ac:dyDescent="0.35">
      <c r="A2511" t="s">
        <v>199</v>
      </c>
      <c r="B2511" s="5" t="str">
        <f>_xlfn.XLOOKUP(role_course_map[[#This Row],[role_id]], role_data[role_id], role_data[Role],"")</f>
        <v>Paramedic</v>
      </c>
      <c r="C2511">
        <v>999015</v>
      </c>
      <c r="D2511" s="5" t="str">
        <f>_xlfn.XLOOKUP(role_course_map[[#This Row],[course_id]],course_data[course_id],course_data[title],"")</f>
        <v>Patient Assessment</v>
      </c>
      <c r="E2511" s="5" t="str">
        <f>_xlfn.XLOOKUP(role_course_map[[#This Row],[course_id]],course_data[course_id],course_data[topic],"")</f>
        <v>SAS : Clinical Practice</v>
      </c>
      <c r="F2511" s="5" t="str">
        <f>_xlfn.XLOOKUP(role_course_map[[#This Row],[course_id]],course_data[course_id],course_data[type],"")</f>
        <v>eLearning</v>
      </c>
      <c r="K2511" t="str">
        <f>role_course_map[[#This Row],[role_id]] &amp; "|" &amp; role_course_map[[#This Row],[course_id]]</f>
        <v>R0093|999015</v>
      </c>
      <c r="L2511" t="str">
        <f>IF(COUNTIF(role_course_map[mapping_key],role_course_map[[#This Row],[mapping_key]])&gt;1,"DUPLICATE","OK")</f>
        <v>OK</v>
      </c>
      <c r="M2511" t="str">
        <f>IF(COUNTIF(role_data[role_id],role_course_map[[#This Row],[role_id]])=0, "INVALID","VALID")</f>
        <v>VALID</v>
      </c>
      <c r="N2511" t="str">
        <f>IF(COUNTIF(course_data[course_id],role_course_map[[#This Row],[course_id]])=0, "INVALID","VALID")</f>
        <v>VALID</v>
      </c>
    </row>
    <row r="2512" spans="1:14" x14ac:dyDescent="0.35">
      <c r="A2512" t="s">
        <v>199</v>
      </c>
      <c r="B2512" s="5" t="str">
        <f>_xlfn.XLOOKUP(role_course_map[[#This Row],[role_id]], role_data[role_id], role_data[Role],"")</f>
        <v>Paramedic</v>
      </c>
      <c r="C2512">
        <v>999016</v>
      </c>
      <c r="D2512" s="5" t="str">
        <f>_xlfn.XLOOKUP(role_course_map[[#This Row],[course_id]],course_data[course_id],course_data[title],"")</f>
        <v>Clinical Skills</v>
      </c>
      <c r="E2512" s="5" t="str">
        <f>_xlfn.XLOOKUP(role_course_map[[#This Row],[course_id]],course_data[course_id],course_data[topic],"")</f>
        <v>SAS : Clinical Practice</v>
      </c>
      <c r="F2512" s="5" t="str">
        <f>_xlfn.XLOOKUP(role_course_map[[#This Row],[course_id]],course_data[course_id],course_data[type],"")</f>
        <v>Course</v>
      </c>
      <c r="K2512" t="str">
        <f>role_course_map[[#This Row],[role_id]] &amp; "|" &amp; role_course_map[[#This Row],[course_id]]</f>
        <v>R0093|999016</v>
      </c>
      <c r="L2512" t="str">
        <f>IF(COUNTIF(role_course_map[mapping_key],role_course_map[[#This Row],[mapping_key]])&gt;1,"DUPLICATE","OK")</f>
        <v>OK</v>
      </c>
      <c r="M2512" t="str">
        <f>IF(COUNTIF(role_data[role_id],role_course_map[[#This Row],[role_id]])=0, "INVALID","VALID")</f>
        <v>VALID</v>
      </c>
      <c r="N2512" t="str">
        <f>IF(COUNTIF(course_data[course_id],role_course_map[[#This Row],[course_id]])=0, "INVALID","VALID")</f>
        <v>VALID</v>
      </c>
    </row>
    <row r="2513" spans="1:14" x14ac:dyDescent="0.35">
      <c r="A2513" t="s">
        <v>199</v>
      </c>
      <c r="B2513" s="5" t="str">
        <f>_xlfn.XLOOKUP(role_course_map[[#This Row],[role_id]], role_data[role_id], role_data[Role],"")</f>
        <v>Paramedic</v>
      </c>
      <c r="C2513">
        <v>999017</v>
      </c>
      <c r="D2513" s="5" t="str">
        <f>_xlfn.XLOOKUP(role_course_map[[#This Row],[course_id]],course_data[course_id],course_data[title],"")</f>
        <v>Clinical Skills</v>
      </c>
      <c r="E2513" s="5" t="str">
        <f>_xlfn.XLOOKUP(role_course_map[[#This Row],[course_id]],course_data[course_id],course_data[topic],"")</f>
        <v>SAS : Clinical Practice</v>
      </c>
      <c r="F2513" s="5" t="str">
        <f>_xlfn.XLOOKUP(role_course_map[[#This Row],[course_id]],course_data[course_id],course_data[type],"")</f>
        <v>eLearning</v>
      </c>
      <c r="K2513" t="str">
        <f>role_course_map[[#This Row],[role_id]] &amp; "|" &amp; role_course_map[[#This Row],[course_id]]</f>
        <v>R0093|999017</v>
      </c>
      <c r="L2513" t="str">
        <f>IF(COUNTIF(role_course_map[mapping_key],role_course_map[[#This Row],[mapping_key]])&gt;1,"DUPLICATE","OK")</f>
        <v>OK</v>
      </c>
      <c r="M2513" t="str">
        <f>IF(COUNTIF(role_data[role_id],role_course_map[[#This Row],[role_id]])=0, "INVALID","VALID")</f>
        <v>VALID</v>
      </c>
      <c r="N2513" t="str">
        <f>IF(COUNTIF(course_data[course_id],role_course_map[[#This Row],[course_id]])=0, "INVALID","VALID")</f>
        <v>VALID</v>
      </c>
    </row>
    <row r="2514" spans="1:14" x14ac:dyDescent="0.35">
      <c r="A2514" t="s">
        <v>199</v>
      </c>
      <c r="B2514" s="5" t="str">
        <f>_xlfn.XLOOKUP(role_course_map[[#This Row],[role_id]], role_data[role_id], role_data[Role],"")</f>
        <v>Paramedic</v>
      </c>
      <c r="C2514">
        <v>999018</v>
      </c>
      <c r="D2514" s="5" t="str">
        <f>_xlfn.XLOOKUP(role_course_map[[#This Row],[course_id]],course_data[course_id],course_data[title],"")</f>
        <v>Learning from Events</v>
      </c>
      <c r="E2514" s="5" t="str">
        <f>_xlfn.XLOOKUP(role_course_map[[#This Row],[course_id]],course_data[course_id],course_data[topic],"")</f>
        <v>SAS : Clinical Practice</v>
      </c>
      <c r="F2514" s="5" t="str">
        <f>_xlfn.XLOOKUP(role_course_map[[#This Row],[course_id]],course_data[course_id],course_data[type],"")</f>
        <v>eLearning</v>
      </c>
      <c r="K2514" t="str">
        <f>role_course_map[[#This Row],[role_id]] &amp; "|" &amp; role_course_map[[#This Row],[course_id]]</f>
        <v>R0093|999018</v>
      </c>
      <c r="L2514" t="str">
        <f>IF(COUNTIF(role_course_map[mapping_key],role_course_map[[#This Row],[mapping_key]])&gt;1,"DUPLICATE","OK")</f>
        <v>OK</v>
      </c>
      <c r="M2514" t="str">
        <f>IF(COUNTIF(role_data[role_id],role_course_map[[#This Row],[role_id]])=0, "INVALID","VALID")</f>
        <v>VALID</v>
      </c>
      <c r="N2514" t="str">
        <f>IF(COUNTIF(course_data[course_id],role_course_map[[#This Row],[course_id]])=0, "INVALID","VALID")</f>
        <v>VALID</v>
      </c>
    </row>
    <row r="2515" spans="1:14" x14ac:dyDescent="0.35">
      <c r="A2515" t="s">
        <v>199</v>
      </c>
      <c r="B2515" s="5" t="str">
        <f>_xlfn.XLOOKUP(role_course_map[[#This Row],[role_id]], role_data[role_id], role_data[Role],"")</f>
        <v>Paramedic</v>
      </c>
      <c r="C2515">
        <v>999019</v>
      </c>
      <c r="D2515" s="5" t="str">
        <f>_xlfn.XLOOKUP(role_course_map[[#This Row],[course_id]],course_data[course_id],course_data[title],"")</f>
        <v>Medicines Management</v>
      </c>
      <c r="E2515" s="5" t="str">
        <f>_xlfn.XLOOKUP(role_course_map[[#This Row],[course_id]],course_data[course_id],course_data[topic],"")</f>
        <v>SAS : Clinical Practice</v>
      </c>
      <c r="F2515" s="5" t="str">
        <f>_xlfn.XLOOKUP(role_course_map[[#This Row],[course_id]],course_data[course_id],course_data[type],"")</f>
        <v>eLearning</v>
      </c>
      <c r="K2515" t="str">
        <f>role_course_map[[#This Row],[role_id]] &amp; "|" &amp; role_course_map[[#This Row],[course_id]]</f>
        <v>R0093|999019</v>
      </c>
      <c r="L2515" t="str">
        <f>IF(COUNTIF(role_course_map[mapping_key],role_course_map[[#This Row],[mapping_key]])&gt;1,"DUPLICATE","OK")</f>
        <v>OK</v>
      </c>
      <c r="M2515" t="str">
        <f>IF(COUNTIF(role_data[role_id],role_course_map[[#This Row],[role_id]])=0, "INVALID","VALID")</f>
        <v>VALID</v>
      </c>
      <c r="N2515" t="str">
        <f>IF(COUNTIF(course_data[course_id],role_course_map[[#This Row],[course_id]])=0, "INVALID","VALID")</f>
        <v>VALID</v>
      </c>
    </row>
    <row r="2516" spans="1:14" x14ac:dyDescent="0.35">
      <c r="A2516" t="s">
        <v>199</v>
      </c>
      <c r="B2516" s="5" t="str">
        <f>_xlfn.XLOOKUP(role_course_map[[#This Row],[role_id]], role_data[role_id], role_data[Role],"")</f>
        <v>Paramedic</v>
      </c>
      <c r="C2516">
        <v>999020</v>
      </c>
      <c r="D2516" s="5" t="str">
        <f>_xlfn.XLOOKUP(role_course_map[[#This Row],[course_id]],course_data[course_id],course_data[title],"")</f>
        <v>JRCALC Update</v>
      </c>
      <c r="E2516" s="5" t="str">
        <f>_xlfn.XLOOKUP(role_course_map[[#This Row],[course_id]],course_data[course_id],course_data[topic],"")</f>
        <v>SAS : Clinical Practice</v>
      </c>
      <c r="F2516" s="5" t="str">
        <f>_xlfn.XLOOKUP(role_course_map[[#This Row],[course_id]],course_data[course_id],course_data[type],"")</f>
        <v>eLearning</v>
      </c>
      <c r="K2516" t="str">
        <f>role_course_map[[#This Row],[role_id]] &amp; "|" &amp; role_course_map[[#This Row],[course_id]]</f>
        <v>R0093|999020</v>
      </c>
      <c r="L2516" t="str">
        <f>IF(COUNTIF(role_course_map[mapping_key],role_course_map[[#This Row],[mapping_key]])&gt;1,"DUPLICATE","OK")</f>
        <v>OK</v>
      </c>
      <c r="M2516" t="str">
        <f>IF(COUNTIF(role_data[role_id],role_course_map[[#This Row],[role_id]])=0, "INVALID","VALID")</f>
        <v>VALID</v>
      </c>
      <c r="N2516" t="str">
        <f>IF(COUNTIF(course_data[course_id],role_course_map[[#This Row],[course_id]])=0, "INVALID","VALID")</f>
        <v>VALID</v>
      </c>
    </row>
    <row r="2517" spans="1:14" x14ac:dyDescent="0.35">
      <c r="A2517" t="s">
        <v>199</v>
      </c>
      <c r="B2517" s="5" t="str">
        <f>_xlfn.XLOOKUP(role_course_map[[#This Row],[role_id]], role_data[role_id], role_data[Role],"")</f>
        <v>Paramedic</v>
      </c>
      <c r="C2517">
        <v>999021</v>
      </c>
      <c r="D2517" s="5" t="str">
        <f>_xlfn.XLOOKUP(role_course_map[[#This Row],[course_id]],course_data[course_id],course_data[title],"")</f>
        <v>Mental Health</v>
      </c>
      <c r="E2517" s="5" t="str">
        <f>_xlfn.XLOOKUP(role_course_map[[#This Row],[course_id]],course_data[course_id],course_data[topic],"")</f>
        <v>SAS : Clinical Practice</v>
      </c>
      <c r="F2517" s="5" t="str">
        <f>_xlfn.XLOOKUP(role_course_map[[#This Row],[course_id]],course_data[course_id],course_data[type],"")</f>
        <v>eLearning</v>
      </c>
      <c r="K2517" t="str">
        <f>role_course_map[[#This Row],[role_id]] &amp; "|" &amp; role_course_map[[#This Row],[course_id]]</f>
        <v>R0093|999021</v>
      </c>
      <c r="L2517" t="str">
        <f>IF(COUNTIF(role_course_map[mapping_key],role_course_map[[#This Row],[mapping_key]])&gt;1,"DUPLICATE","OK")</f>
        <v>OK</v>
      </c>
      <c r="M2517" t="str">
        <f>IF(COUNTIF(role_data[role_id],role_course_map[[#This Row],[role_id]])=0, "INVALID","VALID")</f>
        <v>VALID</v>
      </c>
      <c r="N2517" t="str">
        <f>IF(COUNTIF(course_data[course_id],role_course_map[[#This Row],[course_id]])=0, "INVALID","VALID")</f>
        <v>VALID</v>
      </c>
    </row>
    <row r="2518" spans="1:14" x14ac:dyDescent="0.35">
      <c r="A2518" t="s">
        <v>199</v>
      </c>
      <c r="B2518" s="5" t="str">
        <f>_xlfn.XLOOKUP(role_course_map[[#This Row],[role_id]], role_data[role_id], role_data[Role],"")</f>
        <v>Paramedic</v>
      </c>
      <c r="C2518">
        <v>999022</v>
      </c>
      <c r="D2518" s="5" t="str">
        <f>_xlfn.XLOOKUP(role_course_map[[#This Row],[course_id]],course_data[course_id],course_data[title],"")</f>
        <v>Learning Disabilities</v>
      </c>
      <c r="E2518" s="5" t="str">
        <f>_xlfn.XLOOKUP(role_course_map[[#This Row],[course_id]],course_data[course_id],course_data[topic],"")</f>
        <v>SAS : Clinical Practice</v>
      </c>
      <c r="F2518" s="5" t="str">
        <f>_xlfn.XLOOKUP(role_course_map[[#This Row],[course_id]],course_data[course_id],course_data[type],"")</f>
        <v>eLearning</v>
      </c>
      <c r="K2518" t="str">
        <f>role_course_map[[#This Row],[role_id]] &amp; "|" &amp; role_course_map[[#This Row],[course_id]]</f>
        <v>R0093|999022</v>
      </c>
      <c r="L2518" t="str">
        <f>IF(COUNTIF(role_course_map[mapping_key],role_course_map[[#This Row],[mapping_key]])&gt;1,"DUPLICATE","OK")</f>
        <v>OK</v>
      </c>
      <c r="M2518" t="str">
        <f>IF(COUNTIF(role_data[role_id],role_course_map[[#This Row],[role_id]])=0, "INVALID","VALID")</f>
        <v>VALID</v>
      </c>
      <c r="N2518" t="str">
        <f>IF(COUNTIF(course_data[course_id],role_course_map[[#This Row],[course_id]])=0, "INVALID","VALID")</f>
        <v>VALID</v>
      </c>
    </row>
    <row r="2519" spans="1:14" x14ac:dyDescent="0.35">
      <c r="A2519" t="s">
        <v>199</v>
      </c>
      <c r="B2519" s="5" t="str">
        <f>_xlfn.XLOOKUP(role_course_map[[#This Row],[role_id]], role_data[role_id], role_data[Role],"")</f>
        <v>Paramedic</v>
      </c>
      <c r="C2519">
        <v>75202</v>
      </c>
      <c r="D2519" s="5" t="str">
        <f>_xlfn.XLOOKUP(role_course_map[[#This Row],[course_id]],course_data[course_id],course_data[title],"")</f>
        <v>SAS : Clinical Practice</v>
      </c>
      <c r="E2519" s="5" t="str">
        <f>_xlfn.XLOOKUP(role_course_map[[#This Row],[course_id]],course_data[course_id],course_data[topic],"")</f>
        <v>SAS : Clinical Practice</v>
      </c>
      <c r="F2519" s="5" t="str">
        <f>_xlfn.XLOOKUP(role_course_map[[#This Row],[course_id]],course_data[course_id],course_data[type],"")</f>
        <v>Page</v>
      </c>
      <c r="K2519" t="str">
        <f>role_course_map[[#This Row],[role_id]] &amp; "|" &amp; role_course_map[[#This Row],[course_id]]</f>
        <v>R0093|75202</v>
      </c>
      <c r="L2519" t="str">
        <f>IF(COUNTIF(role_course_map[mapping_key],role_course_map[[#This Row],[mapping_key]])&gt;1,"DUPLICATE","OK")</f>
        <v>OK</v>
      </c>
      <c r="M2519" t="str">
        <f>IF(COUNTIF(role_data[role_id],role_course_map[[#This Row],[role_id]])=0, "INVALID","VALID")</f>
        <v>VALID</v>
      </c>
      <c r="N2519" t="str">
        <f>IF(COUNTIF(course_data[course_id],role_course_map[[#This Row],[course_id]])=0, "INVALID","VALID")</f>
        <v>VALID</v>
      </c>
    </row>
    <row r="2520" spans="1:14" x14ac:dyDescent="0.35">
      <c r="A2520" t="s">
        <v>199</v>
      </c>
      <c r="B2520" s="5" t="str">
        <f>_xlfn.XLOOKUP(role_course_map[[#This Row],[role_id]], role_data[role_id], role_data[Role],"")</f>
        <v>Paramedic</v>
      </c>
      <c r="C2520">
        <v>999023</v>
      </c>
      <c r="D2520" s="5" t="str">
        <f>_xlfn.XLOOKUP(role_course_map[[#This Row],[course_id]],course_data[course_id],course_data[title],"")</f>
        <v>Dementia</v>
      </c>
      <c r="E2520" s="5" t="str">
        <f>_xlfn.XLOOKUP(role_course_map[[#This Row],[course_id]],course_data[course_id],course_data[topic],"")</f>
        <v>SAS : Clinical Practice</v>
      </c>
      <c r="F2520" s="5" t="str">
        <f>_xlfn.XLOOKUP(role_course_map[[#This Row],[course_id]],course_data[course_id],course_data[type],"")</f>
        <v>eLearning</v>
      </c>
      <c r="K2520" t="str">
        <f>role_course_map[[#This Row],[role_id]] &amp; "|" &amp; role_course_map[[#This Row],[course_id]]</f>
        <v>R0093|999023</v>
      </c>
      <c r="L2520" t="str">
        <f>IF(COUNTIF(role_course_map[mapping_key],role_course_map[[#This Row],[mapping_key]])&gt;1,"DUPLICATE","OK")</f>
        <v>OK</v>
      </c>
      <c r="M2520" t="str">
        <f>IF(COUNTIF(role_data[role_id],role_course_map[[#This Row],[role_id]])=0, "INVALID","VALID")</f>
        <v>VALID</v>
      </c>
      <c r="N2520" t="str">
        <f>IF(COUNTIF(course_data[course_id],role_course_map[[#This Row],[course_id]])=0, "INVALID","VALID")</f>
        <v>VALID</v>
      </c>
    </row>
    <row r="2521" spans="1:14" x14ac:dyDescent="0.35">
      <c r="A2521" t="s">
        <v>199</v>
      </c>
      <c r="B2521" s="5" t="str">
        <f>_xlfn.XLOOKUP(role_course_map[[#This Row],[role_id]], role_data[role_id], role_data[Role],"")</f>
        <v>Paramedic</v>
      </c>
      <c r="C2521">
        <v>999024</v>
      </c>
      <c r="D2521" s="5" t="str">
        <f>_xlfn.XLOOKUP(role_course_map[[#This Row],[course_id]],course_data[course_id],course_data[title],"")</f>
        <v>Conditions requiring specific hospital management. I.e. Parkinsons</v>
      </c>
      <c r="E2521" s="5" t="str">
        <f>_xlfn.XLOOKUP(role_course_map[[#This Row],[course_id]],course_data[course_id],course_data[topic],"")</f>
        <v>SAS : Clinical Practice</v>
      </c>
      <c r="F2521" s="5" t="str">
        <f>_xlfn.XLOOKUP(role_course_map[[#This Row],[course_id]],course_data[course_id],course_data[type],"")</f>
        <v>eLearning</v>
      </c>
      <c r="K2521" t="str">
        <f>role_course_map[[#This Row],[role_id]] &amp; "|" &amp; role_course_map[[#This Row],[course_id]]</f>
        <v>R0093|999024</v>
      </c>
      <c r="L2521" t="str">
        <f>IF(COUNTIF(role_course_map[mapping_key],role_course_map[[#This Row],[mapping_key]])&gt;1,"DUPLICATE","OK")</f>
        <v>OK</v>
      </c>
      <c r="M2521" t="str">
        <f>IF(COUNTIF(role_data[role_id],role_course_map[[#This Row],[role_id]])=0, "INVALID","VALID")</f>
        <v>VALID</v>
      </c>
      <c r="N2521" t="str">
        <f>IF(COUNTIF(course_data[course_id],role_course_map[[#This Row],[course_id]])=0, "INVALID","VALID")</f>
        <v>VALID</v>
      </c>
    </row>
    <row r="2522" spans="1:14" x14ac:dyDescent="0.35">
      <c r="A2522" t="s">
        <v>199</v>
      </c>
      <c r="B2522" s="5" t="str">
        <f>_xlfn.XLOOKUP(role_course_map[[#This Row],[role_id]], role_data[role_id], role_data[Role],"")</f>
        <v>Paramedic</v>
      </c>
      <c r="C2522">
        <v>999095</v>
      </c>
      <c r="D2522" s="5" t="str">
        <f>_xlfn.XLOOKUP(role_course_map[[#This Row],[course_id]],course_data[course_id],course_data[title],"")</f>
        <v>Mentoring</v>
      </c>
      <c r="E2522" s="5" t="str">
        <f>_xlfn.XLOOKUP(role_course_map[[#This Row],[course_id]],course_data[course_id],course_data[topic],"")</f>
        <v>SAS: Staff development and experience</v>
      </c>
      <c r="F2522" s="5" t="str">
        <f>_xlfn.XLOOKUP(role_course_map[[#This Row],[course_id]],course_data[course_id],course_data[type],"")</f>
        <v>eLearning</v>
      </c>
      <c r="K2522" t="str">
        <f>role_course_map[[#This Row],[role_id]] &amp; "|" &amp; role_course_map[[#This Row],[course_id]]</f>
        <v>R0093|999095</v>
      </c>
      <c r="L2522" t="str">
        <f>IF(COUNTIF(role_course_map[mapping_key],role_course_map[[#This Row],[mapping_key]])&gt;1,"DUPLICATE","OK")</f>
        <v>OK</v>
      </c>
      <c r="M2522" t="str">
        <f>IF(COUNTIF(role_data[role_id],role_course_map[[#This Row],[role_id]])=0, "INVALID","VALID")</f>
        <v>VALID</v>
      </c>
      <c r="N2522" t="str">
        <f>IF(COUNTIF(course_data[course_id],role_course_map[[#This Row],[course_id]])=0, "INVALID","VALID")</f>
        <v>VALID</v>
      </c>
    </row>
    <row r="2523" spans="1:14" x14ac:dyDescent="0.35">
      <c r="A2523" t="s">
        <v>199</v>
      </c>
      <c r="B2523" s="5" t="str">
        <f>_xlfn.XLOOKUP(role_course_map[[#This Row],[role_id]], role_data[role_id], role_data[Role],"")</f>
        <v>Paramedic</v>
      </c>
      <c r="C2523">
        <v>999096</v>
      </c>
      <c r="D2523" s="5" t="str">
        <f>_xlfn.XLOOKUP(role_course_map[[#This Row],[course_id]],course_data[course_id],course_data[title],"")</f>
        <v>Supporting others in practice (Supervision)</v>
      </c>
      <c r="E2523" s="5" t="str">
        <f>_xlfn.XLOOKUP(role_course_map[[#This Row],[course_id]],course_data[course_id],course_data[topic],"")</f>
        <v>SAS: Staff development and experience</v>
      </c>
      <c r="F2523" s="5" t="str">
        <f>_xlfn.XLOOKUP(role_course_map[[#This Row],[course_id]],course_data[course_id],course_data[type],"")</f>
        <v>Course</v>
      </c>
      <c r="K2523" t="str">
        <f>role_course_map[[#This Row],[role_id]] &amp; "|" &amp; role_course_map[[#This Row],[course_id]]</f>
        <v>R0093|999096</v>
      </c>
      <c r="L2523" t="str">
        <f>IF(COUNTIF(role_course_map[mapping_key],role_course_map[[#This Row],[mapping_key]])&gt;1,"DUPLICATE","OK")</f>
        <v>OK</v>
      </c>
      <c r="M2523" t="str">
        <f>IF(COUNTIF(role_data[role_id],role_course_map[[#This Row],[role_id]])=0, "INVALID","VALID")</f>
        <v>VALID</v>
      </c>
      <c r="N2523" t="str">
        <f>IF(COUNTIF(course_data[course_id],role_course_map[[#This Row],[course_id]])=0, "INVALID","VALID")</f>
        <v>VALID</v>
      </c>
    </row>
    <row r="2524" spans="1:14" x14ac:dyDescent="0.35">
      <c r="A2524" t="s">
        <v>199</v>
      </c>
      <c r="B2524" s="5" t="str">
        <f>_xlfn.XLOOKUP(role_course_map[[#This Row],[role_id]], role_data[role_id], role_data[Role],"")</f>
        <v>Paramedic</v>
      </c>
      <c r="C2524">
        <v>999097</v>
      </c>
      <c r="D2524" s="5" t="str">
        <f>_xlfn.XLOOKUP(role_course_map[[#This Row],[course_id]],course_data[course_id],course_data[title],"")</f>
        <v>Personal Wellbeing</v>
      </c>
      <c r="E2524" s="5" t="str">
        <f>_xlfn.XLOOKUP(role_course_map[[#This Row],[course_id]],course_data[course_id],course_data[topic],"")</f>
        <v>SAS: Staff development and experience</v>
      </c>
      <c r="F2524" s="5" t="str">
        <f>_xlfn.XLOOKUP(role_course_map[[#This Row],[course_id]],course_data[course_id],course_data[type],"")</f>
        <v>eLearning</v>
      </c>
      <c r="K2524" t="str">
        <f>role_course_map[[#This Row],[role_id]] &amp; "|" &amp; role_course_map[[#This Row],[course_id]]</f>
        <v>R0093|999097</v>
      </c>
      <c r="L2524" t="str">
        <f>IF(COUNTIF(role_course_map[mapping_key],role_course_map[[#This Row],[mapping_key]])&gt;1,"DUPLICATE","OK")</f>
        <v>OK</v>
      </c>
      <c r="M2524" t="str">
        <f>IF(COUNTIF(role_data[role_id],role_course_map[[#This Row],[role_id]])=0, "INVALID","VALID")</f>
        <v>VALID</v>
      </c>
      <c r="N2524" t="str">
        <f>IF(COUNTIF(course_data[course_id],role_course_map[[#This Row],[course_id]])=0, "INVALID","VALID")</f>
        <v>VALID</v>
      </c>
    </row>
    <row r="2525" spans="1:14" x14ac:dyDescent="0.35">
      <c r="A2525" t="s">
        <v>199</v>
      </c>
      <c r="B2525" s="5" t="str">
        <f>_xlfn.XLOOKUP(role_course_map[[#This Row],[role_id]], role_data[role_id], role_data[Role],"")</f>
        <v>Paramedic</v>
      </c>
      <c r="C2525">
        <v>75407</v>
      </c>
      <c r="D2525" s="5" t="str">
        <f>_xlfn.XLOOKUP(role_course_map[[#This Row],[course_id]],course_data[course_id],course_data[title],"")</f>
        <v>Aspirant Leader Development Programme (ALDP)</v>
      </c>
      <c r="E2525" s="5" t="str">
        <f>_xlfn.XLOOKUP(role_course_map[[#This Row],[course_id]],course_data[course_id],course_data[topic],"")</f>
        <v>SAS: Staff development and experience</v>
      </c>
      <c r="F2525" s="5" t="str">
        <f>_xlfn.XLOOKUP(role_course_map[[#This Row],[course_id]],course_data[course_id],course_data[type],"")</f>
        <v>Page</v>
      </c>
      <c r="K2525" t="str">
        <f>role_course_map[[#This Row],[role_id]] &amp; "|" &amp; role_course_map[[#This Row],[course_id]]</f>
        <v>R0093|75407</v>
      </c>
      <c r="L2525" t="str">
        <f>IF(COUNTIF(role_course_map[mapping_key],role_course_map[[#This Row],[mapping_key]])&gt;1,"DUPLICATE","OK")</f>
        <v>OK</v>
      </c>
      <c r="M2525" t="str">
        <f>IF(COUNTIF(role_data[role_id],role_course_map[[#This Row],[role_id]])=0, "INVALID","VALID")</f>
        <v>VALID</v>
      </c>
      <c r="N2525" t="str">
        <f>IF(COUNTIF(course_data[course_id],role_course_map[[#This Row],[course_id]])=0, "INVALID","VALID")</f>
        <v>VALID</v>
      </c>
    </row>
    <row r="2526" spans="1:14" x14ac:dyDescent="0.35">
      <c r="A2526" t="s">
        <v>199</v>
      </c>
      <c r="B2526" s="5" t="str">
        <f>_xlfn.XLOOKUP(role_course_map[[#This Row],[role_id]], role_data[role_id], role_data[Role],"")</f>
        <v>Paramedic</v>
      </c>
      <c r="C2526">
        <v>79147</v>
      </c>
      <c r="D2526" s="5" t="str">
        <f>_xlfn.XLOOKUP(role_course_map[[#This Row],[course_id]],course_data[course_id],course_data[title],"")</f>
        <v>Driving risks at work</v>
      </c>
      <c r="E2526" s="5" t="str">
        <f>_xlfn.XLOOKUP(role_course_map[[#This Row],[course_id]],course_data[course_id],course_data[topic],"")</f>
        <v>SAS : Health and Safety</v>
      </c>
      <c r="F2526" s="5" t="str">
        <f>_xlfn.XLOOKUP(role_course_map[[#This Row],[course_id]],course_data[course_id],course_data[type],"")</f>
        <v>eLearning</v>
      </c>
      <c r="K2526" t="str">
        <f>role_course_map[[#This Row],[role_id]] &amp; "|" &amp; role_course_map[[#This Row],[course_id]]</f>
        <v>R0093|79147</v>
      </c>
      <c r="L2526" t="str">
        <f>IF(COUNTIF(role_course_map[mapping_key],role_course_map[[#This Row],[mapping_key]])&gt;1,"DUPLICATE","OK")</f>
        <v>OK</v>
      </c>
      <c r="M2526" t="str">
        <f>IF(COUNTIF(role_data[role_id],role_course_map[[#This Row],[role_id]])=0, "INVALID","VALID")</f>
        <v>VALID</v>
      </c>
      <c r="N2526" t="str">
        <f>IF(COUNTIF(course_data[course_id],role_course_map[[#This Row],[course_id]])=0, "INVALID","VALID")</f>
        <v>VALID</v>
      </c>
    </row>
    <row r="2527" spans="1:14" x14ac:dyDescent="0.35">
      <c r="A2527" t="s">
        <v>199</v>
      </c>
      <c r="B2527" s="5" t="str">
        <f>_xlfn.XLOOKUP(role_course_map[[#This Row],[role_id]], role_data[role_id], role_data[Role],"")</f>
        <v>Paramedic</v>
      </c>
      <c r="C2527">
        <v>999060</v>
      </c>
      <c r="D2527" s="5" t="str">
        <f>_xlfn.XLOOKUP(role_course_map[[#This Row],[course_id]],course_data[course_id],course_data[title],"")</f>
        <v>COSHH</v>
      </c>
      <c r="E2527" s="5" t="str">
        <f>_xlfn.XLOOKUP(role_course_map[[#This Row],[course_id]],course_data[course_id],course_data[topic],"")</f>
        <v>SAS : Health and Safety</v>
      </c>
      <c r="F2527" s="5" t="str">
        <f>_xlfn.XLOOKUP(role_course_map[[#This Row],[course_id]],course_data[course_id],course_data[type],"")</f>
        <v>eLearning</v>
      </c>
      <c r="K2527" t="str">
        <f>role_course_map[[#This Row],[role_id]] &amp; "|" &amp; role_course_map[[#This Row],[course_id]]</f>
        <v>R0093|999060</v>
      </c>
      <c r="L2527" t="str">
        <f>IF(COUNTIF(role_course_map[mapping_key],role_course_map[[#This Row],[mapping_key]])&gt;1,"DUPLICATE","OK")</f>
        <v>OK</v>
      </c>
      <c r="M2527" t="str">
        <f>IF(COUNTIF(role_data[role_id],role_course_map[[#This Row],[role_id]])=0, "INVALID","VALID")</f>
        <v>VALID</v>
      </c>
      <c r="N2527" t="str">
        <f>IF(COUNTIF(course_data[course_id],role_course_map[[#This Row],[course_id]])=0, "INVALID","VALID")</f>
        <v>VALID</v>
      </c>
    </row>
    <row r="2528" spans="1:14" x14ac:dyDescent="0.35">
      <c r="A2528" t="s">
        <v>199</v>
      </c>
      <c r="B2528" s="5" t="str">
        <f>_xlfn.XLOOKUP(role_course_map[[#This Row],[role_id]], role_data[role_id], role_data[Role],"")</f>
        <v>Paramedic</v>
      </c>
      <c r="C2528">
        <v>999066</v>
      </c>
      <c r="D2528" s="5" t="str">
        <f>_xlfn.XLOOKUP(role_course_map[[#This Row],[course_id]],course_data[course_id],course_data[title],"")</f>
        <v>NRRD Update i.e. Major Incidents/Methane/ Multiple Casualities</v>
      </c>
      <c r="E2528" s="5" t="str">
        <f>_xlfn.XLOOKUP(role_course_map[[#This Row],[course_id]],course_data[course_id],course_data[topic],"")</f>
        <v>SAS : National Risk and Resilience Department (NRRD)</v>
      </c>
      <c r="F2528" s="5" t="str">
        <f>_xlfn.XLOOKUP(role_course_map[[#This Row],[course_id]],course_data[course_id],course_data[type],"")</f>
        <v>eLearning</v>
      </c>
      <c r="K2528" t="str">
        <f>role_course_map[[#This Row],[role_id]] &amp; "|" &amp; role_course_map[[#This Row],[course_id]]</f>
        <v>R0093|999066</v>
      </c>
      <c r="L2528" t="str">
        <f>IF(COUNTIF(role_course_map[mapping_key],role_course_map[[#This Row],[mapping_key]])&gt;1,"DUPLICATE","OK")</f>
        <v>OK</v>
      </c>
      <c r="M2528" t="str">
        <f>IF(COUNTIF(role_data[role_id],role_course_map[[#This Row],[role_id]])=0, "INVALID","VALID")</f>
        <v>VALID</v>
      </c>
      <c r="N2528" t="str">
        <f>IF(COUNTIF(course_data[course_id],role_course_map[[#This Row],[course_id]])=0, "INVALID","VALID")</f>
        <v>VALID</v>
      </c>
    </row>
    <row r="2529" spans="1:14" x14ac:dyDescent="0.35">
      <c r="A2529" t="s">
        <v>199</v>
      </c>
      <c r="B2529" s="5" t="str">
        <f>_xlfn.XLOOKUP(role_course_map[[#This Row],[role_id]], role_data[role_id], role_data[Role],"")</f>
        <v>Paramedic</v>
      </c>
      <c r="C2529">
        <v>999025</v>
      </c>
      <c r="D2529" s="5" t="str">
        <f>_xlfn.XLOOKUP(role_course_map[[#This Row],[course_id]],course_data[course_id],course_data[title],"")</f>
        <v>Professional Standards</v>
      </c>
      <c r="E2529" s="5" t="str">
        <f>_xlfn.XLOOKUP(role_course_map[[#This Row],[course_id]],course_data[course_id],course_data[topic],"")</f>
        <v>SAS : Clinical Practice</v>
      </c>
      <c r="F2529" s="5" t="str">
        <f>_xlfn.XLOOKUP(role_course_map[[#This Row],[course_id]],course_data[course_id],course_data[type],"")</f>
        <v>eLearning</v>
      </c>
      <c r="K2529" t="str">
        <f>role_course_map[[#This Row],[role_id]] &amp; "|" &amp; role_course_map[[#This Row],[course_id]]</f>
        <v>R0093|999025</v>
      </c>
      <c r="L2529" t="str">
        <f>IF(COUNTIF(role_course_map[mapping_key],role_course_map[[#This Row],[mapping_key]])&gt;1,"DUPLICATE","OK")</f>
        <v>OK</v>
      </c>
      <c r="M2529" t="str">
        <f>IF(COUNTIF(role_data[role_id],role_course_map[[#This Row],[role_id]])=0, "INVALID","VALID")</f>
        <v>VALID</v>
      </c>
      <c r="N2529" t="str">
        <f>IF(COUNTIF(course_data[course_id],role_course_map[[#This Row],[course_id]])=0, "INVALID","VALID")</f>
        <v>VALID</v>
      </c>
    </row>
    <row r="2530" spans="1:14" x14ac:dyDescent="0.35">
      <c r="A2530" t="s">
        <v>199</v>
      </c>
      <c r="B2530" s="5" t="str">
        <f>_xlfn.XLOOKUP(role_course_map[[#This Row],[role_id]], role_data[role_id], role_data[Role],"")</f>
        <v>Paramedic</v>
      </c>
      <c r="C2530">
        <v>999026</v>
      </c>
      <c r="D2530" s="5" t="str">
        <f>_xlfn.XLOOKUP(role_course_map[[#This Row],[course_id]],course_data[course_id],course_data[title],"")</f>
        <v>Communication Standards</v>
      </c>
      <c r="E2530" s="5" t="str">
        <f>_xlfn.XLOOKUP(role_course_map[[#This Row],[course_id]],course_data[course_id],course_data[topic],"")</f>
        <v>SAS : Clinical Practice</v>
      </c>
      <c r="F2530" s="5" t="str">
        <f>_xlfn.XLOOKUP(role_course_map[[#This Row],[course_id]],course_data[course_id],course_data[type],"")</f>
        <v>eLearning</v>
      </c>
      <c r="K2530" t="str">
        <f>role_course_map[[#This Row],[role_id]] &amp; "|" &amp; role_course_map[[#This Row],[course_id]]</f>
        <v>R0093|999026</v>
      </c>
      <c r="L2530" t="str">
        <f>IF(COUNTIF(role_course_map[mapping_key],role_course_map[[#This Row],[mapping_key]])&gt;1,"DUPLICATE","OK")</f>
        <v>OK</v>
      </c>
      <c r="M2530" t="str">
        <f>IF(COUNTIF(role_data[role_id],role_course_map[[#This Row],[role_id]])=0, "INVALID","VALID")</f>
        <v>VALID</v>
      </c>
      <c r="N2530" t="str">
        <f>IF(COUNTIF(course_data[course_id],role_course_map[[#This Row],[course_id]])=0, "INVALID","VALID")</f>
        <v>VALID</v>
      </c>
    </row>
    <row r="2531" spans="1:14" x14ac:dyDescent="0.35">
      <c r="A2531" t="s">
        <v>199</v>
      </c>
      <c r="B2531" s="5" t="str">
        <f>_xlfn.XLOOKUP(role_course_map[[#This Row],[role_id]], role_data[role_id], role_data[Role],"")</f>
        <v>Paramedic</v>
      </c>
      <c r="C2531">
        <v>999056</v>
      </c>
      <c r="D2531" s="5" t="str">
        <f>_xlfn.XLOOKUP(role_course_map[[#This Row],[course_id]],course_data[course_id],course_data[title],"")</f>
        <v>Driver Assessment &amp; Training</v>
      </c>
      <c r="E2531" s="5" t="str">
        <f>_xlfn.XLOOKUP(role_course_map[[#This Row],[course_id]],course_data[course_id],course_data[topic],"")</f>
        <v>SAS : Health and Safety</v>
      </c>
      <c r="F2531" s="5" t="str">
        <f>_xlfn.XLOOKUP(role_course_map[[#This Row],[course_id]],course_data[course_id],course_data[type],"")</f>
        <v>eLearning</v>
      </c>
      <c r="K2531" t="str">
        <f>role_course_map[[#This Row],[role_id]] &amp; "|" &amp; role_course_map[[#This Row],[course_id]]</f>
        <v>R0093|999056</v>
      </c>
      <c r="L2531" t="str">
        <f>IF(COUNTIF(role_course_map[mapping_key],role_course_map[[#This Row],[mapping_key]])&gt;1,"DUPLICATE","OK")</f>
        <v>OK</v>
      </c>
      <c r="M2531" t="str">
        <f>IF(COUNTIF(role_data[role_id],role_course_map[[#This Row],[role_id]])=0, "INVALID","VALID")</f>
        <v>VALID</v>
      </c>
      <c r="N2531" t="str">
        <f>IF(COUNTIF(course_data[course_id],role_course_map[[#This Row],[course_id]])=0, "INVALID","VALID")</f>
        <v>VALID</v>
      </c>
    </row>
    <row r="2532" spans="1:14" x14ac:dyDescent="0.35">
      <c r="A2532" t="s">
        <v>199</v>
      </c>
      <c r="B2532" s="5" t="str">
        <f>_xlfn.XLOOKUP(role_course_map[[#This Row],[role_id]], role_data[role_id], role_data[Role],"")</f>
        <v>Paramedic</v>
      </c>
      <c r="C2532">
        <v>999057</v>
      </c>
      <c r="D2532" s="5" t="str">
        <f>_xlfn.XLOOKUP(role_course_map[[#This Row],[course_id]],course_data[course_id],course_data[title],"")</f>
        <v>Fatigue Awareness</v>
      </c>
      <c r="E2532" s="5" t="str">
        <f>_xlfn.XLOOKUP(role_course_map[[#This Row],[course_id]],course_data[course_id],course_data[topic],"")</f>
        <v>SAS : Health and Safety</v>
      </c>
      <c r="F2532" s="5" t="str">
        <f>_xlfn.XLOOKUP(role_course_map[[#This Row],[course_id]],course_data[course_id],course_data[type],"")</f>
        <v>eLearning</v>
      </c>
      <c r="K2532" t="str">
        <f>role_course_map[[#This Row],[role_id]] &amp; "|" &amp; role_course_map[[#This Row],[course_id]]</f>
        <v>R0093|999057</v>
      </c>
      <c r="L2532" t="str">
        <f>IF(COUNTIF(role_course_map[mapping_key],role_course_map[[#This Row],[mapping_key]])&gt;1,"DUPLICATE","OK")</f>
        <v>OK</v>
      </c>
      <c r="M2532" t="str">
        <f>IF(COUNTIF(role_data[role_id],role_course_map[[#This Row],[role_id]])=0, "INVALID","VALID")</f>
        <v>VALID</v>
      </c>
      <c r="N2532" t="str">
        <f>IF(COUNTIF(course_data[course_id],role_course_map[[#This Row],[course_id]])=0, "INVALID","VALID")</f>
        <v>VALID</v>
      </c>
    </row>
    <row r="2533" spans="1:14" x14ac:dyDescent="0.35">
      <c r="A2533" t="s">
        <v>199</v>
      </c>
      <c r="B2533" s="5" t="str">
        <f>_xlfn.XLOOKUP(role_course_map[[#This Row],[role_id]], role_data[role_id], role_data[Role],"")</f>
        <v>Paramedic</v>
      </c>
      <c r="C2533">
        <v>999058</v>
      </c>
      <c r="D2533" s="5" t="str">
        <f>_xlfn.XLOOKUP(role_course_map[[#This Row],[course_id]],course_data[course_id],course_data[title],"")</f>
        <v>Stress Identification &amp; Stress Management</v>
      </c>
      <c r="E2533" s="5" t="str">
        <f>_xlfn.XLOOKUP(role_course_map[[#This Row],[course_id]],course_data[course_id],course_data[topic],"")</f>
        <v>SAS : Health and Safety</v>
      </c>
      <c r="F2533" s="5" t="str">
        <f>_xlfn.XLOOKUP(role_course_map[[#This Row],[course_id]],course_data[course_id],course_data[type],"")</f>
        <v>eLearning</v>
      </c>
      <c r="K2533" t="str">
        <f>role_course_map[[#This Row],[role_id]] &amp; "|" &amp; role_course_map[[#This Row],[course_id]]</f>
        <v>R0093|999058</v>
      </c>
      <c r="L2533" t="str">
        <f>IF(COUNTIF(role_course_map[mapping_key],role_course_map[[#This Row],[mapping_key]])&gt;1,"DUPLICATE","OK")</f>
        <v>OK</v>
      </c>
      <c r="M2533" t="str">
        <f>IF(COUNTIF(role_data[role_id],role_course_map[[#This Row],[role_id]])=0, "INVALID","VALID")</f>
        <v>VALID</v>
      </c>
      <c r="N2533" t="str">
        <f>IF(COUNTIF(course_data[course_id],role_course_map[[#This Row],[course_id]])=0, "INVALID","VALID")</f>
        <v>VALID</v>
      </c>
    </row>
    <row r="2534" spans="1:14" x14ac:dyDescent="0.35">
      <c r="A2534" t="s">
        <v>199</v>
      </c>
      <c r="B2534" s="5" t="str">
        <f>_xlfn.XLOOKUP(role_course_map[[#This Row],[role_id]], role_data[role_id], role_data[Role],"")</f>
        <v>Paramedic</v>
      </c>
      <c r="C2534">
        <v>999061</v>
      </c>
      <c r="D2534" s="5" t="str">
        <f>_xlfn.XLOOKUP(role_course_map[[#This Row],[course_id]],course_data[course_id],course_data[title],"")</f>
        <v>Skin Awareness</v>
      </c>
      <c r="E2534" s="5" t="str">
        <f>_xlfn.XLOOKUP(role_course_map[[#This Row],[course_id]],course_data[course_id],course_data[topic],"")</f>
        <v>SAS : Health and Safety</v>
      </c>
      <c r="F2534" s="5" t="str">
        <f>_xlfn.XLOOKUP(role_course_map[[#This Row],[course_id]],course_data[course_id],course_data[type],"")</f>
        <v>eLearning</v>
      </c>
      <c r="K2534" t="str">
        <f>role_course_map[[#This Row],[role_id]] &amp; "|" &amp; role_course_map[[#This Row],[course_id]]</f>
        <v>R0093|999061</v>
      </c>
      <c r="L2534" t="str">
        <f>IF(COUNTIF(role_course_map[mapping_key],role_course_map[[#This Row],[mapping_key]])&gt;1,"DUPLICATE","OK")</f>
        <v>OK</v>
      </c>
      <c r="M2534" t="str">
        <f>IF(COUNTIF(role_data[role_id],role_course_map[[#This Row],[role_id]])=0, "INVALID","VALID")</f>
        <v>VALID</v>
      </c>
      <c r="N2534" t="str">
        <f>IF(COUNTIF(course_data[course_id],role_course_map[[#This Row],[course_id]])=0, "INVALID","VALID")</f>
        <v>VALID</v>
      </c>
    </row>
    <row r="2535" spans="1:14" x14ac:dyDescent="0.35">
      <c r="A2535" t="s">
        <v>199</v>
      </c>
      <c r="B2535" s="5" t="str">
        <f>_xlfn.XLOOKUP(role_course_map[[#This Row],[role_id]], role_data[role_id], role_data[Role],"")</f>
        <v>Paramedic</v>
      </c>
      <c r="C2535">
        <v>999027</v>
      </c>
      <c r="D2535" s="5" t="str">
        <f>_xlfn.XLOOKUP(role_course_map[[#This Row],[course_id]],course_data[course_id],course_data[title],"")</f>
        <v>Manual and Patient Handling Foundation Training - Level 2</v>
      </c>
      <c r="E2535" s="5" t="str">
        <f>_xlfn.XLOOKUP(role_course_map[[#This Row],[course_id]],course_data[course_id],course_data[topic],"")</f>
        <v>SAS : Clinical Practice</v>
      </c>
      <c r="F2535" s="5" t="str">
        <f>_xlfn.XLOOKUP(role_course_map[[#This Row],[course_id]],course_data[course_id],course_data[type],"")</f>
        <v>Course</v>
      </c>
      <c r="K2535" t="str">
        <f>role_course_map[[#This Row],[role_id]] &amp; "|" &amp; role_course_map[[#This Row],[course_id]]</f>
        <v>R0093|999027</v>
      </c>
      <c r="L2535" t="str">
        <f>IF(COUNTIF(role_course_map[mapping_key],role_course_map[[#This Row],[mapping_key]])&gt;1,"DUPLICATE","OK")</f>
        <v>OK</v>
      </c>
      <c r="M2535" t="str">
        <f>IF(COUNTIF(role_data[role_id],role_course_map[[#This Row],[role_id]])=0, "INVALID","VALID")</f>
        <v>VALID</v>
      </c>
      <c r="N2535" t="str">
        <f>IF(COUNTIF(course_data[course_id],role_course_map[[#This Row],[course_id]])=0, "INVALID","VALID")</f>
        <v>VALID</v>
      </c>
    </row>
    <row r="2536" spans="1:14" x14ac:dyDescent="0.35">
      <c r="A2536" t="s">
        <v>199</v>
      </c>
      <c r="B2536" s="5" t="str">
        <f>_xlfn.XLOOKUP(role_course_map[[#This Row],[role_id]], role_data[role_id], role_data[Role],"")</f>
        <v>Paramedic</v>
      </c>
      <c r="C2536">
        <v>999028</v>
      </c>
      <c r="D2536" s="5" t="str">
        <f>_xlfn.XLOOKUP(role_course_map[[#This Row],[course_id]],course_data[course_id],course_data[title],"")</f>
        <v>Manual and Patient Handling Competency Assessment - Level 3</v>
      </c>
      <c r="E2536" s="5" t="str">
        <f>_xlfn.XLOOKUP(role_course_map[[#This Row],[course_id]],course_data[course_id],course_data[topic],"")</f>
        <v>SAS : Clinical Practice</v>
      </c>
      <c r="F2536" s="5" t="str">
        <f>_xlfn.XLOOKUP(role_course_map[[#This Row],[course_id]],course_data[course_id],course_data[type],"")</f>
        <v>Course</v>
      </c>
      <c r="K2536" t="str">
        <f>role_course_map[[#This Row],[role_id]] &amp; "|" &amp; role_course_map[[#This Row],[course_id]]</f>
        <v>R0093|999028</v>
      </c>
      <c r="L2536" t="str">
        <f>IF(COUNTIF(role_course_map[mapping_key],role_course_map[[#This Row],[mapping_key]])&gt;1,"DUPLICATE","OK")</f>
        <v>OK</v>
      </c>
      <c r="M2536" t="str">
        <f>IF(COUNTIF(role_data[role_id],role_course_map[[#This Row],[role_id]])=0, "INVALID","VALID")</f>
        <v>VALID</v>
      </c>
      <c r="N2536" t="str">
        <f>IF(COUNTIF(course_data[course_id],role_course_map[[#This Row],[course_id]])=0, "INVALID","VALID")</f>
        <v>VALID</v>
      </c>
    </row>
    <row r="2537" spans="1:14" x14ac:dyDescent="0.35">
      <c r="A2537" t="s">
        <v>199</v>
      </c>
      <c r="B2537" s="5" t="str">
        <f>_xlfn.XLOOKUP(role_course_map[[#This Row],[role_id]], role_data[role_id], role_data[Role],"")</f>
        <v>Paramedic</v>
      </c>
      <c r="C2537">
        <v>999029</v>
      </c>
      <c r="D2537" s="5" t="str">
        <f>_xlfn.XLOOKUP(role_course_map[[#This Row],[course_id]],course_data[course_id],course_data[title],"")</f>
        <v>Manual and Patient Handling Competency Assessment Theory - Level 3</v>
      </c>
      <c r="E2537" s="5" t="str">
        <f>_xlfn.XLOOKUP(role_course_map[[#This Row],[course_id]],course_data[course_id],course_data[topic],"")</f>
        <v>SAS : Clinical Practice</v>
      </c>
      <c r="F2537" s="5" t="str">
        <f>_xlfn.XLOOKUP(role_course_map[[#This Row],[course_id]],course_data[course_id],course_data[type],"")</f>
        <v>Course</v>
      </c>
      <c r="K2537" t="str">
        <f>role_course_map[[#This Row],[role_id]] &amp; "|" &amp; role_course_map[[#This Row],[course_id]]</f>
        <v>R0093|999029</v>
      </c>
      <c r="L2537" t="str">
        <f>IF(COUNTIF(role_course_map[mapping_key],role_course_map[[#This Row],[mapping_key]])&gt;1,"DUPLICATE","OK")</f>
        <v>OK</v>
      </c>
      <c r="M2537" t="str">
        <f>IF(COUNTIF(role_data[role_id],role_course_map[[#This Row],[role_id]])=0, "INVALID","VALID")</f>
        <v>VALID</v>
      </c>
      <c r="N2537" t="str">
        <f>IF(COUNTIF(course_data[course_id],role_course_map[[#This Row],[course_id]])=0, "INVALID","VALID")</f>
        <v>VALID</v>
      </c>
    </row>
    <row r="2538" spans="1:14" x14ac:dyDescent="0.35">
      <c r="A2538" t="s">
        <v>199</v>
      </c>
      <c r="B2538" s="5" t="str">
        <f>_xlfn.XLOOKUP(role_course_map[[#This Row],[role_id]], role_data[role_id], role_data[Role],"")</f>
        <v>Paramedic</v>
      </c>
      <c r="C2538" t="s">
        <v>659</v>
      </c>
      <c r="D2538" s="5" t="str">
        <f>_xlfn.XLOOKUP(role_course_map[[#This Row],[course_id]],course_data[course_id],course_data[title],"")</f>
        <v>Prevention and Management of Violence and Aggression - Breakaway training Level 2 /Restrictive movement Level 3</v>
      </c>
      <c r="E2538" s="5" t="str">
        <f>_xlfn.XLOOKUP(role_course_map[[#This Row],[course_id]],course_data[course_id],course_data[topic],"")</f>
        <v>SAS : Health and Safety</v>
      </c>
      <c r="F2538" s="5" t="str">
        <f>_xlfn.XLOOKUP(role_course_map[[#This Row],[course_id]],course_data[course_id],course_data[type],"")</f>
        <v>Course</v>
      </c>
      <c r="K2538" t="str">
        <f>role_course_map[[#This Row],[role_id]] &amp; "|" &amp; role_course_map[[#This Row],[course_id]]</f>
        <v>R0093|2025-6 edition</v>
      </c>
      <c r="L2538" t="str">
        <f>IF(COUNTIF(role_course_map[mapping_key],role_course_map[[#This Row],[mapping_key]])&gt;1,"DUPLICATE","OK")</f>
        <v>OK</v>
      </c>
      <c r="M2538" t="str">
        <f>IF(COUNTIF(role_data[role_id],role_course_map[[#This Row],[role_id]])=0, "INVALID","VALID")</f>
        <v>VALID</v>
      </c>
      <c r="N2538" t="str">
        <f>IF(COUNTIF(course_data[course_id],role_course_map[[#This Row],[course_id]])=0, "INVALID","VALID")</f>
        <v>VALID</v>
      </c>
    </row>
    <row r="2539" spans="1:14" x14ac:dyDescent="0.35">
      <c r="A2539" t="s">
        <v>199</v>
      </c>
      <c r="B2539" s="5" t="str">
        <f>_xlfn.XLOOKUP(role_course_map[[#This Row],[role_id]], role_data[role_id], role_data[Role],"")</f>
        <v>Paramedic</v>
      </c>
      <c r="C2539">
        <v>999055</v>
      </c>
      <c r="D2539" s="5" t="str">
        <f>_xlfn.XLOOKUP(role_course_map[[#This Row],[course_id]],course_data[course_id],course_data[title],"")</f>
        <v>Prevention and Management of Violence and Aggression - Refresher</v>
      </c>
      <c r="E2539" s="5" t="str">
        <f>_xlfn.XLOOKUP(role_course_map[[#This Row],[course_id]],course_data[course_id],course_data[topic],"")</f>
        <v>SAS : Health and Safety</v>
      </c>
      <c r="F2539" s="5" t="str">
        <f>_xlfn.XLOOKUP(role_course_map[[#This Row],[course_id]],course_data[course_id],course_data[type],"")</f>
        <v>Course</v>
      </c>
      <c r="K2539" t="str">
        <f>role_course_map[[#This Row],[role_id]] &amp; "|" &amp; role_course_map[[#This Row],[course_id]]</f>
        <v>R0093|999055</v>
      </c>
      <c r="L2539" t="str">
        <f>IF(COUNTIF(role_course_map[mapping_key],role_course_map[[#This Row],[mapping_key]])&gt;1,"DUPLICATE","OK")</f>
        <v>OK</v>
      </c>
      <c r="M2539" t="str">
        <f>IF(COUNTIF(role_data[role_id],role_course_map[[#This Row],[role_id]])=0, "INVALID","VALID")</f>
        <v>VALID</v>
      </c>
      <c r="N2539" t="str">
        <f>IF(COUNTIF(course_data[course_id],role_course_map[[#This Row],[course_id]])=0, "INVALID","VALID")</f>
        <v>VALID</v>
      </c>
    </row>
    <row r="2540" spans="1:14" x14ac:dyDescent="0.35">
      <c r="A2540" t="s">
        <v>199</v>
      </c>
      <c r="B2540" s="5" t="str">
        <f>_xlfn.XLOOKUP(role_course_map[[#This Row],[role_id]], role_data[role_id], role_data[Role],"")</f>
        <v>Paramedic</v>
      </c>
      <c r="C2540">
        <v>64322</v>
      </c>
      <c r="D2540" s="5" t="str">
        <f>_xlfn.XLOOKUP(role_course_map[[#This Row],[course_id]],course_data[course_id],course_data[title],"")</f>
        <v>Adult support and protection: practice level 2 [skilled]</v>
      </c>
      <c r="E2540" s="5" t="str">
        <f>_xlfn.XLOOKUP(role_course_map[[#This Row],[course_id]],course_data[course_id],course_data[topic],"")</f>
        <v>SAS : Public Protection</v>
      </c>
      <c r="F2540" s="5" t="str">
        <f>_xlfn.XLOOKUP(role_course_map[[#This Row],[course_id]],course_data[course_id],course_data[type],"")</f>
        <v>eLearning</v>
      </c>
      <c r="K2540" t="str">
        <f>role_course_map[[#This Row],[role_id]] &amp; "|" &amp; role_course_map[[#This Row],[course_id]]</f>
        <v>R0093|64322</v>
      </c>
      <c r="L2540" t="str">
        <f>IF(COUNTIF(role_course_map[mapping_key],role_course_map[[#This Row],[mapping_key]])&gt;1,"DUPLICATE","OK")</f>
        <v>OK</v>
      </c>
      <c r="M2540" t="str">
        <f>IF(COUNTIF(role_data[role_id],role_course_map[[#This Row],[role_id]])=0, "INVALID","VALID")</f>
        <v>VALID</v>
      </c>
      <c r="N2540" t="str">
        <f>IF(COUNTIF(course_data[course_id],role_course_map[[#This Row],[course_id]])=0, "INVALID","VALID")</f>
        <v>VALID</v>
      </c>
    </row>
    <row r="2541" spans="1:14" x14ac:dyDescent="0.35">
      <c r="A2541" t="s">
        <v>199</v>
      </c>
      <c r="B2541" s="5" t="str">
        <f>_xlfn.XLOOKUP(role_course_map[[#This Row],[role_id]], role_data[role_id], role_data[Role],"")</f>
        <v>Paramedic</v>
      </c>
      <c r="C2541">
        <v>64324</v>
      </c>
      <c r="D2541" s="5" t="str">
        <f>_xlfn.XLOOKUP(role_course_map[[#This Row],[course_id]],course_data[course_id],course_data[title],"")</f>
        <v>Child protection: practice level 2 [skilled]</v>
      </c>
      <c r="E2541" s="5" t="str">
        <f>_xlfn.XLOOKUP(role_course_map[[#This Row],[course_id]],course_data[course_id],course_data[topic],"")</f>
        <v>SAS : Public Protection</v>
      </c>
      <c r="F2541" s="5" t="str">
        <f>_xlfn.XLOOKUP(role_course_map[[#This Row],[course_id]],course_data[course_id],course_data[type],"")</f>
        <v>eLearning</v>
      </c>
      <c r="K2541" t="str">
        <f>role_course_map[[#This Row],[role_id]] &amp; "|" &amp; role_course_map[[#This Row],[course_id]]</f>
        <v>R0093|64324</v>
      </c>
      <c r="L2541" t="str">
        <f>IF(COUNTIF(role_course_map[mapping_key],role_course_map[[#This Row],[mapping_key]])&gt;1,"DUPLICATE","OK")</f>
        <v>OK</v>
      </c>
      <c r="M2541" t="str">
        <f>IF(COUNTIF(role_data[role_id],role_course_map[[#This Row],[role_id]])=0, "INVALID","VALID")</f>
        <v>VALID</v>
      </c>
      <c r="N2541" t="str">
        <f>IF(COUNTIF(course_data[course_id],role_course_map[[#This Row],[course_id]])=0, "INVALID","VALID")</f>
        <v>VALID</v>
      </c>
    </row>
    <row r="2542" spans="1:14" x14ac:dyDescent="0.35">
      <c r="A2542" t="s">
        <v>199</v>
      </c>
      <c r="B2542" s="5" t="str">
        <f>_xlfn.XLOOKUP(role_course_map[[#This Row],[role_id]], role_data[role_id], role_data[Role],"")</f>
        <v>Paramedic</v>
      </c>
      <c r="C2542">
        <v>76716</v>
      </c>
      <c r="D2542" s="5" t="str">
        <f>_xlfn.XLOOKUP(role_course_map[[#This Row],[course_id]],course_data[course_id],course_data[title],"")</f>
        <v>Domestic abuse awareness training tool (DAART)</v>
      </c>
      <c r="E2542" s="5" t="str">
        <f>_xlfn.XLOOKUP(role_course_map[[#This Row],[course_id]],course_data[course_id],course_data[topic],"")</f>
        <v>SAS : Public Protection</v>
      </c>
      <c r="F2542" s="5" t="str">
        <f>_xlfn.XLOOKUP(role_course_map[[#This Row],[course_id]],course_data[course_id],course_data[type],"")</f>
        <v>eLearning</v>
      </c>
      <c r="K2542" t="str">
        <f>role_course_map[[#This Row],[role_id]] &amp; "|" &amp; role_course_map[[#This Row],[course_id]]</f>
        <v>R0093|76716</v>
      </c>
      <c r="L2542" t="str">
        <f>IF(COUNTIF(role_course_map[mapping_key],role_course_map[[#This Row],[mapping_key]])&gt;1,"DUPLICATE","OK")</f>
        <v>OK</v>
      </c>
      <c r="M2542" t="str">
        <f>IF(COUNTIF(role_data[role_id],role_course_map[[#This Row],[role_id]])=0, "INVALID","VALID")</f>
        <v>VALID</v>
      </c>
      <c r="N2542" t="str">
        <f>IF(COUNTIF(course_data[course_id],role_course_map[[#This Row],[course_id]])=0, "INVALID","VALID")</f>
        <v>VALID</v>
      </c>
    </row>
    <row r="2543" spans="1:14" x14ac:dyDescent="0.35">
      <c r="A2543" t="s">
        <v>199</v>
      </c>
      <c r="B2543" s="5" t="str">
        <f>_xlfn.XLOOKUP(role_course_map[[#This Row],[role_id]], role_data[role_id], role_data[Role],"")</f>
        <v>Paramedic</v>
      </c>
      <c r="C2543">
        <v>79666</v>
      </c>
      <c r="D2543" s="5" t="str">
        <f>_xlfn.XLOOKUP(role_course_map[[#This Row],[course_id]],course_data[course_id],course_data[title],"")</f>
        <v>Getting it right for every child (GIRFEC): informed level</v>
      </c>
      <c r="E2543" s="5" t="str">
        <f>_xlfn.XLOOKUP(role_course_map[[#This Row],[course_id]],course_data[course_id],course_data[topic],"")</f>
        <v>SAS : Public Protection</v>
      </c>
      <c r="F2543" s="5" t="str">
        <f>_xlfn.XLOOKUP(role_course_map[[#This Row],[course_id]],course_data[course_id],course_data[type],"")</f>
        <v>eLearning</v>
      </c>
      <c r="K2543" t="str">
        <f>role_course_map[[#This Row],[role_id]] &amp; "|" &amp; role_course_map[[#This Row],[course_id]]</f>
        <v>R0093|79666</v>
      </c>
      <c r="L2543" t="str">
        <f>IF(COUNTIF(role_course_map[mapping_key],role_course_map[[#This Row],[mapping_key]])&gt;1,"DUPLICATE","OK")</f>
        <v>OK</v>
      </c>
      <c r="M2543" t="str">
        <f>IF(COUNTIF(role_data[role_id],role_course_map[[#This Row],[role_id]])=0, "INVALID","VALID")</f>
        <v>VALID</v>
      </c>
      <c r="N2543" t="str">
        <f>IF(COUNTIF(course_data[course_id],role_course_map[[#This Row],[course_id]])=0, "INVALID","VALID")</f>
        <v>VALID</v>
      </c>
    </row>
    <row r="2544" spans="1:14" x14ac:dyDescent="0.35">
      <c r="A2544" t="s">
        <v>199</v>
      </c>
      <c r="B2544" s="5" t="str">
        <f>_xlfn.XLOOKUP(role_course_map[[#This Row],[role_id]], role_data[role_id], role_data[Role],"")</f>
        <v>Paramedic</v>
      </c>
      <c r="C2544">
        <v>999074</v>
      </c>
      <c r="D2544" s="5" t="str">
        <f>_xlfn.XLOOKUP(role_course_map[[#This Row],[course_id]],course_data[course_id],course_data[title],"")</f>
        <v>SAS-specific Children’s rights</v>
      </c>
      <c r="E2544" s="5" t="str">
        <f>_xlfn.XLOOKUP(role_course_map[[#This Row],[course_id]],course_data[course_id],course_data[topic],"")</f>
        <v>SAS : Public Protection</v>
      </c>
      <c r="F2544" s="5" t="str">
        <f>_xlfn.XLOOKUP(role_course_map[[#This Row],[course_id]],course_data[course_id],course_data[type],"")</f>
        <v>eLearning</v>
      </c>
      <c r="K2544" t="str">
        <f>role_course_map[[#This Row],[role_id]] &amp; "|" &amp; role_course_map[[#This Row],[course_id]]</f>
        <v>R0093|999074</v>
      </c>
      <c r="L2544" t="str">
        <f>IF(COUNTIF(role_course_map[mapping_key],role_course_map[[#This Row],[mapping_key]])&gt;1,"DUPLICATE","OK")</f>
        <v>OK</v>
      </c>
      <c r="M2544" t="str">
        <f>IF(COUNTIF(role_data[role_id],role_course_map[[#This Row],[role_id]])=0, "INVALID","VALID")</f>
        <v>VALID</v>
      </c>
      <c r="N2544" t="str">
        <f>IF(COUNTIF(course_data[course_id],role_course_map[[#This Row],[course_id]])=0, "INVALID","VALID")</f>
        <v>VALID</v>
      </c>
    </row>
    <row r="2545" spans="1:14" x14ac:dyDescent="0.35">
      <c r="A2545" t="s">
        <v>199</v>
      </c>
      <c r="B2545" s="5" t="str">
        <f>_xlfn.XLOOKUP(role_course_map[[#This Row],[role_id]], role_data[role_id], role_data[Role],"")</f>
        <v>Paramedic</v>
      </c>
      <c r="C2545">
        <v>999075</v>
      </c>
      <c r="D2545" s="5" t="str">
        <f>_xlfn.XLOOKUP(role_course_map[[#This Row],[course_id]],course_data[course_id],course_data[title],"")</f>
        <v>Multiagency local or bespoke Level 3 delivery training</v>
      </c>
      <c r="E2545" s="5" t="str">
        <f>_xlfn.XLOOKUP(role_course_map[[#This Row],[course_id]],course_data[course_id],course_data[topic],"")</f>
        <v>SAS : Public Protection</v>
      </c>
      <c r="F2545" s="5" t="str">
        <f>_xlfn.XLOOKUP(role_course_map[[#This Row],[course_id]],course_data[course_id],course_data[type],"")</f>
        <v>eLearning</v>
      </c>
      <c r="K2545" t="str">
        <f>role_course_map[[#This Row],[role_id]] &amp; "|" &amp; role_course_map[[#This Row],[course_id]]</f>
        <v>R0093|999075</v>
      </c>
      <c r="L2545" t="str">
        <f>IF(COUNTIF(role_course_map[mapping_key],role_course_map[[#This Row],[mapping_key]])&gt;1,"DUPLICATE","OK")</f>
        <v>OK</v>
      </c>
      <c r="M2545" t="str">
        <f>IF(COUNTIF(role_data[role_id],role_course_map[[#This Row],[role_id]])=0, "INVALID","VALID")</f>
        <v>VALID</v>
      </c>
      <c r="N2545" t="str">
        <f>IF(COUNTIF(course_data[course_id],role_course_map[[#This Row],[course_id]])=0, "INVALID","VALID")</f>
        <v>VALID</v>
      </c>
    </row>
    <row r="2546" spans="1:14" x14ac:dyDescent="0.35">
      <c r="A2546" t="s">
        <v>199</v>
      </c>
      <c r="B2546" s="5" t="str">
        <f>_xlfn.XLOOKUP(role_course_map[[#This Row],[role_id]], role_data[role_id], role_data[Role],"")</f>
        <v>Paramedic</v>
      </c>
      <c r="C2546">
        <v>15249</v>
      </c>
      <c r="D2546" s="5" t="str">
        <f>_xlfn.XLOOKUP(role_course_map[[#This Row],[course_id]],course_data[course_id],course_data[title],"")</f>
        <v>Human trafficking</v>
      </c>
      <c r="E2546" s="5" t="str">
        <f>_xlfn.XLOOKUP(role_course_map[[#This Row],[course_id]],course_data[course_id],course_data[topic],"")</f>
        <v>SAS : Public Protection</v>
      </c>
      <c r="F2546" s="5" t="str">
        <f>_xlfn.XLOOKUP(role_course_map[[#This Row],[course_id]],course_data[course_id],course_data[type],"")</f>
        <v>eLearning</v>
      </c>
      <c r="K2546" t="str">
        <f>role_course_map[[#This Row],[role_id]] &amp; "|" &amp; role_course_map[[#This Row],[course_id]]</f>
        <v>R0093|15249</v>
      </c>
      <c r="L2546" t="str">
        <f>IF(COUNTIF(role_course_map[mapping_key],role_course_map[[#This Row],[mapping_key]])&gt;1,"DUPLICATE","OK")</f>
        <v>OK</v>
      </c>
      <c r="M2546" t="str">
        <f>IF(COUNTIF(role_data[role_id],role_course_map[[#This Row],[role_id]])=0, "INVALID","VALID")</f>
        <v>VALID</v>
      </c>
      <c r="N2546" t="str">
        <f>IF(COUNTIF(course_data[course_id],role_course_map[[#This Row],[course_id]])=0, "INVALID","VALID")</f>
        <v>VALID</v>
      </c>
    </row>
    <row r="2547" spans="1:14" x14ac:dyDescent="0.35">
      <c r="A2547" t="s">
        <v>199</v>
      </c>
      <c r="B2547" s="5" t="str">
        <f>_xlfn.XLOOKUP(role_course_map[[#This Row],[role_id]], role_data[role_id], role_data[Role],"")</f>
        <v>Paramedic</v>
      </c>
      <c r="C2547">
        <v>89161</v>
      </c>
      <c r="D2547" s="5" t="str">
        <f>_xlfn.XLOOKUP(role_course_map[[#This Row],[course_id]],course_data[course_id],course_data[title],"")</f>
        <v>Personal Protective Equipment</v>
      </c>
      <c r="E2547" s="5" t="str">
        <f>_xlfn.XLOOKUP(role_course_map[[#This Row],[course_id]],course_data[course_id],course_data[topic],"")</f>
        <v>SAS : Infection Prevention and Control (IPC)</v>
      </c>
      <c r="F2547" s="5" t="str">
        <f>_xlfn.XLOOKUP(role_course_map[[#This Row],[course_id]],course_data[course_id],course_data[type],"")</f>
        <v>eLearning</v>
      </c>
      <c r="K2547" t="str">
        <f>role_course_map[[#This Row],[role_id]] &amp; "|" &amp; role_course_map[[#This Row],[course_id]]</f>
        <v>R0093|89161</v>
      </c>
      <c r="L2547" t="str">
        <f>IF(COUNTIF(role_course_map[mapping_key],role_course_map[[#This Row],[mapping_key]])&gt;1,"DUPLICATE","OK")</f>
        <v>OK</v>
      </c>
      <c r="M2547" t="str">
        <f>IF(COUNTIF(role_data[role_id],role_course_map[[#This Row],[role_id]])=0, "INVALID","VALID")</f>
        <v>VALID</v>
      </c>
      <c r="N2547" t="str">
        <f>IF(COUNTIF(course_data[course_id],role_course_map[[#This Row],[course_id]])=0, "INVALID","VALID")</f>
        <v>VALID</v>
      </c>
    </row>
    <row r="2548" spans="1:14" x14ac:dyDescent="0.35">
      <c r="A2548" t="s">
        <v>199</v>
      </c>
      <c r="B2548" s="5" t="str">
        <f>_xlfn.XLOOKUP(role_course_map[[#This Row],[role_id]], role_data[role_id], role_data[Role],"")</f>
        <v>Paramedic</v>
      </c>
      <c r="C2548">
        <v>89157</v>
      </c>
      <c r="D2548" s="5" t="str">
        <f>_xlfn.XLOOKUP(role_course_map[[#This Row],[course_id]],course_data[course_id],course_data[title],"")</f>
        <v>Safe Management of Care Equipment</v>
      </c>
      <c r="E2548" s="5" t="str">
        <f>_xlfn.XLOOKUP(role_course_map[[#This Row],[course_id]],course_data[course_id],course_data[topic],"")</f>
        <v>SAS : Infection Prevention and Control (IPC)</v>
      </c>
      <c r="F2548" s="5" t="str">
        <f>_xlfn.XLOOKUP(role_course_map[[#This Row],[course_id]],course_data[course_id],course_data[type],"")</f>
        <v>eLearning</v>
      </c>
      <c r="K2548" t="str">
        <f>role_course_map[[#This Row],[role_id]] &amp; "|" &amp; role_course_map[[#This Row],[course_id]]</f>
        <v>R0093|89157</v>
      </c>
      <c r="L2548" t="str">
        <f>IF(COUNTIF(role_course_map[mapping_key],role_course_map[[#This Row],[mapping_key]])&gt;1,"DUPLICATE","OK")</f>
        <v>OK</v>
      </c>
      <c r="M2548" t="str">
        <f>IF(COUNTIF(role_data[role_id],role_course_map[[#This Row],[role_id]])=0, "INVALID","VALID")</f>
        <v>VALID</v>
      </c>
      <c r="N2548" t="str">
        <f>IF(COUNTIF(course_data[course_id],role_course_map[[#This Row],[course_id]])=0, "INVALID","VALID")</f>
        <v>VALID</v>
      </c>
    </row>
    <row r="2549" spans="1:14" x14ac:dyDescent="0.35">
      <c r="A2549" t="s">
        <v>199</v>
      </c>
      <c r="B2549" s="5" t="str">
        <f>_xlfn.XLOOKUP(role_course_map[[#This Row],[role_id]], role_data[role_id], role_data[Role],"")</f>
        <v>Paramedic</v>
      </c>
      <c r="C2549">
        <v>89158</v>
      </c>
      <c r="D2549" s="5" t="str">
        <f>_xlfn.XLOOKUP(role_course_map[[#This Row],[course_id]],course_data[course_id],course_data[title],"")</f>
        <v>Safe Management of Care Environment</v>
      </c>
      <c r="E2549" s="5" t="str">
        <f>_xlfn.XLOOKUP(role_course_map[[#This Row],[course_id]],course_data[course_id],course_data[topic],"")</f>
        <v>SAS : Infection Prevention and Control (IPC)</v>
      </c>
      <c r="F2549" s="5" t="str">
        <f>_xlfn.XLOOKUP(role_course_map[[#This Row],[course_id]],course_data[course_id],course_data[type],"")</f>
        <v>eLearning</v>
      </c>
      <c r="K2549" t="str">
        <f>role_course_map[[#This Row],[role_id]] &amp; "|" &amp; role_course_map[[#This Row],[course_id]]</f>
        <v>R0093|89158</v>
      </c>
      <c r="L2549" t="str">
        <f>IF(COUNTIF(role_course_map[mapping_key],role_course_map[[#This Row],[mapping_key]])&gt;1,"DUPLICATE","OK")</f>
        <v>OK</v>
      </c>
      <c r="M2549" t="str">
        <f>IF(COUNTIF(role_data[role_id],role_course_map[[#This Row],[role_id]])=0, "INVALID","VALID")</f>
        <v>VALID</v>
      </c>
      <c r="N2549" t="str">
        <f>IF(COUNTIF(course_data[course_id],role_course_map[[#This Row],[course_id]])=0, "INVALID","VALID")</f>
        <v>VALID</v>
      </c>
    </row>
    <row r="2550" spans="1:14" x14ac:dyDescent="0.35">
      <c r="A2550" t="s">
        <v>199</v>
      </c>
      <c r="B2550" s="5" t="str">
        <f>_xlfn.XLOOKUP(role_course_map[[#This Row],[role_id]], role_data[role_id], role_data[Role],"")</f>
        <v>Paramedic</v>
      </c>
      <c r="C2550">
        <v>89159</v>
      </c>
      <c r="D2550" s="5" t="str">
        <f>_xlfn.XLOOKUP(role_course_map[[#This Row],[course_id]],course_data[course_id],course_data[title],"")</f>
        <v>Safe Management of Linen</v>
      </c>
      <c r="E2550" s="5" t="str">
        <f>_xlfn.XLOOKUP(role_course_map[[#This Row],[course_id]],course_data[course_id],course_data[topic],"")</f>
        <v>SAS : Infection Prevention and Control (IPC)</v>
      </c>
      <c r="F2550" s="5" t="str">
        <f>_xlfn.XLOOKUP(role_course_map[[#This Row],[course_id]],course_data[course_id],course_data[type],"")</f>
        <v>eLearning</v>
      </c>
      <c r="K2550" t="str">
        <f>role_course_map[[#This Row],[role_id]] &amp; "|" &amp; role_course_map[[#This Row],[course_id]]</f>
        <v>R0093|89159</v>
      </c>
      <c r="L2550" t="str">
        <f>IF(COUNTIF(role_course_map[mapping_key],role_course_map[[#This Row],[mapping_key]])&gt;1,"DUPLICATE","OK")</f>
        <v>OK</v>
      </c>
      <c r="M2550" t="str">
        <f>IF(COUNTIF(role_data[role_id],role_course_map[[#This Row],[role_id]])=0, "INVALID","VALID")</f>
        <v>VALID</v>
      </c>
      <c r="N2550" t="str">
        <f>IF(COUNTIF(course_data[course_id],role_course_map[[#This Row],[course_id]])=0, "INVALID","VALID")</f>
        <v>VALID</v>
      </c>
    </row>
    <row r="2551" spans="1:14" x14ac:dyDescent="0.35">
      <c r="A2551" t="s">
        <v>199</v>
      </c>
      <c r="B2551" s="5" t="str">
        <f>_xlfn.XLOOKUP(role_course_map[[#This Row],[role_id]], role_data[role_id], role_data[Role],"")</f>
        <v>Paramedic</v>
      </c>
      <c r="C2551">
        <v>89160</v>
      </c>
      <c r="D2551" s="5" t="str">
        <f>_xlfn.XLOOKUP(role_course_map[[#This Row],[course_id]],course_data[course_id],course_data[title],"")</f>
        <v>Safe Management of blood and body fluids</v>
      </c>
      <c r="E2551" s="5" t="str">
        <f>_xlfn.XLOOKUP(role_course_map[[#This Row],[course_id]],course_data[course_id],course_data[topic],"")</f>
        <v>SAS : Infection Prevention and Control (IPC)</v>
      </c>
      <c r="F2551" s="5" t="str">
        <f>_xlfn.XLOOKUP(role_course_map[[#This Row],[course_id]],course_data[course_id],course_data[type],"")</f>
        <v>eLearning</v>
      </c>
      <c r="K2551" t="str">
        <f>role_course_map[[#This Row],[role_id]] &amp; "|" &amp; role_course_map[[#This Row],[course_id]]</f>
        <v>R0093|89160</v>
      </c>
      <c r="L2551" t="str">
        <f>IF(COUNTIF(role_course_map[mapping_key],role_course_map[[#This Row],[mapping_key]])&gt;1,"DUPLICATE","OK")</f>
        <v>OK</v>
      </c>
      <c r="M2551" t="str">
        <f>IF(COUNTIF(role_data[role_id],role_course_map[[#This Row],[role_id]])=0, "INVALID","VALID")</f>
        <v>VALID</v>
      </c>
      <c r="N2551" t="str">
        <f>IF(COUNTIF(course_data[course_id],role_course_map[[#This Row],[course_id]])=0, "INVALID","VALID")</f>
        <v>VALID</v>
      </c>
    </row>
    <row r="2552" spans="1:14" x14ac:dyDescent="0.35">
      <c r="A2552" t="s">
        <v>199</v>
      </c>
      <c r="B2552" s="5" t="str">
        <f>_xlfn.XLOOKUP(role_course_map[[#This Row],[role_id]], role_data[role_id], role_data[Role],"")</f>
        <v>Paramedic</v>
      </c>
      <c r="C2552">
        <v>89154</v>
      </c>
      <c r="D2552" s="5" t="str">
        <f>_xlfn.XLOOKUP(role_course_map[[#This Row],[course_id]],course_data[course_id],course_data[title],"")</f>
        <v>Safe disposal of waste</v>
      </c>
      <c r="E2552" s="5" t="str">
        <f>_xlfn.XLOOKUP(role_course_map[[#This Row],[course_id]],course_data[course_id],course_data[topic],"")</f>
        <v>SAS : Infection Prevention and Control (IPC)</v>
      </c>
      <c r="F2552" s="5" t="str">
        <f>_xlfn.XLOOKUP(role_course_map[[#This Row],[course_id]],course_data[course_id],course_data[type],"")</f>
        <v>eLearning</v>
      </c>
      <c r="K2552" t="str">
        <f>role_course_map[[#This Row],[role_id]] &amp; "|" &amp; role_course_map[[#This Row],[course_id]]</f>
        <v>R0093|89154</v>
      </c>
      <c r="L2552" t="str">
        <f>IF(COUNTIF(role_course_map[mapping_key],role_course_map[[#This Row],[mapping_key]])&gt;1,"DUPLICATE","OK")</f>
        <v>OK</v>
      </c>
      <c r="M2552" t="str">
        <f>IF(COUNTIF(role_data[role_id],role_course_map[[#This Row],[role_id]])=0, "INVALID","VALID")</f>
        <v>VALID</v>
      </c>
      <c r="N2552" t="str">
        <f>IF(COUNTIF(course_data[course_id],role_course_map[[#This Row],[course_id]])=0, "INVALID","VALID")</f>
        <v>VALID</v>
      </c>
    </row>
    <row r="2553" spans="1:14" x14ac:dyDescent="0.35">
      <c r="A2553" t="s">
        <v>199</v>
      </c>
      <c r="B2553" s="5" t="str">
        <f>_xlfn.XLOOKUP(role_course_map[[#This Row],[role_id]], role_data[role_id], role_data[Role],"")</f>
        <v>Paramedic</v>
      </c>
      <c r="C2553">
        <v>89155</v>
      </c>
      <c r="D2553" s="5" t="str">
        <f>_xlfn.XLOOKUP(role_course_map[[#This Row],[course_id]],course_data[course_id],course_data[title],"")</f>
        <v>Prevention &amp; management of occupational exposure</v>
      </c>
      <c r="E2553" s="5" t="str">
        <f>_xlfn.XLOOKUP(role_course_map[[#This Row],[course_id]],course_data[course_id],course_data[topic],"")</f>
        <v>SAS : Infection Prevention and Control (IPC)</v>
      </c>
      <c r="F2553" s="5" t="str">
        <f>_xlfn.XLOOKUP(role_course_map[[#This Row],[course_id]],course_data[course_id],course_data[type],"")</f>
        <v>eLearning</v>
      </c>
      <c r="K2553" t="str">
        <f>role_course_map[[#This Row],[role_id]] &amp; "|" &amp; role_course_map[[#This Row],[course_id]]</f>
        <v>R0093|89155</v>
      </c>
      <c r="L2553" t="str">
        <f>IF(COUNTIF(role_course_map[mapping_key],role_course_map[[#This Row],[mapping_key]])&gt;1,"DUPLICATE","OK")</f>
        <v>OK</v>
      </c>
      <c r="M2553" t="str">
        <f>IF(COUNTIF(role_data[role_id],role_course_map[[#This Row],[role_id]])=0, "INVALID","VALID")</f>
        <v>VALID</v>
      </c>
      <c r="N2553" t="str">
        <f>IF(COUNTIF(course_data[course_id],role_course_map[[#This Row],[course_id]])=0, "INVALID","VALID")</f>
        <v>VALID</v>
      </c>
    </row>
    <row r="2554" spans="1:14" x14ac:dyDescent="0.35">
      <c r="A2554" t="s">
        <v>199</v>
      </c>
      <c r="B2554" s="5" t="str">
        <f>_xlfn.XLOOKUP(role_course_map[[#This Row],[role_id]], role_data[role_id], role_data[Role],"")</f>
        <v>Paramedic</v>
      </c>
      <c r="C2554">
        <v>999064</v>
      </c>
      <c r="D2554" s="5" t="str">
        <f>_xlfn.XLOOKUP(role_course_map[[#This Row],[course_id]],course_data[course_id],course_data[title],"")</f>
        <v>Infection prevention and control: Clostridioides difficile infection</v>
      </c>
      <c r="E2554" s="5" t="str">
        <f>_xlfn.XLOOKUP(role_course_map[[#This Row],[course_id]],course_data[course_id],course_data[topic],"")</f>
        <v>SAS : Infection Prevention and Control (IPC)</v>
      </c>
      <c r="F2554" s="5" t="str">
        <f>_xlfn.XLOOKUP(role_course_map[[#This Row],[course_id]],course_data[course_id],course_data[type],"")</f>
        <v>eLearning</v>
      </c>
      <c r="K2554" t="str">
        <f>role_course_map[[#This Row],[role_id]] &amp; "|" &amp; role_course_map[[#This Row],[course_id]]</f>
        <v>R0093|999064</v>
      </c>
      <c r="L2554" t="str">
        <f>IF(COUNTIF(role_course_map[mapping_key],role_course_map[[#This Row],[mapping_key]])&gt;1,"DUPLICATE","OK")</f>
        <v>OK</v>
      </c>
      <c r="M2554" t="str">
        <f>IF(COUNTIF(role_data[role_id],role_course_map[[#This Row],[role_id]])=0, "INVALID","VALID")</f>
        <v>VALID</v>
      </c>
      <c r="N2554" t="str">
        <f>IF(COUNTIF(course_data[course_id],role_course_map[[#This Row],[course_id]])=0, "INVALID","VALID")</f>
        <v>VALID</v>
      </c>
    </row>
    <row r="2555" spans="1:14" x14ac:dyDescent="0.35">
      <c r="A2555" t="s">
        <v>199</v>
      </c>
      <c r="B2555" s="5" t="str">
        <f>_xlfn.XLOOKUP(role_course_map[[#This Row],[role_id]], role_data[role_id], role_data[Role],"")</f>
        <v>Paramedic</v>
      </c>
      <c r="C2555">
        <v>3588</v>
      </c>
      <c r="D2555" s="5" t="str">
        <f>_xlfn.XLOOKUP(role_course_map[[#This Row],[course_id]],course_data[course_id],course_data[title],"")</f>
        <v>Antibiotic management</v>
      </c>
      <c r="E2555" s="5" t="str">
        <f>_xlfn.XLOOKUP(role_course_map[[#This Row],[course_id]],course_data[course_id],course_data[topic],"")</f>
        <v>SAS : Clinical Practice</v>
      </c>
      <c r="F2555" s="5" t="str">
        <f>_xlfn.XLOOKUP(role_course_map[[#This Row],[course_id]],course_data[course_id],course_data[type],"")</f>
        <v>Page</v>
      </c>
      <c r="K2555" t="str">
        <f>role_course_map[[#This Row],[role_id]] &amp; "|" &amp; role_course_map[[#This Row],[course_id]]</f>
        <v>R0093|3588</v>
      </c>
      <c r="L2555" t="str">
        <f>IF(COUNTIF(role_course_map[mapping_key],role_course_map[[#This Row],[mapping_key]])&gt;1,"DUPLICATE","OK")</f>
        <v>OK</v>
      </c>
      <c r="M2555" t="str">
        <f>IF(COUNTIF(role_data[role_id],role_course_map[[#This Row],[role_id]])=0, "INVALID","VALID")</f>
        <v>VALID</v>
      </c>
      <c r="N2555" t="str">
        <f>IF(COUNTIF(course_data[course_id],role_course_map[[#This Row],[course_id]])=0, "INVALID","VALID")</f>
        <v>VALID</v>
      </c>
    </row>
    <row r="2556" spans="1:14" x14ac:dyDescent="0.35">
      <c r="A2556" t="s">
        <v>199</v>
      </c>
      <c r="B2556" s="5" t="str">
        <f>_xlfn.XLOOKUP(role_course_map[[#This Row],[role_id]], role_data[role_id], role_data[Role],"")</f>
        <v>Paramedic</v>
      </c>
      <c r="C2556">
        <v>82383</v>
      </c>
      <c r="D2556" s="5" t="str">
        <f>_xlfn.XLOOKUP(role_course_map[[#This Row],[course_id]],course_data[course_id],course_data[title],"")</f>
        <v>Aseptic technique</v>
      </c>
      <c r="E2556" s="5" t="str">
        <f>_xlfn.XLOOKUP(role_course_map[[#This Row],[course_id]],course_data[course_id],course_data[topic],"")</f>
        <v>SAS : Infection Prevention and Control (IPC)</v>
      </c>
      <c r="F2556" s="5" t="str">
        <f>_xlfn.XLOOKUP(role_course_map[[#This Row],[course_id]],course_data[course_id],course_data[type],"")</f>
        <v>eLearning</v>
      </c>
      <c r="K2556" t="str">
        <f>role_course_map[[#This Row],[role_id]] &amp; "|" &amp; role_course_map[[#This Row],[course_id]]</f>
        <v>R0093|82383</v>
      </c>
      <c r="L2556" t="str">
        <f>IF(COUNTIF(role_course_map[mapping_key],role_course_map[[#This Row],[mapping_key]])&gt;1,"DUPLICATE","OK")</f>
        <v>OK</v>
      </c>
      <c r="M2556" t="str">
        <f>IF(COUNTIF(role_data[role_id],role_course_map[[#This Row],[role_id]])=0, "INVALID","VALID")</f>
        <v>VALID</v>
      </c>
      <c r="N2556" t="str">
        <f>IF(COUNTIF(course_data[course_id],role_course_map[[#This Row],[course_id]])=0, "INVALID","VALID")</f>
        <v>VALID</v>
      </c>
    </row>
    <row r="2557" spans="1:14" x14ac:dyDescent="0.35">
      <c r="A2557" t="s">
        <v>199</v>
      </c>
      <c r="B2557" s="5" t="str">
        <f>_xlfn.XLOOKUP(role_course_map[[#This Row],[role_id]], role_data[role_id], role_data[Role],"")</f>
        <v>Paramedic</v>
      </c>
      <c r="C2557">
        <v>3886</v>
      </c>
      <c r="D2557" s="5" t="str">
        <f>_xlfn.XLOOKUP(role_course_map[[#This Row],[course_id]],course_data[course_id],course_data[title],"")</f>
        <v>Prevention and management of pressure ulcers</v>
      </c>
      <c r="E2557" s="5" t="str">
        <f>_xlfn.XLOOKUP(role_course_map[[#This Row],[course_id]],course_data[course_id],course_data[topic],"")</f>
        <v>SAS : Clinical Practice</v>
      </c>
      <c r="F2557" s="5" t="str">
        <f>_xlfn.XLOOKUP(role_course_map[[#This Row],[course_id]],course_data[course_id],course_data[type],"")</f>
        <v>Page</v>
      </c>
      <c r="K2557" t="str">
        <f>role_course_map[[#This Row],[role_id]] &amp; "|" &amp; role_course_map[[#This Row],[course_id]]</f>
        <v>R0093|3886</v>
      </c>
      <c r="L2557" t="str">
        <f>IF(COUNTIF(role_course_map[mapping_key],role_course_map[[#This Row],[mapping_key]])&gt;1,"DUPLICATE","OK")</f>
        <v>OK</v>
      </c>
      <c r="M2557" t="str">
        <f>IF(COUNTIF(role_data[role_id],role_course_map[[#This Row],[role_id]])=0, "INVALID","VALID")</f>
        <v>VALID</v>
      </c>
      <c r="N2557" t="str">
        <f>IF(COUNTIF(course_data[course_id],role_course_map[[#This Row],[course_id]])=0, "INVALID","VALID")</f>
        <v>VALID</v>
      </c>
    </row>
    <row r="2558" spans="1:14" x14ac:dyDescent="0.35">
      <c r="A2558" t="s">
        <v>199</v>
      </c>
      <c r="B2558" s="5" t="str">
        <f>_xlfn.XLOOKUP(role_course_map[[#This Row],[role_id]], role_data[role_id], role_data[Role],"")</f>
        <v>Paramedic</v>
      </c>
      <c r="C2558">
        <v>999094</v>
      </c>
      <c r="D2558" s="5" t="str">
        <f>_xlfn.XLOOKUP(role_course_map[[#This Row],[course_id]],course_data[course_id],course_data[title],"")</f>
        <v>Being well, Mind, Body &amp; Workplace</v>
      </c>
      <c r="E2558" s="5" t="str">
        <f>_xlfn.XLOOKUP(role_course_map[[#This Row],[course_id]],course_data[course_id],course_data[topic],"")</f>
        <v>SAS: Staff development and experience</v>
      </c>
      <c r="F2558" s="5" t="str">
        <f>_xlfn.XLOOKUP(role_course_map[[#This Row],[course_id]],course_data[course_id],course_data[type],"")</f>
        <v>eLearning</v>
      </c>
      <c r="K2558" t="str">
        <f>role_course_map[[#This Row],[role_id]] &amp; "|" &amp; role_course_map[[#This Row],[course_id]]</f>
        <v>R0093|999094</v>
      </c>
      <c r="L2558" t="str">
        <f>IF(COUNTIF(role_course_map[mapping_key],role_course_map[[#This Row],[mapping_key]])&gt;1,"DUPLICATE","OK")</f>
        <v>OK</v>
      </c>
      <c r="M2558" t="str">
        <f>IF(COUNTIF(role_data[role_id],role_course_map[[#This Row],[role_id]])=0, "INVALID","VALID")</f>
        <v>VALID</v>
      </c>
      <c r="N2558" t="str">
        <f>IF(COUNTIF(course_data[course_id],role_course_map[[#This Row],[course_id]])=0, "INVALID","VALID")</f>
        <v>VALID</v>
      </c>
    </row>
    <row r="2559" spans="1:14" x14ac:dyDescent="0.35">
      <c r="A2559" t="s">
        <v>17</v>
      </c>
      <c r="B2559" s="5" t="str">
        <f>_xlfn.XLOOKUP(role_course_map[[#This Row],[role_id]], role_data[role_id], role_data[Role],"")</f>
        <v>Director</v>
      </c>
      <c r="C2559">
        <v>999063</v>
      </c>
      <c r="D2559" s="5" t="str">
        <f>_xlfn.XLOOKUP(role_course_map[[#This Row],[course_id]],course_data[course_id],course_data[title],"")</f>
        <v>IOSH Leading Safely</v>
      </c>
      <c r="E2559" s="5" t="str">
        <f>_xlfn.XLOOKUP(role_course_map[[#This Row],[course_id]],course_data[course_id],course_data[topic],"")</f>
        <v>SAS : Health and Safety</v>
      </c>
      <c r="F2559" s="5" t="str">
        <f>_xlfn.XLOOKUP(role_course_map[[#This Row],[course_id]],course_data[course_id],course_data[type],"")</f>
        <v>Course</v>
      </c>
      <c r="K2559" t="str">
        <f>role_course_map[[#This Row],[role_id]] &amp; "|" &amp; role_course_map[[#This Row],[course_id]]</f>
        <v>R0007|999063</v>
      </c>
      <c r="L2559" t="str">
        <f>IF(COUNTIF(role_course_map[mapping_key],role_course_map[[#This Row],[mapping_key]])&gt;1,"DUPLICATE","OK")</f>
        <v>OK</v>
      </c>
      <c r="M2559" t="str">
        <f>IF(COUNTIF(role_data[role_id],role_course_map[[#This Row],[role_id]])=0, "INVALID","VALID")</f>
        <v>VALID</v>
      </c>
      <c r="N2559" t="str">
        <f>IF(COUNTIF(course_data[course_id],role_course_map[[#This Row],[course_id]])=0, "INVALID","VALID")</f>
        <v>VALID</v>
      </c>
    </row>
    <row r="2560" spans="1:14" x14ac:dyDescent="0.35">
      <c r="A2560" t="s">
        <v>17</v>
      </c>
      <c r="B2560" s="5" t="str">
        <f>_xlfn.XLOOKUP(role_course_map[[#This Row],[role_id]], role_data[role_id], role_data[Role],"")</f>
        <v>Director</v>
      </c>
      <c r="C2560">
        <v>999057</v>
      </c>
      <c r="D2560" s="5" t="str">
        <f>_xlfn.XLOOKUP(role_course_map[[#This Row],[course_id]],course_data[course_id],course_data[title],"")</f>
        <v>Fatigue Awareness</v>
      </c>
      <c r="E2560" s="5" t="str">
        <f>_xlfn.XLOOKUP(role_course_map[[#This Row],[course_id]],course_data[course_id],course_data[topic],"")</f>
        <v>SAS : Health and Safety</v>
      </c>
      <c r="F2560" s="5" t="str">
        <f>_xlfn.XLOOKUP(role_course_map[[#This Row],[course_id]],course_data[course_id],course_data[type],"")</f>
        <v>eLearning</v>
      </c>
      <c r="K2560" t="str">
        <f>role_course_map[[#This Row],[role_id]] &amp; "|" &amp; role_course_map[[#This Row],[course_id]]</f>
        <v>R0007|999057</v>
      </c>
      <c r="L2560" t="str">
        <f>IF(COUNTIF(role_course_map[mapping_key],role_course_map[[#This Row],[mapping_key]])&gt;1,"DUPLICATE","OK")</f>
        <v>OK</v>
      </c>
      <c r="M2560" t="str">
        <f>IF(COUNTIF(role_data[role_id],role_course_map[[#This Row],[role_id]])=0, "INVALID","VALID")</f>
        <v>VALID</v>
      </c>
      <c r="N2560" t="str">
        <f>IF(COUNTIF(course_data[course_id],role_course_map[[#This Row],[course_id]])=0, "INVALID","VALID")</f>
        <v>VALID</v>
      </c>
    </row>
    <row r="2561" spans="1:14" x14ac:dyDescent="0.35">
      <c r="A2561" t="s">
        <v>17</v>
      </c>
      <c r="B2561" s="5" t="str">
        <f>_xlfn.XLOOKUP(role_course_map[[#This Row],[role_id]], role_data[role_id], role_data[Role],"")</f>
        <v>Director</v>
      </c>
      <c r="C2561">
        <v>999058</v>
      </c>
      <c r="D2561" s="5" t="str">
        <f>_xlfn.XLOOKUP(role_course_map[[#This Row],[course_id]],course_data[course_id],course_data[title],"")</f>
        <v>Stress Identification &amp; Stress Management</v>
      </c>
      <c r="E2561" s="5" t="str">
        <f>_xlfn.XLOOKUP(role_course_map[[#This Row],[course_id]],course_data[course_id],course_data[topic],"")</f>
        <v>SAS : Health and Safety</v>
      </c>
      <c r="F2561" s="5" t="str">
        <f>_xlfn.XLOOKUP(role_course_map[[#This Row],[course_id]],course_data[course_id],course_data[type],"")</f>
        <v>eLearning</v>
      </c>
      <c r="K2561" t="str">
        <f>role_course_map[[#This Row],[role_id]] &amp; "|" &amp; role_course_map[[#This Row],[course_id]]</f>
        <v>R0007|999058</v>
      </c>
      <c r="L2561" t="str">
        <f>IF(COUNTIF(role_course_map[mapping_key],role_course_map[[#This Row],[mapping_key]])&gt;1,"DUPLICATE","OK")</f>
        <v>OK</v>
      </c>
      <c r="M2561" t="str">
        <f>IF(COUNTIF(role_data[role_id],role_course_map[[#This Row],[role_id]])=0, "INVALID","VALID")</f>
        <v>VALID</v>
      </c>
      <c r="N2561" t="str">
        <f>IF(COUNTIF(course_data[course_id],role_course_map[[#This Row],[course_id]])=0, "INVALID","VALID")</f>
        <v>VALID</v>
      </c>
    </row>
    <row r="2562" spans="1:14" x14ac:dyDescent="0.35">
      <c r="A2562" t="s">
        <v>17</v>
      </c>
      <c r="B2562" s="5" t="str">
        <f>_xlfn.XLOOKUP(role_course_map[[#This Row],[role_id]], role_data[role_id], role_data[Role],"")</f>
        <v>Director</v>
      </c>
      <c r="C2562">
        <v>999059</v>
      </c>
      <c r="D2562" s="5" t="str">
        <f>_xlfn.XLOOKUP(role_course_map[[#This Row],[course_id]],course_data[course_id],course_data[title],"")</f>
        <v>Driving update (practical)</v>
      </c>
      <c r="E2562" s="5" t="str">
        <f>_xlfn.XLOOKUP(role_course_map[[#This Row],[course_id]],course_data[course_id],course_data[topic],"")</f>
        <v>SAS : Health and Safety</v>
      </c>
      <c r="F2562" s="5" t="str">
        <f>_xlfn.XLOOKUP(role_course_map[[#This Row],[course_id]],course_data[course_id],course_data[type],"")</f>
        <v>Course</v>
      </c>
      <c r="K2562" t="str">
        <f>role_course_map[[#This Row],[role_id]] &amp; "|" &amp; role_course_map[[#This Row],[course_id]]</f>
        <v>R0007|999059</v>
      </c>
      <c r="L2562" t="str">
        <f>IF(COUNTIF(role_course_map[mapping_key],role_course_map[[#This Row],[mapping_key]])&gt;1,"DUPLICATE","OK")</f>
        <v>OK</v>
      </c>
      <c r="M2562" t="str">
        <f>IF(COUNTIF(role_data[role_id],role_course_map[[#This Row],[role_id]])=0, "INVALID","VALID")</f>
        <v>VALID</v>
      </c>
      <c r="N2562" t="str">
        <f>IF(COUNTIF(course_data[course_id],role_course_map[[#This Row],[course_id]])=0, "INVALID","VALID")</f>
        <v>VALID</v>
      </c>
    </row>
    <row r="2563" spans="1:14" x14ac:dyDescent="0.35">
      <c r="A2563" t="s">
        <v>17</v>
      </c>
      <c r="B2563" s="5" t="str">
        <f>_xlfn.XLOOKUP(role_course_map[[#This Row],[role_id]], role_data[role_id], role_data[Role],"")</f>
        <v>Director</v>
      </c>
      <c r="C2563">
        <v>999090</v>
      </c>
      <c r="D2563" s="5" t="str">
        <f>_xlfn.XLOOKUP(role_course_map[[#This Row],[course_id]],course_data[course_id],course_data[title],"")</f>
        <v>Leading for the Future</v>
      </c>
      <c r="E2563" s="5" t="str">
        <f>_xlfn.XLOOKUP(role_course_map[[#This Row],[course_id]],course_data[course_id],course_data[topic],"")</f>
        <v>SAS: Staff development and experience</v>
      </c>
      <c r="F2563" s="5">
        <f>_xlfn.XLOOKUP(role_course_map[[#This Row],[course_id]],course_data[course_id],course_data[type],"")</f>
        <v>0</v>
      </c>
      <c r="K2563" t="str">
        <f>role_course_map[[#This Row],[role_id]] &amp; "|" &amp; role_course_map[[#This Row],[course_id]]</f>
        <v>R0007|999090</v>
      </c>
      <c r="L2563" t="str">
        <f>IF(COUNTIF(role_course_map[mapping_key],role_course_map[[#This Row],[mapping_key]])&gt;1,"DUPLICATE","OK")</f>
        <v>OK</v>
      </c>
      <c r="M2563" t="str">
        <f>IF(COUNTIF(role_data[role_id],role_course_map[[#This Row],[role_id]])=0, "INVALID","VALID")</f>
        <v>VALID</v>
      </c>
      <c r="N2563" t="str">
        <f>IF(COUNTIF(course_data[course_id],role_course_map[[#This Row],[course_id]])=0, "INVALID","VALID")</f>
        <v>VALID</v>
      </c>
    </row>
    <row r="2564" spans="1:14" x14ac:dyDescent="0.35">
      <c r="A2564" t="s">
        <v>17</v>
      </c>
      <c r="B2564" s="5" t="str">
        <f>_xlfn.XLOOKUP(role_course_map[[#This Row],[role_id]], role_data[role_id], role_data[Role],"")</f>
        <v>Director</v>
      </c>
      <c r="C2564">
        <v>999092</v>
      </c>
      <c r="D2564" s="5" t="str">
        <f>_xlfn.XLOOKUP(role_course_map[[#This Row],[course_id]],course_data[course_id],course_data[title],"")</f>
        <v>Health &amp; Wellbeing Awareness for Managers</v>
      </c>
      <c r="E2564" s="5" t="str">
        <f>_xlfn.XLOOKUP(role_course_map[[#This Row],[course_id]],course_data[course_id],course_data[topic],"")</f>
        <v>SAS: Staff development and experience</v>
      </c>
      <c r="F2564" s="5" t="str">
        <f>_xlfn.XLOOKUP(role_course_map[[#This Row],[course_id]],course_data[course_id],course_data[type],"")</f>
        <v>eLearning</v>
      </c>
      <c r="K2564" t="str">
        <f>role_course_map[[#This Row],[role_id]] &amp; "|" &amp; role_course_map[[#This Row],[course_id]]</f>
        <v>R0007|999092</v>
      </c>
      <c r="L2564" t="str">
        <f>IF(COUNTIF(role_course_map[mapping_key],role_course_map[[#This Row],[mapping_key]])&gt;1,"DUPLICATE","OK")</f>
        <v>OK</v>
      </c>
      <c r="M2564" t="str">
        <f>IF(COUNTIF(role_data[role_id],role_course_map[[#This Row],[role_id]])=0, "INVALID","VALID")</f>
        <v>VALID</v>
      </c>
      <c r="N2564" t="str">
        <f>IF(COUNTIF(course_data[course_id],role_course_map[[#This Row],[course_id]])=0, "INVALID","VALID")</f>
        <v>VALID</v>
      </c>
    </row>
    <row r="2565" spans="1:14" x14ac:dyDescent="0.35">
      <c r="A2565" t="s">
        <v>17</v>
      </c>
      <c r="B2565" s="5" t="str">
        <f>_xlfn.XLOOKUP(role_course_map[[#This Row],[role_id]], role_data[role_id], role_data[Role],"")</f>
        <v>Director</v>
      </c>
      <c r="C2565">
        <v>999093</v>
      </c>
      <c r="D2565" s="5" t="str">
        <f>_xlfn.XLOOKUP(role_course_map[[#This Row],[course_id]],course_data[course_id],course_data[title],"")</f>
        <v>Managing Wellbeing Refresher for Managers</v>
      </c>
      <c r="E2565" s="5" t="str">
        <f>_xlfn.XLOOKUP(role_course_map[[#This Row],[course_id]],course_data[course_id],course_data[topic],"")</f>
        <v>SAS: Staff development and experience</v>
      </c>
      <c r="F2565" s="5" t="str">
        <f>_xlfn.XLOOKUP(role_course_map[[#This Row],[course_id]],course_data[course_id],course_data[type],"")</f>
        <v>eLearning</v>
      </c>
      <c r="K2565" t="str">
        <f>role_course_map[[#This Row],[role_id]] &amp; "|" &amp; role_course_map[[#This Row],[course_id]]</f>
        <v>R0007|999093</v>
      </c>
      <c r="L2565" t="str">
        <f>IF(COUNTIF(role_course_map[mapping_key],role_course_map[[#This Row],[mapping_key]])&gt;1,"DUPLICATE","OK")</f>
        <v>OK</v>
      </c>
      <c r="M2565" t="str">
        <f>IF(COUNTIF(role_data[role_id],role_course_map[[#This Row],[role_id]])=0, "INVALID","VALID")</f>
        <v>VALID</v>
      </c>
      <c r="N2565" t="str">
        <f>IF(COUNTIF(course_data[course_id],role_course_map[[#This Row],[course_id]])=0, "INVALID","VALID")</f>
        <v>VALID</v>
      </c>
    </row>
    <row r="2566" spans="1:14" x14ac:dyDescent="0.35">
      <c r="A2566" t="s">
        <v>17</v>
      </c>
      <c r="B2566" s="5" t="str">
        <f>_xlfn.XLOOKUP(role_course_map[[#This Row],[role_id]], role_data[role_id], role_data[Role],"")</f>
        <v>Director</v>
      </c>
      <c r="C2566">
        <v>999094</v>
      </c>
      <c r="D2566" s="5" t="str">
        <f>_xlfn.XLOOKUP(role_course_map[[#This Row],[course_id]],course_data[course_id],course_data[title],"")</f>
        <v>Being well, Mind, Body &amp; Workplace</v>
      </c>
      <c r="E2566" s="5" t="str">
        <f>_xlfn.XLOOKUP(role_course_map[[#This Row],[course_id]],course_data[course_id],course_data[topic],"")</f>
        <v>SAS: Staff development and experience</v>
      </c>
      <c r="F2566" s="5" t="str">
        <f>_xlfn.XLOOKUP(role_course_map[[#This Row],[course_id]],course_data[course_id],course_data[type],"")</f>
        <v>eLearning</v>
      </c>
      <c r="K2566" t="str">
        <f>role_course_map[[#This Row],[role_id]] &amp; "|" &amp; role_course_map[[#This Row],[course_id]]</f>
        <v>R0007|999094</v>
      </c>
      <c r="L2566" t="str">
        <f>IF(COUNTIF(role_course_map[mapping_key],role_course_map[[#This Row],[mapping_key]])&gt;1,"DUPLICATE","OK")</f>
        <v>OK</v>
      </c>
      <c r="M2566" t="str">
        <f>IF(COUNTIF(role_data[role_id],role_course_map[[#This Row],[role_id]])=0, "INVALID","VALID")</f>
        <v>VALID</v>
      </c>
      <c r="N2566" t="str">
        <f>IF(COUNTIF(course_data[course_id],role_course_map[[#This Row],[course_id]])=0, "INVALID","VALID")</f>
        <v>VALID</v>
      </c>
    </row>
    <row r="2567" spans="1:14" x14ac:dyDescent="0.35">
      <c r="A2567" t="s">
        <v>250</v>
      </c>
      <c r="B2567" s="5" t="str">
        <f>_xlfn.XLOOKUP(role_course_map[[#This Row],[role_id]], role_data[role_id], role_data[Role],"")</f>
        <v>SORT Paramedic</v>
      </c>
      <c r="C2567">
        <v>79218</v>
      </c>
      <c r="D2567" s="5" t="str">
        <f>_xlfn.XLOOKUP(role_course_map[[#This Row],[course_id]],course_data[course_id],course_data[title],"")</f>
        <v>Life support</v>
      </c>
      <c r="E2567" s="5" t="str">
        <f>_xlfn.XLOOKUP(role_course_map[[#This Row],[course_id]],course_data[course_id],course_data[topic],"")</f>
        <v>SAS : Clinical Practice</v>
      </c>
      <c r="F2567" s="5" t="str">
        <f>_xlfn.XLOOKUP(role_course_map[[#This Row],[course_id]],course_data[course_id],course_data[type],"")</f>
        <v>Page</v>
      </c>
      <c r="K2567" t="str">
        <f>role_course_map[[#This Row],[role_id]] &amp; "|" &amp; role_course_map[[#This Row],[course_id]]</f>
        <v>R0119|79218</v>
      </c>
      <c r="L2567" t="str">
        <f>IF(COUNTIF(role_course_map[mapping_key],role_course_map[[#This Row],[mapping_key]])&gt;1,"DUPLICATE","OK")</f>
        <v>OK</v>
      </c>
      <c r="M2567" t="str">
        <f>IF(COUNTIF(role_data[role_id],role_course_map[[#This Row],[role_id]])=0, "INVALID","VALID")</f>
        <v>VALID</v>
      </c>
      <c r="N2567" t="str">
        <f>IF(COUNTIF(course_data[course_id],role_course_map[[#This Row],[course_id]])=0, "INVALID","VALID")</f>
        <v>VALID</v>
      </c>
    </row>
    <row r="2568" spans="1:14" x14ac:dyDescent="0.35">
      <c r="A2568" t="s">
        <v>250</v>
      </c>
      <c r="B2568" s="5" t="str">
        <f>_xlfn.XLOOKUP(role_course_map[[#This Row],[role_id]], role_data[role_id], role_data[Role],"")</f>
        <v>SORT Paramedic</v>
      </c>
      <c r="C2568">
        <v>999009</v>
      </c>
      <c r="D2568" s="5" t="str">
        <f>_xlfn.XLOOKUP(role_course_map[[#This Row],[course_id]],course_data[course_id],course_data[title],"")</f>
        <v>Life Support</v>
      </c>
      <c r="E2568" s="5" t="str">
        <f>_xlfn.XLOOKUP(role_course_map[[#This Row],[course_id]],course_data[course_id],course_data[topic],"")</f>
        <v>SAS : Clinical Practice</v>
      </c>
      <c r="F2568" s="5" t="str">
        <f>_xlfn.XLOOKUP(role_course_map[[#This Row],[course_id]],course_data[course_id],course_data[type],"")</f>
        <v>Course</v>
      </c>
      <c r="K2568" t="str">
        <f>role_course_map[[#This Row],[role_id]] &amp; "|" &amp; role_course_map[[#This Row],[course_id]]</f>
        <v>R0119|999009</v>
      </c>
      <c r="L2568" t="str">
        <f>IF(COUNTIF(role_course_map[mapping_key],role_course_map[[#This Row],[mapping_key]])&gt;1,"DUPLICATE","OK")</f>
        <v>OK</v>
      </c>
      <c r="M2568" t="str">
        <f>IF(COUNTIF(role_data[role_id],role_course_map[[#This Row],[role_id]])=0, "INVALID","VALID")</f>
        <v>VALID</v>
      </c>
      <c r="N2568" t="str">
        <f>IF(COUNTIF(course_data[course_id],role_course_map[[#This Row],[course_id]])=0, "INVALID","VALID")</f>
        <v>VALID</v>
      </c>
    </row>
    <row r="2569" spans="1:14" x14ac:dyDescent="0.35">
      <c r="A2569" t="s">
        <v>250</v>
      </c>
      <c r="B2569" s="5" t="str">
        <f>_xlfn.XLOOKUP(role_course_map[[#This Row],[role_id]], role_data[role_id], role_data[Role],"")</f>
        <v>SORT Paramedic</v>
      </c>
      <c r="C2569">
        <v>999007</v>
      </c>
      <c r="D2569" s="5" t="str">
        <f>_xlfn.XLOOKUP(role_course_map[[#This Row],[course_id]],course_data[course_id],course_data[title],"")</f>
        <v>Obstetrics</v>
      </c>
      <c r="E2569" s="5" t="str">
        <f>_xlfn.XLOOKUP(role_course_map[[#This Row],[course_id]],course_data[course_id],course_data[topic],"")</f>
        <v>SAS : Clinical Practice</v>
      </c>
      <c r="F2569" s="5" t="str">
        <f>_xlfn.XLOOKUP(role_course_map[[#This Row],[course_id]],course_data[course_id],course_data[type],"")</f>
        <v>Course</v>
      </c>
      <c r="K2569" t="str">
        <f>role_course_map[[#This Row],[role_id]] &amp; "|" &amp; role_course_map[[#This Row],[course_id]]</f>
        <v>R0119|999007</v>
      </c>
      <c r="L2569" t="str">
        <f>IF(COUNTIF(role_course_map[mapping_key],role_course_map[[#This Row],[mapping_key]])&gt;1,"DUPLICATE","OK")</f>
        <v>OK</v>
      </c>
      <c r="M2569" t="str">
        <f>IF(COUNTIF(role_data[role_id],role_course_map[[#This Row],[role_id]])=0, "INVALID","VALID")</f>
        <v>VALID</v>
      </c>
      <c r="N2569" t="str">
        <f>IF(COUNTIF(course_data[course_id],role_course_map[[#This Row],[course_id]])=0, "INVALID","VALID")</f>
        <v>VALID</v>
      </c>
    </row>
    <row r="2570" spans="1:14" x14ac:dyDescent="0.35">
      <c r="A2570" t="s">
        <v>250</v>
      </c>
      <c r="B2570" s="5" t="str">
        <f>_xlfn.XLOOKUP(role_course_map[[#This Row],[role_id]], role_data[role_id], role_data[Role],"")</f>
        <v>SORT Paramedic</v>
      </c>
      <c r="C2570">
        <v>999008</v>
      </c>
      <c r="D2570" s="5" t="str">
        <f>_xlfn.XLOOKUP(role_course_map[[#This Row],[course_id]],course_data[course_id],course_data[title],"")</f>
        <v>Obstetrics</v>
      </c>
      <c r="E2570" s="5" t="str">
        <f>_xlfn.XLOOKUP(role_course_map[[#This Row],[course_id]],course_data[course_id],course_data[topic],"")</f>
        <v>SAS : Clinical Practice</v>
      </c>
      <c r="F2570" s="5" t="str">
        <f>_xlfn.XLOOKUP(role_course_map[[#This Row],[course_id]],course_data[course_id],course_data[type],"")</f>
        <v>eLearning</v>
      </c>
      <c r="K2570" t="str">
        <f>role_course_map[[#This Row],[role_id]] &amp; "|" &amp; role_course_map[[#This Row],[course_id]]</f>
        <v>R0119|999008</v>
      </c>
      <c r="L2570" t="str">
        <f>IF(COUNTIF(role_course_map[mapping_key],role_course_map[[#This Row],[mapping_key]])&gt;1,"DUPLICATE","OK")</f>
        <v>OK</v>
      </c>
      <c r="M2570" t="str">
        <f>IF(COUNTIF(role_data[role_id],role_course_map[[#This Row],[role_id]])=0, "INVALID","VALID")</f>
        <v>VALID</v>
      </c>
      <c r="N2570" t="str">
        <f>IF(COUNTIF(course_data[course_id],role_course_map[[#This Row],[course_id]])=0, "INVALID","VALID")</f>
        <v>VALID</v>
      </c>
    </row>
    <row r="2571" spans="1:14" x14ac:dyDescent="0.35">
      <c r="A2571" t="s">
        <v>250</v>
      </c>
      <c r="B2571" s="5" t="str">
        <f>_xlfn.XLOOKUP(role_course_map[[#This Row],[role_id]], role_data[role_id], role_data[Role],"")</f>
        <v>SORT Paramedic</v>
      </c>
      <c r="C2571">
        <v>999010</v>
      </c>
      <c r="D2571" s="5" t="str">
        <f>_xlfn.XLOOKUP(role_course_map[[#This Row],[course_id]],course_data[course_id],course_data[title],"")</f>
        <v>Paediatrics</v>
      </c>
      <c r="E2571" s="5" t="str">
        <f>_xlfn.XLOOKUP(role_course_map[[#This Row],[course_id]],course_data[course_id],course_data[topic],"")</f>
        <v>SAS : Clinical Practice</v>
      </c>
      <c r="F2571" s="5" t="str">
        <f>_xlfn.XLOOKUP(role_course_map[[#This Row],[course_id]],course_data[course_id],course_data[type],"")</f>
        <v>Course</v>
      </c>
      <c r="K2571" t="str">
        <f>role_course_map[[#This Row],[role_id]] &amp; "|" &amp; role_course_map[[#This Row],[course_id]]</f>
        <v>R0119|999010</v>
      </c>
      <c r="L2571" t="str">
        <f>IF(COUNTIF(role_course_map[mapping_key],role_course_map[[#This Row],[mapping_key]])&gt;1,"DUPLICATE","OK")</f>
        <v>OK</v>
      </c>
      <c r="M2571" t="str">
        <f>IF(COUNTIF(role_data[role_id],role_course_map[[#This Row],[role_id]])=0, "INVALID","VALID")</f>
        <v>VALID</v>
      </c>
      <c r="N2571" t="str">
        <f>IF(COUNTIF(course_data[course_id],role_course_map[[#This Row],[course_id]])=0, "INVALID","VALID")</f>
        <v>VALID</v>
      </c>
    </row>
    <row r="2572" spans="1:14" x14ac:dyDescent="0.35">
      <c r="A2572" t="s">
        <v>250</v>
      </c>
      <c r="B2572" s="5" t="str">
        <f>_xlfn.XLOOKUP(role_course_map[[#This Row],[role_id]], role_data[role_id], role_data[Role],"")</f>
        <v>SORT Paramedic</v>
      </c>
      <c r="C2572">
        <v>999011</v>
      </c>
      <c r="D2572" s="5" t="str">
        <f>_xlfn.XLOOKUP(role_course_map[[#This Row],[course_id]],course_data[course_id],course_data[title],"")</f>
        <v>Paediatrics</v>
      </c>
      <c r="E2572" s="5" t="str">
        <f>_xlfn.XLOOKUP(role_course_map[[#This Row],[course_id]],course_data[course_id],course_data[topic],"")</f>
        <v>SAS : Clinical Practice</v>
      </c>
      <c r="F2572" s="5" t="str">
        <f>_xlfn.XLOOKUP(role_course_map[[#This Row],[course_id]],course_data[course_id],course_data[type],"")</f>
        <v>eLearning</v>
      </c>
      <c r="K2572" t="str">
        <f>role_course_map[[#This Row],[role_id]] &amp; "|" &amp; role_course_map[[#This Row],[course_id]]</f>
        <v>R0119|999011</v>
      </c>
      <c r="L2572" t="str">
        <f>IF(COUNTIF(role_course_map[mapping_key],role_course_map[[#This Row],[mapping_key]])&gt;1,"DUPLICATE","OK")</f>
        <v>OK</v>
      </c>
      <c r="M2572" t="str">
        <f>IF(COUNTIF(role_data[role_id],role_course_map[[#This Row],[role_id]])=0, "INVALID","VALID")</f>
        <v>VALID</v>
      </c>
      <c r="N2572" t="str">
        <f>IF(COUNTIF(course_data[course_id],role_course_map[[#This Row],[course_id]])=0, "INVALID","VALID")</f>
        <v>VALID</v>
      </c>
    </row>
    <row r="2573" spans="1:14" x14ac:dyDescent="0.35">
      <c r="A2573" t="s">
        <v>250</v>
      </c>
      <c r="B2573" s="5" t="str">
        <f>_xlfn.XLOOKUP(role_course_map[[#This Row],[role_id]], role_data[role_id], role_data[Role],"")</f>
        <v>SORT Paramedic</v>
      </c>
      <c r="C2573">
        <v>999012</v>
      </c>
      <c r="D2573" s="5" t="str">
        <f>_xlfn.XLOOKUP(role_course_map[[#This Row],[course_id]],course_data[course_id],course_data[title],"")</f>
        <v>Trauma</v>
      </c>
      <c r="E2573" s="5" t="str">
        <f>_xlfn.XLOOKUP(role_course_map[[#This Row],[course_id]],course_data[course_id],course_data[topic],"")</f>
        <v>SAS : Clinical Practice</v>
      </c>
      <c r="F2573" s="5" t="str">
        <f>_xlfn.XLOOKUP(role_course_map[[#This Row],[course_id]],course_data[course_id],course_data[type],"")</f>
        <v>Course</v>
      </c>
      <c r="K2573" t="str">
        <f>role_course_map[[#This Row],[role_id]] &amp; "|" &amp; role_course_map[[#This Row],[course_id]]</f>
        <v>R0119|999012</v>
      </c>
      <c r="L2573" t="str">
        <f>IF(COUNTIF(role_course_map[mapping_key],role_course_map[[#This Row],[mapping_key]])&gt;1,"DUPLICATE","OK")</f>
        <v>OK</v>
      </c>
      <c r="M2573" t="str">
        <f>IF(COUNTIF(role_data[role_id],role_course_map[[#This Row],[role_id]])=0, "INVALID","VALID")</f>
        <v>VALID</v>
      </c>
      <c r="N2573" t="str">
        <f>IF(COUNTIF(course_data[course_id],role_course_map[[#This Row],[course_id]])=0, "INVALID","VALID")</f>
        <v>VALID</v>
      </c>
    </row>
    <row r="2574" spans="1:14" x14ac:dyDescent="0.35">
      <c r="A2574" t="s">
        <v>250</v>
      </c>
      <c r="B2574" s="5" t="str">
        <f>_xlfn.XLOOKUP(role_course_map[[#This Row],[role_id]], role_data[role_id], role_data[Role],"")</f>
        <v>SORT Paramedic</v>
      </c>
      <c r="C2574">
        <v>999013</v>
      </c>
      <c r="D2574" s="5" t="str">
        <f>_xlfn.XLOOKUP(role_course_map[[#This Row],[course_id]],course_data[course_id],course_data[title],"")</f>
        <v>Trauma</v>
      </c>
      <c r="E2574" s="5" t="str">
        <f>_xlfn.XLOOKUP(role_course_map[[#This Row],[course_id]],course_data[course_id],course_data[topic],"")</f>
        <v>SAS : Clinical Practice</v>
      </c>
      <c r="F2574" s="5" t="str">
        <f>_xlfn.XLOOKUP(role_course_map[[#This Row],[course_id]],course_data[course_id],course_data[type],"")</f>
        <v>eLearning</v>
      </c>
      <c r="K2574" t="str">
        <f>role_course_map[[#This Row],[role_id]] &amp; "|" &amp; role_course_map[[#This Row],[course_id]]</f>
        <v>R0119|999013</v>
      </c>
      <c r="L2574" t="str">
        <f>IF(COUNTIF(role_course_map[mapping_key],role_course_map[[#This Row],[mapping_key]])&gt;1,"DUPLICATE","OK")</f>
        <v>OK</v>
      </c>
      <c r="M2574" t="str">
        <f>IF(COUNTIF(role_data[role_id],role_course_map[[#This Row],[role_id]])=0, "INVALID","VALID")</f>
        <v>VALID</v>
      </c>
      <c r="N2574" t="str">
        <f>IF(COUNTIF(course_data[course_id],role_course_map[[#This Row],[course_id]])=0, "INVALID","VALID")</f>
        <v>VALID</v>
      </c>
    </row>
    <row r="2575" spans="1:14" x14ac:dyDescent="0.35">
      <c r="A2575" t="s">
        <v>250</v>
      </c>
      <c r="B2575" s="5" t="str">
        <f>_xlfn.XLOOKUP(role_course_map[[#This Row],[role_id]], role_data[role_id], role_data[Role],"")</f>
        <v>SORT Paramedic</v>
      </c>
      <c r="C2575">
        <v>999014</v>
      </c>
      <c r="D2575" s="5" t="str">
        <f>_xlfn.XLOOKUP(role_course_map[[#This Row],[course_id]],course_data[course_id],course_data[title],"")</f>
        <v>Patient Assessment</v>
      </c>
      <c r="E2575" s="5" t="str">
        <f>_xlfn.XLOOKUP(role_course_map[[#This Row],[course_id]],course_data[course_id],course_data[topic],"")</f>
        <v>SAS : Clinical Practice</v>
      </c>
      <c r="F2575" s="5" t="str">
        <f>_xlfn.XLOOKUP(role_course_map[[#This Row],[course_id]],course_data[course_id],course_data[type],"")</f>
        <v>Course</v>
      </c>
      <c r="K2575" t="str">
        <f>role_course_map[[#This Row],[role_id]] &amp; "|" &amp; role_course_map[[#This Row],[course_id]]</f>
        <v>R0119|999014</v>
      </c>
      <c r="L2575" t="str">
        <f>IF(COUNTIF(role_course_map[mapping_key],role_course_map[[#This Row],[mapping_key]])&gt;1,"DUPLICATE","OK")</f>
        <v>OK</v>
      </c>
      <c r="M2575" t="str">
        <f>IF(COUNTIF(role_data[role_id],role_course_map[[#This Row],[role_id]])=0, "INVALID","VALID")</f>
        <v>VALID</v>
      </c>
      <c r="N2575" t="str">
        <f>IF(COUNTIF(course_data[course_id],role_course_map[[#This Row],[course_id]])=0, "INVALID","VALID")</f>
        <v>VALID</v>
      </c>
    </row>
    <row r="2576" spans="1:14" x14ac:dyDescent="0.35">
      <c r="A2576" t="s">
        <v>250</v>
      </c>
      <c r="B2576" s="5" t="str">
        <f>_xlfn.XLOOKUP(role_course_map[[#This Row],[role_id]], role_data[role_id], role_data[Role],"")</f>
        <v>SORT Paramedic</v>
      </c>
      <c r="C2576">
        <v>999015</v>
      </c>
      <c r="D2576" s="5" t="str">
        <f>_xlfn.XLOOKUP(role_course_map[[#This Row],[course_id]],course_data[course_id],course_data[title],"")</f>
        <v>Patient Assessment</v>
      </c>
      <c r="E2576" s="5" t="str">
        <f>_xlfn.XLOOKUP(role_course_map[[#This Row],[course_id]],course_data[course_id],course_data[topic],"")</f>
        <v>SAS : Clinical Practice</v>
      </c>
      <c r="F2576" s="5" t="str">
        <f>_xlfn.XLOOKUP(role_course_map[[#This Row],[course_id]],course_data[course_id],course_data[type],"")</f>
        <v>eLearning</v>
      </c>
      <c r="K2576" t="str">
        <f>role_course_map[[#This Row],[role_id]] &amp; "|" &amp; role_course_map[[#This Row],[course_id]]</f>
        <v>R0119|999015</v>
      </c>
      <c r="L2576" t="str">
        <f>IF(COUNTIF(role_course_map[mapping_key],role_course_map[[#This Row],[mapping_key]])&gt;1,"DUPLICATE","OK")</f>
        <v>OK</v>
      </c>
      <c r="M2576" t="str">
        <f>IF(COUNTIF(role_data[role_id],role_course_map[[#This Row],[role_id]])=0, "INVALID","VALID")</f>
        <v>VALID</v>
      </c>
      <c r="N2576" t="str">
        <f>IF(COUNTIF(course_data[course_id],role_course_map[[#This Row],[course_id]])=0, "INVALID","VALID")</f>
        <v>VALID</v>
      </c>
    </row>
    <row r="2577" spans="1:14" x14ac:dyDescent="0.35">
      <c r="A2577" t="s">
        <v>250</v>
      </c>
      <c r="B2577" s="5" t="str">
        <f>_xlfn.XLOOKUP(role_course_map[[#This Row],[role_id]], role_data[role_id], role_data[Role],"")</f>
        <v>SORT Paramedic</v>
      </c>
      <c r="C2577">
        <v>999016</v>
      </c>
      <c r="D2577" s="5" t="str">
        <f>_xlfn.XLOOKUP(role_course_map[[#This Row],[course_id]],course_data[course_id],course_data[title],"")</f>
        <v>Clinical Skills</v>
      </c>
      <c r="E2577" s="5" t="str">
        <f>_xlfn.XLOOKUP(role_course_map[[#This Row],[course_id]],course_data[course_id],course_data[topic],"")</f>
        <v>SAS : Clinical Practice</v>
      </c>
      <c r="F2577" s="5" t="str">
        <f>_xlfn.XLOOKUP(role_course_map[[#This Row],[course_id]],course_data[course_id],course_data[type],"")</f>
        <v>Course</v>
      </c>
      <c r="K2577" t="str">
        <f>role_course_map[[#This Row],[role_id]] &amp; "|" &amp; role_course_map[[#This Row],[course_id]]</f>
        <v>R0119|999016</v>
      </c>
      <c r="L2577" t="str">
        <f>IF(COUNTIF(role_course_map[mapping_key],role_course_map[[#This Row],[mapping_key]])&gt;1,"DUPLICATE","OK")</f>
        <v>OK</v>
      </c>
      <c r="M2577" t="str">
        <f>IF(COUNTIF(role_data[role_id],role_course_map[[#This Row],[role_id]])=0, "INVALID","VALID")</f>
        <v>VALID</v>
      </c>
      <c r="N2577" t="str">
        <f>IF(COUNTIF(course_data[course_id],role_course_map[[#This Row],[course_id]])=0, "INVALID","VALID")</f>
        <v>VALID</v>
      </c>
    </row>
    <row r="2578" spans="1:14" x14ac:dyDescent="0.35">
      <c r="A2578" t="s">
        <v>250</v>
      </c>
      <c r="B2578" s="5" t="str">
        <f>_xlfn.XLOOKUP(role_course_map[[#This Row],[role_id]], role_data[role_id], role_data[Role],"")</f>
        <v>SORT Paramedic</v>
      </c>
      <c r="C2578">
        <v>999017</v>
      </c>
      <c r="D2578" s="5" t="str">
        <f>_xlfn.XLOOKUP(role_course_map[[#This Row],[course_id]],course_data[course_id],course_data[title],"")</f>
        <v>Clinical Skills</v>
      </c>
      <c r="E2578" s="5" t="str">
        <f>_xlfn.XLOOKUP(role_course_map[[#This Row],[course_id]],course_data[course_id],course_data[topic],"")</f>
        <v>SAS : Clinical Practice</v>
      </c>
      <c r="F2578" s="5" t="str">
        <f>_xlfn.XLOOKUP(role_course_map[[#This Row],[course_id]],course_data[course_id],course_data[type],"")</f>
        <v>eLearning</v>
      </c>
      <c r="K2578" t="str">
        <f>role_course_map[[#This Row],[role_id]] &amp; "|" &amp; role_course_map[[#This Row],[course_id]]</f>
        <v>R0119|999017</v>
      </c>
      <c r="L2578" t="str">
        <f>IF(COUNTIF(role_course_map[mapping_key],role_course_map[[#This Row],[mapping_key]])&gt;1,"DUPLICATE","OK")</f>
        <v>OK</v>
      </c>
      <c r="M2578" t="str">
        <f>IF(COUNTIF(role_data[role_id],role_course_map[[#This Row],[role_id]])=0, "INVALID","VALID")</f>
        <v>VALID</v>
      </c>
      <c r="N2578" t="str">
        <f>IF(COUNTIF(course_data[course_id],role_course_map[[#This Row],[course_id]])=0, "INVALID","VALID")</f>
        <v>VALID</v>
      </c>
    </row>
    <row r="2579" spans="1:14" x14ac:dyDescent="0.35">
      <c r="A2579" t="s">
        <v>250</v>
      </c>
      <c r="B2579" s="5" t="str">
        <f>_xlfn.XLOOKUP(role_course_map[[#This Row],[role_id]], role_data[role_id], role_data[Role],"")</f>
        <v>SORT Paramedic</v>
      </c>
      <c r="C2579">
        <v>999018</v>
      </c>
      <c r="D2579" s="5" t="str">
        <f>_xlfn.XLOOKUP(role_course_map[[#This Row],[course_id]],course_data[course_id],course_data[title],"")</f>
        <v>Learning from Events</v>
      </c>
      <c r="E2579" s="5" t="str">
        <f>_xlfn.XLOOKUP(role_course_map[[#This Row],[course_id]],course_data[course_id],course_data[topic],"")</f>
        <v>SAS : Clinical Practice</v>
      </c>
      <c r="F2579" s="5" t="str">
        <f>_xlfn.XLOOKUP(role_course_map[[#This Row],[course_id]],course_data[course_id],course_data[type],"")</f>
        <v>eLearning</v>
      </c>
      <c r="K2579" t="str">
        <f>role_course_map[[#This Row],[role_id]] &amp; "|" &amp; role_course_map[[#This Row],[course_id]]</f>
        <v>R0119|999018</v>
      </c>
      <c r="L2579" t="str">
        <f>IF(COUNTIF(role_course_map[mapping_key],role_course_map[[#This Row],[mapping_key]])&gt;1,"DUPLICATE","OK")</f>
        <v>OK</v>
      </c>
      <c r="M2579" t="str">
        <f>IF(COUNTIF(role_data[role_id],role_course_map[[#This Row],[role_id]])=0, "INVALID","VALID")</f>
        <v>VALID</v>
      </c>
      <c r="N2579" t="str">
        <f>IF(COUNTIF(course_data[course_id],role_course_map[[#This Row],[course_id]])=0, "INVALID","VALID")</f>
        <v>VALID</v>
      </c>
    </row>
    <row r="2580" spans="1:14" x14ac:dyDescent="0.35">
      <c r="A2580" t="s">
        <v>250</v>
      </c>
      <c r="B2580" s="5" t="str">
        <f>_xlfn.XLOOKUP(role_course_map[[#This Row],[role_id]], role_data[role_id], role_data[Role],"")</f>
        <v>SORT Paramedic</v>
      </c>
      <c r="C2580">
        <v>999019</v>
      </c>
      <c r="D2580" s="5" t="str">
        <f>_xlfn.XLOOKUP(role_course_map[[#This Row],[course_id]],course_data[course_id],course_data[title],"")</f>
        <v>Medicines Management</v>
      </c>
      <c r="E2580" s="5" t="str">
        <f>_xlfn.XLOOKUP(role_course_map[[#This Row],[course_id]],course_data[course_id],course_data[topic],"")</f>
        <v>SAS : Clinical Practice</v>
      </c>
      <c r="F2580" s="5" t="str">
        <f>_xlfn.XLOOKUP(role_course_map[[#This Row],[course_id]],course_data[course_id],course_data[type],"")</f>
        <v>eLearning</v>
      </c>
      <c r="K2580" t="str">
        <f>role_course_map[[#This Row],[role_id]] &amp; "|" &amp; role_course_map[[#This Row],[course_id]]</f>
        <v>R0119|999019</v>
      </c>
      <c r="L2580" t="str">
        <f>IF(COUNTIF(role_course_map[mapping_key],role_course_map[[#This Row],[mapping_key]])&gt;1,"DUPLICATE","OK")</f>
        <v>OK</v>
      </c>
      <c r="M2580" t="str">
        <f>IF(COUNTIF(role_data[role_id],role_course_map[[#This Row],[role_id]])=0, "INVALID","VALID")</f>
        <v>VALID</v>
      </c>
      <c r="N2580" t="str">
        <f>IF(COUNTIF(course_data[course_id],role_course_map[[#This Row],[course_id]])=0, "INVALID","VALID")</f>
        <v>VALID</v>
      </c>
    </row>
    <row r="2581" spans="1:14" x14ac:dyDescent="0.35">
      <c r="A2581" t="s">
        <v>250</v>
      </c>
      <c r="B2581" s="5" t="str">
        <f>_xlfn.XLOOKUP(role_course_map[[#This Row],[role_id]], role_data[role_id], role_data[Role],"")</f>
        <v>SORT Paramedic</v>
      </c>
      <c r="C2581">
        <v>999020</v>
      </c>
      <c r="D2581" s="5" t="str">
        <f>_xlfn.XLOOKUP(role_course_map[[#This Row],[course_id]],course_data[course_id],course_data[title],"")</f>
        <v>JRCALC Update</v>
      </c>
      <c r="E2581" s="5" t="str">
        <f>_xlfn.XLOOKUP(role_course_map[[#This Row],[course_id]],course_data[course_id],course_data[topic],"")</f>
        <v>SAS : Clinical Practice</v>
      </c>
      <c r="F2581" s="5" t="str">
        <f>_xlfn.XLOOKUP(role_course_map[[#This Row],[course_id]],course_data[course_id],course_data[type],"")</f>
        <v>eLearning</v>
      </c>
      <c r="K2581" t="str">
        <f>role_course_map[[#This Row],[role_id]] &amp; "|" &amp; role_course_map[[#This Row],[course_id]]</f>
        <v>R0119|999020</v>
      </c>
      <c r="L2581" t="str">
        <f>IF(COUNTIF(role_course_map[mapping_key],role_course_map[[#This Row],[mapping_key]])&gt;1,"DUPLICATE","OK")</f>
        <v>OK</v>
      </c>
      <c r="M2581" t="str">
        <f>IF(COUNTIF(role_data[role_id],role_course_map[[#This Row],[role_id]])=0, "INVALID","VALID")</f>
        <v>VALID</v>
      </c>
      <c r="N2581" t="str">
        <f>IF(COUNTIF(course_data[course_id],role_course_map[[#This Row],[course_id]])=0, "INVALID","VALID")</f>
        <v>VALID</v>
      </c>
    </row>
    <row r="2582" spans="1:14" x14ac:dyDescent="0.35">
      <c r="A2582" t="s">
        <v>250</v>
      </c>
      <c r="B2582" s="5" t="str">
        <f>_xlfn.XLOOKUP(role_course_map[[#This Row],[role_id]], role_data[role_id], role_data[Role],"")</f>
        <v>SORT Paramedic</v>
      </c>
      <c r="C2582">
        <v>999021</v>
      </c>
      <c r="D2582" s="5" t="str">
        <f>_xlfn.XLOOKUP(role_course_map[[#This Row],[course_id]],course_data[course_id],course_data[title],"")</f>
        <v>Mental Health</v>
      </c>
      <c r="E2582" s="5" t="str">
        <f>_xlfn.XLOOKUP(role_course_map[[#This Row],[course_id]],course_data[course_id],course_data[topic],"")</f>
        <v>SAS : Clinical Practice</v>
      </c>
      <c r="F2582" s="5" t="str">
        <f>_xlfn.XLOOKUP(role_course_map[[#This Row],[course_id]],course_data[course_id],course_data[type],"")</f>
        <v>eLearning</v>
      </c>
      <c r="K2582" t="str">
        <f>role_course_map[[#This Row],[role_id]] &amp; "|" &amp; role_course_map[[#This Row],[course_id]]</f>
        <v>R0119|999021</v>
      </c>
      <c r="L2582" t="str">
        <f>IF(COUNTIF(role_course_map[mapping_key],role_course_map[[#This Row],[mapping_key]])&gt;1,"DUPLICATE","OK")</f>
        <v>OK</v>
      </c>
      <c r="M2582" t="str">
        <f>IF(COUNTIF(role_data[role_id],role_course_map[[#This Row],[role_id]])=0, "INVALID","VALID")</f>
        <v>VALID</v>
      </c>
      <c r="N2582" t="str">
        <f>IF(COUNTIF(course_data[course_id],role_course_map[[#This Row],[course_id]])=0, "INVALID","VALID")</f>
        <v>VALID</v>
      </c>
    </row>
    <row r="2583" spans="1:14" x14ac:dyDescent="0.35">
      <c r="A2583" t="s">
        <v>250</v>
      </c>
      <c r="B2583" s="5" t="str">
        <f>_xlfn.XLOOKUP(role_course_map[[#This Row],[role_id]], role_data[role_id], role_data[Role],"")</f>
        <v>SORT Paramedic</v>
      </c>
      <c r="C2583">
        <v>999022</v>
      </c>
      <c r="D2583" s="5" t="str">
        <f>_xlfn.XLOOKUP(role_course_map[[#This Row],[course_id]],course_data[course_id],course_data[title],"")</f>
        <v>Learning Disabilities</v>
      </c>
      <c r="E2583" s="5" t="str">
        <f>_xlfn.XLOOKUP(role_course_map[[#This Row],[course_id]],course_data[course_id],course_data[topic],"")</f>
        <v>SAS : Clinical Practice</v>
      </c>
      <c r="F2583" s="5" t="str">
        <f>_xlfn.XLOOKUP(role_course_map[[#This Row],[course_id]],course_data[course_id],course_data[type],"")</f>
        <v>eLearning</v>
      </c>
      <c r="K2583" t="str">
        <f>role_course_map[[#This Row],[role_id]] &amp; "|" &amp; role_course_map[[#This Row],[course_id]]</f>
        <v>R0119|999022</v>
      </c>
      <c r="L2583" t="str">
        <f>IF(COUNTIF(role_course_map[mapping_key],role_course_map[[#This Row],[mapping_key]])&gt;1,"DUPLICATE","OK")</f>
        <v>OK</v>
      </c>
      <c r="M2583" t="str">
        <f>IF(COUNTIF(role_data[role_id],role_course_map[[#This Row],[role_id]])=0, "INVALID","VALID")</f>
        <v>VALID</v>
      </c>
      <c r="N2583" t="str">
        <f>IF(COUNTIF(course_data[course_id],role_course_map[[#This Row],[course_id]])=0, "INVALID","VALID")</f>
        <v>VALID</v>
      </c>
    </row>
    <row r="2584" spans="1:14" x14ac:dyDescent="0.35">
      <c r="A2584" t="s">
        <v>250</v>
      </c>
      <c r="B2584" s="5" t="str">
        <f>_xlfn.XLOOKUP(role_course_map[[#This Row],[role_id]], role_data[role_id], role_data[Role],"")</f>
        <v>SORT Paramedic</v>
      </c>
      <c r="C2584">
        <v>75202</v>
      </c>
      <c r="D2584" s="5" t="str">
        <f>_xlfn.XLOOKUP(role_course_map[[#This Row],[course_id]],course_data[course_id],course_data[title],"")</f>
        <v>SAS : Clinical Practice</v>
      </c>
      <c r="E2584" s="5" t="str">
        <f>_xlfn.XLOOKUP(role_course_map[[#This Row],[course_id]],course_data[course_id],course_data[topic],"")</f>
        <v>SAS : Clinical Practice</v>
      </c>
      <c r="F2584" s="5" t="str">
        <f>_xlfn.XLOOKUP(role_course_map[[#This Row],[course_id]],course_data[course_id],course_data[type],"")</f>
        <v>Page</v>
      </c>
      <c r="K2584" t="str">
        <f>role_course_map[[#This Row],[role_id]] &amp; "|" &amp; role_course_map[[#This Row],[course_id]]</f>
        <v>R0119|75202</v>
      </c>
      <c r="L2584" t="str">
        <f>IF(COUNTIF(role_course_map[mapping_key],role_course_map[[#This Row],[mapping_key]])&gt;1,"DUPLICATE","OK")</f>
        <v>OK</v>
      </c>
      <c r="M2584" t="str">
        <f>IF(COUNTIF(role_data[role_id],role_course_map[[#This Row],[role_id]])=0, "INVALID","VALID")</f>
        <v>VALID</v>
      </c>
      <c r="N2584" t="str">
        <f>IF(COUNTIF(course_data[course_id],role_course_map[[#This Row],[course_id]])=0, "INVALID","VALID")</f>
        <v>VALID</v>
      </c>
    </row>
    <row r="2585" spans="1:14" x14ac:dyDescent="0.35">
      <c r="A2585" t="s">
        <v>250</v>
      </c>
      <c r="B2585" s="5" t="str">
        <f>_xlfn.XLOOKUP(role_course_map[[#This Row],[role_id]], role_data[role_id], role_data[Role],"")</f>
        <v>SORT Paramedic</v>
      </c>
      <c r="C2585">
        <v>999023</v>
      </c>
      <c r="D2585" s="5" t="str">
        <f>_xlfn.XLOOKUP(role_course_map[[#This Row],[course_id]],course_data[course_id],course_data[title],"")</f>
        <v>Dementia</v>
      </c>
      <c r="E2585" s="5" t="str">
        <f>_xlfn.XLOOKUP(role_course_map[[#This Row],[course_id]],course_data[course_id],course_data[topic],"")</f>
        <v>SAS : Clinical Practice</v>
      </c>
      <c r="F2585" s="5" t="str">
        <f>_xlfn.XLOOKUP(role_course_map[[#This Row],[course_id]],course_data[course_id],course_data[type],"")</f>
        <v>eLearning</v>
      </c>
      <c r="K2585" t="str">
        <f>role_course_map[[#This Row],[role_id]] &amp; "|" &amp; role_course_map[[#This Row],[course_id]]</f>
        <v>R0119|999023</v>
      </c>
      <c r="L2585" t="str">
        <f>IF(COUNTIF(role_course_map[mapping_key],role_course_map[[#This Row],[mapping_key]])&gt;1,"DUPLICATE","OK")</f>
        <v>OK</v>
      </c>
      <c r="M2585" t="str">
        <f>IF(COUNTIF(role_data[role_id],role_course_map[[#This Row],[role_id]])=0, "INVALID","VALID")</f>
        <v>VALID</v>
      </c>
      <c r="N2585" t="str">
        <f>IF(COUNTIF(course_data[course_id],role_course_map[[#This Row],[course_id]])=0, "INVALID","VALID")</f>
        <v>VALID</v>
      </c>
    </row>
    <row r="2586" spans="1:14" x14ac:dyDescent="0.35">
      <c r="A2586" t="s">
        <v>250</v>
      </c>
      <c r="B2586" s="5" t="str">
        <f>_xlfn.XLOOKUP(role_course_map[[#This Row],[role_id]], role_data[role_id], role_data[Role],"")</f>
        <v>SORT Paramedic</v>
      </c>
      <c r="C2586">
        <v>999024</v>
      </c>
      <c r="D2586" s="5" t="str">
        <f>_xlfn.XLOOKUP(role_course_map[[#This Row],[course_id]],course_data[course_id],course_data[title],"")</f>
        <v>Conditions requiring specific hospital management. I.e. Parkinsons</v>
      </c>
      <c r="E2586" s="5" t="str">
        <f>_xlfn.XLOOKUP(role_course_map[[#This Row],[course_id]],course_data[course_id],course_data[topic],"")</f>
        <v>SAS : Clinical Practice</v>
      </c>
      <c r="F2586" s="5" t="str">
        <f>_xlfn.XLOOKUP(role_course_map[[#This Row],[course_id]],course_data[course_id],course_data[type],"")</f>
        <v>eLearning</v>
      </c>
      <c r="K2586" t="str">
        <f>role_course_map[[#This Row],[role_id]] &amp; "|" &amp; role_course_map[[#This Row],[course_id]]</f>
        <v>R0119|999024</v>
      </c>
      <c r="L2586" t="str">
        <f>IF(COUNTIF(role_course_map[mapping_key],role_course_map[[#This Row],[mapping_key]])&gt;1,"DUPLICATE","OK")</f>
        <v>OK</v>
      </c>
      <c r="M2586" t="str">
        <f>IF(COUNTIF(role_data[role_id],role_course_map[[#This Row],[role_id]])=0, "INVALID","VALID")</f>
        <v>VALID</v>
      </c>
      <c r="N2586" t="str">
        <f>IF(COUNTIF(course_data[course_id],role_course_map[[#This Row],[course_id]])=0, "INVALID","VALID")</f>
        <v>VALID</v>
      </c>
    </row>
    <row r="2587" spans="1:14" x14ac:dyDescent="0.35">
      <c r="A2587" t="s">
        <v>250</v>
      </c>
      <c r="B2587" s="5" t="str">
        <f>_xlfn.XLOOKUP(role_course_map[[#This Row],[role_id]], role_data[role_id], role_data[Role],"")</f>
        <v>SORT Paramedic</v>
      </c>
      <c r="C2587">
        <v>999095</v>
      </c>
      <c r="D2587" s="5" t="str">
        <f>_xlfn.XLOOKUP(role_course_map[[#This Row],[course_id]],course_data[course_id],course_data[title],"")</f>
        <v>Mentoring</v>
      </c>
      <c r="E2587" s="5" t="str">
        <f>_xlfn.XLOOKUP(role_course_map[[#This Row],[course_id]],course_data[course_id],course_data[topic],"")</f>
        <v>SAS: Staff development and experience</v>
      </c>
      <c r="F2587" s="5" t="str">
        <f>_xlfn.XLOOKUP(role_course_map[[#This Row],[course_id]],course_data[course_id],course_data[type],"")</f>
        <v>eLearning</v>
      </c>
      <c r="K2587" t="str">
        <f>role_course_map[[#This Row],[role_id]] &amp; "|" &amp; role_course_map[[#This Row],[course_id]]</f>
        <v>R0119|999095</v>
      </c>
      <c r="L2587" t="str">
        <f>IF(COUNTIF(role_course_map[mapping_key],role_course_map[[#This Row],[mapping_key]])&gt;1,"DUPLICATE","OK")</f>
        <v>OK</v>
      </c>
      <c r="M2587" t="str">
        <f>IF(COUNTIF(role_data[role_id],role_course_map[[#This Row],[role_id]])=0, "INVALID","VALID")</f>
        <v>VALID</v>
      </c>
      <c r="N2587" t="str">
        <f>IF(COUNTIF(course_data[course_id],role_course_map[[#This Row],[course_id]])=0, "INVALID","VALID")</f>
        <v>VALID</v>
      </c>
    </row>
    <row r="2588" spans="1:14" x14ac:dyDescent="0.35">
      <c r="A2588" t="s">
        <v>250</v>
      </c>
      <c r="B2588" s="5" t="str">
        <f>_xlfn.XLOOKUP(role_course_map[[#This Row],[role_id]], role_data[role_id], role_data[Role],"")</f>
        <v>SORT Paramedic</v>
      </c>
      <c r="C2588">
        <v>999096</v>
      </c>
      <c r="D2588" s="5" t="str">
        <f>_xlfn.XLOOKUP(role_course_map[[#This Row],[course_id]],course_data[course_id],course_data[title],"")</f>
        <v>Supporting others in practice (Supervision)</v>
      </c>
      <c r="E2588" s="5" t="str">
        <f>_xlfn.XLOOKUP(role_course_map[[#This Row],[course_id]],course_data[course_id],course_data[topic],"")</f>
        <v>SAS: Staff development and experience</v>
      </c>
      <c r="F2588" s="5" t="str">
        <f>_xlfn.XLOOKUP(role_course_map[[#This Row],[course_id]],course_data[course_id],course_data[type],"")</f>
        <v>Course</v>
      </c>
      <c r="K2588" t="str">
        <f>role_course_map[[#This Row],[role_id]] &amp; "|" &amp; role_course_map[[#This Row],[course_id]]</f>
        <v>R0119|999096</v>
      </c>
      <c r="L2588" t="str">
        <f>IF(COUNTIF(role_course_map[mapping_key],role_course_map[[#This Row],[mapping_key]])&gt;1,"DUPLICATE","OK")</f>
        <v>OK</v>
      </c>
      <c r="M2588" t="str">
        <f>IF(COUNTIF(role_data[role_id],role_course_map[[#This Row],[role_id]])=0, "INVALID","VALID")</f>
        <v>VALID</v>
      </c>
      <c r="N2588" t="str">
        <f>IF(COUNTIF(course_data[course_id],role_course_map[[#This Row],[course_id]])=0, "INVALID","VALID")</f>
        <v>VALID</v>
      </c>
    </row>
    <row r="2589" spans="1:14" x14ac:dyDescent="0.35">
      <c r="A2589" t="s">
        <v>250</v>
      </c>
      <c r="B2589" s="5" t="str">
        <f>_xlfn.XLOOKUP(role_course_map[[#This Row],[role_id]], role_data[role_id], role_data[Role],"")</f>
        <v>SORT Paramedic</v>
      </c>
      <c r="C2589">
        <v>999097</v>
      </c>
      <c r="D2589" s="5" t="str">
        <f>_xlfn.XLOOKUP(role_course_map[[#This Row],[course_id]],course_data[course_id],course_data[title],"")</f>
        <v>Personal Wellbeing</v>
      </c>
      <c r="E2589" s="5" t="str">
        <f>_xlfn.XLOOKUP(role_course_map[[#This Row],[course_id]],course_data[course_id],course_data[topic],"")</f>
        <v>SAS: Staff development and experience</v>
      </c>
      <c r="F2589" s="5" t="str">
        <f>_xlfn.XLOOKUP(role_course_map[[#This Row],[course_id]],course_data[course_id],course_data[type],"")</f>
        <v>eLearning</v>
      </c>
      <c r="K2589" t="str">
        <f>role_course_map[[#This Row],[role_id]] &amp; "|" &amp; role_course_map[[#This Row],[course_id]]</f>
        <v>R0119|999097</v>
      </c>
      <c r="L2589" t="str">
        <f>IF(COUNTIF(role_course_map[mapping_key],role_course_map[[#This Row],[mapping_key]])&gt;1,"DUPLICATE","OK")</f>
        <v>OK</v>
      </c>
      <c r="M2589" t="str">
        <f>IF(COUNTIF(role_data[role_id],role_course_map[[#This Row],[role_id]])=0, "INVALID","VALID")</f>
        <v>VALID</v>
      </c>
      <c r="N2589" t="str">
        <f>IF(COUNTIF(course_data[course_id],role_course_map[[#This Row],[course_id]])=0, "INVALID","VALID")</f>
        <v>VALID</v>
      </c>
    </row>
    <row r="2590" spans="1:14" x14ac:dyDescent="0.35">
      <c r="A2590" t="s">
        <v>250</v>
      </c>
      <c r="B2590" s="5" t="str">
        <f>_xlfn.XLOOKUP(role_course_map[[#This Row],[role_id]], role_data[role_id], role_data[Role],"")</f>
        <v>SORT Paramedic</v>
      </c>
      <c r="C2590">
        <v>79147</v>
      </c>
      <c r="D2590" s="5" t="str">
        <f>_xlfn.XLOOKUP(role_course_map[[#This Row],[course_id]],course_data[course_id],course_data[title],"")</f>
        <v>Driving risks at work</v>
      </c>
      <c r="E2590" s="5" t="str">
        <f>_xlfn.XLOOKUP(role_course_map[[#This Row],[course_id]],course_data[course_id],course_data[topic],"")</f>
        <v>SAS : Health and Safety</v>
      </c>
      <c r="F2590" s="5" t="str">
        <f>_xlfn.XLOOKUP(role_course_map[[#This Row],[course_id]],course_data[course_id],course_data[type],"")</f>
        <v>eLearning</v>
      </c>
      <c r="K2590" t="str">
        <f>role_course_map[[#This Row],[role_id]] &amp; "|" &amp; role_course_map[[#This Row],[course_id]]</f>
        <v>R0119|79147</v>
      </c>
      <c r="L2590" t="str">
        <f>IF(COUNTIF(role_course_map[mapping_key],role_course_map[[#This Row],[mapping_key]])&gt;1,"DUPLICATE","OK")</f>
        <v>OK</v>
      </c>
      <c r="M2590" t="str">
        <f>IF(COUNTIF(role_data[role_id],role_course_map[[#This Row],[role_id]])=0, "INVALID","VALID")</f>
        <v>VALID</v>
      </c>
      <c r="N2590" t="str">
        <f>IF(COUNTIF(course_data[course_id],role_course_map[[#This Row],[course_id]])=0, "INVALID","VALID")</f>
        <v>VALID</v>
      </c>
    </row>
    <row r="2591" spans="1:14" x14ac:dyDescent="0.35">
      <c r="A2591" t="s">
        <v>250</v>
      </c>
      <c r="B2591" s="5" t="str">
        <f>_xlfn.XLOOKUP(role_course_map[[#This Row],[role_id]], role_data[role_id], role_data[Role],"")</f>
        <v>SORT Paramedic</v>
      </c>
      <c r="C2591">
        <v>999060</v>
      </c>
      <c r="D2591" s="5" t="str">
        <f>_xlfn.XLOOKUP(role_course_map[[#This Row],[course_id]],course_data[course_id],course_data[title],"")</f>
        <v>COSHH</v>
      </c>
      <c r="E2591" s="5" t="str">
        <f>_xlfn.XLOOKUP(role_course_map[[#This Row],[course_id]],course_data[course_id],course_data[topic],"")</f>
        <v>SAS : Health and Safety</v>
      </c>
      <c r="F2591" s="5" t="str">
        <f>_xlfn.XLOOKUP(role_course_map[[#This Row],[course_id]],course_data[course_id],course_data[type],"")</f>
        <v>eLearning</v>
      </c>
      <c r="K2591" t="str">
        <f>role_course_map[[#This Row],[role_id]] &amp; "|" &amp; role_course_map[[#This Row],[course_id]]</f>
        <v>R0119|999060</v>
      </c>
      <c r="L2591" t="str">
        <f>IF(COUNTIF(role_course_map[mapping_key],role_course_map[[#This Row],[mapping_key]])&gt;1,"DUPLICATE","OK")</f>
        <v>OK</v>
      </c>
      <c r="M2591" t="str">
        <f>IF(COUNTIF(role_data[role_id],role_course_map[[#This Row],[role_id]])=0, "INVALID","VALID")</f>
        <v>VALID</v>
      </c>
      <c r="N2591" t="str">
        <f>IF(COUNTIF(course_data[course_id],role_course_map[[#This Row],[course_id]])=0, "INVALID","VALID")</f>
        <v>VALID</v>
      </c>
    </row>
    <row r="2592" spans="1:14" x14ac:dyDescent="0.35">
      <c r="A2592" t="s">
        <v>250</v>
      </c>
      <c r="B2592" s="5" t="str">
        <f>_xlfn.XLOOKUP(role_course_map[[#This Row],[role_id]], role_data[role_id], role_data[Role],"")</f>
        <v>SORT Paramedic</v>
      </c>
      <c r="C2592">
        <v>999066</v>
      </c>
      <c r="D2592" s="5" t="str">
        <f>_xlfn.XLOOKUP(role_course_map[[#This Row],[course_id]],course_data[course_id],course_data[title],"")</f>
        <v>NRRD Update i.e. Major Incidents/Methane/ Multiple Casualities</v>
      </c>
      <c r="E2592" s="5" t="str">
        <f>_xlfn.XLOOKUP(role_course_map[[#This Row],[course_id]],course_data[course_id],course_data[topic],"")</f>
        <v>SAS : National Risk and Resilience Department (NRRD)</v>
      </c>
      <c r="F2592" s="5" t="str">
        <f>_xlfn.XLOOKUP(role_course_map[[#This Row],[course_id]],course_data[course_id],course_data[type],"")</f>
        <v>eLearning</v>
      </c>
      <c r="K2592" t="str">
        <f>role_course_map[[#This Row],[role_id]] &amp; "|" &amp; role_course_map[[#This Row],[course_id]]</f>
        <v>R0119|999066</v>
      </c>
      <c r="L2592" t="str">
        <f>IF(COUNTIF(role_course_map[mapping_key],role_course_map[[#This Row],[mapping_key]])&gt;1,"DUPLICATE","OK")</f>
        <v>OK</v>
      </c>
      <c r="M2592" t="str">
        <f>IF(COUNTIF(role_data[role_id],role_course_map[[#This Row],[role_id]])=0, "INVALID","VALID")</f>
        <v>VALID</v>
      </c>
      <c r="N2592" t="str">
        <f>IF(COUNTIF(course_data[course_id],role_course_map[[#This Row],[course_id]])=0, "INVALID","VALID")</f>
        <v>VALID</v>
      </c>
    </row>
    <row r="2593" spans="1:14" x14ac:dyDescent="0.35">
      <c r="A2593" t="s">
        <v>250</v>
      </c>
      <c r="B2593" s="5" t="str">
        <f>_xlfn.XLOOKUP(role_course_map[[#This Row],[role_id]], role_data[role_id], role_data[Role],"")</f>
        <v>SORT Paramedic</v>
      </c>
      <c r="C2593">
        <v>999025</v>
      </c>
      <c r="D2593" s="5" t="str">
        <f>_xlfn.XLOOKUP(role_course_map[[#This Row],[course_id]],course_data[course_id],course_data[title],"")</f>
        <v>Professional Standards</v>
      </c>
      <c r="E2593" s="5" t="str">
        <f>_xlfn.XLOOKUP(role_course_map[[#This Row],[course_id]],course_data[course_id],course_data[topic],"")</f>
        <v>SAS : Clinical Practice</v>
      </c>
      <c r="F2593" s="5" t="str">
        <f>_xlfn.XLOOKUP(role_course_map[[#This Row],[course_id]],course_data[course_id],course_data[type],"")</f>
        <v>eLearning</v>
      </c>
      <c r="K2593" t="str">
        <f>role_course_map[[#This Row],[role_id]] &amp; "|" &amp; role_course_map[[#This Row],[course_id]]</f>
        <v>R0119|999025</v>
      </c>
      <c r="L2593" t="str">
        <f>IF(COUNTIF(role_course_map[mapping_key],role_course_map[[#This Row],[mapping_key]])&gt;1,"DUPLICATE","OK")</f>
        <v>OK</v>
      </c>
      <c r="M2593" t="str">
        <f>IF(COUNTIF(role_data[role_id],role_course_map[[#This Row],[role_id]])=0, "INVALID","VALID")</f>
        <v>VALID</v>
      </c>
      <c r="N2593" t="str">
        <f>IF(COUNTIF(course_data[course_id],role_course_map[[#This Row],[course_id]])=0, "INVALID","VALID")</f>
        <v>VALID</v>
      </c>
    </row>
    <row r="2594" spans="1:14" x14ac:dyDescent="0.35">
      <c r="A2594" t="s">
        <v>250</v>
      </c>
      <c r="B2594" s="5" t="str">
        <f>_xlfn.XLOOKUP(role_course_map[[#This Row],[role_id]], role_data[role_id], role_data[Role],"")</f>
        <v>SORT Paramedic</v>
      </c>
      <c r="C2594">
        <v>999026</v>
      </c>
      <c r="D2594" s="5" t="str">
        <f>_xlfn.XLOOKUP(role_course_map[[#This Row],[course_id]],course_data[course_id],course_data[title],"")</f>
        <v>Communication Standards</v>
      </c>
      <c r="E2594" s="5" t="str">
        <f>_xlfn.XLOOKUP(role_course_map[[#This Row],[course_id]],course_data[course_id],course_data[topic],"")</f>
        <v>SAS : Clinical Practice</v>
      </c>
      <c r="F2594" s="5" t="str">
        <f>_xlfn.XLOOKUP(role_course_map[[#This Row],[course_id]],course_data[course_id],course_data[type],"")</f>
        <v>eLearning</v>
      </c>
      <c r="K2594" t="str">
        <f>role_course_map[[#This Row],[role_id]] &amp; "|" &amp; role_course_map[[#This Row],[course_id]]</f>
        <v>R0119|999026</v>
      </c>
      <c r="L2594" t="str">
        <f>IF(COUNTIF(role_course_map[mapping_key],role_course_map[[#This Row],[mapping_key]])&gt;1,"DUPLICATE","OK")</f>
        <v>OK</v>
      </c>
      <c r="M2594" t="str">
        <f>IF(COUNTIF(role_data[role_id],role_course_map[[#This Row],[role_id]])=0, "INVALID","VALID")</f>
        <v>VALID</v>
      </c>
      <c r="N2594" t="str">
        <f>IF(COUNTIF(course_data[course_id],role_course_map[[#This Row],[course_id]])=0, "INVALID","VALID")</f>
        <v>VALID</v>
      </c>
    </row>
    <row r="2595" spans="1:14" x14ac:dyDescent="0.35">
      <c r="A2595" t="s">
        <v>250</v>
      </c>
      <c r="B2595" s="5" t="str">
        <f>_xlfn.XLOOKUP(role_course_map[[#This Row],[role_id]], role_data[role_id], role_data[Role],"")</f>
        <v>SORT Paramedic</v>
      </c>
      <c r="C2595">
        <v>999056</v>
      </c>
      <c r="D2595" s="5" t="str">
        <f>_xlfn.XLOOKUP(role_course_map[[#This Row],[course_id]],course_data[course_id],course_data[title],"")</f>
        <v>Driver Assessment &amp; Training</v>
      </c>
      <c r="E2595" s="5" t="str">
        <f>_xlfn.XLOOKUP(role_course_map[[#This Row],[course_id]],course_data[course_id],course_data[topic],"")</f>
        <v>SAS : Health and Safety</v>
      </c>
      <c r="F2595" s="5" t="str">
        <f>_xlfn.XLOOKUP(role_course_map[[#This Row],[course_id]],course_data[course_id],course_data[type],"")</f>
        <v>eLearning</v>
      </c>
      <c r="K2595" t="str">
        <f>role_course_map[[#This Row],[role_id]] &amp; "|" &amp; role_course_map[[#This Row],[course_id]]</f>
        <v>R0119|999056</v>
      </c>
      <c r="L2595" t="str">
        <f>IF(COUNTIF(role_course_map[mapping_key],role_course_map[[#This Row],[mapping_key]])&gt;1,"DUPLICATE","OK")</f>
        <v>OK</v>
      </c>
      <c r="M2595" t="str">
        <f>IF(COUNTIF(role_data[role_id],role_course_map[[#This Row],[role_id]])=0, "INVALID","VALID")</f>
        <v>VALID</v>
      </c>
      <c r="N2595" t="str">
        <f>IF(COUNTIF(course_data[course_id],role_course_map[[#This Row],[course_id]])=0, "INVALID","VALID")</f>
        <v>VALID</v>
      </c>
    </row>
    <row r="2596" spans="1:14" x14ac:dyDescent="0.35">
      <c r="A2596" t="s">
        <v>250</v>
      </c>
      <c r="B2596" s="5" t="str">
        <f>_xlfn.XLOOKUP(role_course_map[[#This Row],[role_id]], role_data[role_id], role_data[Role],"")</f>
        <v>SORT Paramedic</v>
      </c>
      <c r="C2596">
        <v>999057</v>
      </c>
      <c r="D2596" s="5" t="str">
        <f>_xlfn.XLOOKUP(role_course_map[[#This Row],[course_id]],course_data[course_id],course_data[title],"")</f>
        <v>Fatigue Awareness</v>
      </c>
      <c r="E2596" s="5" t="str">
        <f>_xlfn.XLOOKUP(role_course_map[[#This Row],[course_id]],course_data[course_id],course_data[topic],"")</f>
        <v>SAS : Health and Safety</v>
      </c>
      <c r="F2596" s="5" t="str">
        <f>_xlfn.XLOOKUP(role_course_map[[#This Row],[course_id]],course_data[course_id],course_data[type],"")</f>
        <v>eLearning</v>
      </c>
      <c r="K2596" t="str">
        <f>role_course_map[[#This Row],[role_id]] &amp; "|" &amp; role_course_map[[#This Row],[course_id]]</f>
        <v>R0119|999057</v>
      </c>
      <c r="L2596" t="str">
        <f>IF(COUNTIF(role_course_map[mapping_key],role_course_map[[#This Row],[mapping_key]])&gt;1,"DUPLICATE","OK")</f>
        <v>OK</v>
      </c>
      <c r="M2596" t="str">
        <f>IF(COUNTIF(role_data[role_id],role_course_map[[#This Row],[role_id]])=0, "INVALID","VALID")</f>
        <v>VALID</v>
      </c>
      <c r="N2596" t="str">
        <f>IF(COUNTIF(course_data[course_id],role_course_map[[#This Row],[course_id]])=0, "INVALID","VALID")</f>
        <v>VALID</v>
      </c>
    </row>
    <row r="2597" spans="1:14" x14ac:dyDescent="0.35">
      <c r="A2597" t="s">
        <v>250</v>
      </c>
      <c r="B2597" s="5" t="str">
        <f>_xlfn.XLOOKUP(role_course_map[[#This Row],[role_id]], role_data[role_id], role_data[Role],"")</f>
        <v>SORT Paramedic</v>
      </c>
      <c r="C2597">
        <v>999058</v>
      </c>
      <c r="D2597" s="5" t="str">
        <f>_xlfn.XLOOKUP(role_course_map[[#This Row],[course_id]],course_data[course_id],course_data[title],"")</f>
        <v>Stress Identification &amp; Stress Management</v>
      </c>
      <c r="E2597" s="5" t="str">
        <f>_xlfn.XLOOKUP(role_course_map[[#This Row],[course_id]],course_data[course_id],course_data[topic],"")</f>
        <v>SAS : Health and Safety</v>
      </c>
      <c r="F2597" s="5" t="str">
        <f>_xlfn.XLOOKUP(role_course_map[[#This Row],[course_id]],course_data[course_id],course_data[type],"")</f>
        <v>eLearning</v>
      </c>
      <c r="K2597" t="str">
        <f>role_course_map[[#This Row],[role_id]] &amp; "|" &amp; role_course_map[[#This Row],[course_id]]</f>
        <v>R0119|999058</v>
      </c>
      <c r="L2597" t="str">
        <f>IF(COUNTIF(role_course_map[mapping_key],role_course_map[[#This Row],[mapping_key]])&gt;1,"DUPLICATE","OK")</f>
        <v>OK</v>
      </c>
      <c r="M2597" t="str">
        <f>IF(COUNTIF(role_data[role_id],role_course_map[[#This Row],[role_id]])=0, "INVALID","VALID")</f>
        <v>VALID</v>
      </c>
      <c r="N2597" t="str">
        <f>IF(COUNTIF(course_data[course_id],role_course_map[[#This Row],[course_id]])=0, "INVALID","VALID")</f>
        <v>VALID</v>
      </c>
    </row>
    <row r="2598" spans="1:14" x14ac:dyDescent="0.35">
      <c r="A2598" t="s">
        <v>250</v>
      </c>
      <c r="B2598" s="5" t="str">
        <f>_xlfn.XLOOKUP(role_course_map[[#This Row],[role_id]], role_data[role_id], role_data[Role],"")</f>
        <v>SORT Paramedic</v>
      </c>
      <c r="C2598">
        <v>999061</v>
      </c>
      <c r="D2598" s="5" t="str">
        <f>_xlfn.XLOOKUP(role_course_map[[#This Row],[course_id]],course_data[course_id],course_data[title],"")</f>
        <v>Skin Awareness</v>
      </c>
      <c r="E2598" s="5" t="str">
        <f>_xlfn.XLOOKUP(role_course_map[[#This Row],[course_id]],course_data[course_id],course_data[topic],"")</f>
        <v>SAS : Health and Safety</v>
      </c>
      <c r="F2598" s="5" t="str">
        <f>_xlfn.XLOOKUP(role_course_map[[#This Row],[course_id]],course_data[course_id],course_data[type],"")</f>
        <v>eLearning</v>
      </c>
      <c r="K2598" t="str">
        <f>role_course_map[[#This Row],[role_id]] &amp; "|" &amp; role_course_map[[#This Row],[course_id]]</f>
        <v>R0119|999061</v>
      </c>
      <c r="L2598" t="str">
        <f>IF(COUNTIF(role_course_map[mapping_key],role_course_map[[#This Row],[mapping_key]])&gt;1,"DUPLICATE","OK")</f>
        <v>OK</v>
      </c>
      <c r="M2598" t="str">
        <f>IF(COUNTIF(role_data[role_id],role_course_map[[#This Row],[role_id]])=0, "INVALID","VALID")</f>
        <v>VALID</v>
      </c>
      <c r="N2598" t="str">
        <f>IF(COUNTIF(course_data[course_id],role_course_map[[#This Row],[course_id]])=0, "INVALID","VALID")</f>
        <v>VALID</v>
      </c>
    </row>
    <row r="2599" spans="1:14" x14ac:dyDescent="0.35">
      <c r="A2599" t="s">
        <v>250</v>
      </c>
      <c r="B2599" s="5" t="str">
        <f>_xlfn.XLOOKUP(role_course_map[[#This Row],[role_id]], role_data[role_id], role_data[Role],"")</f>
        <v>SORT Paramedic</v>
      </c>
      <c r="C2599">
        <v>999027</v>
      </c>
      <c r="D2599" s="5" t="str">
        <f>_xlfn.XLOOKUP(role_course_map[[#This Row],[course_id]],course_data[course_id],course_data[title],"")</f>
        <v>Manual and Patient Handling Foundation Training - Level 2</v>
      </c>
      <c r="E2599" s="5" t="str">
        <f>_xlfn.XLOOKUP(role_course_map[[#This Row],[course_id]],course_data[course_id],course_data[topic],"")</f>
        <v>SAS : Clinical Practice</v>
      </c>
      <c r="F2599" s="5" t="str">
        <f>_xlfn.XLOOKUP(role_course_map[[#This Row],[course_id]],course_data[course_id],course_data[type],"")</f>
        <v>Course</v>
      </c>
      <c r="K2599" t="str">
        <f>role_course_map[[#This Row],[role_id]] &amp; "|" &amp; role_course_map[[#This Row],[course_id]]</f>
        <v>R0119|999027</v>
      </c>
      <c r="L2599" t="str">
        <f>IF(COUNTIF(role_course_map[mapping_key],role_course_map[[#This Row],[mapping_key]])&gt;1,"DUPLICATE","OK")</f>
        <v>OK</v>
      </c>
      <c r="M2599" t="str">
        <f>IF(COUNTIF(role_data[role_id],role_course_map[[#This Row],[role_id]])=0, "INVALID","VALID")</f>
        <v>VALID</v>
      </c>
      <c r="N2599" t="str">
        <f>IF(COUNTIF(course_data[course_id],role_course_map[[#This Row],[course_id]])=0, "INVALID","VALID")</f>
        <v>VALID</v>
      </c>
    </row>
    <row r="2600" spans="1:14" x14ac:dyDescent="0.35">
      <c r="A2600" t="s">
        <v>250</v>
      </c>
      <c r="B2600" s="5" t="str">
        <f>_xlfn.XLOOKUP(role_course_map[[#This Row],[role_id]], role_data[role_id], role_data[Role],"")</f>
        <v>SORT Paramedic</v>
      </c>
      <c r="C2600">
        <v>999028</v>
      </c>
      <c r="D2600" s="5" t="str">
        <f>_xlfn.XLOOKUP(role_course_map[[#This Row],[course_id]],course_data[course_id],course_data[title],"")</f>
        <v>Manual and Patient Handling Competency Assessment - Level 3</v>
      </c>
      <c r="E2600" s="5" t="str">
        <f>_xlfn.XLOOKUP(role_course_map[[#This Row],[course_id]],course_data[course_id],course_data[topic],"")</f>
        <v>SAS : Clinical Practice</v>
      </c>
      <c r="F2600" s="5" t="str">
        <f>_xlfn.XLOOKUP(role_course_map[[#This Row],[course_id]],course_data[course_id],course_data[type],"")</f>
        <v>Course</v>
      </c>
      <c r="K2600" t="str">
        <f>role_course_map[[#This Row],[role_id]] &amp; "|" &amp; role_course_map[[#This Row],[course_id]]</f>
        <v>R0119|999028</v>
      </c>
      <c r="L2600" t="str">
        <f>IF(COUNTIF(role_course_map[mapping_key],role_course_map[[#This Row],[mapping_key]])&gt;1,"DUPLICATE","OK")</f>
        <v>OK</v>
      </c>
      <c r="M2600" t="str">
        <f>IF(COUNTIF(role_data[role_id],role_course_map[[#This Row],[role_id]])=0, "INVALID","VALID")</f>
        <v>VALID</v>
      </c>
      <c r="N2600" t="str">
        <f>IF(COUNTIF(course_data[course_id],role_course_map[[#This Row],[course_id]])=0, "INVALID","VALID")</f>
        <v>VALID</v>
      </c>
    </row>
    <row r="2601" spans="1:14" x14ac:dyDescent="0.35">
      <c r="A2601" t="s">
        <v>250</v>
      </c>
      <c r="B2601" s="5" t="str">
        <f>_xlfn.XLOOKUP(role_course_map[[#This Row],[role_id]], role_data[role_id], role_data[Role],"")</f>
        <v>SORT Paramedic</v>
      </c>
      <c r="C2601">
        <v>999029</v>
      </c>
      <c r="D2601" s="5" t="str">
        <f>_xlfn.XLOOKUP(role_course_map[[#This Row],[course_id]],course_data[course_id],course_data[title],"")</f>
        <v>Manual and Patient Handling Competency Assessment Theory - Level 3</v>
      </c>
      <c r="E2601" s="5" t="str">
        <f>_xlfn.XLOOKUP(role_course_map[[#This Row],[course_id]],course_data[course_id],course_data[topic],"")</f>
        <v>SAS : Clinical Practice</v>
      </c>
      <c r="F2601" s="5" t="str">
        <f>_xlfn.XLOOKUP(role_course_map[[#This Row],[course_id]],course_data[course_id],course_data[type],"")</f>
        <v>Course</v>
      </c>
      <c r="K2601" t="str">
        <f>role_course_map[[#This Row],[role_id]] &amp; "|" &amp; role_course_map[[#This Row],[course_id]]</f>
        <v>R0119|999029</v>
      </c>
      <c r="L2601" t="str">
        <f>IF(COUNTIF(role_course_map[mapping_key],role_course_map[[#This Row],[mapping_key]])&gt;1,"DUPLICATE","OK")</f>
        <v>OK</v>
      </c>
      <c r="M2601" t="str">
        <f>IF(COUNTIF(role_data[role_id],role_course_map[[#This Row],[role_id]])=0, "INVALID","VALID")</f>
        <v>VALID</v>
      </c>
      <c r="N2601" t="str">
        <f>IF(COUNTIF(course_data[course_id],role_course_map[[#This Row],[course_id]])=0, "INVALID","VALID")</f>
        <v>VALID</v>
      </c>
    </row>
    <row r="2602" spans="1:14" x14ac:dyDescent="0.35">
      <c r="A2602" t="s">
        <v>250</v>
      </c>
      <c r="B2602" s="5" t="str">
        <f>_xlfn.XLOOKUP(role_course_map[[#This Row],[role_id]], role_data[role_id], role_data[Role],"")</f>
        <v>SORT Paramedic</v>
      </c>
      <c r="C2602" t="s">
        <v>659</v>
      </c>
      <c r="D2602" s="5" t="str">
        <f>_xlfn.XLOOKUP(role_course_map[[#This Row],[course_id]],course_data[course_id],course_data[title],"")</f>
        <v>Prevention and Management of Violence and Aggression - Breakaway training Level 2 /Restrictive movement Level 3</v>
      </c>
      <c r="E2602" s="5" t="str">
        <f>_xlfn.XLOOKUP(role_course_map[[#This Row],[course_id]],course_data[course_id],course_data[topic],"")</f>
        <v>SAS : Health and Safety</v>
      </c>
      <c r="F2602" s="5" t="str">
        <f>_xlfn.XLOOKUP(role_course_map[[#This Row],[course_id]],course_data[course_id],course_data[type],"")</f>
        <v>Course</v>
      </c>
      <c r="K2602" t="str">
        <f>role_course_map[[#This Row],[role_id]] &amp; "|" &amp; role_course_map[[#This Row],[course_id]]</f>
        <v>R0119|2025-6 edition</v>
      </c>
      <c r="L2602" t="str">
        <f>IF(COUNTIF(role_course_map[mapping_key],role_course_map[[#This Row],[mapping_key]])&gt;1,"DUPLICATE","OK")</f>
        <v>OK</v>
      </c>
      <c r="M2602" t="str">
        <f>IF(COUNTIF(role_data[role_id],role_course_map[[#This Row],[role_id]])=0, "INVALID","VALID")</f>
        <v>VALID</v>
      </c>
      <c r="N2602" t="str">
        <f>IF(COUNTIF(course_data[course_id],role_course_map[[#This Row],[course_id]])=0, "INVALID","VALID")</f>
        <v>VALID</v>
      </c>
    </row>
    <row r="2603" spans="1:14" x14ac:dyDescent="0.35">
      <c r="A2603" t="s">
        <v>250</v>
      </c>
      <c r="B2603" s="5" t="str">
        <f>_xlfn.XLOOKUP(role_course_map[[#This Row],[role_id]], role_data[role_id], role_data[Role],"")</f>
        <v>SORT Paramedic</v>
      </c>
      <c r="C2603">
        <v>999055</v>
      </c>
      <c r="D2603" s="5" t="str">
        <f>_xlfn.XLOOKUP(role_course_map[[#This Row],[course_id]],course_data[course_id],course_data[title],"")</f>
        <v>Prevention and Management of Violence and Aggression - Refresher</v>
      </c>
      <c r="E2603" s="5" t="str">
        <f>_xlfn.XLOOKUP(role_course_map[[#This Row],[course_id]],course_data[course_id],course_data[topic],"")</f>
        <v>SAS : Health and Safety</v>
      </c>
      <c r="F2603" s="5" t="str">
        <f>_xlfn.XLOOKUP(role_course_map[[#This Row],[course_id]],course_data[course_id],course_data[type],"")</f>
        <v>Course</v>
      </c>
      <c r="K2603" t="str">
        <f>role_course_map[[#This Row],[role_id]] &amp; "|" &amp; role_course_map[[#This Row],[course_id]]</f>
        <v>R0119|999055</v>
      </c>
      <c r="L2603" t="str">
        <f>IF(COUNTIF(role_course_map[mapping_key],role_course_map[[#This Row],[mapping_key]])&gt;1,"DUPLICATE","OK")</f>
        <v>OK</v>
      </c>
      <c r="M2603" t="str">
        <f>IF(COUNTIF(role_data[role_id],role_course_map[[#This Row],[role_id]])=0, "INVALID","VALID")</f>
        <v>VALID</v>
      </c>
      <c r="N2603" t="str">
        <f>IF(COUNTIF(course_data[course_id],role_course_map[[#This Row],[course_id]])=0, "INVALID","VALID")</f>
        <v>VALID</v>
      </c>
    </row>
    <row r="2604" spans="1:14" x14ac:dyDescent="0.35">
      <c r="A2604" t="s">
        <v>250</v>
      </c>
      <c r="B2604" s="5" t="str">
        <f>_xlfn.XLOOKUP(role_course_map[[#This Row],[role_id]], role_data[role_id], role_data[Role],"")</f>
        <v>SORT Paramedic</v>
      </c>
      <c r="C2604">
        <v>64322</v>
      </c>
      <c r="D2604" s="5" t="str">
        <f>_xlfn.XLOOKUP(role_course_map[[#This Row],[course_id]],course_data[course_id],course_data[title],"")</f>
        <v>Adult support and protection: practice level 2 [skilled]</v>
      </c>
      <c r="E2604" s="5" t="str">
        <f>_xlfn.XLOOKUP(role_course_map[[#This Row],[course_id]],course_data[course_id],course_data[topic],"")</f>
        <v>SAS : Public Protection</v>
      </c>
      <c r="F2604" s="5" t="str">
        <f>_xlfn.XLOOKUP(role_course_map[[#This Row],[course_id]],course_data[course_id],course_data[type],"")</f>
        <v>eLearning</v>
      </c>
      <c r="K2604" t="str">
        <f>role_course_map[[#This Row],[role_id]] &amp; "|" &amp; role_course_map[[#This Row],[course_id]]</f>
        <v>R0119|64322</v>
      </c>
      <c r="L2604" t="str">
        <f>IF(COUNTIF(role_course_map[mapping_key],role_course_map[[#This Row],[mapping_key]])&gt;1,"DUPLICATE","OK")</f>
        <v>OK</v>
      </c>
      <c r="M2604" t="str">
        <f>IF(COUNTIF(role_data[role_id],role_course_map[[#This Row],[role_id]])=0, "INVALID","VALID")</f>
        <v>VALID</v>
      </c>
      <c r="N2604" t="str">
        <f>IF(COUNTIF(course_data[course_id],role_course_map[[#This Row],[course_id]])=0, "INVALID","VALID")</f>
        <v>VALID</v>
      </c>
    </row>
    <row r="2605" spans="1:14" x14ac:dyDescent="0.35">
      <c r="A2605" t="s">
        <v>250</v>
      </c>
      <c r="B2605" s="5" t="str">
        <f>_xlfn.XLOOKUP(role_course_map[[#This Row],[role_id]], role_data[role_id], role_data[Role],"")</f>
        <v>SORT Paramedic</v>
      </c>
      <c r="C2605">
        <v>64324</v>
      </c>
      <c r="D2605" s="5" t="str">
        <f>_xlfn.XLOOKUP(role_course_map[[#This Row],[course_id]],course_data[course_id],course_data[title],"")</f>
        <v>Child protection: practice level 2 [skilled]</v>
      </c>
      <c r="E2605" s="5" t="str">
        <f>_xlfn.XLOOKUP(role_course_map[[#This Row],[course_id]],course_data[course_id],course_data[topic],"")</f>
        <v>SAS : Public Protection</v>
      </c>
      <c r="F2605" s="5" t="str">
        <f>_xlfn.XLOOKUP(role_course_map[[#This Row],[course_id]],course_data[course_id],course_data[type],"")</f>
        <v>eLearning</v>
      </c>
      <c r="K2605" t="str">
        <f>role_course_map[[#This Row],[role_id]] &amp; "|" &amp; role_course_map[[#This Row],[course_id]]</f>
        <v>R0119|64324</v>
      </c>
      <c r="L2605" t="str">
        <f>IF(COUNTIF(role_course_map[mapping_key],role_course_map[[#This Row],[mapping_key]])&gt;1,"DUPLICATE","OK")</f>
        <v>OK</v>
      </c>
      <c r="M2605" t="str">
        <f>IF(COUNTIF(role_data[role_id],role_course_map[[#This Row],[role_id]])=0, "INVALID","VALID")</f>
        <v>VALID</v>
      </c>
      <c r="N2605" t="str">
        <f>IF(COUNTIF(course_data[course_id],role_course_map[[#This Row],[course_id]])=0, "INVALID","VALID")</f>
        <v>VALID</v>
      </c>
    </row>
    <row r="2606" spans="1:14" x14ac:dyDescent="0.35">
      <c r="A2606" t="s">
        <v>250</v>
      </c>
      <c r="B2606" s="5" t="str">
        <f>_xlfn.XLOOKUP(role_course_map[[#This Row],[role_id]], role_data[role_id], role_data[Role],"")</f>
        <v>SORT Paramedic</v>
      </c>
      <c r="C2606">
        <v>76716</v>
      </c>
      <c r="D2606" s="5" t="str">
        <f>_xlfn.XLOOKUP(role_course_map[[#This Row],[course_id]],course_data[course_id],course_data[title],"")</f>
        <v>Domestic abuse awareness training tool (DAART)</v>
      </c>
      <c r="E2606" s="5" t="str">
        <f>_xlfn.XLOOKUP(role_course_map[[#This Row],[course_id]],course_data[course_id],course_data[topic],"")</f>
        <v>SAS : Public Protection</v>
      </c>
      <c r="F2606" s="5" t="str">
        <f>_xlfn.XLOOKUP(role_course_map[[#This Row],[course_id]],course_data[course_id],course_data[type],"")</f>
        <v>eLearning</v>
      </c>
      <c r="K2606" t="str">
        <f>role_course_map[[#This Row],[role_id]] &amp; "|" &amp; role_course_map[[#This Row],[course_id]]</f>
        <v>R0119|76716</v>
      </c>
      <c r="L2606" t="str">
        <f>IF(COUNTIF(role_course_map[mapping_key],role_course_map[[#This Row],[mapping_key]])&gt;1,"DUPLICATE","OK")</f>
        <v>OK</v>
      </c>
      <c r="M2606" t="str">
        <f>IF(COUNTIF(role_data[role_id],role_course_map[[#This Row],[role_id]])=0, "INVALID","VALID")</f>
        <v>VALID</v>
      </c>
      <c r="N2606" t="str">
        <f>IF(COUNTIF(course_data[course_id],role_course_map[[#This Row],[course_id]])=0, "INVALID","VALID")</f>
        <v>VALID</v>
      </c>
    </row>
    <row r="2607" spans="1:14" x14ac:dyDescent="0.35">
      <c r="A2607" t="s">
        <v>250</v>
      </c>
      <c r="B2607" s="5" t="str">
        <f>_xlfn.XLOOKUP(role_course_map[[#This Row],[role_id]], role_data[role_id], role_data[Role],"")</f>
        <v>SORT Paramedic</v>
      </c>
      <c r="C2607">
        <v>79666</v>
      </c>
      <c r="D2607" s="5" t="str">
        <f>_xlfn.XLOOKUP(role_course_map[[#This Row],[course_id]],course_data[course_id],course_data[title],"")</f>
        <v>Getting it right for every child (GIRFEC): informed level</v>
      </c>
      <c r="E2607" s="5" t="str">
        <f>_xlfn.XLOOKUP(role_course_map[[#This Row],[course_id]],course_data[course_id],course_data[topic],"")</f>
        <v>SAS : Public Protection</v>
      </c>
      <c r="F2607" s="5" t="str">
        <f>_xlfn.XLOOKUP(role_course_map[[#This Row],[course_id]],course_data[course_id],course_data[type],"")</f>
        <v>eLearning</v>
      </c>
      <c r="K2607" t="str">
        <f>role_course_map[[#This Row],[role_id]] &amp; "|" &amp; role_course_map[[#This Row],[course_id]]</f>
        <v>R0119|79666</v>
      </c>
      <c r="L2607" t="str">
        <f>IF(COUNTIF(role_course_map[mapping_key],role_course_map[[#This Row],[mapping_key]])&gt;1,"DUPLICATE","OK")</f>
        <v>OK</v>
      </c>
      <c r="M2607" t="str">
        <f>IF(COUNTIF(role_data[role_id],role_course_map[[#This Row],[role_id]])=0, "INVALID","VALID")</f>
        <v>VALID</v>
      </c>
      <c r="N2607" t="str">
        <f>IF(COUNTIF(course_data[course_id],role_course_map[[#This Row],[course_id]])=0, "INVALID","VALID")</f>
        <v>VALID</v>
      </c>
    </row>
    <row r="2608" spans="1:14" x14ac:dyDescent="0.35">
      <c r="A2608" t="s">
        <v>250</v>
      </c>
      <c r="B2608" s="5" t="str">
        <f>_xlfn.XLOOKUP(role_course_map[[#This Row],[role_id]], role_data[role_id], role_data[Role],"")</f>
        <v>SORT Paramedic</v>
      </c>
      <c r="C2608">
        <v>999074</v>
      </c>
      <c r="D2608" s="5" t="str">
        <f>_xlfn.XLOOKUP(role_course_map[[#This Row],[course_id]],course_data[course_id],course_data[title],"")</f>
        <v>SAS-specific Children’s rights</v>
      </c>
      <c r="E2608" s="5" t="str">
        <f>_xlfn.XLOOKUP(role_course_map[[#This Row],[course_id]],course_data[course_id],course_data[topic],"")</f>
        <v>SAS : Public Protection</v>
      </c>
      <c r="F2608" s="5" t="str">
        <f>_xlfn.XLOOKUP(role_course_map[[#This Row],[course_id]],course_data[course_id],course_data[type],"")</f>
        <v>eLearning</v>
      </c>
      <c r="K2608" t="str">
        <f>role_course_map[[#This Row],[role_id]] &amp; "|" &amp; role_course_map[[#This Row],[course_id]]</f>
        <v>R0119|999074</v>
      </c>
      <c r="L2608" t="str">
        <f>IF(COUNTIF(role_course_map[mapping_key],role_course_map[[#This Row],[mapping_key]])&gt;1,"DUPLICATE","OK")</f>
        <v>OK</v>
      </c>
      <c r="M2608" t="str">
        <f>IF(COUNTIF(role_data[role_id],role_course_map[[#This Row],[role_id]])=0, "INVALID","VALID")</f>
        <v>VALID</v>
      </c>
      <c r="N2608" t="str">
        <f>IF(COUNTIF(course_data[course_id],role_course_map[[#This Row],[course_id]])=0, "INVALID","VALID")</f>
        <v>VALID</v>
      </c>
    </row>
    <row r="2609" spans="1:14" x14ac:dyDescent="0.35">
      <c r="A2609" t="s">
        <v>250</v>
      </c>
      <c r="B2609" s="5" t="str">
        <f>_xlfn.XLOOKUP(role_course_map[[#This Row],[role_id]], role_data[role_id], role_data[Role],"")</f>
        <v>SORT Paramedic</v>
      </c>
      <c r="C2609">
        <v>999075</v>
      </c>
      <c r="D2609" s="5" t="str">
        <f>_xlfn.XLOOKUP(role_course_map[[#This Row],[course_id]],course_data[course_id],course_data[title],"")</f>
        <v>Multiagency local or bespoke Level 3 delivery training</v>
      </c>
      <c r="E2609" s="5" t="str">
        <f>_xlfn.XLOOKUP(role_course_map[[#This Row],[course_id]],course_data[course_id],course_data[topic],"")</f>
        <v>SAS : Public Protection</v>
      </c>
      <c r="F2609" s="5" t="str">
        <f>_xlfn.XLOOKUP(role_course_map[[#This Row],[course_id]],course_data[course_id],course_data[type],"")</f>
        <v>eLearning</v>
      </c>
      <c r="K2609" t="str">
        <f>role_course_map[[#This Row],[role_id]] &amp; "|" &amp; role_course_map[[#This Row],[course_id]]</f>
        <v>R0119|999075</v>
      </c>
      <c r="L2609" t="str">
        <f>IF(COUNTIF(role_course_map[mapping_key],role_course_map[[#This Row],[mapping_key]])&gt;1,"DUPLICATE","OK")</f>
        <v>OK</v>
      </c>
      <c r="M2609" t="str">
        <f>IF(COUNTIF(role_data[role_id],role_course_map[[#This Row],[role_id]])=0, "INVALID","VALID")</f>
        <v>VALID</v>
      </c>
      <c r="N2609" t="str">
        <f>IF(COUNTIF(course_data[course_id],role_course_map[[#This Row],[course_id]])=0, "INVALID","VALID")</f>
        <v>VALID</v>
      </c>
    </row>
    <row r="2610" spans="1:14" x14ac:dyDescent="0.35">
      <c r="A2610" t="s">
        <v>250</v>
      </c>
      <c r="B2610" s="5" t="str">
        <f>_xlfn.XLOOKUP(role_course_map[[#This Row],[role_id]], role_data[role_id], role_data[Role],"")</f>
        <v>SORT Paramedic</v>
      </c>
      <c r="C2610">
        <v>15249</v>
      </c>
      <c r="D2610" s="5" t="str">
        <f>_xlfn.XLOOKUP(role_course_map[[#This Row],[course_id]],course_data[course_id],course_data[title],"")</f>
        <v>Human trafficking</v>
      </c>
      <c r="E2610" s="5" t="str">
        <f>_xlfn.XLOOKUP(role_course_map[[#This Row],[course_id]],course_data[course_id],course_data[topic],"")</f>
        <v>SAS : Public Protection</v>
      </c>
      <c r="F2610" s="5" t="str">
        <f>_xlfn.XLOOKUP(role_course_map[[#This Row],[course_id]],course_data[course_id],course_data[type],"")</f>
        <v>eLearning</v>
      </c>
      <c r="K2610" t="str">
        <f>role_course_map[[#This Row],[role_id]] &amp; "|" &amp; role_course_map[[#This Row],[course_id]]</f>
        <v>R0119|15249</v>
      </c>
      <c r="L2610" t="str">
        <f>IF(COUNTIF(role_course_map[mapping_key],role_course_map[[#This Row],[mapping_key]])&gt;1,"DUPLICATE","OK")</f>
        <v>OK</v>
      </c>
      <c r="M2610" t="str">
        <f>IF(COUNTIF(role_data[role_id],role_course_map[[#This Row],[role_id]])=0, "INVALID","VALID")</f>
        <v>VALID</v>
      </c>
      <c r="N2610" t="str">
        <f>IF(COUNTIF(course_data[course_id],role_course_map[[#This Row],[course_id]])=0, "INVALID","VALID")</f>
        <v>VALID</v>
      </c>
    </row>
    <row r="2611" spans="1:14" x14ac:dyDescent="0.35">
      <c r="A2611" t="s">
        <v>250</v>
      </c>
      <c r="B2611" s="5" t="str">
        <f>_xlfn.XLOOKUP(role_course_map[[#This Row],[role_id]], role_data[role_id], role_data[Role],"")</f>
        <v>SORT Paramedic</v>
      </c>
      <c r="C2611">
        <v>89161</v>
      </c>
      <c r="D2611" s="5" t="str">
        <f>_xlfn.XLOOKUP(role_course_map[[#This Row],[course_id]],course_data[course_id],course_data[title],"")</f>
        <v>Personal Protective Equipment</v>
      </c>
      <c r="E2611" s="5" t="str">
        <f>_xlfn.XLOOKUP(role_course_map[[#This Row],[course_id]],course_data[course_id],course_data[topic],"")</f>
        <v>SAS : Infection Prevention and Control (IPC)</v>
      </c>
      <c r="F2611" s="5" t="str">
        <f>_xlfn.XLOOKUP(role_course_map[[#This Row],[course_id]],course_data[course_id],course_data[type],"")</f>
        <v>eLearning</v>
      </c>
      <c r="K2611" t="str">
        <f>role_course_map[[#This Row],[role_id]] &amp; "|" &amp; role_course_map[[#This Row],[course_id]]</f>
        <v>R0119|89161</v>
      </c>
      <c r="L2611" t="str">
        <f>IF(COUNTIF(role_course_map[mapping_key],role_course_map[[#This Row],[mapping_key]])&gt;1,"DUPLICATE","OK")</f>
        <v>OK</v>
      </c>
      <c r="M2611" t="str">
        <f>IF(COUNTIF(role_data[role_id],role_course_map[[#This Row],[role_id]])=0, "INVALID","VALID")</f>
        <v>VALID</v>
      </c>
      <c r="N2611" t="str">
        <f>IF(COUNTIF(course_data[course_id],role_course_map[[#This Row],[course_id]])=0, "INVALID","VALID")</f>
        <v>VALID</v>
      </c>
    </row>
    <row r="2612" spans="1:14" x14ac:dyDescent="0.35">
      <c r="A2612" t="s">
        <v>250</v>
      </c>
      <c r="B2612" s="5" t="str">
        <f>_xlfn.XLOOKUP(role_course_map[[#This Row],[role_id]], role_data[role_id], role_data[Role],"")</f>
        <v>SORT Paramedic</v>
      </c>
      <c r="C2612">
        <v>89157</v>
      </c>
      <c r="D2612" s="5" t="str">
        <f>_xlfn.XLOOKUP(role_course_map[[#This Row],[course_id]],course_data[course_id],course_data[title],"")</f>
        <v>Safe Management of Care Equipment</v>
      </c>
      <c r="E2612" s="5" t="str">
        <f>_xlfn.XLOOKUP(role_course_map[[#This Row],[course_id]],course_data[course_id],course_data[topic],"")</f>
        <v>SAS : Infection Prevention and Control (IPC)</v>
      </c>
      <c r="F2612" s="5" t="str">
        <f>_xlfn.XLOOKUP(role_course_map[[#This Row],[course_id]],course_data[course_id],course_data[type],"")</f>
        <v>eLearning</v>
      </c>
      <c r="K2612" t="str">
        <f>role_course_map[[#This Row],[role_id]] &amp; "|" &amp; role_course_map[[#This Row],[course_id]]</f>
        <v>R0119|89157</v>
      </c>
      <c r="L2612" t="str">
        <f>IF(COUNTIF(role_course_map[mapping_key],role_course_map[[#This Row],[mapping_key]])&gt;1,"DUPLICATE","OK")</f>
        <v>OK</v>
      </c>
      <c r="M2612" t="str">
        <f>IF(COUNTIF(role_data[role_id],role_course_map[[#This Row],[role_id]])=0, "INVALID","VALID")</f>
        <v>VALID</v>
      </c>
      <c r="N2612" t="str">
        <f>IF(COUNTIF(course_data[course_id],role_course_map[[#This Row],[course_id]])=0, "INVALID","VALID")</f>
        <v>VALID</v>
      </c>
    </row>
    <row r="2613" spans="1:14" x14ac:dyDescent="0.35">
      <c r="A2613" t="s">
        <v>250</v>
      </c>
      <c r="B2613" s="5" t="str">
        <f>_xlfn.XLOOKUP(role_course_map[[#This Row],[role_id]], role_data[role_id], role_data[Role],"")</f>
        <v>SORT Paramedic</v>
      </c>
      <c r="C2613">
        <v>89158</v>
      </c>
      <c r="D2613" s="5" t="str">
        <f>_xlfn.XLOOKUP(role_course_map[[#This Row],[course_id]],course_data[course_id],course_data[title],"")</f>
        <v>Safe Management of Care Environment</v>
      </c>
      <c r="E2613" s="5" t="str">
        <f>_xlfn.XLOOKUP(role_course_map[[#This Row],[course_id]],course_data[course_id],course_data[topic],"")</f>
        <v>SAS : Infection Prevention and Control (IPC)</v>
      </c>
      <c r="F2613" s="5" t="str">
        <f>_xlfn.XLOOKUP(role_course_map[[#This Row],[course_id]],course_data[course_id],course_data[type],"")</f>
        <v>eLearning</v>
      </c>
      <c r="K2613" t="str">
        <f>role_course_map[[#This Row],[role_id]] &amp; "|" &amp; role_course_map[[#This Row],[course_id]]</f>
        <v>R0119|89158</v>
      </c>
      <c r="L2613" t="str">
        <f>IF(COUNTIF(role_course_map[mapping_key],role_course_map[[#This Row],[mapping_key]])&gt;1,"DUPLICATE","OK")</f>
        <v>OK</v>
      </c>
      <c r="M2613" t="str">
        <f>IF(COUNTIF(role_data[role_id],role_course_map[[#This Row],[role_id]])=0, "INVALID","VALID")</f>
        <v>VALID</v>
      </c>
      <c r="N2613" t="str">
        <f>IF(COUNTIF(course_data[course_id],role_course_map[[#This Row],[course_id]])=0, "INVALID","VALID")</f>
        <v>VALID</v>
      </c>
    </row>
    <row r="2614" spans="1:14" x14ac:dyDescent="0.35">
      <c r="A2614" t="s">
        <v>250</v>
      </c>
      <c r="B2614" s="5" t="str">
        <f>_xlfn.XLOOKUP(role_course_map[[#This Row],[role_id]], role_data[role_id], role_data[Role],"")</f>
        <v>SORT Paramedic</v>
      </c>
      <c r="C2614">
        <v>89159</v>
      </c>
      <c r="D2614" s="5" t="str">
        <f>_xlfn.XLOOKUP(role_course_map[[#This Row],[course_id]],course_data[course_id],course_data[title],"")</f>
        <v>Safe Management of Linen</v>
      </c>
      <c r="E2614" s="5" t="str">
        <f>_xlfn.XLOOKUP(role_course_map[[#This Row],[course_id]],course_data[course_id],course_data[topic],"")</f>
        <v>SAS : Infection Prevention and Control (IPC)</v>
      </c>
      <c r="F2614" s="5" t="str">
        <f>_xlfn.XLOOKUP(role_course_map[[#This Row],[course_id]],course_data[course_id],course_data[type],"")</f>
        <v>eLearning</v>
      </c>
      <c r="K2614" t="str">
        <f>role_course_map[[#This Row],[role_id]] &amp; "|" &amp; role_course_map[[#This Row],[course_id]]</f>
        <v>R0119|89159</v>
      </c>
      <c r="L2614" t="str">
        <f>IF(COUNTIF(role_course_map[mapping_key],role_course_map[[#This Row],[mapping_key]])&gt;1,"DUPLICATE","OK")</f>
        <v>OK</v>
      </c>
      <c r="M2614" t="str">
        <f>IF(COUNTIF(role_data[role_id],role_course_map[[#This Row],[role_id]])=0, "INVALID","VALID")</f>
        <v>VALID</v>
      </c>
      <c r="N2614" t="str">
        <f>IF(COUNTIF(course_data[course_id],role_course_map[[#This Row],[course_id]])=0, "INVALID","VALID")</f>
        <v>VALID</v>
      </c>
    </row>
    <row r="2615" spans="1:14" x14ac:dyDescent="0.35">
      <c r="A2615" t="s">
        <v>250</v>
      </c>
      <c r="B2615" s="5" t="str">
        <f>_xlfn.XLOOKUP(role_course_map[[#This Row],[role_id]], role_data[role_id], role_data[Role],"")</f>
        <v>SORT Paramedic</v>
      </c>
      <c r="C2615">
        <v>89160</v>
      </c>
      <c r="D2615" s="5" t="str">
        <f>_xlfn.XLOOKUP(role_course_map[[#This Row],[course_id]],course_data[course_id],course_data[title],"")</f>
        <v>Safe Management of blood and body fluids</v>
      </c>
      <c r="E2615" s="5" t="str">
        <f>_xlfn.XLOOKUP(role_course_map[[#This Row],[course_id]],course_data[course_id],course_data[topic],"")</f>
        <v>SAS : Infection Prevention and Control (IPC)</v>
      </c>
      <c r="F2615" s="5" t="str">
        <f>_xlfn.XLOOKUP(role_course_map[[#This Row],[course_id]],course_data[course_id],course_data[type],"")</f>
        <v>eLearning</v>
      </c>
      <c r="K2615" t="str">
        <f>role_course_map[[#This Row],[role_id]] &amp; "|" &amp; role_course_map[[#This Row],[course_id]]</f>
        <v>R0119|89160</v>
      </c>
      <c r="L2615" t="str">
        <f>IF(COUNTIF(role_course_map[mapping_key],role_course_map[[#This Row],[mapping_key]])&gt;1,"DUPLICATE","OK")</f>
        <v>OK</v>
      </c>
      <c r="M2615" t="str">
        <f>IF(COUNTIF(role_data[role_id],role_course_map[[#This Row],[role_id]])=0, "INVALID","VALID")</f>
        <v>VALID</v>
      </c>
      <c r="N2615" t="str">
        <f>IF(COUNTIF(course_data[course_id],role_course_map[[#This Row],[course_id]])=0, "INVALID","VALID")</f>
        <v>VALID</v>
      </c>
    </row>
    <row r="2616" spans="1:14" x14ac:dyDescent="0.35">
      <c r="A2616" t="s">
        <v>250</v>
      </c>
      <c r="B2616" s="5" t="str">
        <f>_xlfn.XLOOKUP(role_course_map[[#This Row],[role_id]], role_data[role_id], role_data[Role],"")</f>
        <v>SORT Paramedic</v>
      </c>
      <c r="C2616">
        <v>89154</v>
      </c>
      <c r="D2616" s="5" t="str">
        <f>_xlfn.XLOOKUP(role_course_map[[#This Row],[course_id]],course_data[course_id],course_data[title],"")</f>
        <v>Safe disposal of waste</v>
      </c>
      <c r="E2616" s="5" t="str">
        <f>_xlfn.XLOOKUP(role_course_map[[#This Row],[course_id]],course_data[course_id],course_data[topic],"")</f>
        <v>SAS : Infection Prevention and Control (IPC)</v>
      </c>
      <c r="F2616" s="5" t="str">
        <f>_xlfn.XLOOKUP(role_course_map[[#This Row],[course_id]],course_data[course_id],course_data[type],"")</f>
        <v>eLearning</v>
      </c>
      <c r="K2616" t="str">
        <f>role_course_map[[#This Row],[role_id]] &amp; "|" &amp; role_course_map[[#This Row],[course_id]]</f>
        <v>R0119|89154</v>
      </c>
      <c r="L2616" t="str">
        <f>IF(COUNTIF(role_course_map[mapping_key],role_course_map[[#This Row],[mapping_key]])&gt;1,"DUPLICATE","OK")</f>
        <v>OK</v>
      </c>
      <c r="M2616" t="str">
        <f>IF(COUNTIF(role_data[role_id],role_course_map[[#This Row],[role_id]])=0, "INVALID","VALID")</f>
        <v>VALID</v>
      </c>
      <c r="N2616" t="str">
        <f>IF(COUNTIF(course_data[course_id],role_course_map[[#This Row],[course_id]])=0, "INVALID","VALID")</f>
        <v>VALID</v>
      </c>
    </row>
    <row r="2617" spans="1:14" x14ac:dyDescent="0.35">
      <c r="A2617" t="s">
        <v>250</v>
      </c>
      <c r="B2617" s="5" t="str">
        <f>_xlfn.XLOOKUP(role_course_map[[#This Row],[role_id]], role_data[role_id], role_data[Role],"")</f>
        <v>SORT Paramedic</v>
      </c>
      <c r="C2617">
        <v>89155</v>
      </c>
      <c r="D2617" s="5" t="str">
        <f>_xlfn.XLOOKUP(role_course_map[[#This Row],[course_id]],course_data[course_id],course_data[title],"")</f>
        <v>Prevention &amp; management of occupational exposure</v>
      </c>
      <c r="E2617" s="5" t="str">
        <f>_xlfn.XLOOKUP(role_course_map[[#This Row],[course_id]],course_data[course_id],course_data[topic],"")</f>
        <v>SAS : Infection Prevention and Control (IPC)</v>
      </c>
      <c r="F2617" s="5" t="str">
        <f>_xlfn.XLOOKUP(role_course_map[[#This Row],[course_id]],course_data[course_id],course_data[type],"")</f>
        <v>eLearning</v>
      </c>
      <c r="K2617" t="str">
        <f>role_course_map[[#This Row],[role_id]] &amp; "|" &amp; role_course_map[[#This Row],[course_id]]</f>
        <v>R0119|89155</v>
      </c>
      <c r="L2617" t="str">
        <f>IF(COUNTIF(role_course_map[mapping_key],role_course_map[[#This Row],[mapping_key]])&gt;1,"DUPLICATE","OK")</f>
        <v>OK</v>
      </c>
      <c r="M2617" t="str">
        <f>IF(COUNTIF(role_data[role_id],role_course_map[[#This Row],[role_id]])=0, "INVALID","VALID")</f>
        <v>VALID</v>
      </c>
      <c r="N2617" t="str">
        <f>IF(COUNTIF(course_data[course_id],role_course_map[[#This Row],[course_id]])=0, "INVALID","VALID")</f>
        <v>VALID</v>
      </c>
    </row>
    <row r="2618" spans="1:14" x14ac:dyDescent="0.35">
      <c r="A2618" t="s">
        <v>250</v>
      </c>
      <c r="B2618" s="5" t="str">
        <f>_xlfn.XLOOKUP(role_course_map[[#This Row],[role_id]], role_data[role_id], role_data[Role],"")</f>
        <v>SORT Paramedic</v>
      </c>
      <c r="C2618">
        <v>999064</v>
      </c>
      <c r="D2618" s="5" t="str">
        <f>_xlfn.XLOOKUP(role_course_map[[#This Row],[course_id]],course_data[course_id],course_data[title],"")</f>
        <v>Infection prevention and control: Clostridioides difficile infection</v>
      </c>
      <c r="E2618" s="5" t="str">
        <f>_xlfn.XLOOKUP(role_course_map[[#This Row],[course_id]],course_data[course_id],course_data[topic],"")</f>
        <v>SAS : Infection Prevention and Control (IPC)</v>
      </c>
      <c r="F2618" s="5" t="str">
        <f>_xlfn.XLOOKUP(role_course_map[[#This Row],[course_id]],course_data[course_id],course_data[type],"")</f>
        <v>eLearning</v>
      </c>
      <c r="K2618" t="str">
        <f>role_course_map[[#This Row],[role_id]] &amp; "|" &amp; role_course_map[[#This Row],[course_id]]</f>
        <v>R0119|999064</v>
      </c>
      <c r="L2618" t="str">
        <f>IF(COUNTIF(role_course_map[mapping_key],role_course_map[[#This Row],[mapping_key]])&gt;1,"DUPLICATE","OK")</f>
        <v>OK</v>
      </c>
      <c r="M2618" t="str">
        <f>IF(COUNTIF(role_data[role_id],role_course_map[[#This Row],[role_id]])=0, "INVALID","VALID")</f>
        <v>VALID</v>
      </c>
      <c r="N2618" t="str">
        <f>IF(COUNTIF(course_data[course_id],role_course_map[[#This Row],[course_id]])=0, "INVALID","VALID")</f>
        <v>VALID</v>
      </c>
    </row>
    <row r="2619" spans="1:14" x14ac:dyDescent="0.35">
      <c r="A2619" t="s">
        <v>250</v>
      </c>
      <c r="B2619" s="5" t="str">
        <f>_xlfn.XLOOKUP(role_course_map[[#This Row],[role_id]], role_data[role_id], role_data[Role],"")</f>
        <v>SORT Paramedic</v>
      </c>
      <c r="C2619">
        <v>3588</v>
      </c>
      <c r="D2619" s="5" t="str">
        <f>_xlfn.XLOOKUP(role_course_map[[#This Row],[course_id]],course_data[course_id],course_data[title],"")</f>
        <v>Antibiotic management</v>
      </c>
      <c r="E2619" s="5" t="str">
        <f>_xlfn.XLOOKUP(role_course_map[[#This Row],[course_id]],course_data[course_id],course_data[topic],"")</f>
        <v>SAS : Clinical Practice</v>
      </c>
      <c r="F2619" s="5" t="str">
        <f>_xlfn.XLOOKUP(role_course_map[[#This Row],[course_id]],course_data[course_id],course_data[type],"")</f>
        <v>Page</v>
      </c>
      <c r="K2619" t="str">
        <f>role_course_map[[#This Row],[role_id]] &amp; "|" &amp; role_course_map[[#This Row],[course_id]]</f>
        <v>R0119|3588</v>
      </c>
      <c r="L2619" t="str">
        <f>IF(COUNTIF(role_course_map[mapping_key],role_course_map[[#This Row],[mapping_key]])&gt;1,"DUPLICATE","OK")</f>
        <v>OK</v>
      </c>
      <c r="M2619" t="str">
        <f>IF(COUNTIF(role_data[role_id],role_course_map[[#This Row],[role_id]])=0, "INVALID","VALID")</f>
        <v>VALID</v>
      </c>
      <c r="N2619" t="str">
        <f>IF(COUNTIF(course_data[course_id],role_course_map[[#This Row],[course_id]])=0, "INVALID","VALID")</f>
        <v>VALID</v>
      </c>
    </row>
    <row r="2620" spans="1:14" x14ac:dyDescent="0.35">
      <c r="A2620" t="s">
        <v>250</v>
      </c>
      <c r="B2620" s="5" t="str">
        <f>_xlfn.XLOOKUP(role_course_map[[#This Row],[role_id]], role_data[role_id], role_data[Role],"")</f>
        <v>SORT Paramedic</v>
      </c>
      <c r="C2620">
        <v>82383</v>
      </c>
      <c r="D2620" s="5" t="str">
        <f>_xlfn.XLOOKUP(role_course_map[[#This Row],[course_id]],course_data[course_id],course_data[title],"")</f>
        <v>Aseptic technique</v>
      </c>
      <c r="E2620" s="5" t="str">
        <f>_xlfn.XLOOKUP(role_course_map[[#This Row],[course_id]],course_data[course_id],course_data[topic],"")</f>
        <v>SAS : Infection Prevention and Control (IPC)</v>
      </c>
      <c r="F2620" s="5" t="str">
        <f>_xlfn.XLOOKUP(role_course_map[[#This Row],[course_id]],course_data[course_id],course_data[type],"")</f>
        <v>eLearning</v>
      </c>
      <c r="K2620" t="str">
        <f>role_course_map[[#This Row],[role_id]] &amp; "|" &amp; role_course_map[[#This Row],[course_id]]</f>
        <v>R0119|82383</v>
      </c>
      <c r="L2620" t="str">
        <f>IF(COUNTIF(role_course_map[mapping_key],role_course_map[[#This Row],[mapping_key]])&gt;1,"DUPLICATE","OK")</f>
        <v>OK</v>
      </c>
      <c r="M2620" t="str">
        <f>IF(COUNTIF(role_data[role_id],role_course_map[[#This Row],[role_id]])=0, "INVALID","VALID")</f>
        <v>VALID</v>
      </c>
      <c r="N2620" t="str">
        <f>IF(COUNTIF(course_data[course_id],role_course_map[[#This Row],[course_id]])=0, "INVALID","VALID")</f>
        <v>VALID</v>
      </c>
    </row>
    <row r="2621" spans="1:14" x14ac:dyDescent="0.35">
      <c r="A2621" t="s">
        <v>250</v>
      </c>
      <c r="B2621" s="5" t="str">
        <f>_xlfn.XLOOKUP(role_course_map[[#This Row],[role_id]], role_data[role_id], role_data[Role],"")</f>
        <v>SORT Paramedic</v>
      </c>
      <c r="C2621">
        <v>3886</v>
      </c>
      <c r="D2621" s="5" t="str">
        <f>_xlfn.XLOOKUP(role_course_map[[#This Row],[course_id]],course_data[course_id],course_data[title],"")</f>
        <v>Prevention and management of pressure ulcers</v>
      </c>
      <c r="E2621" s="5" t="str">
        <f>_xlfn.XLOOKUP(role_course_map[[#This Row],[course_id]],course_data[course_id],course_data[topic],"")</f>
        <v>SAS : Clinical Practice</v>
      </c>
      <c r="F2621" s="5" t="str">
        <f>_xlfn.XLOOKUP(role_course_map[[#This Row],[course_id]],course_data[course_id],course_data[type],"")</f>
        <v>Page</v>
      </c>
      <c r="K2621" t="str">
        <f>role_course_map[[#This Row],[role_id]] &amp; "|" &amp; role_course_map[[#This Row],[course_id]]</f>
        <v>R0119|3886</v>
      </c>
      <c r="L2621" t="str">
        <f>IF(COUNTIF(role_course_map[mapping_key],role_course_map[[#This Row],[mapping_key]])&gt;1,"DUPLICATE","OK")</f>
        <v>OK</v>
      </c>
      <c r="M2621" t="str">
        <f>IF(COUNTIF(role_data[role_id],role_course_map[[#This Row],[role_id]])=0, "INVALID","VALID")</f>
        <v>VALID</v>
      </c>
      <c r="N2621" t="str">
        <f>IF(COUNTIF(course_data[course_id],role_course_map[[#This Row],[course_id]])=0, "INVALID","VALID")</f>
        <v>VALID</v>
      </c>
    </row>
    <row r="2622" spans="1:14" x14ac:dyDescent="0.35">
      <c r="A2622" t="s">
        <v>250</v>
      </c>
      <c r="B2622" s="5" t="str">
        <f>_xlfn.XLOOKUP(role_course_map[[#This Row],[role_id]], role_data[role_id], role_data[Role],"")</f>
        <v>SORT Paramedic</v>
      </c>
      <c r="C2622">
        <v>999094</v>
      </c>
      <c r="D2622" s="5" t="str">
        <f>_xlfn.XLOOKUP(role_course_map[[#This Row],[course_id]],course_data[course_id],course_data[title],"")</f>
        <v>Being well, Mind, Body &amp; Workplace</v>
      </c>
      <c r="E2622" s="5" t="str">
        <f>_xlfn.XLOOKUP(role_course_map[[#This Row],[course_id]],course_data[course_id],course_data[topic],"")</f>
        <v>SAS: Staff development and experience</v>
      </c>
      <c r="F2622" s="5" t="str">
        <f>_xlfn.XLOOKUP(role_course_map[[#This Row],[course_id]],course_data[course_id],course_data[type],"")</f>
        <v>eLearning</v>
      </c>
      <c r="K2622" t="str">
        <f>role_course_map[[#This Row],[role_id]] &amp; "|" &amp; role_course_map[[#This Row],[course_id]]</f>
        <v>R0119|999094</v>
      </c>
      <c r="L2622" t="str">
        <f>IF(COUNTIF(role_course_map[mapping_key],role_course_map[[#This Row],[mapping_key]])&gt;1,"DUPLICATE","OK")</f>
        <v>OK</v>
      </c>
      <c r="M2622" t="str">
        <f>IF(COUNTIF(role_data[role_id],role_course_map[[#This Row],[role_id]])=0, "INVALID","VALID")</f>
        <v>VALID</v>
      </c>
      <c r="N2622" t="str">
        <f>IF(COUNTIF(course_data[course_id],role_course_map[[#This Row],[course_id]])=0, "INVALID","VALID")</f>
        <v>VALID</v>
      </c>
    </row>
    <row r="2623" spans="1:14" x14ac:dyDescent="0.35">
      <c r="A2623" t="s">
        <v>250</v>
      </c>
      <c r="B2623" s="5" t="str">
        <f>_xlfn.XLOOKUP(role_course_map[[#This Row],[role_id]], role_data[role_id], role_data[Role],"")</f>
        <v>SORT Paramedic</v>
      </c>
      <c r="D2623" s="5" t="s">
        <v>1062</v>
      </c>
      <c r="E2623" s="5" t="str">
        <f>_xlfn.XLOOKUP(role_course_map[[#This Row],[course_id]],course_data[course_id],course_data[topic],"")</f>
        <v/>
      </c>
      <c r="F2623" s="5" t="str">
        <f>_xlfn.XLOOKUP(role_course_map[[#This Row],[course_id]],course_data[course_id],course_data[type],"")</f>
        <v/>
      </c>
      <c r="K2623" t="str">
        <f>role_course_map[[#This Row],[role_id]] &amp; "|" &amp; role_course_map[[#This Row],[course_id]]</f>
        <v>R0119|</v>
      </c>
      <c r="L2623" t="str">
        <f>IF(COUNTIF(role_course_map[mapping_key],role_course_map[[#This Row],[mapping_key]])&gt;1,"DUPLICATE","OK")</f>
        <v>OK</v>
      </c>
      <c r="M2623" t="str">
        <f>IF(COUNTIF(role_data[role_id],role_course_map[[#This Row],[role_id]])=0, "INVALID","VALID")</f>
        <v>VALID</v>
      </c>
      <c r="N2623" t="str">
        <f>IF(COUNTIF(course_data[course_id],role_course_map[[#This Row],[course_id]])=0, "INVALID","VALID")</f>
        <v>INVALID</v>
      </c>
    </row>
    <row r="2624" spans="1:14" x14ac:dyDescent="0.35">
      <c r="A2624" t="s">
        <v>250</v>
      </c>
      <c r="B2624" s="5" t="str">
        <f>_xlfn.XLOOKUP(role_course_map[[#This Row],[role_id]], role_data[role_id], role_data[Role],"")</f>
        <v>SORT Paramedic</v>
      </c>
      <c r="C2624">
        <v>82211</v>
      </c>
      <c r="D2624" s="5" t="str">
        <f>_xlfn.XLOOKUP(role_course_map[[#This Row],[course_id]],course_data[course_id],course_data[title],"")</f>
        <v>MTA Command &amp; Control</v>
      </c>
      <c r="E2624" s="5" t="str">
        <f>_xlfn.XLOOKUP(role_course_map[[#This Row],[course_id]],course_data[course_id],course_data[topic],"")</f>
        <v>SAS : National Risk and Resilience Department (NRRD)</v>
      </c>
      <c r="F2624" s="5" t="str">
        <f>_xlfn.XLOOKUP(role_course_map[[#This Row],[course_id]],course_data[course_id],course_data[type],"")</f>
        <v>eLearning</v>
      </c>
      <c r="K2624" t="str">
        <f>role_course_map[[#This Row],[role_id]] &amp; "|" &amp; role_course_map[[#This Row],[course_id]]</f>
        <v>R0119|82211</v>
      </c>
      <c r="L2624" t="str">
        <f>IF(COUNTIF(role_course_map[mapping_key],role_course_map[[#This Row],[mapping_key]])&gt;1,"DUPLICATE","OK")</f>
        <v>OK</v>
      </c>
      <c r="M2624" t="str">
        <f>IF(COUNTIF(role_data[role_id],role_course_map[[#This Row],[role_id]])=0, "INVALID","VALID")</f>
        <v>VALID</v>
      </c>
      <c r="N2624" t="str">
        <f>IF(COUNTIF(course_data[course_id],role_course_map[[#This Row],[course_id]])=0, "INVALID","VALID")</f>
        <v>VALID</v>
      </c>
    </row>
    <row r="2625" spans="1:14" x14ac:dyDescent="0.35">
      <c r="A2625" t="s">
        <v>250</v>
      </c>
      <c r="B2625" s="5" t="str">
        <f>_xlfn.XLOOKUP(role_course_map[[#This Row],[role_id]], role_data[role_id], role_data[Role],"")</f>
        <v>SORT Paramedic</v>
      </c>
      <c r="C2625">
        <v>999067</v>
      </c>
      <c r="D2625" s="5" t="str">
        <f>_xlfn.XLOOKUP(role_course_map[[#This Row],[course_id]],course_data[course_id],course_data[title],"")</f>
        <v>Major incident awareness - Course overview</v>
      </c>
      <c r="E2625" s="5" t="str">
        <f>_xlfn.XLOOKUP(role_course_map[[#This Row],[course_id]],course_data[course_id],course_data[topic],"")</f>
        <v>SAS : National Risk and Resilience Department (NRRD)</v>
      </c>
      <c r="F2625" s="5" t="str">
        <f>_xlfn.XLOOKUP(role_course_map[[#This Row],[course_id]],course_data[course_id],course_data[type],"")</f>
        <v>eLearning</v>
      </c>
      <c r="K2625" t="str">
        <f>role_course_map[[#This Row],[role_id]] &amp; "|" &amp; role_course_map[[#This Row],[course_id]]</f>
        <v>R0119|999067</v>
      </c>
      <c r="L2625" t="str">
        <f>IF(COUNTIF(role_course_map[mapping_key],role_course_map[[#This Row],[mapping_key]])&gt;1,"DUPLICATE","OK")</f>
        <v>DUPLICATE</v>
      </c>
      <c r="M2625" t="str">
        <f>IF(COUNTIF(role_data[role_id],role_course_map[[#This Row],[role_id]])=0, "INVALID","VALID")</f>
        <v>VALID</v>
      </c>
      <c r="N2625" t="str">
        <f>IF(COUNTIF(course_data[course_id],role_course_map[[#This Row],[course_id]])=0, "INVALID","VALID")</f>
        <v>VALID</v>
      </c>
    </row>
    <row r="2626" spans="1:14" x14ac:dyDescent="0.35">
      <c r="A2626" t="s">
        <v>250</v>
      </c>
      <c r="B2626" s="5" t="str">
        <f>_xlfn.XLOOKUP(role_course_map[[#This Row],[role_id]], role_data[role_id], role_data[Role],"")</f>
        <v>SORT Paramedic</v>
      </c>
      <c r="C2626">
        <v>999067</v>
      </c>
      <c r="D2626" s="5" t="str">
        <f>_xlfn.XLOOKUP(role_course_map[[#This Row],[course_id]],course_data[course_id],course_data[title],"")</f>
        <v>Major incident awareness - Course overview</v>
      </c>
      <c r="E2626" s="5" t="str">
        <f>_xlfn.XLOOKUP(role_course_map[[#This Row],[course_id]],course_data[course_id],course_data[topic],"")</f>
        <v>SAS : National Risk and Resilience Department (NRRD)</v>
      </c>
      <c r="F2626" s="5" t="str">
        <f>_xlfn.XLOOKUP(role_course_map[[#This Row],[course_id]],course_data[course_id],course_data[type],"")</f>
        <v>eLearning</v>
      </c>
      <c r="K2626" t="str">
        <f>role_course_map[[#This Row],[role_id]] &amp; "|" &amp; role_course_map[[#This Row],[course_id]]</f>
        <v>R0119|999067</v>
      </c>
      <c r="L2626" t="str">
        <f>IF(COUNTIF(role_course_map[mapping_key],role_course_map[[#This Row],[mapping_key]])&gt;1,"DUPLICATE","OK")</f>
        <v>DUPLICATE</v>
      </c>
      <c r="M2626" t="str">
        <f>IF(COUNTIF(role_data[role_id],role_course_map[[#This Row],[role_id]])=0, "INVALID","VALID")</f>
        <v>VALID</v>
      </c>
      <c r="N2626" t="str">
        <f>IF(COUNTIF(course_data[course_id],role_course_map[[#This Row],[course_id]])=0, "INVALID","VALID")</f>
        <v>VALID</v>
      </c>
    </row>
    <row r="2627" spans="1:14" x14ac:dyDescent="0.35">
      <c r="A2627" t="s">
        <v>250</v>
      </c>
      <c r="B2627" s="5" t="str">
        <f>_xlfn.XLOOKUP(role_course_map[[#This Row],[role_id]], role_data[role_id], role_data[Role],"")</f>
        <v>SORT Paramedic</v>
      </c>
      <c r="C2627">
        <v>999069</v>
      </c>
      <c r="D2627" s="5" t="str">
        <f>_xlfn.XLOOKUP(role_course_map[[#This Row],[course_id]],course_data[course_id],course_data[title],"")</f>
        <v>Non-specialist MTFA response (JOPS3)</v>
      </c>
      <c r="E2627" s="5" t="str">
        <f>_xlfn.XLOOKUP(role_course_map[[#This Row],[course_id]],course_data[course_id],course_data[topic],"")</f>
        <v>SAS : National Risk and Resilience Department (NRRD)</v>
      </c>
      <c r="F2627" s="5" t="str">
        <f>_xlfn.XLOOKUP(role_course_map[[#This Row],[course_id]],course_data[course_id],course_data[type],"")</f>
        <v>eLearning</v>
      </c>
      <c r="K2627" t="str">
        <f>role_course_map[[#This Row],[role_id]] &amp; "|" &amp; role_course_map[[#This Row],[course_id]]</f>
        <v>R0119|999069</v>
      </c>
      <c r="L2627" t="str">
        <f>IF(COUNTIF(role_course_map[mapping_key],role_course_map[[#This Row],[mapping_key]])&gt;1,"DUPLICATE","OK")</f>
        <v>OK</v>
      </c>
      <c r="M2627" t="str">
        <f>IF(COUNTIF(role_data[role_id],role_course_map[[#This Row],[role_id]])=0, "INVALID","VALID")</f>
        <v>VALID</v>
      </c>
      <c r="N2627" t="str">
        <f>IF(COUNTIF(course_data[course_id],role_course_map[[#This Row],[course_id]])=0, "INVALID","VALID")</f>
        <v>VALID</v>
      </c>
    </row>
    <row r="2628" spans="1:14" x14ac:dyDescent="0.35">
      <c r="A2628" t="s">
        <v>250</v>
      </c>
      <c r="B2628" s="5" t="str">
        <f>_xlfn.XLOOKUP(role_course_map[[#This Row],[role_id]], role_data[role_id], role_data[Role],"")</f>
        <v>SORT Paramedic</v>
      </c>
      <c r="C2628">
        <v>999070</v>
      </c>
      <c r="D2628" s="5" t="str">
        <f>_xlfn.XLOOKUP(role_course_map[[#This Row],[course_id]],course_data[course_id],course_data[title],"")</f>
        <v xml:space="preserve">SAS: JESIP (NEW) </v>
      </c>
      <c r="E2628" s="5" t="str">
        <f>_xlfn.XLOOKUP(role_course_map[[#This Row],[course_id]],course_data[course_id],course_data[topic],"")</f>
        <v>SAS : National Risk and Resilience Department (NRRD)</v>
      </c>
      <c r="F2628" s="5" t="str">
        <f>_xlfn.XLOOKUP(role_course_map[[#This Row],[course_id]],course_data[course_id],course_data[type],"")</f>
        <v>eLearning</v>
      </c>
      <c r="K2628" t="str">
        <f>role_course_map[[#This Row],[role_id]] &amp; "|" &amp; role_course_map[[#This Row],[course_id]]</f>
        <v>R0119|999070</v>
      </c>
      <c r="L2628" t="str">
        <f>IF(COUNTIF(role_course_map[mapping_key],role_course_map[[#This Row],[mapping_key]])&gt;1,"DUPLICATE","OK")</f>
        <v>OK</v>
      </c>
      <c r="M2628" t="str">
        <f>IF(COUNTIF(role_data[role_id],role_course_map[[#This Row],[role_id]])=0, "INVALID","VALID")</f>
        <v>VALID</v>
      </c>
      <c r="N2628" t="str">
        <f>IF(COUNTIF(course_data[course_id],role_course_map[[#This Row],[course_id]])=0, "INVALID","VALID")</f>
        <v>VALID</v>
      </c>
    </row>
    <row r="2629" spans="1:14" x14ac:dyDescent="0.35">
      <c r="A2629" t="s">
        <v>252</v>
      </c>
      <c r="B2629" s="5" t="str">
        <f>_xlfn.XLOOKUP(role_course_map[[#This Row],[role_id]], role_data[role_id], role_data[Role],"")</f>
        <v>SORT Team Leader</v>
      </c>
      <c r="C2629">
        <v>79218</v>
      </c>
      <c r="D2629" s="5" t="str">
        <f>_xlfn.XLOOKUP(role_course_map[[#This Row],[course_id]],course_data[course_id],course_data[title],"")</f>
        <v>Life support</v>
      </c>
      <c r="E2629" s="5" t="str">
        <f>_xlfn.XLOOKUP(role_course_map[[#This Row],[course_id]],course_data[course_id],course_data[topic],"")</f>
        <v>SAS : Clinical Practice</v>
      </c>
      <c r="F2629" s="5" t="str">
        <f>_xlfn.XLOOKUP(role_course_map[[#This Row],[course_id]],course_data[course_id],course_data[type],"")</f>
        <v>Page</v>
      </c>
      <c r="K2629" t="str">
        <f>role_course_map[[#This Row],[role_id]] &amp; "|" &amp; role_course_map[[#This Row],[course_id]]</f>
        <v>R0120|79218</v>
      </c>
      <c r="L2629" t="str">
        <f>IF(COUNTIF(role_course_map[mapping_key],role_course_map[[#This Row],[mapping_key]])&gt;1,"DUPLICATE","OK")</f>
        <v>OK</v>
      </c>
      <c r="M2629" t="str">
        <f>IF(COUNTIF(role_data[role_id],role_course_map[[#This Row],[role_id]])=0, "INVALID","VALID")</f>
        <v>VALID</v>
      </c>
      <c r="N2629" t="str">
        <f>IF(COUNTIF(course_data[course_id],role_course_map[[#This Row],[course_id]])=0, "INVALID","VALID")</f>
        <v>VALID</v>
      </c>
    </row>
    <row r="2630" spans="1:14" x14ac:dyDescent="0.35">
      <c r="A2630" t="s">
        <v>252</v>
      </c>
      <c r="B2630" s="5" t="str">
        <f>_xlfn.XLOOKUP(role_course_map[[#This Row],[role_id]], role_data[role_id], role_data[Role],"")</f>
        <v>SORT Team Leader</v>
      </c>
      <c r="C2630">
        <v>999009</v>
      </c>
      <c r="D2630" s="5" t="str">
        <f>_xlfn.XLOOKUP(role_course_map[[#This Row],[course_id]],course_data[course_id],course_data[title],"")</f>
        <v>Life Support</v>
      </c>
      <c r="E2630" s="5" t="str">
        <f>_xlfn.XLOOKUP(role_course_map[[#This Row],[course_id]],course_data[course_id],course_data[topic],"")</f>
        <v>SAS : Clinical Practice</v>
      </c>
      <c r="F2630" s="5" t="str">
        <f>_xlfn.XLOOKUP(role_course_map[[#This Row],[course_id]],course_data[course_id],course_data[type],"")</f>
        <v>Course</v>
      </c>
      <c r="K2630" t="str">
        <f>role_course_map[[#This Row],[role_id]] &amp; "|" &amp; role_course_map[[#This Row],[course_id]]</f>
        <v>R0120|999009</v>
      </c>
      <c r="L2630" t="str">
        <f>IF(COUNTIF(role_course_map[mapping_key],role_course_map[[#This Row],[mapping_key]])&gt;1,"DUPLICATE","OK")</f>
        <v>OK</v>
      </c>
      <c r="M2630" t="str">
        <f>IF(COUNTIF(role_data[role_id],role_course_map[[#This Row],[role_id]])=0, "INVALID","VALID")</f>
        <v>VALID</v>
      </c>
      <c r="N2630" t="str">
        <f>IF(COUNTIF(course_data[course_id],role_course_map[[#This Row],[course_id]])=0, "INVALID","VALID")</f>
        <v>VALID</v>
      </c>
    </row>
    <row r="2631" spans="1:14" x14ac:dyDescent="0.35">
      <c r="A2631" t="s">
        <v>252</v>
      </c>
      <c r="B2631" s="5" t="str">
        <f>_xlfn.XLOOKUP(role_course_map[[#This Row],[role_id]], role_data[role_id], role_data[Role],"")</f>
        <v>SORT Team Leader</v>
      </c>
      <c r="C2631">
        <v>999007</v>
      </c>
      <c r="D2631" s="5" t="str">
        <f>_xlfn.XLOOKUP(role_course_map[[#This Row],[course_id]],course_data[course_id],course_data[title],"")</f>
        <v>Obstetrics</v>
      </c>
      <c r="E2631" s="5" t="str">
        <f>_xlfn.XLOOKUP(role_course_map[[#This Row],[course_id]],course_data[course_id],course_data[topic],"")</f>
        <v>SAS : Clinical Practice</v>
      </c>
      <c r="F2631" s="5" t="str">
        <f>_xlfn.XLOOKUP(role_course_map[[#This Row],[course_id]],course_data[course_id],course_data[type],"")</f>
        <v>Course</v>
      </c>
      <c r="K2631" t="str">
        <f>role_course_map[[#This Row],[role_id]] &amp; "|" &amp; role_course_map[[#This Row],[course_id]]</f>
        <v>R0120|999007</v>
      </c>
      <c r="L2631" t="str">
        <f>IF(COUNTIF(role_course_map[mapping_key],role_course_map[[#This Row],[mapping_key]])&gt;1,"DUPLICATE","OK")</f>
        <v>OK</v>
      </c>
      <c r="M2631" t="str">
        <f>IF(COUNTIF(role_data[role_id],role_course_map[[#This Row],[role_id]])=0, "INVALID","VALID")</f>
        <v>VALID</v>
      </c>
      <c r="N2631" t="str">
        <f>IF(COUNTIF(course_data[course_id],role_course_map[[#This Row],[course_id]])=0, "INVALID","VALID")</f>
        <v>VALID</v>
      </c>
    </row>
    <row r="2632" spans="1:14" x14ac:dyDescent="0.35">
      <c r="A2632" t="s">
        <v>252</v>
      </c>
      <c r="B2632" s="5" t="str">
        <f>_xlfn.XLOOKUP(role_course_map[[#This Row],[role_id]], role_data[role_id], role_data[Role],"")</f>
        <v>SORT Team Leader</v>
      </c>
      <c r="C2632">
        <v>999008</v>
      </c>
      <c r="D2632" s="5" t="str">
        <f>_xlfn.XLOOKUP(role_course_map[[#This Row],[course_id]],course_data[course_id],course_data[title],"")</f>
        <v>Obstetrics</v>
      </c>
      <c r="E2632" s="5" t="str">
        <f>_xlfn.XLOOKUP(role_course_map[[#This Row],[course_id]],course_data[course_id],course_data[topic],"")</f>
        <v>SAS : Clinical Practice</v>
      </c>
      <c r="F2632" s="5" t="str">
        <f>_xlfn.XLOOKUP(role_course_map[[#This Row],[course_id]],course_data[course_id],course_data[type],"")</f>
        <v>eLearning</v>
      </c>
      <c r="K2632" t="str">
        <f>role_course_map[[#This Row],[role_id]] &amp; "|" &amp; role_course_map[[#This Row],[course_id]]</f>
        <v>R0120|999008</v>
      </c>
      <c r="L2632" t="str">
        <f>IF(COUNTIF(role_course_map[mapping_key],role_course_map[[#This Row],[mapping_key]])&gt;1,"DUPLICATE","OK")</f>
        <v>OK</v>
      </c>
      <c r="M2632" t="str">
        <f>IF(COUNTIF(role_data[role_id],role_course_map[[#This Row],[role_id]])=0, "INVALID","VALID")</f>
        <v>VALID</v>
      </c>
      <c r="N2632" t="str">
        <f>IF(COUNTIF(course_data[course_id],role_course_map[[#This Row],[course_id]])=0, "INVALID","VALID")</f>
        <v>VALID</v>
      </c>
    </row>
    <row r="2633" spans="1:14" x14ac:dyDescent="0.35">
      <c r="A2633" t="s">
        <v>252</v>
      </c>
      <c r="B2633" s="5" t="str">
        <f>_xlfn.XLOOKUP(role_course_map[[#This Row],[role_id]], role_data[role_id], role_data[Role],"")</f>
        <v>SORT Team Leader</v>
      </c>
      <c r="C2633">
        <v>999010</v>
      </c>
      <c r="D2633" s="5" t="str">
        <f>_xlfn.XLOOKUP(role_course_map[[#This Row],[course_id]],course_data[course_id],course_data[title],"")</f>
        <v>Paediatrics</v>
      </c>
      <c r="E2633" s="5" t="str">
        <f>_xlfn.XLOOKUP(role_course_map[[#This Row],[course_id]],course_data[course_id],course_data[topic],"")</f>
        <v>SAS : Clinical Practice</v>
      </c>
      <c r="F2633" s="5" t="str">
        <f>_xlfn.XLOOKUP(role_course_map[[#This Row],[course_id]],course_data[course_id],course_data[type],"")</f>
        <v>Course</v>
      </c>
      <c r="K2633" t="str">
        <f>role_course_map[[#This Row],[role_id]] &amp; "|" &amp; role_course_map[[#This Row],[course_id]]</f>
        <v>R0120|999010</v>
      </c>
      <c r="L2633" t="str">
        <f>IF(COUNTIF(role_course_map[mapping_key],role_course_map[[#This Row],[mapping_key]])&gt;1,"DUPLICATE","OK")</f>
        <v>OK</v>
      </c>
      <c r="M2633" t="str">
        <f>IF(COUNTIF(role_data[role_id],role_course_map[[#This Row],[role_id]])=0, "INVALID","VALID")</f>
        <v>VALID</v>
      </c>
      <c r="N2633" t="str">
        <f>IF(COUNTIF(course_data[course_id],role_course_map[[#This Row],[course_id]])=0, "INVALID","VALID")</f>
        <v>VALID</v>
      </c>
    </row>
    <row r="2634" spans="1:14" x14ac:dyDescent="0.35">
      <c r="A2634" t="s">
        <v>252</v>
      </c>
      <c r="B2634" s="5" t="str">
        <f>_xlfn.XLOOKUP(role_course_map[[#This Row],[role_id]], role_data[role_id], role_data[Role],"")</f>
        <v>SORT Team Leader</v>
      </c>
      <c r="C2634">
        <v>999011</v>
      </c>
      <c r="D2634" s="5" t="str">
        <f>_xlfn.XLOOKUP(role_course_map[[#This Row],[course_id]],course_data[course_id],course_data[title],"")</f>
        <v>Paediatrics</v>
      </c>
      <c r="E2634" s="5" t="str">
        <f>_xlfn.XLOOKUP(role_course_map[[#This Row],[course_id]],course_data[course_id],course_data[topic],"")</f>
        <v>SAS : Clinical Practice</v>
      </c>
      <c r="F2634" s="5" t="str">
        <f>_xlfn.XLOOKUP(role_course_map[[#This Row],[course_id]],course_data[course_id],course_data[type],"")</f>
        <v>eLearning</v>
      </c>
      <c r="K2634" t="str">
        <f>role_course_map[[#This Row],[role_id]] &amp; "|" &amp; role_course_map[[#This Row],[course_id]]</f>
        <v>R0120|999011</v>
      </c>
      <c r="L2634" t="str">
        <f>IF(COUNTIF(role_course_map[mapping_key],role_course_map[[#This Row],[mapping_key]])&gt;1,"DUPLICATE","OK")</f>
        <v>OK</v>
      </c>
      <c r="M2634" t="str">
        <f>IF(COUNTIF(role_data[role_id],role_course_map[[#This Row],[role_id]])=0, "INVALID","VALID")</f>
        <v>VALID</v>
      </c>
      <c r="N2634" t="str">
        <f>IF(COUNTIF(course_data[course_id],role_course_map[[#This Row],[course_id]])=0, "INVALID","VALID")</f>
        <v>VALID</v>
      </c>
    </row>
    <row r="2635" spans="1:14" x14ac:dyDescent="0.35">
      <c r="A2635" t="s">
        <v>252</v>
      </c>
      <c r="B2635" s="5" t="str">
        <f>_xlfn.XLOOKUP(role_course_map[[#This Row],[role_id]], role_data[role_id], role_data[Role],"")</f>
        <v>SORT Team Leader</v>
      </c>
      <c r="C2635">
        <v>999012</v>
      </c>
      <c r="D2635" s="5" t="str">
        <f>_xlfn.XLOOKUP(role_course_map[[#This Row],[course_id]],course_data[course_id],course_data[title],"")</f>
        <v>Trauma</v>
      </c>
      <c r="E2635" s="5" t="str">
        <f>_xlfn.XLOOKUP(role_course_map[[#This Row],[course_id]],course_data[course_id],course_data[topic],"")</f>
        <v>SAS : Clinical Practice</v>
      </c>
      <c r="F2635" s="5" t="str">
        <f>_xlfn.XLOOKUP(role_course_map[[#This Row],[course_id]],course_data[course_id],course_data[type],"")</f>
        <v>Course</v>
      </c>
      <c r="K2635" t="str">
        <f>role_course_map[[#This Row],[role_id]] &amp; "|" &amp; role_course_map[[#This Row],[course_id]]</f>
        <v>R0120|999012</v>
      </c>
      <c r="L2635" t="str">
        <f>IF(COUNTIF(role_course_map[mapping_key],role_course_map[[#This Row],[mapping_key]])&gt;1,"DUPLICATE","OK")</f>
        <v>OK</v>
      </c>
      <c r="M2635" t="str">
        <f>IF(COUNTIF(role_data[role_id],role_course_map[[#This Row],[role_id]])=0, "INVALID","VALID")</f>
        <v>VALID</v>
      </c>
      <c r="N2635" t="str">
        <f>IF(COUNTIF(course_data[course_id],role_course_map[[#This Row],[course_id]])=0, "INVALID","VALID")</f>
        <v>VALID</v>
      </c>
    </row>
    <row r="2636" spans="1:14" x14ac:dyDescent="0.35">
      <c r="A2636" t="s">
        <v>252</v>
      </c>
      <c r="B2636" s="5" t="str">
        <f>_xlfn.XLOOKUP(role_course_map[[#This Row],[role_id]], role_data[role_id], role_data[Role],"")</f>
        <v>SORT Team Leader</v>
      </c>
      <c r="C2636">
        <v>999013</v>
      </c>
      <c r="D2636" s="5" t="str">
        <f>_xlfn.XLOOKUP(role_course_map[[#This Row],[course_id]],course_data[course_id],course_data[title],"")</f>
        <v>Trauma</v>
      </c>
      <c r="E2636" s="5" t="str">
        <f>_xlfn.XLOOKUP(role_course_map[[#This Row],[course_id]],course_data[course_id],course_data[topic],"")</f>
        <v>SAS : Clinical Practice</v>
      </c>
      <c r="F2636" s="5" t="str">
        <f>_xlfn.XLOOKUP(role_course_map[[#This Row],[course_id]],course_data[course_id],course_data[type],"")</f>
        <v>eLearning</v>
      </c>
      <c r="K2636" t="str">
        <f>role_course_map[[#This Row],[role_id]] &amp; "|" &amp; role_course_map[[#This Row],[course_id]]</f>
        <v>R0120|999013</v>
      </c>
      <c r="L2636" t="str">
        <f>IF(COUNTIF(role_course_map[mapping_key],role_course_map[[#This Row],[mapping_key]])&gt;1,"DUPLICATE","OK")</f>
        <v>OK</v>
      </c>
      <c r="M2636" t="str">
        <f>IF(COUNTIF(role_data[role_id],role_course_map[[#This Row],[role_id]])=0, "INVALID","VALID")</f>
        <v>VALID</v>
      </c>
      <c r="N2636" t="str">
        <f>IF(COUNTIF(course_data[course_id],role_course_map[[#This Row],[course_id]])=0, "INVALID","VALID")</f>
        <v>VALID</v>
      </c>
    </row>
    <row r="2637" spans="1:14" x14ac:dyDescent="0.35">
      <c r="A2637" t="s">
        <v>252</v>
      </c>
      <c r="B2637" s="5" t="str">
        <f>_xlfn.XLOOKUP(role_course_map[[#This Row],[role_id]], role_data[role_id], role_data[Role],"")</f>
        <v>SORT Team Leader</v>
      </c>
      <c r="C2637">
        <v>999014</v>
      </c>
      <c r="D2637" s="5" t="str">
        <f>_xlfn.XLOOKUP(role_course_map[[#This Row],[course_id]],course_data[course_id],course_data[title],"")</f>
        <v>Patient Assessment</v>
      </c>
      <c r="E2637" s="5" t="str">
        <f>_xlfn.XLOOKUP(role_course_map[[#This Row],[course_id]],course_data[course_id],course_data[topic],"")</f>
        <v>SAS : Clinical Practice</v>
      </c>
      <c r="F2637" s="5" t="str">
        <f>_xlfn.XLOOKUP(role_course_map[[#This Row],[course_id]],course_data[course_id],course_data[type],"")</f>
        <v>Course</v>
      </c>
      <c r="K2637" t="str">
        <f>role_course_map[[#This Row],[role_id]] &amp; "|" &amp; role_course_map[[#This Row],[course_id]]</f>
        <v>R0120|999014</v>
      </c>
      <c r="L2637" t="str">
        <f>IF(COUNTIF(role_course_map[mapping_key],role_course_map[[#This Row],[mapping_key]])&gt;1,"DUPLICATE","OK")</f>
        <v>OK</v>
      </c>
      <c r="M2637" t="str">
        <f>IF(COUNTIF(role_data[role_id],role_course_map[[#This Row],[role_id]])=0, "INVALID","VALID")</f>
        <v>VALID</v>
      </c>
      <c r="N2637" t="str">
        <f>IF(COUNTIF(course_data[course_id],role_course_map[[#This Row],[course_id]])=0, "INVALID","VALID")</f>
        <v>VALID</v>
      </c>
    </row>
    <row r="2638" spans="1:14" x14ac:dyDescent="0.35">
      <c r="A2638" t="s">
        <v>252</v>
      </c>
      <c r="B2638" s="5" t="str">
        <f>_xlfn.XLOOKUP(role_course_map[[#This Row],[role_id]], role_data[role_id], role_data[Role],"")</f>
        <v>SORT Team Leader</v>
      </c>
      <c r="C2638">
        <v>999015</v>
      </c>
      <c r="D2638" s="5" t="str">
        <f>_xlfn.XLOOKUP(role_course_map[[#This Row],[course_id]],course_data[course_id],course_data[title],"")</f>
        <v>Patient Assessment</v>
      </c>
      <c r="E2638" s="5" t="str">
        <f>_xlfn.XLOOKUP(role_course_map[[#This Row],[course_id]],course_data[course_id],course_data[topic],"")</f>
        <v>SAS : Clinical Practice</v>
      </c>
      <c r="F2638" s="5" t="str">
        <f>_xlfn.XLOOKUP(role_course_map[[#This Row],[course_id]],course_data[course_id],course_data[type],"")</f>
        <v>eLearning</v>
      </c>
      <c r="K2638" t="str">
        <f>role_course_map[[#This Row],[role_id]] &amp; "|" &amp; role_course_map[[#This Row],[course_id]]</f>
        <v>R0120|999015</v>
      </c>
      <c r="L2638" t="str">
        <f>IF(COUNTIF(role_course_map[mapping_key],role_course_map[[#This Row],[mapping_key]])&gt;1,"DUPLICATE","OK")</f>
        <v>OK</v>
      </c>
      <c r="M2638" t="str">
        <f>IF(COUNTIF(role_data[role_id],role_course_map[[#This Row],[role_id]])=0, "INVALID","VALID")</f>
        <v>VALID</v>
      </c>
      <c r="N2638" t="str">
        <f>IF(COUNTIF(course_data[course_id],role_course_map[[#This Row],[course_id]])=0, "INVALID","VALID")</f>
        <v>VALID</v>
      </c>
    </row>
    <row r="2639" spans="1:14" x14ac:dyDescent="0.35">
      <c r="A2639" t="s">
        <v>252</v>
      </c>
      <c r="B2639" s="5" t="str">
        <f>_xlfn.XLOOKUP(role_course_map[[#This Row],[role_id]], role_data[role_id], role_data[Role],"")</f>
        <v>SORT Team Leader</v>
      </c>
      <c r="C2639">
        <v>999016</v>
      </c>
      <c r="D2639" s="5" t="str">
        <f>_xlfn.XLOOKUP(role_course_map[[#This Row],[course_id]],course_data[course_id],course_data[title],"")</f>
        <v>Clinical Skills</v>
      </c>
      <c r="E2639" s="5" t="str">
        <f>_xlfn.XLOOKUP(role_course_map[[#This Row],[course_id]],course_data[course_id],course_data[topic],"")</f>
        <v>SAS : Clinical Practice</v>
      </c>
      <c r="F2639" s="5" t="str">
        <f>_xlfn.XLOOKUP(role_course_map[[#This Row],[course_id]],course_data[course_id],course_data[type],"")</f>
        <v>Course</v>
      </c>
      <c r="K2639" t="str">
        <f>role_course_map[[#This Row],[role_id]] &amp; "|" &amp; role_course_map[[#This Row],[course_id]]</f>
        <v>R0120|999016</v>
      </c>
      <c r="L2639" t="str">
        <f>IF(COUNTIF(role_course_map[mapping_key],role_course_map[[#This Row],[mapping_key]])&gt;1,"DUPLICATE","OK")</f>
        <v>OK</v>
      </c>
      <c r="M2639" t="str">
        <f>IF(COUNTIF(role_data[role_id],role_course_map[[#This Row],[role_id]])=0, "INVALID","VALID")</f>
        <v>VALID</v>
      </c>
      <c r="N2639" t="str">
        <f>IF(COUNTIF(course_data[course_id],role_course_map[[#This Row],[course_id]])=0, "INVALID","VALID")</f>
        <v>VALID</v>
      </c>
    </row>
    <row r="2640" spans="1:14" x14ac:dyDescent="0.35">
      <c r="A2640" t="s">
        <v>252</v>
      </c>
      <c r="B2640" s="5" t="str">
        <f>_xlfn.XLOOKUP(role_course_map[[#This Row],[role_id]], role_data[role_id], role_data[Role],"")</f>
        <v>SORT Team Leader</v>
      </c>
      <c r="C2640">
        <v>999017</v>
      </c>
      <c r="D2640" s="5" t="str">
        <f>_xlfn.XLOOKUP(role_course_map[[#This Row],[course_id]],course_data[course_id],course_data[title],"")</f>
        <v>Clinical Skills</v>
      </c>
      <c r="E2640" s="5" t="str">
        <f>_xlfn.XLOOKUP(role_course_map[[#This Row],[course_id]],course_data[course_id],course_data[topic],"")</f>
        <v>SAS : Clinical Practice</v>
      </c>
      <c r="F2640" s="5" t="str">
        <f>_xlfn.XLOOKUP(role_course_map[[#This Row],[course_id]],course_data[course_id],course_data[type],"")</f>
        <v>eLearning</v>
      </c>
      <c r="K2640" t="str">
        <f>role_course_map[[#This Row],[role_id]] &amp; "|" &amp; role_course_map[[#This Row],[course_id]]</f>
        <v>R0120|999017</v>
      </c>
      <c r="L2640" t="str">
        <f>IF(COUNTIF(role_course_map[mapping_key],role_course_map[[#This Row],[mapping_key]])&gt;1,"DUPLICATE","OK")</f>
        <v>OK</v>
      </c>
      <c r="M2640" t="str">
        <f>IF(COUNTIF(role_data[role_id],role_course_map[[#This Row],[role_id]])=0, "INVALID","VALID")</f>
        <v>VALID</v>
      </c>
      <c r="N2640" t="str">
        <f>IF(COUNTIF(course_data[course_id],role_course_map[[#This Row],[course_id]])=0, "INVALID","VALID")</f>
        <v>VALID</v>
      </c>
    </row>
    <row r="2641" spans="1:14" x14ac:dyDescent="0.35">
      <c r="A2641" t="s">
        <v>252</v>
      </c>
      <c r="B2641" s="5" t="str">
        <f>_xlfn.XLOOKUP(role_course_map[[#This Row],[role_id]], role_data[role_id], role_data[Role],"")</f>
        <v>SORT Team Leader</v>
      </c>
      <c r="C2641">
        <v>999018</v>
      </c>
      <c r="D2641" s="5" t="str">
        <f>_xlfn.XLOOKUP(role_course_map[[#This Row],[course_id]],course_data[course_id],course_data[title],"")</f>
        <v>Learning from Events</v>
      </c>
      <c r="E2641" s="5" t="str">
        <f>_xlfn.XLOOKUP(role_course_map[[#This Row],[course_id]],course_data[course_id],course_data[topic],"")</f>
        <v>SAS : Clinical Practice</v>
      </c>
      <c r="F2641" s="5" t="str">
        <f>_xlfn.XLOOKUP(role_course_map[[#This Row],[course_id]],course_data[course_id],course_data[type],"")</f>
        <v>eLearning</v>
      </c>
      <c r="K2641" t="str">
        <f>role_course_map[[#This Row],[role_id]] &amp; "|" &amp; role_course_map[[#This Row],[course_id]]</f>
        <v>R0120|999018</v>
      </c>
      <c r="L2641" t="str">
        <f>IF(COUNTIF(role_course_map[mapping_key],role_course_map[[#This Row],[mapping_key]])&gt;1,"DUPLICATE","OK")</f>
        <v>OK</v>
      </c>
      <c r="M2641" t="str">
        <f>IF(COUNTIF(role_data[role_id],role_course_map[[#This Row],[role_id]])=0, "INVALID","VALID")</f>
        <v>VALID</v>
      </c>
      <c r="N2641" t="str">
        <f>IF(COUNTIF(course_data[course_id],role_course_map[[#This Row],[course_id]])=0, "INVALID","VALID")</f>
        <v>VALID</v>
      </c>
    </row>
    <row r="2642" spans="1:14" x14ac:dyDescent="0.35">
      <c r="A2642" t="s">
        <v>252</v>
      </c>
      <c r="B2642" s="5" t="str">
        <f>_xlfn.XLOOKUP(role_course_map[[#This Row],[role_id]], role_data[role_id], role_data[Role],"")</f>
        <v>SORT Team Leader</v>
      </c>
      <c r="C2642">
        <v>999019</v>
      </c>
      <c r="D2642" s="5" t="str">
        <f>_xlfn.XLOOKUP(role_course_map[[#This Row],[course_id]],course_data[course_id],course_data[title],"")</f>
        <v>Medicines Management</v>
      </c>
      <c r="E2642" s="5" t="str">
        <f>_xlfn.XLOOKUP(role_course_map[[#This Row],[course_id]],course_data[course_id],course_data[topic],"")</f>
        <v>SAS : Clinical Practice</v>
      </c>
      <c r="F2642" s="5" t="str">
        <f>_xlfn.XLOOKUP(role_course_map[[#This Row],[course_id]],course_data[course_id],course_data[type],"")</f>
        <v>eLearning</v>
      </c>
      <c r="K2642" t="str">
        <f>role_course_map[[#This Row],[role_id]] &amp; "|" &amp; role_course_map[[#This Row],[course_id]]</f>
        <v>R0120|999019</v>
      </c>
      <c r="L2642" t="str">
        <f>IF(COUNTIF(role_course_map[mapping_key],role_course_map[[#This Row],[mapping_key]])&gt;1,"DUPLICATE","OK")</f>
        <v>OK</v>
      </c>
      <c r="M2642" t="str">
        <f>IF(COUNTIF(role_data[role_id],role_course_map[[#This Row],[role_id]])=0, "INVALID","VALID")</f>
        <v>VALID</v>
      </c>
      <c r="N2642" t="str">
        <f>IF(COUNTIF(course_data[course_id],role_course_map[[#This Row],[course_id]])=0, "INVALID","VALID")</f>
        <v>VALID</v>
      </c>
    </row>
    <row r="2643" spans="1:14" x14ac:dyDescent="0.35">
      <c r="A2643" t="s">
        <v>252</v>
      </c>
      <c r="B2643" s="5" t="str">
        <f>_xlfn.XLOOKUP(role_course_map[[#This Row],[role_id]], role_data[role_id], role_data[Role],"")</f>
        <v>SORT Team Leader</v>
      </c>
      <c r="C2643">
        <v>999020</v>
      </c>
      <c r="D2643" s="5" t="str">
        <f>_xlfn.XLOOKUP(role_course_map[[#This Row],[course_id]],course_data[course_id],course_data[title],"")</f>
        <v>JRCALC Update</v>
      </c>
      <c r="E2643" s="5" t="str">
        <f>_xlfn.XLOOKUP(role_course_map[[#This Row],[course_id]],course_data[course_id],course_data[topic],"")</f>
        <v>SAS : Clinical Practice</v>
      </c>
      <c r="F2643" s="5" t="str">
        <f>_xlfn.XLOOKUP(role_course_map[[#This Row],[course_id]],course_data[course_id],course_data[type],"")</f>
        <v>eLearning</v>
      </c>
      <c r="K2643" t="str">
        <f>role_course_map[[#This Row],[role_id]] &amp; "|" &amp; role_course_map[[#This Row],[course_id]]</f>
        <v>R0120|999020</v>
      </c>
      <c r="L2643" t="str">
        <f>IF(COUNTIF(role_course_map[mapping_key],role_course_map[[#This Row],[mapping_key]])&gt;1,"DUPLICATE","OK")</f>
        <v>OK</v>
      </c>
      <c r="M2643" t="str">
        <f>IF(COUNTIF(role_data[role_id],role_course_map[[#This Row],[role_id]])=0, "INVALID","VALID")</f>
        <v>VALID</v>
      </c>
      <c r="N2643" t="str">
        <f>IF(COUNTIF(course_data[course_id],role_course_map[[#This Row],[course_id]])=0, "INVALID","VALID")</f>
        <v>VALID</v>
      </c>
    </row>
    <row r="2644" spans="1:14" x14ac:dyDescent="0.35">
      <c r="A2644" t="s">
        <v>252</v>
      </c>
      <c r="B2644" s="5" t="str">
        <f>_xlfn.XLOOKUP(role_course_map[[#This Row],[role_id]], role_data[role_id], role_data[Role],"")</f>
        <v>SORT Team Leader</v>
      </c>
      <c r="C2644">
        <v>999021</v>
      </c>
      <c r="D2644" s="5" t="str">
        <f>_xlfn.XLOOKUP(role_course_map[[#This Row],[course_id]],course_data[course_id],course_data[title],"")</f>
        <v>Mental Health</v>
      </c>
      <c r="E2644" s="5" t="str">
        <f>_xlfn.XLOOKUP(role_course_map[[#This Row],[course_id]],course_data[course_id],course_data[topic],"")</f>
        <v>SAS : Clinical Practice</v>
      </c>
      <c r="F2644" s="5" t="str">
        <f>_xlfn.XLOOKUP(role_course_map[[#This Row],[course_id]],course_data[course_id],course_data[type],"")</f>
        <v>eLearning</v>
      </c>
      <c r="K2644" t="str">
        <f>role_course_map[[#This Row],[role_id]] &amp; "|" &amp; role_course_map[[#This Row],[course_id]]</f>
        <v>R0120|999021</v>
      </c>
      <c r="L2644" t="str">
        <f>IF(COUNTIF(role_course_map[mapping_key],role_course_map[[#This Row],[mapping_key]])&gt;1,"DUPLICATE","OK")</f>
        <v>OK</v>
      </c>
      <c r="M2644" t="str">
        <f>IF(COUNTIF(role_data[role_id],role_course_map[[#This Row],[role_id]])=0, "INVALID","VALID")</f>
        <v>VALID</v>
      </c>
      <c r="N2644" t="str">
        <f>IF(COUNTIF(course_data[course_id],role_course_map[[#This Row],[course_id]])=0, "INVALID","VALID")</f>
        <v>VALID</v>
      </c>
    </row>
    <row r="2645" spans="1:14" x14ac:dyDescent="0.35">
      <c r="A2645" t="s">
        <v>252</v>
      </c>
      <c r="B2645" s="5" t="str">
        <f>_xlfn.XLOOKUP(role_course_map[[#This Row],[role_id]], role_data[role_id], role_data[Role],"")</f>
        <v>SORT Team Leader</v>
      </c>
      <c r="C2645">
        <v>999022</v>
      </c>
      <c r="D2645" s="5" t="str">
        <f>_xlfn.XLOOKUP(role_course_map[[#This Row],[course_id]],course_data[course_id],course_data[title],"")</f>
        <v>Learning Disabilities</v>
      </c>
      <c r="E2645" s="5" t="str">
        <f>_xlfn.XLOOKUP(role_course_map[[#This Row],[course_id]],course_data[course_id],course_data[topic],"")</f>
        <v>SAS : Clinical Practice</v>
      </c>
      <c r="F2645" s="5" t="str">
        <f>_xlfn.XLOOKUP(role_course_map[[#This Row],[course_id]],course_data[course_id],course_data[type],"")</f>
        <v>eLearning</v>
      </c>
      <c r="K2645" t="str">
        <f>role_course_map[[#This Row],[role_id]] &amp; "|" &amp; role_course_map[[#This Row],[course_id]]</f>
        <v>R0120|999022</v>
      </c>
      <c r="L2645" t="str">
        <f>IF(COUNTIF(role_course_map[mapping_key],role_course_map[[#This Row],[mapping_key]])&gt;1,"DUPLICATE","OK")</f>
        <v>OK</v>
      </c>
      <c r="M2645" t="str">
        <f>IF(COUNTIF(role_data[role_id],role_course_map[[#This Row],[role_id]])=0, "INVALID","VALID")</f>
        <v>VALID</v>
      </c>
      <c r="N2645" t="str">
        <f>IF(COUNTIF(course_data[course_id],role_course_map[[#This Row],[course_id]])=0, "INVALID","VALID")</f>
        <v>VALID</v>
      </c>
    </row>
    <row r="2646" spans="1:14" x14ac:dyDescent="0.35">
      <c r="A2646" t="s">
        <v>252</v>
      </c>
      <c r="B2646" s="5" t="str">
        <f>_xlfn.XLOOKUP(role_course_map[[#This Row],[role_id]], role_data[role_id], role_data[Role],"")</f>
        <v>SORT Team Leader</v>
      </c>
      <c r="C2646">
        <v>75202</v>
      </c>
      <c r="D2646" s="5" t="str">
        <f>_xlfn.XLOOKUP(role_course_map[[#This Row],[course_id]],course_data[course_id],course_data[title],"")</f>
        <v>SAS : Clinical Practice</v>
      </c>
      <c r="E2646" s="5" t="str">
        <f>_xlfn.XLOOKUP(role_course_map[[#This Row],[course_id]],course_data[course_id],course_data[topic],"")</f>
        <v>SAS : Clinical Practice</v>
      </c>
      <c r="F2646" s="5" t="str">
        <f>_xlfn.XLOOKUP(role_course_map[[#This Row],[course_id]],course_data[course_id],course_data[type],"")</f>
        <v>Page</v>
      </c>
      <c r="K2646" t="str">
        <f>role_course_map[[#This Row],[role_id]] &amp; "|" &amp; role_course_map[[#This Row],[course_id]]</f>
        <v>R0120|75202</v>
      </c>
      <c r="L2646" t="str">
        <f>IF(COUNTIF(role_course_map[mapping_key],role_course_map[[#This Row],[mapping_key]])&gt;1,"DUPLICATE","OK")</f>
        <v>OK</v>
      </c>
      <c r="M2646" t="str">
        <f>IF(COUNTIF(role_data[role_id],role_course_map[[#This Row],[role_id]])=0, "INVALID","VALID")</f>
        <v>VALID</v>
      </c>
      <c r="N2646" t="str">
        <f>IF(COUNTIF(course_data[course_id],role_course_map[[#This Row],[course_id]])=0, "INVALID","VALID")</f>
        <v>VALID</v>
      </c>
    </row>
    <row r="2647" spans="1:14" x14ac:dyDescent="0.35">
      <c r="A2647" t="s">
        <v>252</v>
      </c>
      <c r="B2647" s="5" t="str">
        <f>_xlfn.XLOOKUP(role_course_map[[#This Row],[role_id]], role_data[role_id], role_data[Role],"")</f>
        <v>SORT Team Leader</v>
      </c>
      <c r="C2647">
        <v>999023</v>
      </c>
      <c r="D2647" s="5" t="str">
        <f>_xlfn.XLOOKUP(role_course_map[[#This Row],[course_id]],course_data[course_id],course_data[title],"")</f>
        <v>Dementia</v>
      </c>
      <c r="E2647" s="5" t="str">
        <f>_xlfn.XLOOKUP(role_course_map[[#This Row],[course_id]],course_data[course_id],course_data[topic],"")</f>
        <v>SAS : Clinical Practice</v>
      </c>
      <c r="F2647" s="5" t="str">
        <f>_xlfn.XLOOKUP(role_course_map[[#This Row],[course_id]],course_data[course_id],course_data[type],"")</f>
        <v>eLearning</v>
      </c>
      <c r="K2647" t="str">
        <f>role_course_map[[#This Row],[role_id]] &amp; "|" &amp; role_course_map[[#This Row],[course_id]]</f>
        <v>R0120|999023</v>
      </c>
      <c r="L2647" t="str">
        <f>IF(COUNTIF(role_course_map[mapping_key],role_course_map[[#This Row],[mapping_key]])&gt;1,"DUPLICATE","OK")</f>
        <v>OK</v>
      </c>
      <c r="M2647" t="str">
        <f>IF(COUNTIF(role_data[role_id],role_course_map[[#This Row],[role_id]])=0, "INVALID","VALID")</f>
        <v>VALID</v>
      </c>
      <c r="N2647" t="str">
        <f>IF(COUNTIF(course_data[course_id],role_course_map[[#This Row],[course_id]])=0, "INVALID","VALID")</f>
        <v>VALID</v>
      </c>
    </row>
    <row r="2648" spans="1:14" x14ac:dyDescent="0.35">
      <c r="A2648" t="s">
        <v>252</v>
      </c>
      <c r="B2648" s="5" t="str">
        <f>_xlfn.XLOOKUP(role_course_map[[#This Row],[role_id]], role_data[role_id], role_data[Role],"")</f>
        <v>SORT Team Leader</v>
      </c>
      <c r="C2648">
        <v>999024</v>
      </c>
      <c r="D2648" s="5" t="str">
        <f>_xlfn.XLOOKUP(role_course_map[[#This Row],[course_id]],course_data[course_id],course_data[title],"")</f>
        <v>Conditions requiring specific hospital management. I.e. Parkinsons</v>
      </c>
      <c r="E2648" s="5" t="str">
        <f>_xlfn.XLOOKUP(role_course_map[[#This Row],[course_id]],course_data[course_id],course_data[topic],"")</f>
        <v>SAS : Clinical Practice</v>
      </c>
      <c r="F2648" s="5" t="str">
        <f>_xlfn.XLOOKUP(role_course_map[[#This Row],[course_id]],course_data[course_id],course_data[type],"")</f>
        <v>eLearning</v>
      </c>
      <c r="K2648" t="str">
        <f>role_course_map[[#This Row],[role_id]] &amp; "|" &amp; role_course_map[[#This Row],[course_id]]</f>
        <v>R0120|999024</v>
      </c>
      <c r="L2648" t="str">
        <f>IF(COUNTIF(role_course_map[mapping_key],role_course_map[[#This Row],[mapping_key]])&gt;1,"DUPLICATE","OK")</f>
        <v>OK</v>
      </c>
      <c r="M2648" t="str">
        <f>IF(COUNTIF(role_data[role_id],role_course_map[[#This Row],[role_id]])=0, "INVALID","VALID")</f>
        <v>VALID</v>
      </c>
      <c r="N2648" t="str">
        <f>IF(COUNTIF(course_data[course_id],role_course_map[[#This Row],[course_id]])=0, "INVALID","VALID")</f>
        <v>VALID</v>
      </c>
    </row>
    <row r="2649" spans="1:14" x14ac:dyDescent="0.35">
      <c r="A2649" t="s">
        <v>252</v>
      </c>
      <c r="B2649" s="5" t="str">
        <f>_xlfn.XLOOKUP(role_course_map[[#This Row],[role_id]], role_data[role_id], role_data[Role],"")</f>
        <v>SORT Team Leader</v>
      </c>
      <c r="C2649">
        <v>999095</v>
      </c>
      <c r="D2649" s="5" t="str">
        <f>_xlfn.XLOOKUP(role_course_map[[#This Row],[course_id]],course_data[course_id],course_data[title],"")</f>
        <v>Mentoring</v>
      </c>
      <c r="E2649" s="5" t="str">
        <f>_xlfn.XLOOKUP(role_course_map[[#This Row],[course_id]],course_data[course_id],course_data[topic],"")</f>
        <v>SAS: Staff development and experience</v>
      </c>
      <c r="F2649" s="5" t="str">
        <f>_xlfn.XLOOKUP(role_course_map[[#This Row],[course_id]],course_data[course_id],course_data[type],"")</f>
        <v>eLearning</v>
      </c>
      <c r="K2649" t="str">
        <f>role_course_map[[#This Row],[role_id]] &amp; "|" &amp; role_course_map[[#This Row],[course_id]]</f>
        <v>R0120|999095</v>
      </c>
      <c r="L2649" t="str">
        <f>IF(COUNTIF(role_course_map[mapping_key],role_course_map[[#This Row],[mapping_key]])&gt;1,"DUPLICATE","OK")</f>
        <v>OK</v>
      </c>
      <c r="M2649" t="str">
        <f>IF(COUNTIF(role_data[role_id],role_course_map[[#This Row],[role_id]])=0, "INVALID","VALID")</f>
        <v>VALID</v>
      </c>
      <c r="N2649" t="str">
        <f>IF(COUNTIF(course_data[course_id],role_course_map[[#This Row],[course_id]])=0, "INVALID","VALID")</f>
        <v>VALID</v>
      </c>
    </row>
    <row r="2650" spans="1:14" x14ac:dyDescent="0.35">
      <c r="A2650" t="s">
        <v>252</v>
      </c>
      <c r="B2650" s="5" t="str">
        <f>_xlfn.XLOOKUP(role_course_map[[#This Row],[role_id]], role_data[role_id], role_data[Role],"")</f>
        <v>SORT Team Leader</v>
      </c>
      <c r="C2650">
        <v>999096</v>
      </c>
      <c r="D2650" s="5" t="str">
        <f>_xlfn.XLOOKUP(role_course_map[[#This Row],[course_id]],course_data[course_id],course_data[title],"")</f>
        <v>Supporting others in practice (Supervision)</v>
      </c>
      <c r="E2650" s="5" t="str">
        <f>_xlfn.XLOOKUP(role_course_map[[#This Row],[course_id]],course_data[course_id],course_data[topic],"")</f>
        <v>SAS: Staff development and experience</v>
      </c>
      <c r="F2650" s="5" t="str">
        <f>_xlfn.XLOOKUP(role_course_map[[#This Row],[course_id]],course_data[course_id],course_data[type],"")</f>
        <v>Course</v>
      </c>
      <c r="K2650" t="str">
        <f>role_course_map[[#This Row],[role_id]] &amp; "|" &amp; role_course_map[[#This Row],[course_id]]</f>
        <v>R0120|999096</v>
      </c>
      <c r="L2650" t="str">
        <f>IF(COUNTIF(role_course_map[mapping_key],role_course_map[[#This Row],[mapping_key]])&gt;1,"DUPLICATE","OK")</f>
        <v>OK</v>
      </c>
      <c r="M2650" t="str">
        <f>IF(COUNTIF(role_data[role_id],role_course_map[[#This Row],[role_id]])=0, "INVALID","VALID")</f>
        <v>VALID</v>
      </c>
      <c r="N2650" t="str">
        <f>IF(COUNTIF(course_data[course_id],role_course_map[[#This Row],[course_id]])=0, "INVALID","VALID")</f>
        <v>VALID</v>
      </c>
    </row>
    <row r="2651" spans="1:14" x14ac:dyDescent="0.35">
      <c r="A2651" t="s">
        <v>252</v>
      </c>
      <c r="B2651" s="5" t="str">
        <f>_xlfn.XLOOKUP(role_course_map[[#This Row],[role_id]], role_data[role_id], role_data[Role],"")</f>
        <v>SORT Team Leader</v>
      </c>
      <c r="C2651">
        <v>999097</v>
      </c>
      <c r="D2651" s="5" t="str">
        <f>_xlfn.XLOOKUP(role_course_map[[#This Row],[course_id]],course_data[course_id],course_data[title],"")</f>
        <v>Personal Wellbeing</v>
      </c>
      <c r="E2651" s="5" t="str">
        <f>_xlfn.XLOOKUP(role_course_map[[#This Row],[course_id]],course_data[course_id],course_data[topic],"")</f>
        <v>SAS: Staff development and experience</v>
      </c>
      <c r="F2651" s="5" t="str">
        <f>_xlfn.XLOOKUP(role_course_map[[#This Row],[course_id]],course_data[course_id],course_data[type],"")</f>
        <v>eLearning</v>
      </c>
      <c r="K2651" t="str">
        <f>role_course_map[[#This Row],[role_id]] &amp; "|" &amp; role_course_map[[#This Row],[course_id]]</f>
        <v>R0120|999097</v>
      </c>
      <c r="L2651" t="str">
        <f>IF(COUNTIF(role_course_map[mapping_key],role_course_map[[#This Row],[mapping_key]])&gt;1,"DUPLICATE","OK")</f>
        <v>OK</v>
      </c>
      <c r="M2651" t="str">
        <f>IF(COUNTIF(role_data[role_id],role_course_map[[#This Row],[role_id]])=0, "INVALID","VALID")</f>
        <v>VALID</v>
      </c>
      <c r="N2651" t="str">
        <f>IF(COUNTIF(course_data[course_id],role_course_map[[#This Row],[course_id]])=0, "INVALID","VALID")</f>
        <v>VALID</v>
      </c>
    </row>
    <row r="2652" spans="1:14" x14ac:dyDescent="0.35">
      <c r="A2652" t="s">
        <v>252</v>
      </c>
      <c r="B2652" s="5" t="str">
        <f>_xlfn.XLOOKUP(role_course_map[[#This Row],[role_id]], role_data[role_id], role_data[Role],"")</f>
        <v>SORT Team Leader</v>
      </c>
      <c r="C2652">
        <v>999091</v>
      </c>
      <c r="D2652" s="5" t="str">
        <f>_xlfn.XLOOKUP(role_course_map[[#This Row],[course_id]],course_data[course_id],course_data[title],"")</f>
        <v>Intermediate Leadership Development Programme</v>
      </c>
      <c r="E2652" s="5" t="str">
        <f>_xlfn.XLOOKUP(role_course_map[[#This Row],[course_id]],course_data[course_id],course_data[topic],"")</f>
        <v>SAS: Staff development and experience</v>
      </c>
      <c r="F2652" s="5">
        <f>_xlfn.XLOOKUP(role_course_map[[#This Row],[course_id]],course_data[course_id],course_data[type],"")</f>
        <v>0</v>
      </c>
      <c r="K2652" t="str">
        <f>role_course_map[[#This Row],[role_id]] &amp; "|" &amp; role_course_map[[#This Row],[course_id]]</f>
        <v>R0120|999091</v>
      </c>
      <c r="L2652" t="str">
        <f>IF(COUNTIF(role_course_map[mapping_key],role_course_map[[#This Row],[mapping_key]])&gt;1,"DUPLICATE","OK")</f>
        <v>OK</v>
      </c>
      <c r="M2652" t="str">
        <f>IF(COUNTIF(role_data[role_id],role_course_map[[#This Row],[role_id]])=0, "INVALID","VALID")</f>
        <v>VALID</v>
      </c>
      <c r="N2652" t="str">
        <f>IF(COUNTIF(course_data[course_id],role_course_map[[#This Row],[course_id]])=0, "INVALID","VALID")</f>
        <v>VALID</v>
      </c>
    </row>
    <row r="2653" spans="1:14" x14ac:dyDescent="0.35">
      <c r="A2653" t="s">
        <v>252</v>
      </c>
      <c r="B2653" s="5" t="str">
        <f>_xlfn.XLOOKUP(role_course_map[[#This Row],[role_id]], role_data[role_id], role_data[Role],"")</f>
        <v>SORT Team Leader</v>
      </c>
      <c r="C2653">
        <v>79147</v>
      </c>
      <c r="D2653" s="5" t="str">
        <f>_xlfn.XLOOKUP(role_course_map[[#This Row],[course_id]],course_data[course_id],course_data[title],"")</f>
        <v>Driving risks at work</v>
      </c>
      <c r="E2653" s="5" t="str">
        <f>_xlfn.XLOOKUP(role_course_map[[#This Row],[course_id]],course_data[course_id],course_data[topic],"")</f>
        <v>SAS : Health and Safety</v>
      </c>
      <c r="F2653" s="5" t="str">
        <f>_xlfn.XLOOKUP(role_course_map[[#This Row],[course_id]],course_data[course_id],course_data[type],"")</f>
        <v>eLearning</v>
      </c>
      <c r="K2653" t="str">
        <f>role_course_map[[#This Row],[role_id]] &amp; "|" &amp; role_course_map[[#This Row],[course_id]]</f>
        <v>R0120|79147</v>
      </c>
      <c r="L2653" t="str">
        <f>IF(COUNTIF(role_course_map[mapping_key],role_course_map[[#This Row],[mapping_key]])&gt;1,"DUPLICATE","OK")</f>
        <v>OK</v>
      </c>
      <c r="M2653" t="str">
        <f>IF(COUNTIF(role_data[role_id],role_course_map[[#This Row],[role_id]])=0, "INVALID","VALID")</f>
        <v>VALID</v>
      </c>
      <c r="N2653" t="str">
        <f>IF(COUNTIF(course_data[course_id],role_course_map[[#This Row],[course_id]])=0, "INVALID","VALID")</f>
        <v>VALID</v>
      </c>
    </row>
    <row r="2654" spans="1:14" x14ac:dyDescent="0.35">
      <c r="A2654" t="s">
        <v>252</v>
      </c>
      <c r="B2654" s="5" t="str">
        <f>_xlfn.XLOOKUP(role_course_map[[#This Row],[role_id]], role_data[role_id], role_data[Role],"")</f>
        <v>SORT Team Leader</v>
      </c>
      <c r="C2654">
        <v>999060</v>
      </c>
      <c r="D2654" s="5" t="str">
        <f>_xlfn.XLOOKUP(role_course_map[[#This Row],[course_id]],course_data[course_id],course_data[title],"")</f>
        <v>COSHH</v>
      </c>
      <c r="E2654" s="5" t="str">
        <f>_xlfn.XLOOKUP(role_course_map[[#This Row],[course_id]],course_data[course_id],course_data[topic],"")</f>
        <v>SAS : Health and Safety</v>
      </c>
      <c r="F2654" s="5" t="str">
        <f>_xlfn.XLOOKUP(role_course_map[[#This Row],[course_id]],course_data[course_id],course_data[type],"")</f>
        <v>eLearning</v>
      </c>
      <c r="K2654" t="str">
        <f>role_course_map[[#This Row],[role_id]] &amp; "|" &amp; role_course_map[[#This Row],[course_id]]</f>
        <v>R0120|999060</v>
      </c>
      <c r="L2654" t="str">
        <f>IF(COUNTIF(role_course_map[mapping_key],role_course_map[[#This Row],[mapping_key]])&gt;1,"DUPLICATE","OK")</f>
        <v>OK</v>
      </c>
      <c r="M2654" t="str">
        <f>IF(COUNTIF(role_data[role_id],role_course_map[[#This Row],[role_id]])=0, "INVALID","VALID")</f>
        <v>VALID</v>
      </c>
      <c r="N2654" t="str">
        <f>IF(COUNTIF(course_data[course_id],role_course_map[[#This Row],[course_id]])=0, "INVALID","VALID")</f>
        <v>VALID</v>
      </c>
    </row>
    <row r="2655" spans="1:14" x14ac:dyDescent="0.35">
      <c r="A2655" t="s">
        <v>252</v>
      </c>
      <c r="B2655" s="5" t="str">
        <f>_xlfn.XLOOKUP(role_course_map[[#This Row],[role_id]], role_data[role_id], role_data[Role],"")</f>
        <v>SORT Team Leader</v>
      </c>
      <c r="C2655">
        <v>999066</v>
      </c>
      <c r="D2655" s="5" t="str">
        <f>_xlfn.XLOOKUP(role_course_map[[#This Row],[course_id]],course_data[course_id],course_data[title],"")</f>
        <v>NRRD Update i.e. Major Incidents/Methane/ Multiple Casualities</v>
      </c>
      <c r="E2655" s="5" t="str">
        <f>_xlfn.XLOOKUP(role_course_map[[#This Row],[course_id]],course_data[course_id],course_data[topic],"")</f>
        <v>SAS : National Risk and Resilience Department (NRRD)</v>
      </c>
      <c r="F2655" s="5" t="str">
        <f>_xlfn.XLOOKUP(role_course_map[[#This Row],[course_id]],course_data[course_id],course_data[type],"")</f>
        <v>eLearning</v>
      </c>
      <c r="K2655" t="str">
        <f>role_course_map[[#This Row],[role_id]] &amp; "|" &amp; role_course_map[[#This Row],[course_id]]</f>
        <v>R0120|999066</v>
      </c>
      <c r="L2655" t="str">
        <f>IF(COUNTIF(role_course_map[mapping_key],role_course_map[[#This Row],[mapping_key]])&gt;1,"DUPLICATE","OK")</f>
        <v>OK</v>
      </c>
      <c r="M2655" t="str">
        <f>IF(COUNTIF(role_data[role_id],role_course_map[[#This Row],[role_id]])=0, "INVALID","VALID")</f>
        <v>VALID</v>
      </c>
      <c r="N2655" t="str">
        <f>IF(COUNTIF(course_data[course_id],role_course_map[[#This Row],[course_id]])=0, "INVALID","VALID")</f>
        <v>VALID</v>
      </c>
    </row>
    <row r="2656" spans="1:14" x14ac:dyDescent="0.35">
      <c r="A2656" t="s">
        <v>252</v>
      </c>
      <c r="B2656" s="5" t="str">
        <f>_xlfn.XLOOKUP(role_course_map[[#This Row],[role_id]], role_data[role_id], role_data[Role],"")</f>
        <v>SORT Team Leader</v>
      </c>
      <c r="C2656">
        <v>999025</v>
      </c>
      <c r="D2656" s="5" t="str">
        <f>_xlfn.XLOOKUP(role_course_map[[#This Row],[course_id]],course_data[course_id],course_data[title],"")</f>
        <v>Professional Standards</v>
      </c>
      <c r="E2656" s="5" t="str">
        <f>_xlfn.XLOOKUP(role_course_map[[#This Row],[course_id]],course_data[course_id],course_data[topic],"")</f>
        <v>SAS : Clinical Practice</v>
      </c>
      <c r="F2656" s="5" t="str">
        <f>_xlfn.XLOOKUP(role_course_map[[#This Row],[course_id]],course_data[course_id],course_data[type],"")</f>
        <v>eLearning</v>
      </c>
      <c r="K2656" t="str">
        <f>role_course_map[[#This Row],[role_id]] &amp; "|" &amp; role_course_map[[#This Row],[course_id]]</f>
        <v>R0120|999025</v>
      </c>
      <c r="L2656" t="str">
        <f>IF(COUNTIF(role_course_map[mapping_key],role_course_map[[#This Row],[mapping_key]])&gt;1,"DUPLICATE","OK")</f>
        <v>OK</v>
      </c>
      <c r="M2656" t="str">
        <f>IF(COUNTIF(role_data[role_id],role_course_map[[#This Row],[role_id]])=0, "INVALID","VALID")</f>
        <v>VALID</v>
      </c>
      <c r="N2656" t="str">
        <f>IF(COUNTIF(course_data[course_id],role_course_map[[#This Row],[course_id]])=0, "INVALID","VALID")</f>
        <v>VALID</v>
      </c>
    </row>
    <row r="2657" spans="1:14" x14ac:dyDescent="0.35">
      <c r="A2657" t="s">
        <v>252</v>
      </c>
      <c r="B2657" s="5" t="str">
        <f>_xlfn.XLOOKUP(role_course_map[[#This Row],[role_id]], role_data[role_id], role_data[Role],"")</f>
        <v>SORT Team Leader</v>
      </c>
      <c r="C2657">
        <v>999026</v>
      </c>
      <c r="D2657" s="5" t="str">
        <f>_xlfn.XLOOKUP(role_course_map[[#This Row],[course_id]],course_data[course_id],course_data[title],"")</f>
        <v>Communication Standards</v>
      </c>
      <c r="E2657" s="5" t="str">
        <f>_xlfn.XLOOKUP(role_course_map[[#This Row],[course_id]],course_data[course_id],course_data[topic],"")</f>
        <v>SAS : Clinical Practice</v>
      </c>
      <c r="F2657" s="5" t="str">
        <f>_xlfn.XLOOKUP(role_course_map[[#This Row],[course_id]],course_data[course_id],course_data[type],"")</f>
        <v>eLearning</v>
      </c>
      <c r="K2657" t="str">
        <f>role_course_map[[#This Row],[role_id]] &amp; "|" &amp; role_course_map[[#This Row],[course_id]]</f>
        <v>R0120|999026</v>
      </c>
      <c r="L2657" t="str">
        <f>IF(COUNTIF(role_course_map[mapping_key],role_course_map[[#This Row],[mapping_key]])&gt;1,"DUPLICATE","OK")</f>
        <v>OK</v>
      </c>
      <c r="M2657" t="str">
        <f>IF(COUNTIF(role_data[role_id],role_course_map[[#This Row],[role_id]])=0, "INVALID","VALID")</f>
        <v>VALID</v>
      </c>
      <c r="N2657" t="str">
        <f>IF(COUNTIF(course_data[course_id],role_course_map[[#This Row],[course_id]])=0, "INVALID","VALID")</f>
        <v>VALID</v>
      </c>
    </row>
    <row r="2658" spans="1:14" x14ac:dyDescent="0.35">
      <c r="A2658" t="s">
        <v>252</v>
      </c>
      <c r="B2658" s="5" t="str">
        <f>_xlfn.XLOOKUP(role_course_map[[#This Row],[role_id]], role_data[role_id], role_data[Role],"")</f>
        <v>SORT Team Leader</v>
      </c>
      <c r="C2658">
        <v>999062</v>
      </c>
      <c r="D2658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2658" s="5" t="str">
        <f>_xlfn.XLOOKUP(role_course_map[[#This Row],[course_id]],course_data[course_id],course_data[topic],"")</f>
        <v>SAS : Health and Safety</v>
      </c>
      <c r="F2658" s="5" t="str">
        <f>_xlfn.XLOOKUP(role_course_map[[#This Row],[course_id]],course_data[course_id],course_data[type],"")</f>
        <v>Course</v>
      </c>
      <c r="K2658" t="str">
        <f>role_course_map[[#This Row],[role_id]] &amp; "|" &amp; role_course_map[[#This Row],[course_id]]</f>
        <v>R0120|999062</v>
      </c>
      <c r="L2658" t="str">
        <f>IF(COUNTIF(role_course_map[mapping_key],role_course_map[[#This Row],[mapping_key]])&gt;1,"DUPLICATE","OK")</f>
        <v>OK</v>
      </c>
      <c r="M2658" t="str">
        <f>IF(COUNTIF(role_data[role_id],role_course_map[[#This Row],[role_id]])=0, "INVALID","VALID")</f>
        <v>VALID</v>
      </c>
      <c r="N2658" t="str">
        <f>IF(COUNTIF(course_data[course_id],role_course_map[[#This Row],[course_id]])=0, "INVALID","VALID")</f>
        <v>VALID</v>
      </c>
    </row>
    <row r="2659" spans="1:14" x14ac:dyDescent="0.35">
      <c r="A2659" t="s">
        <v>252</v>
      </c>
      <c r="B2659" s="5" t="str">
        <f>_xlfn.XLOOKUP(role_course_map[[#This Row],[role_id]], role_data[role_id], role_data[Role],"")</f>
        <v>SORT Team Leader</v>
      </c>
      <c r="C2659">
        <v>999058</v>
      </c>
      <c r="D2659" s="5" t="str">
        <f>_xlfn.XLOOKUP(role_course_map[[#This Row],[course_id]],course_data[course_id],course_data[title],"")</f>
        <v>Stress Identification &amp; Stress Management</v>
      </c>
      <c r="E2659" s="5" t="str">
        <f>_xlfn.XLOOKUP(role_course_map[[#This Row],[course_id]],course_data[course_id],course_data[topic],"")</f>
        <v>SAS : Health and Safety</v>
      </c>
      <c r="F2659" s="5" t="str">
        <f>_xlfn.XLOOKUP(role_course_map[[#This Row],[course_id]],course_data[course_id],course_data[type],"")</f>
        <v>eLearning</v>
      </c>
      <c r="K2659" t="str">
        <f>role_course_map[[#This Row],[role_id]] &amp; "|" &amp; role_course_map[[#This Row],[course_id]]</f>
        <v>R0120|999058</v>
      </c>
      <c r="L2659" t="str">
        <f>IF(COUNTIF(role_course_map[mapping_key],role_course_map[[#This Row],[mapping_key]])&gt;1,"DUPLICATE","OK")</f>
        <v>OK</v>
      </c>
      <c r="M2659" t="str">
        <f>IF(COUNTIF(role_data[role_id],role_course_map[[#This Row],[role_id]])=0, "INVALID","VALID")</f>
        <v>VALID</v>
      </c>
      <c r="N2659" t="str">
        <f>IF(COUNTIF(course_data[course_id],role_course_map[[#This Row],[course_id]])=0, "INVALID","VALID")</f>
        <v>VALID</v>
      </c>
    </row>
    <row r="2660" spans="1:14" x14ac:dyDescent="0.35">
      <c r="A2660" t="s">
        <v>252</v>
      </c>
      <c r="B2660" s="5" t="str">
        <f>_xlfn.XLOOKUP(role_course_map[[#This Row],[role_id]], role_data[role_id], role_data[Role],"")</f>
        <v>SORT Team Leader</v>
      </c>
      <c r="C2660">
        <v>999056</v>
      </c>
      <c r="D2660" s="5" t="str">
        <f>_xlfn.XLOOKUP(role_course_map[[#This Row],[course_id]],course_data[course_id],course_data[title],"")</f>
        <v>Driver Assessment &amp; Training</v>
      </c>
      <c r="E2660" s="5" t="str">
        <f>_xlfn.XLOOKUP(role_course_map[[#This Row],[course_id]],course_data[course_id],course_data[topic],"")</f>
        <v>SAS : Health and Safety</v>
      </c>
      <c r="F2660" s="5" t="str">
        <f>_xlfn.XLOOKUP(role_course_map[[#This Row],[course_id]],course_data[course_id],course_data[type],"")</f>
        <v>eLearning</v>
      </c>
      <c r="K2660" t="str">
        <f>role_course_map[[#This Row],[role_id]] &amp; "|" &amp; role_course_map[[#This Row],[course_id]]</f>
        <v>R0120|999056</v>
      </c>
      <c r="L2660" t="str">
        <f>IF(COUNTIF(role_course_map[mapping_key],role_course_map[[#This Row],[mapping_key]])&gt;1,"DUPLICATE","OK")</f>
        <v>OK</v>
      </c>
      <c r="M2660" t="str">
        <f>IF(COUNTIF(role_data[role_id],role_course_map[[#This Row],[role_id]])=0, "INVALID","VALID")</f>
        <v>VALID</v>
      </c>
      <c r="N2660" t="str">
        <f>IF(COUNTIF(course_data[course_id],role_course_map[[#This Row],[course_id]])=0, "INVALID","VALID")</f>
        <v>VALID</v>
      </c>
    </row>
    <row r="2661" spans="1:14" x14ac:dyDescent="0.35">
      <c r="A2661" t="s">
        <v>252</v>
      </c>
      <c r="B2661" s="5" t="str">
        <f>_xlfn.XLOOKUP(role_course_map[[#This Row],[role_id]], role_data[role_id], role_data[Role],"")</f>
        <v>SORT Team Leader</v>
      </c>
      <c r="C2661">
        <v>999057</v>
      </c>
      <c r="D2661" s="5" t="str">
        <f>_xlfn.XLOOKUP(role_course_map[[#This Row],[course_id]],course_data[course_id],course_data[title],"")</f>
        <v>Fatigue Awareness</v>
      </c>
      <c r="E2661" s="5" t="str">
        <f>_xlfn.XLOOKUP(role_course_map[[#This Row],[course_id]],course_data[course_id],course_data[topic],"")</f>
        <v>SAS : Health and Safety</v>
      </c>
      <c r="F2661" s="5" t="str">
        <f>_xlfn.XLOOKUP(role_course_map[[#This Row],[course_id]],course_data[course_id],course_data[type],"")</f>
        <v>eLearning</v>
      </c>
      <c r="K2661" t="str">
        <f>role_course_map[[#This Row],[role_id]] &amp; "|" &amp; role_course_map[[#This Row],[course_id]]</f>
        <v>R0120|999057</v>
      </c>
      <c r="L2661" t="str">
        <f>IF(COUNTIF(role_course_map[mapping_key],role_course_map[[#This Row],[mapping_key]])&gt;1,"DUPLICATE","OK")</f>
        <v>OK</v>
      </c>
      <c r="M2661" t="str">
        <f>IF(COUNTIF(role_data[role_id],role_course_map[[#This Row],[role_id]])=0, "INVALID","VALID")</f>
        <v>VALID</v>
      </c>
      <c r="N2661" t="str">
        <f>IF(COUNTIF(course_data[course_id],role_course_map[[#This Row],[course_id]])=0, "INVALID","VALID")</f>
        <v>VALID</v>
      </c>
    </row>
    <row r="2662" spans="1:14" x14ac:dyDescent="0.35">
      <c r="A2662" t="s">
        <v>252</v>
      </c>
      <c r="B2662" s="5" t="str">
        <f>_xlfn.XLOOKUP(role_course_map[[#This Row],[role_id]], role_data[role_id], role_data[Role],"")</f>
        <v>SORT Team Leader</v>
      </c>
      <c r="C2662">
        <v>999061</v>
      </c>
      <c r="D2662" s="5" t="str">
        <f>_xlfn.XLOOKUP(role_course_map[[#This Row],[course_id]],course_data[course_id],course_data[title],"")</f>
        <v>Skin Awareness</v>
      </c>
      <c r="E2662" s="5" t="str">
        <f>_xlfn.XLOOKUP(role_course_map[[#This Row],[course_id]],course_data[course_id],course_data[topic],"")</f>
        <v>SAS : Health and Safety</v>
      </c>
      <c r="F2662" s="5" t="str">
        <f>_xlfn.XLOOKUP(role_course_map[[#This Row],[course_id]],course_data[course_id],course_data[type],"")</f>
        <v>eLearning</v>
      </c>
      <c r="K2662" t="str">
        <f>role_course_map[[#This Row],[role_id]] &amp; "|" &amp; role_course_map[[#This Row],[course_id]]</f>
        <v>R0120|999061</v>
      </c>
      <c r="L2662" t="str">
        <f>IF(COUNTIF(role_course_map[mapping_key],role_course_map[[#This Row],[mapping_key]])&gt;1,"DUPLICATE","OK")</f>
        <v>OK</v>
      </c>
      <c r="M2662" t="str">
        <f>IF(COUNTIF(role_data[role_id],role_course_map[[#This Row],[role_id]])=0, "INVALID","VALID")</f>
        <v>VALID</v>
      </c>
      <c r="N2662" t="str">
        <f>IF(COUNTIF(course_data[course_id],role_course_map[[#This Row],[course_id]])=0, "INVALID","VALID")</f>
        <v>VALID</v>
      </c>
    </row>
    <row r="2663" spans="1:14" x14ac:dyDescent="0.35">
      <c r="A2663" t="s">
        <v>252</v>
      </c>
      <c r="B2663" s="5" t="str">
        <f>_xlfn.XLOOKUP(role_course_map[[#This Row],[role_id]], role_data[role_id], role_data[Role],"")</f>
        <v>SORT Team Leader</v>
      </c>
      <c r="C2663">
        <v>999027</v>
      </c>
      <c r="D2663" s="5" t="str">
        <f>_xlfn.XLOOKUP(role_course_map[[#This Row],[course_id]],course_data[course_id],course_data[title],"")</f>
        <v>Manual and Patient Handling Foundation Training - Level 2</v>
      </c>
      <c r="E2663" s="5" t="str">
        <f>_xlfn.XLOOKUP(role_course_map[[#This Row],[course_id]],course_data[course_id],course_data[topic],"")</f>
        <v>SAS : Clinical Practice</v>
      </c>
      <c r="F2663" s="5" t="str">
        <f>_xlfn.XLOOKUP(role_course_map[[#This Row],[course_id]],course_data[course_id],course_data[type],"")</f>
        <v>Course</v>
      </c>
      <c r="K2663" t="str">
        <f>role_course_map[[#This Row],[role_id]] &amp; "|" &amp; role_course_map[[#This Row],[course_id]]</f>
        <v>R0120|999027</v>
      </c>
      <c r="L2663" t="str">
        <f>IF(COUNTIF(role_course_map[mapping_key],role_course_map[[#This Row],[mapping_key]])&gt;1,"DUPLICATE","OK")</f>
        <v>OK</v>
      </c>
      <c r="M2663" t="str">
        <f>IF(COUNTIF(role_data[role_id],role_course_map[[#This Row],[role_id]])=0, "INVALID","VALID")</f>
        <v>VALID</v>
      </c>
      <c r="N2663" t="str">
        <f>IF(COUNTIF(course_data[course_id],role_course_map[[#This Row],[course_id]])=0, "INVALID","VALID")</f>
        <v>VALID</v>
      </c>
    </row>
    <row r="2664" spans="1:14" x14ac:dyDescent="0.35">
      <c r="A2664" t="s">
        <v>252</v>
      </c>
      <c r="B2664" s="5" t="str">
        <f>_xlfn.XLOOKUP(role_course_map[[#This Row],[role_id]], role_data[role_id], role_data[Role],"")</f>
        <v>SORT Team Leader</v>
      </c>
      <c r="C2664">
        <v>999028</v>
      </c>
      <c r="D2664" s="5" t="str">
        <f>_xlfn.XLOOKUP(role_course_map[[#This Row],[course_id]],course_data[course_id],course_data[title],"")</f>
        <v>Manual and Patient Handling Competency Assessment - Level 3</v>
      </c>
      <c r="E2664" s="5" t="str">
        <f>_xlfn.XLOOKUP(role_course_map[[#This Row],[course_id]],course_data[course_id],course_data[topic],"")</f>
        <v>SAS : Clinical Practice</v>
      </c>
      <c r="F2664" s="5" t="str">
        <f>_xlfn.XLOOKUP(role_course_map[[#This Row],[course_id]],course_data[course_id],course_data[type],"")</f>
        <v>Course</v>
      </c>
      <c r="K2664" t="str">
        <f>role_course_map[[#This Row],[role_id]] &amp; "|" &amp; role_course_map[[#This Row],[course_id]]</f>
        <v>R0120|999028</v>
      </c>
      <c r="L2664" t="str">
        <f>IF(COUNTIF(role_course_map[mapping_key],role_course_map[[#This Row],[mapping_key]])&gt;1,"DUPLICATE","OK")</f>
        <v>OK</v>
      </c>
      <c r="M2664" t="str">
        <f>IF(COUNTIF(role_data[role_id],role_course_map[[#This Row],[role_id]])=0, "INVALID","VALID")</f>
        <v>VALID</v>
      </c>
      <c r="N2664" t="str">
        <f>IF(COUNTIF(course_data[course_id],role_course_map[[#This Row],[course_id]])=0, "INVALID","VALID")</f>
        <v>VALID</v>
      </c>
    </row>
    <row r="2665" spans="1:14" x14ac:dyDescent="0.35">
      <c r="A2665" t="s">
        <v>252</v>
      </c>
      <c r="B2665" s="5" t="str">
        <f>_xlfn.XLOOKUP(role_course_map[[#This Row],[role_id]], role_data[role_id], role_data[Role],"")</f>
        <v>SORT Team Leader</v>
      </c>
      <c r="C2665">
        <v>999029</v>
      </c>
      <c r="D2665" s="5" t="str">
        <f>_xlfn.XLOOKUP(role_course_map[[#This Row],[course_id]],course_data[course_id],course_data[title],"")</f>
        <v>Manual and Patient Handling Competency Assessment Theory - Level 3</v>
      </c>
      <c r="E2665" s="5" t="str">
        <f>_xlfn.XLOOKUP(role_course_map[[#This Row],[course_id]],course_data[course_id],course_data[topic],"")</f>
        <v>SAS : Clinical Practice</v>
      </c>
      <c r="F2665" s="5" t="str">
        <f>_xlfn.XLOOKUP(role_course_map[[#This Row],[course_id]],course_data[course_id],course_data[type],"")</f>
        <v>Course</v>
      </c>
      <c r="K2665" t="str">
        <f>role_course_map[[#This Row],[role_id]] &amp; "|" &amp; role_course_map[[#This Row],[course_id]]</f>
        <v>R0120|999029</v>
      </c>
      <c r="L2665" t="str">
        <f>IF(COUNTIF(role_course_map[mapping_key],role_course_map[[#This Row],[mapping_key]])&gt;1,"DUPLICATE","OK")</f>
        <v>OK</v>
      </c>
      <c r="M2665" t="str">
        <f>IF(COUNTIF(role_data[role_id],role_course_map[[#This Row],[role_id]])=0, "INVALID","VALID")</f>
        <v>VALID</v>
      </c>
      <c r="N2665" t="str">
        <f>IF(COUNTIF(course_data[course_id],role_course_map[[#This Row],[course_id]])=0, "INVALID","VALID")</f>
        <v>VALID</v>
      </c>
    </row>
    <row r="2666" spans="1:14" x14ac:dyDescent="0.35">
      <c r="A2666" t="s">
        <v>252</v>
      </c>
      <c r="B2666" s="5" t="str">
        <f>_xlfn.XLOOKUP(role_course_map[[#This Row],[role_id]], role_data[role_id], role_data[Role],"")</f>
        <v>SORT Team Leader</v>
      </c>
      <c r="C2666" t="s">
        <v>659</v>
      </c>
      <c r="D2666" s="5" t="str">
        <f>_xlfn.XLOOKUP(role_course_map[[#This Row],[course_id]],course_data[course_id],course_data[title],"")</f>
        <v>Prevention and Management of Violence and Aggression - Breakaway training Level 2 /Restrictive movement Level 3</v>
      </c>
      <c r="E2666" s="5" t="str">
        <f>_xlfn.XLOOKUP(role_course_map[[#This Row],[course_id]],course_data[course_id],course_data[topic],"")</f>
        <v>SAS : Health and Safety</v>
      </c>
      <c r="F2666" s="5" t="str">
        <f>_xlfn.XLOOKUP(role_course_map[[#This Row],[course_id]],course_data[course_id],course_data[type],"")</f>
        <v>Course</v>
      </c>
      <c r="K2666" t="str">
        <f>role_course_map[[#This Row],[role_id]] &amp; "|" &amp; role_course_map[[#This Row],[course_id]]</f>
        <v>R0120|2025-6 edition</v>
      </c>
      <c r="L2666" t="str">
        <f>IF(COUNTIF(role_course_map[mapping_key],role_course_map[[#This Row],[mapping_key]])&gt;1,"DUPLICATE","OK")</f>
        <v>OK</v>
      </c>
      <c r="M2666" t="str">
        <f>IF(COUNTIF(role_data[role_id],role_course_map[[#This Row],[role_id]])=0, "INVALID","VALID")</f>
        <v>VALID</v>
      </c>
      <c r="N2666" t="str">
        <f>IF(COUNTIF(course_data[course_id],role_course_map[[#This Row],[course_id]])=0, "INVALID","VALID")</f>
        <v>VALID</v>
      </c>
    </row>
    <row r="2667" spans="1:14" x14ac:dyDescent="0.35">
      <c r="A2667" t="s">
        <v>252</v>
      </c>
      <c r="B2667" s="5" t="str">
        <f>_xlfn.XLOOKUP(role_course_map[[#This Row],[role_id]], role_data[role_id], role_data[Role],"")</f>
        <v>SORT Team Leader</v>
      </c>
      <c r="C2667">
        <v>999055</v>
      </c>
      <c r="D2667" s="5" t="str">
        <f>_xlfn.XLOOKUP(role_course_map[[#This Row],[course_id]],course_data[course_id],course_data[title],"")</f>
        <v>Prevention and Management of Violence and Aggression - Refresher</v>
      </c>
      <c r="E2667" s="5" t="str">
        <f>_xlfn.XLOOKUP(role_course_map[[#This Row],[course_id]],course_data[course_id],course_data[topic],"")</f>
        <v>SAS : Health and Safety</v>
      </c>
      <c r="F2667" s="5" t="str">
        <f>_xlfn.XLOOKUP(role_course_map[[#This Row],[course_id]],course_data[course_id],course_data[type],"")</f>
        <v>Course</v>
      </c>
      <c r="K2667" t="str">
        <f>role_course_map[[#This Row],[role_id]] &amp; "|" &amp; role_course_map[[#This Row],[course_id]]</f>
        <v>R0120|999055</v>
      </c>
      <c r="L2667" t="str">
        <f>IF(COUNTIF(role_course_map[mapping_key],role_course_map[[#This Row],[mapping_key]])&gt;1,"DUPLICATE","OK")</f>
        <v>OK</v>
      </c>
      <c r="M2667" t="str">
        <f>IF(COUNTIF(role_data[role_id],role_course_map[[#This Row],[role_id]])=0, "INVALID","VALID")</f>
        <v>VALID</v>
      </c>
      <c r="N2667" t="str">
        <f>IF(COUNTIF(course_data[course_id],role_course_map[[#This Row],[course_id]])=0, "INVALID","VALID")</f>
        <v>VALID</v>
      </c>
    </row>
    <row r="2668" spans="1:14" x14ac:dyDescent="0.35">
      <c r="A2668" t="s">
        <v>252</v>
      </c>
      <c r="B2668" s="5" t="str">
        <f>_xlfn.XLOOKUP(role_course_map[[#This Row],[role_id]], role_data[role_id], role_data[Role],"")</f>
        <v>SORT Team Leader</v>
      </c>
      <c r="C2668">
        <v>64322</v>
      </c>
      <c r="D2668" s="5" t="str">
        <f>_xlfn.XLOOKUP(role_course_map[[#This Row],[course_id]],course_data[course_id],course_data[title],"")</f>
        <v>Adult support and protection: practice level 2 [skilled]</v>
      </c>
      <c r="E2668" s="5" t="str">
        <f>_xlfn.XLOOKUP(role_course_map[[#This Row],[course_id]],course_data[course_id],course_data[topic],"")</f>
        <v>SAS : Public Protection</v>
      </c>
      <c r="F2668" s="5" t="str">
        <f>_xlfn.XLOOKUP(role_course_map[[#This Row],[course_id]],course_data[course_id],course_data[type],"")</f>
        <v>eLearning</v>
      </c>
      <c r="K2668" t="str">
        <f>role_course_map[[#This Row],[role_id]] &amp; "|" &amp; role_course_map[[#This Row],[course_id]]</f>
        <v>R0120|64322</v>
      </c>
      <c r="L2668" t="str">
        <f>IF(COUNTIF(role_course_map[mapping_key],role_course_map[[#This Row],[mapping_key]])&gt;1,"DUPLICATE","OK")</f>
        <v>OK</v>
      </c>
      <c r="M2668" t="str">
        <f>IF(COUNTIF(role_data[role_id],role_course_map[[#This Row],[role_id]])=0, "INVALID","VALID")</f>
        <v>VALID</v>
      </c>
      <c r="N2668" t="str">
        <f>IF(COUNTIF(course_data[course_id],role_course_map[[#This Row],[course_id]])=0, "INVALID","VALID")</f>
        <v>VALID</v>
      </c>
    </row>
    <row r="2669" spans="1:14" x14ac:dyDescent="0.35">
      <c r="A2669" t="s">
        <v>252</v>
      </c>
      <c r="B2669" s="5" t="str">
        <f>_xlfn.XLOOKUP(role_course_map[[#This Row],[role_id]], role_data[role_id], role_data[Role],"")</f>
        <v>SORT Team Leader</v>
      </c>
      <c r="C2669">
        <v>64324</v>
      </c>
      <c r="D2669" s="5" t="str">
        <f>_xlfn.XLOOKUP(role_course_map[[#This Row],[course_id]],course_data[course_id],course_data[title],"")</f>
        <v>Child protection: practice level 2 [skilled]</v>
      </c>
      <c r="E2669" s="5" t="str">
        <f>_xlfn.XLOOKUP(role_course_map[[#This Row],[course_id]],course_data[course_id],course_data[topic],"")</f>
        <v>SAS : Public Protection</v>
      </c>
      <c r="F2669" s="5" t="str">
        <f>_xlfn.XLOOKUP(role_course_map[[#This Row],[course_id]],course_data[course_id],course_data[type],"")</f>
        <v>eLearning</v>
      </c>
      <c r="K2669" t="str">
        <f>role_course_map[[#This Row],[role_id]] &amp; "|" &amp; role_course_map[[#This Row],[course_id]]</f>
        <v>R0120|64324</v>
      </c>
      <c r="L2669" t="str">
        <f>IF(COUNTIF(role_course_map[mapping_key],role_course_map[[#This Row],[mapping_key]])&gt;1,"DUPLICATE","OK")</f>
        <v>OK</v>
      </c>
      <c r="M2669" t="str">
        <f>IF(COUNTIF(role_data[role_id],role_course_map[[#This Row],[role_id]])=0, "INVALID","VALID")</f>
        <v>VALID</v>
      </c>
      <c r="N2669" t="str">
        <f>IF(COUNTIF(course_data[course_id],role_course_map[[#This Row],[course_id]])=0, "INVALID","VALID")</f>
        <v>VALID</v>
      </c>
    </row>
    <row r="2670" spans="1:14" x14ac:dyDescent="0.35">
      <c r="A2670" t="s">
        <v>252</v>
      </c>
      <c r="B2670" s="5" t="str">
        <f>_xlfn.XLOOKUP(role_course_map[[#This Row],[role_id]], role_data[role_id], role_data[Role],"")</f>
        <v>SORT Team Leader</v>
      </c>
      <c r="C2670">
        <v>76716</v>
      </c>
      <c r="D2670" s="5" t="str">
        <f>_xlfn.XLOOKUP(role_course_map[[#This Row],[course_id]],course_data[course_id],course_data[title],"")</f>
        <v>Domestic abuse awareness training tool (DAART)</v>
      </c>
      <c r="E2670" s="5" t="str">
        <f>_xlfn.XLOOKUP(role_course_map[[#This Row],[course_id]],course_data[course_id],course_data[topic],"")</f>
        <v>SAS : Public Protection</v>
      </c>
      <c r="F2670" s="5" t="str">
        <f>_xlfn.XLOOKUP(role_course_map[[#This Row],[course_id]],course_data[course_id],course_data[type],"")</f>
        <v>eLearning</v>
      </c>
      <c r="K2670" t="str">
        <f>role_course_map[[#This Row],[role_id]] &amp; "|" &amp; role_course_map[[#This Row],[course_id]]</f>
        <v>R0120|76716</v>
      </c>
      <c r="L2670" t="str">
        <f>IF(COUNTIF(role_course_map[mapping_key],role_course_map[[#This Row],[mapping_key]])&gt;1,"DUPLICATE","OK")</f>
        <v>OK</v>
      </c>
      <c r="M2670" t="str">
        <f>IF(COUNTIF(role_data[role_id],role_course_map[[#This Row],[role_id]])=0, "INVALID","VALID")</f>
        <v>VALID</v>
      </c>
      <c r="N2670" t="str">
        <f>IF(COUNTIF(course_data[course_id],role_course_map[[#This Row],[course_id]])=0, "INVALID","VALID")</f>
        <v>VALID</v>
      </c>
    </row>
    <row r="2671" spans="1:14" x14ac:dyDescent="0.35">
      <c r="A2671" t="s">
        <v>252</v>
      </c>
      <c r="B2671" s="5" t="str">
        <f>_xlfn.XLOOKUP(role_course_map[[#This Row],[role_id]], role_data[role_id], role_data[Role],"")</f>
        <v>SORT Team Leader</v>
      </c>
      <c r="C2671">
        <v>79666</v>
      </c>
      <c r="D2671" s="5" t="str">
        <f>_xlfn.XLOOKUP(role_course_map[[#This Row],[course_id]],course_data[course_id],course_data[title],"")</f>
        <v>Getting it right for every child (GIRFEC): informed level</v>
      </c>
      <c r="E2671" s="5" t="str">
        <f>_xlfn.XLOOKUP(role_course_map[[#This Row],[course_id]],course_data[course_id],course_data[topic],"")</f>
        <v>SAS : Public Protection</v>
      </c>
      <c r="F2671" s="5" t="str">
        <f>_xlfn.XLOOKUP(role_course_map[[#This Row],[course_id]],course_data[course_id],course_data[type],"")</f>
        <v>eLearning</v>
      </c>
      <c r="K2671" t="str">
        <f>role_course_map[[#This Row],[role_id]] &amp; "|" &amp; role_course_map[[#This Row],[course_id]]</f>
        <v>R0120|79666</v>
      </c>
      <c r="L2671" t="str">
        <f>IF(COUNTIF(role_course_map[mapping_key],role_course_map[[#This Row],[mapping_key]])&gt;1,"DUPLICATE","OK")</f>
        <v>OK</v>
      </c>
      <c r="M2671" t="str">
        <f>IF(COUNTIF(role_data[role_id],role_course_map[[#This Row],[role_id]])=0, "INVALID","VALID")</f>
        <v>VALID</v>
      </c>
      <c r="N2671" t="str">
        <f>IF(COUNTIF(course_data[course_id],role_course_map[[#This Row],[course_id]])=0, "INVALID","VALID")</f>
        <v>VALID</v>
      </c>
    </row>
    <row r="2672" spans="1:14" x14ac:dyDescent="0.35">
      <c r="A2672" t="s">
        <v>252</v>
      </c>
      <c r="B2672" s="5" t="str">
        <f>_xlfn.XLOOKUP(role_course_map[[#This Row],[role_id]], role_data[role_id], role_data[Role],"")</f>
        <v>SORT Team Leader</v>
      </c>
      <c r="C2672">
        <v>999074</v>
      </c>
      <c r="D2672" s="5" t="str">
        <f>_xlfn.XLOOKUP(role_course_map[[#This Row],[course_id]],course_data[course_id],course_data[title],"")</f>
        <v>SAS-specific Children’s rights</v>
      </c>
      <c r="E2672" s="5" t="str">
        <f>_xlfn.XLOOKUP(role_course_map[[#This Row],[course_id]],course_data[course_id],course_data[topic],"")</f>
        <v>SAS : Public Protection</v>
      </c>
      <c r="F2672" s="5" t="str">
        <f>_xlfn.XLOOKUP(role_course_map[[#This Row],[course_id]],course_data[course_id],course_data[type],"")</f>
        <v>eLearning</v>
      </c>
      <c r="K2672" t="str">
        <f>role_course_map[[#This Row],[role_id]] &amp; "|" &amp; role_course_map[[#This Row],[course_id]]</f>
        <v>R0120|999074</v>
      </c>
      <c r="L2672" t="str">
        <f>IF(COUNTIF(role_course_map[mapping_key],role_course_map[[#This Row],[mapping_key]])&gt;1,"DUPLICATE","OK")</f>
        <v>OK</v>
      </c>
      <c r="M2672" t="str">
        <f>IF(COUNTIF(role_data[role_id],role_course_map[[#This Row],[role_id]])=0, "INVALID","VALID")</f>
        <v>VALID</v>
      </c>
      <c r="N2672" t="str">
        <f>IF(COUNTIF(course_data[course_id],role_course_map[[#This Row],[course_id]])=0, "INVALID","VALID")</f>
        <v>VALID</v>
      </c>
    </row>
    <row r="2673" spans="1:14" x14ac:dyDescent="0.35">
      <c r="A2673" t="s">
        <v>252</v>
      </c>
      <c r="B2673" s="5" t="str">
        <f>_xlfn.XLOOKUP(role_course_map[[#This Row],[role_id]], role_data[role_id], role_data[Role],"")</f>
        <v>SORT Team Leader</v>
      </c>
      <c r="C2673">
        <v>999075</v>
      </c>
      <c r="D2673" s="5" t="str">
        <f>_xlfn.XLOOKUP(role_course_map[[#This Row],[course_id]],course_data[course_id],course_data[title],"")</f>
        <v>Multiagency local or bespoke Level 3 delivery training</v>
      </c>
      <c r="E2673" s="5" t="str">
        <f>_xlfn.XLOOKUP(role_course_map[[#This Row],[course_id]],course_data[course_id],course_data[topic],"")</f>
        <v>SAS : Public Protection</v>
      </c>
      <c r="F2673" s="5" t="str">
        <f>_xlfn.XLOOKUP(role_course_map[[#This Row],[course_id]],course_data[course_id],course_data[type],"")</f>
        <v>eLearning</v>
      </c>
      <c r="K2673" t="str">
        <f>role_course_map[[#This Row],[role_id]] &amp; "|" &amp; role_course_map[[#This Row],[course_id]]</f>
        <v>R0120|999075</v>
      </c>
      <c r="L2673" t="str">
        <f>IF(COUNTIF(role_course_map[mapping_key],role_course_map[[#This Row],[mapping_key]])&gt;1,"DUPLICATE","OK")</f>
        <v>OK</v>
      </c>
      <c r="M2673" t="str">
        <f>IF(COUNTIF(role_data[role_id],role_course_map[[#This Row],[role_id]])=0, "INVALID","VALID")</f>
        <v>VALID</v>
      </c>
      <c r="N2673" t="str">
        <f>IF(COUNTIF(course_data[course_id],role_course_map[[#This Row],[course_id]])=0, "INVALID","VALID")</f>
        <v>VALID</v>
      </c>
    </row>
    <row r="2674" spans="1:14" x14ac:dyDescent="0.35">
      <c r="A2674" t="s">
        <v>252</v>
      </c>
      <c r="B2674" s="5" t="str">
        <f>_xlfn.XLOOKUP(role_course_map[[#This Row],[role_id]], role_data[role_id], role_data[Role],"")</f>
        <v>SORT Team Leader</v>
      </c>
      <c r="C2674">
        <v>15249</v>
      </c>
      <c r="D2674" s="5" t="str">
        <f>_xlfn.XLOOKUP(role_course_map[[#This Row],[course_id]],course_data[course_id],course_data[title],"")</f>
        <v>Human trafficking</v>
      </c>
      <c r="E2674" s="5" t="str">
        <f>_xlfn.XLOOKUP(role_course_map[[#This Row],[course_id]],course_data[course_id],course_data[topic],"")</f>
        <v>SAS : Public Protection</v>
      </c>
      <c r="F2674" s="5" t="str">
        <f>_xlfn.XLOOKUP(role_course_map[[#This Row],[course_id]],course_data[course_id],course_data[type],"")</f>
        <v>eLearning</v>
      </c>
      <c r="K2674" t="str">
        <f>role_course_map[[#This Row],[role_id]] &amp; "|" &amp; role_course_map[[#This Row],[course_id]]</f>
        <v>R0120|15249</v>
      </c>
      <c r="L2674" t="str">
        <f>IF(COUNTIF(role_course_map[mapping_key],role_course_map[[#This Row],[mapping_key]])&gt;1,"DUPLICATE","OK")</f>
        <v>OK</v>
      </c>
      <c r="M2674" t="str">
        <f>IF(COUNTIF(role_data[role_id],role_course_map[[#This Row],[role_id]])=0, "INVALID","VALID")</f>
        <v>VALID</v>
      </c>
      <c r="N2674" t="str">
        <f>IF(COUNTIF(course_data[course_id],role_course_map[[#This Row],[course_id]])=0, "INVALID","VALID")</f>
        <v>VALID</v>
      </c>
    </row>
    <row r="2675" spans="1:14" x14ac:dyDescent="0.35">
      <c r="A2675" t="s">
        <v>252</v>
      </c>
      <c r="B2675" s="5" t="str">
        <f>_xlfn.XLOOKUP(role_course_map[[#This Row],[role_id]], role_data[role_id], role_data[Role],"")</f>
        <v>SORT Team Leader</v>
      </c>
      <c r="C2675">
        <v>89161</v>
      </c>
      <c r="D2675" s="5" t="str">
        <f>_xlfn.XLOOKUP(role_course_map[[#This Row],[course_id]],course_data[course_id],course_data[title],"")</f>
        <v>Personal Protective Equipment</v>
      </c>
      <c r="E2675" s="5" t="str">
        <f>_xlfn.XLOOKUP(role_course_map[[#This Row],[course_id]],course_data[course_id],course_data[topic],"")</f>
        <v>SAS : Infection Prevention and Control (IPC)</v>
      </c>
      <c r="F2675" s="5" t="str">
        <f>_xlfn.XLOOKUP(role_course_map[[#This Row],[course_id]],course_data[course_id],course_data[type],"")</f>
        <v>eLearning</v>
      </c>
      <c r="K2675" t="str">
        <f>role_course_map[[#This Row],[role_id]] &amp; "|" &amp; role_course_map[[#This Row],[course_id]]</f>
        <v>R0120|89161</v>
      </c>
      <c r="L2675" t="str">
        <f>IF(COUNTIF(role_course_map[mapping_key],role_course_map[[#This Row],[mapping_key]])&gt;1,"DUPLICATE","OK")</f>
        <v>OK</v>
      </c>
      <c r="M2675" t="str">
        <f>IF(COUNTIF(role_data[role_id],role_course_map[[#This Row],[role_id]])=0, "INVALID","VALID")</f>
        <v>VALID</v>
      </c>
      <c r="N2675" t="str">
        <f>IF(COUNTIF(course_data[course_id],role_course_map[[#This Row],[course_id]])=0, "INVALID","VALID")</f>
        <v>VALID</v>
      </c>
    </row>
    <row r="2676" spans="1:14" x14ac:dyDescent="0.35">
      <c r="A2676" t="s">
        <v>252</v>
      </c>
      <c r="B2676" s="5" t="str">
        <f>_xlfn.XLOOKUP(role_course_map[[#This Row],[role_id]], role_data[role_id], role_data[Role],"")</f>
        <v>SORT Team Leader</v>
      </c>
      <c r="C2676">
        <v>89157</v>
      </c>
      <c r="D2676" s="5" t="str">
        <f>_xlfn.XLOOKUP(role_course_map[[#This Row],[course_id]],course_data[course_id],course_data[title],"")</f>
        <v>Safe Management of Care Equipment</v>
      </c>
      <c r="E2676" s="5" t="str">
        <f>_xlfn.XLOOKUP(role_course_map[[#This Row],[course_id]],course_data[course_id],course_data[topic],"")</f>
        <v>SAS : Infection Prevention and Control (IPC)</v>
      </c>
      <c r="F2676" s="5" t="str">
        <f>_xlfn.XLOOKUP(role_course_map[[#This Row],[course_id]],course_data[course_id],course_data[type],"")</f>
        <v>eLearning</v>
      </c>
      <c r="K2676" t="str">
        <f>role_course_map[[#This Row],[role_id]] &amp; "|" &amp; role_course_map[[#This Row],[course_id]]</f>
        <v>R0120|89157</v>
      </c>
      <c r="L2676" t="str">
        <f>IF(COUNTIF(role_course_map[mapping_key],role_course_map[[#This Row],[mapping_key]])&gt;1,"DUPLICATE","OK")</f>
        <v>OK</v>
      </c>
      <c r="M2676" t="str">
        <f>IF(COUNTIF(role_data[role_id],role_course_map[[#This Row],[role_id]])=0, "INVALID","VALID")</f>
        <v>VALID</v>
      </c>
      <c r="N2676" t="str">
        <f>IF(COUNTIF(course_data[course_id],role_course_map[[#This Row],[course_id]])=0, "INVALID","VALID")</f>
        <v>VALID</v>
      </c>
    </row>
    <row r="2677" spans="1:14" x14ac:dyDescent="0.35">
      <c r="A2677" t="s">
        <v>252</v>
      </c>
      <c r="B2677" s="5" t="str">
        <f>_xlfn.XLOOKUP(role_course_map[[#This Row],[role_id]], role_data[role_id], role_data[Role],"")</f>
        <v>SORT Team Leader</v>
      </c>
      <c r="C2677">
        <v>89158</v>
      </c>
      <c r="D2677" s="5" t="str">
        <f>_xlfn.XLOOKUP(role_course_map[[#This Row],[course_id]],course_data[course_id],course_data[title],"")</f>
        <v>Safe Management of Care Environment</v>
      </c>
      <c r="E2677" s="5" t="str">
        <f>_xlfn.XLOOKUP(role_course_map[[#This Row],[course_id]],course_data[course_id],course_data[topic],"")</f>
        <v>SAS : Infection Prevention and Control (IPC)</v>
      </c>
      <c r="F2677" s="5" t="str">
        <f>_xlfn.XLOOKUP(role_course_map[[#This Row],[course_id]],course_data[course_id],course_data[type],"")</f>
        <v>eLearning</v>
      </c>
      <c r="K2677" t="str">
        <f>role_course_map[[#This Row],[role_id]] &amp; "|" &amp; role_course_map[[#This Row],[course_id]]</f>
        <v>R0120|89158</v>
      </c>
      <c r="L2677" t="str">
        <f>IF(COUNTIF(role_course_map[mapping_key],role_course_map[[#This Row],[mapping_key]])&gt;1,"DUPLICATE","OK")</f>
        <v>OK</v>
      </c>
      <c r="M2677" t="str">
        <f>IF(COUNTIF(role_data[role_id],role_course_map[[#This Row],[role_id]])=0, "INVALID","VALID")</f>
        <v>VALID</v>
      </c>
      <c r="N2677" t="str">
        <f>IF(COUNTIF(course_data[course_id],role_course_map[[#This Row],[course_id]])=0, "INVALID","VALID")</f>
        <v>VALID</v>
      </c>
    </row>
    <row r="2678" spans="1:14" x14ac:dyDescent="0.35">
      <c r="A2678" t="s">
        <v>252</v>
      </c>
      <c r="B2678" s="5" t="str">
        <f>_xlfn.XLOOKUP(role_course_map[[#This Row],[role_id]], role_data[role_id], role_data[Role],"")</f>
        <v>SORT Team Leader</v>
      </c>
      <c r="C2678">
        <v>89159</v>
      </c>
      <c r="D2678" s="5" t="str">
        <f>_xlfn.XLOOKUP(role_course_map[[#This Row],[course_id]],course_data[course_id],course_data[title],"")</f>
        <v>Safe Management of Linen</v>
      </c>
      <c r="E2678" s="5" t="str">
        <f>_xlfn.XLOOKUP(role_course_map[[#This Row],[course_id]],course_data[course_id],course_data[topic],"")</f>
        <v>SAS : Infection Prevention and Control (IPC)</v>
      </c>
      <c r="F2678" s="5" t="str">
        <f>_xlfn.XLOOKUP(role_course_map[[#This Row],[course_id]],course_data[course_id],course_data[type],"")</f>
        <v>eLearning</v>
      </c>
      <c r="K2678" t="str">
        <f>role_course_map[[#This Row],[role_id]] &amp; "|" &amp; role_course_map[[#This Row],[course_id]]</f>
        <v>R0120|89159</v>
      </c>
      <c r="L2678" t="str">
        <f>IF(COUNTIF(role_course_map[mapping_key],role_course_map[[#This Row],[mapping_key]])&gt;1,"DUPLICATE","OK")</f>
        <v>OK</v>
      </c>
      <c r="M2678" t="str">
        <f>IF(COUNTIF(role_data[role_id],role_course_map[[#This Row],[role_id]])=0, "INVALID","VALID")</f>
        <v>VALID</v>
      </c>
      <c r="N2678" t="str">
        <f>IF(COUNTIF(course_data[course_id],role_course_map[[#This Row],[course_id]])=0, "INVALID","VALID")</f>
        <v>VALID</v>
      </c>
    </row>
    <row r="2679" spans="1:14" x14ac:dyDescent="0.35">
      <c r="A2679" t="s">
        <v>252</v>
      </c>
      <c r="B2679" s="5" t="str">
        <f>_xlfn.XLOOKUP(role_course_map[[#This Row],[role_id]], role_data[role_id], role_data[Role],"")</f>
        <v>SORT Team Leader</v>
      </c>
      <c r="C2679">
        <v>89160</v>
      </c>
      <c r="D2679" s="5" t="str">
        <f>_xlfn.XLOOKUP(role_course_map[[#This Row],[course_id]],course_data[course_id],course_data[title],"")</f>
        <v>Safe Management of blood and body fluids</v>
      </c>
      <c r="E2679" s="5" t="str">
        <f>_xlfn.XLOOKUP(role_course_map[[#This Row],[course_id]],course_data[course_id],course_data[topic],"")</f>
        <v>SAS : Infection Prevention and Control (IPC)</v>
      </c>
      <c r="F2679" s="5" t="str">
        <f>_xlfn.XLOOKUP(role_course_map[[#This Row],[course_id]],course_data[course_id],course_data[type],"")</f>
        <v>eLearning</v>
      </c>
      <c r="K2679" t="str">
        <f>role_course_map[[#This Row],[role_id]] &amp; "|" &amp; role_course_map[[#This Row],[course_id]]</f>
        <v>R0120|89160</v>
      </c>
      <c r="L2679" t="str">
        <f>IF(COUNTIF(role_course_map[mapping_key],role_course_map[[#This Row],[mapping_key]])&gt;1,"DUPLICATE","OK")</f>
        <v>OK</v>
      </c>
      <c r="M2679" t="str">
        <f>IF(COUNTIF(role_data[role_id],role_course_map[[#This Row],[role_id]])=0, "INVALID","VALID")</f>
        <v>VALID</v>
      </c>
      <c r="N2679" t="str">
        <f>IF(COUNTIF(course_data[course_id],role_course_map[[#This Row],[course_id]])=0, "INVALID","VALID")</f>
        <v>VALID</v>
      </c>
    </row>
    <row r="2680" spans="1:14" x14ac:dyDescent="0.35">
      <c r="A2680" t="s">
        <v>252</v>
      </c>
      <c r="B2680" s="5" t="str">
        <f>_xlfn.XLOOKUP(role_course_map[[#This Row],[role_id]], role_data[role_id], role_data[Role],"")</f>
        <v>SORT Team Leader</v>
      </c>
      <c r="C2680">
        <v>89154</v>
      </c>
      <c r="D2680" s="5" t="str">
        <f>_xlfn.XLOOKUP(role_course_map[[#This Row],[course_id]],course_data[course_id],course_data[title],"")</f>
        <v>Safe disposal of waste</v>
      </c>
      <c r="E2680" s="5" t="str">
        <f>_xlfn.XLOOKUP(role_course_map[[#This Row],[course_id]],course_data[course_id],course_data[topic],"")</f>
        <v>SAS : Infection Prevention and Control (IPC)</v>
      </c>
      <c r="F2680" s="5" t="str">
        <f>_xlfn.XLOOKUP(role_course_map[[#This Row],[course_id]],course_data[course_id],course_data[type],"")</f>
        <v>eLearning</v>
      </c>
      <c r="K2680" t="str">
        <f>role_course_map[[#This Row],[role_id]] &amp; "|" &amp; role_course_map[[#This Row],[course_id]]</f>
        <v>R0120|89154</v>
      </c>
      <c r="L2680" t="str">
        <f>IF(COUNTIF(role_course_map[mapping_key],role_course_map[[#This Row],[mapping_key]])&gt;1,"DUPLICATE","OK")</f>
        <v>OK</v>
      </c>
      <c r="M2680" t="str">
        <f>IF(COUNTIF(role_data[role_id],role_course_map[[#This Row],[role_id]])=0, "INVALID","VALID")</f>
        <v>VALID</v>
      </c>
      <c r="N2680" t="str">
        <f>IF(COUNTIF(course_data[course_id],role_course_map[[#This Row],[course_id]])=0, "INVALID","VALID")</f>
        <v>VALID</v>
      </c>
    </row>
    <row r="2681" spans="1:14" x14ac:dyDescent="0.35">
      <c r="A2681" t="s">
        <v>252</v>
      </c>
      <c r="B2681" s="5" t="str">
        <f>_xlfn.XLOOKUP(role_course_map[[#This Row],[role_id]], role_data[role_id], role_data[Role],"")</f>
        <v>SORT Team Leader</v>
      </c>
      <c r="C2681">
        <v>89155</v>
      </c>
      <c r="D2681" s="5" t="str">
        <f>_xlfn.XLOOKUP(role_course_map[[#This Row],[course_id]],course_data[course_id],course_data[title],"")</f>
        <v>Prevention &amp; management of occupational exposure</v>
      </c>
      <c r="E2681" s="5" t="str">
        <f>_xlfn.XLOOKUP(role_course_map[[#This Row],[course_id]],course_data[course_id],course_data[topic],"")</f>
        <v>SAS : Infection Prevention and Control (IPC)</v>
      </c>
      <c r="F2681" s="5" t="str">
        <f>_xlfn.XLOOKUP(role_course_map[[#This Row],[course_id]],course_data[course_id],course_data[type],"")</f>
        <v>eLearning</v>
      </c>
      <c r="K2681" t="str">
        <f>role_course_map[[#This Row],[role_id]] &amp; "|" &amp; role_course_map[[#This Row],[course_id]]</f>
        <v>R0120|89155</v>
      </c>
      <c r="L2681" t="str">
        <f>IF(COUNTIF(role_course_map[mapping_key],role_course_map[[#This Row],[mapping_key]])&gt;1,"DUPLICATE","OK")</f>
        <v>OK</v>
      </c>
      <c r="M2681" t="str">
        <f>IF(COUNTIF(role_data[role_id],role_course_map[[#This Row],[role_id]])=0, "INVALID","VALID")</f>
        <v>VALID</v>
      </c>
      <c r="N2681" t="str">
        <f>IF(COUNTIF(course_data[course_id],role_course_map[[#This Row],[course_id]])=0, "INVALID","VALID")</f>
        <v>VALID</v>
      </c>
    </row>
    <row r="2682" spans="1:14" x14ac:dyDescent="0.35">
      <c r="A2682" t="s">
        <v>252</v>
      </c>
      <c r="B2682" s="5" t="str">
        <f>_xlfn.XLOOKUP(role_course_map[[#This Row],[role_id]], role_data[role_id], role_data[Role],"")</f>
        <v>SORT Team Leader</v>
      </c>
      <c r="C2682">
        <v>999064</v>
      </c>
      <c r="D2682" s="5" t="str">
        <f>_xlfn.XLOOKUP(role_course_map[[#This Row],[course_id]],course_data[course_id],course_data[title],"")</f>
        <v>Infection prevention and control: Clostridioides difficile infection</v>
      </c>
      <c r="E2682" s="5" t="str">
        <f>_xlfn.XLOOKUP(role_course_map[[#This Row],[course_id]],course_data[course_id],course_data[topic],"")</f>
        <v>SAS : Infection Prevention and Control (IPC)</v>
      </c>
      <c r="F2682" s="5" t="str">
        <f>_xlfn.XLOOKUP(role_course_map[[#This Row],[course_id]],course_data[course_id],course_data[type],"")</f>
        <v>eLearning</v>
      </c>
      <c r="K2682" t="str">
        <f>role_course_map[[#This Row],[role_id]] &amp; "|" &amp; role_course_map[[#This Row],[course_id]]</f>
        <v>R0120|999064</v>
      </c>
      <c r="L2682" t="str">
        <f>IF(COUNTIF(role_course_map[mapping_key],role_course_map[[#This Row],[mapping_key]])&gt;1,"DUPLICATE","OK")</f>
        <v>OK</v>
      </c>
      <c r="M2682" t="str">
        <f>IF(COUNTIF(role_data[role_id],role_course_map[[#This Row],[role_id]])=0, "INVALID","VALID")</f>
        <v>VALID</v>
      </c>
      <c r="N2682" t="str">
        <f>IF(COUNTIF(course_data[course_id],role_course_map[[#This Row],[course_id]])=0, "INVALID","VALID")</f>
        <v>VALID</v>
      </c>
    </row>
    <row r="2683" spans="1:14" x14ac:dyDescent="0.35">
      <c r="A2683" t="s">
        <v>252</v>
      </c>
      <c r="B2683" s="5" t="str">
        <f>_xlfn.XLOOKUP(role_course_map[[#This Row],[role_id]], role_data[role_id], role_data[Role],"")</f>
        <v>SORT Team Leader</v>
      </c>
      <c r="C2683">
        <v>3588</v>
      </c>
      <c r="D2683" s="5" t="str">
        <f>_xlfn.XLOOKUP(role_course_map[[#This Row],[course_id]],course_data[course_id],course_data[title],"")</f>
        <v>Antibiotic management</v>
      </c>
      <c r="E2683" s="5" t="str">
        <f>_xlfn.XLOOKUP(role_course_map[[#This Row],[course_id]],course_data[course_id],course_data[topic],"")</f>
        <v>SAS : Clinical Practice</v>
      </c>
      <c r="F2683" s="5" t="str">
        <f>_xlfn.XLOOKUP(role_course_map[[#This Row],[course_id]],course_data[course_id],course_data[type],"")</f>
        <v>Page</v>
      </c>
      <c r="K2683" t="str">
        <f>role_course_map[[#This Row],[role_id]] &amp; "|" &amp; role_course_map[[#This Row],[course_id]]</f>
        <v>R0120|3588</v>
      </c>
      <c r="L2683" t="str">
        <f>IF(COUNTIF(role_course_map[mapping_key],role_course_map[[#This Row],[mapping_key]])&gt;1,"DUPLICATE","OK")</f>
        <v>OK</v>
      </c>
      <c r="M2683" t="str">
        <f>IF(COUNTIF(role_data[role_id],role_course_map[[#This Row],[role_id]])=0, "INVALID","VALID")</f>
        <v>VALID</v>
      </c>
      <c r="N2683" t="str">
        <f>IF(COUNTIF(course_data[course_id],role_course_map[[#This Row],[course_id]])=0, "INVALID","VALID")</f>
        <v>VALID</v>
      </c>
    </row>
    <row r="2684" spans="1:14" x14ac:dyDescent="0.35">
      <c r="A2684" t="s">
        <v>252</v>
      </c>
      <c r="B2684" s="5" t="str">
        <f>_xlfn.XLOOKUP(role_course_map[[#This Row],[role_id]], role_data[role_id], role_data[Role],"")</f>
        <v>SORT Team Leader</v>
      </c>
      <c r="C2684">
        <v>82383</v>
      </c>
      <c r="D2684" s="5" t="str">
        <f>_xlfn.XLOOKUP(role_course_map[[#This Row],[course_id]],course_data[course_id],course_data[title],"")</f>
        <v>Aseptic technique</v>
      </c>
      <c r="E2684" s="5" t="str">
        <f>_xlfn.XLOOKUP(role_course_map[[#This Row],[course_id]],course_data[course_id],course_data[topic],"")</f>
        <v>SAS : Infection Prevention and Control (IPC)</v>
      </c>
      <c r="F2684" s="5" t="str">
        <f>_xlfn.XLOOKUP(role_course_map[[#This Row],[course_id]],course_data[course_id],course_data[type],"")</f>
        <v>eLearning</v>
      </c>
      <c r="K2684" t="str">
        <f>role_course_map[[#This Row],[role_id]] &amp; "|" &amp; role_course_map[[#This Row],[course_id]]</f>
        <v>R0120|82383</v>
      </c>
      <c r="L2684" t="str">
        <f>IF(COUNTIF(role_course_map[mapping_key],role_course_map[[#This Row],[mapping_key]])&gt;1,"DUPLICATE","OK")</f>
        <v>OK</v>
      </c>
      <c r="M2684" t="str">
        <f>IF(COUNTIF(role_data[role_id],role_course_map[[#This Row],[role_id]])=0, "INVALID","VALID")</f>
        <v>VALID</v>
      </c>
      <c r="N2684" t="str">
        <f>IF(COUNTIF(course_data[course_id],role_course_map[[#This Row],[course_id]])=0, "INVALID","VALID")</f>
        <v>VALID</v>
      </c>
    </row>
    <row r="2685" spans="1:14" x14ac:dyDescent="0.35">
      <c r="A2685" t="s">
        <v>252</v>
      </c>
      <c r="B2685" s="5" t="str">
        <f>_xlfn.XLOOKUP(role_course_map[[#This Row],[role_id]], role_data[role_id], role_data[Role],"")</f>
        <v>SORT Team Leader</v>
      </c>
      <c r="C2685">
        <v>3886</v>
      </c>
      <c r="D2685" s="5" t="str">
        <f>_xlfn.XLOOKUP(role_course_map[[#This Row],[course_id]],course_data[course_id],course_data[title],"")</f>
        <v>Prevention and management of pressure ulcers</v>
      </c>
      <c r="E2685" s="5" t="str">
        <f>_xlfn.XLOOKUP(role_course_map[[#This Row],[course_id]],course_data[course_id],course_data[topic],"")</f>
        <v>SAS : Clinical Practice</v>
      </c>
      <c r="F2685" s="5" t="str">
        <f>_xlfn.XLOOKUP(role_course_map[[#This Row],[course_id]],course_data[course_id],course_data[type],"")</f>
        <v>Page</v>
      </c>
      <c r="K2685" t="str">
        <f>role_course_map[[#This Row],[role_id]] &amp; "|" &amp; role_course_map[[#This Row],[course_id]]</f>
        <v>R0120|3886</v>
      </c>
      <c r="L2685" t="str">
        <f>IF(COUNTIF(role_course_map[mapping_key],role_course_map[[#This Row],[mapping_key]])&gt;1,"DUPLICATE","OK")</f>
        <v>OK</v>
      </c>
      <c r="M2685" t="str">
        <f>IF(COUNTIF(role_data[role_id],role_course_map[[#This Row],[role_id]])=0, "INVALID","VALID")</f>
        <v>VALID</v>
      </c>
      <c r="N2685" t="str">
        <f>IF(COUNTIF(course_data[course_id],role_course_map[[#This Row],[course_id]])=0, "INVALID","VALID")</f>
        <v>VALID</v>
      </c>
    </row>
    <row r="2686" spans="1:14" x14ac:dyDescent="0.35">
      <c r="A2686" t="s">
        <v>252</v>
      </c>
      <c r="B2686" s="5" t="str">
        <f>_xlfn.XLOOKUP(role_course_map[[#This Row],[role_id]], role_data[role_id], role_data[Role],"")</f>
        <v>SORT Team Leader</v>
      </c>
      <c r="C2686">
        <v>999092</v>
      </c>
      <c r="D2686" s="5" t="str">
        <f>_xlfn.XLOOKUP(role_course_map[[#This Row],[course_id]],course_data[course_id],course_data[title],"")</f>
        <v>Health &amp; Wellbeing Awareness for Managers</v>
      </c>
      <c r="E2686" s="5" t="str">
        <f>_xlfn.XLOOKUP(role_course_map[[#This Row],[course_id]],course_data[course_id],course_data[topic],"")</f>
        <v>SAS: Staff development and experience</v>
      </c>
      <c r="F2686" s="5" t="str">
        <f>_xlfn.XLOOKUP(role_course_map[[#This Row],[course_id]],course_data[course_id],course_data[type],"")</f>
        <v>eLearning</v>
      </c>
      <c r="K2686" t="str">
        <f>role_course_map[[#This Row],[role_id]] &amp; "|" &amp; role_course_map[[#This Row],[course_id]]</f>
        <v>R0120|999092</v>
      </c>
      <c r="L2686" t="str">
        <f>IF(COUNTIF(role_course_map[mapping_key],role_course_map[[#This Row],[mapping_key]])&gt;1,"DUPLICATE","OK")</f>
        <v>OK</v>
      </c>
      <c r="M2686" t="str">
        <f>IF(COUNTIF(role_data[role_id],role_course_map[[#This Row],[role_id]])=0, "INVALID","VALID")</f>
        <v>VALID</v>
      </c>
      <c r="N2686" t="str">
        <f>IF(COUNTIF(course_data[course_id],role_course_map[[#This Row],[course_id]])=0, "INVALID","VALID")</f>
        <v>VALID</v>
      </c>
    </row>
    <row r="2687" spans="1:14" x14ac:dyDescent="0.35">
      <c r="A2687" t="s">
        <v>252</v>
      </c>
      <c r="B2687" s="5" t="str">
        <f>_xlfn.XLOOKUP(role_course_map[[#This Row],[role_id]], role_data[role_id], role_data[Role],"")</f>
        <v>SORT Team Leader</v>
      </c>
      <c r="C2687">
        <v>999093</v>
      </c>
      <c r="D2687" s="5" t="str">
        <f>_xlfn.XLOOKUP(role_course_map[[#This Row],[course_id]],course_data[course_id],course_data[title],"")</f>
        <v>Managing Wellbeing Refresher for Managers</v>
      </c>
      <c r="E2687" s="5" t="str">
        <f>_xlfn.XLOOKUP(role_course_map[[#This Row],[course_id]],course_data[course_id],course_data[topic],"")</f>
        <v>SAS: Staff development and experience</v>
      </c>
      <c r="F2687" s="5" t="str">
        <f>_xlfn.XLOOKUP(role_course_map[[#This Row],[course_id]],course_data[course_id],course_data[type],"")</f>
        <v>eLearning</v>
      </c>
      <c r="K2687" t="str">
        <f>role_course_map[[#This Row],[role_id]] &amp; "|" &amp; role_course_map[[#This Row],[course_id]]</f>
        <v>R0120|999093</v>
      </c>
      <c r="L2687" t="str">
        <f>IF(COUNTIF(role_course_map[mapping_key],role_course_map[[#This Row],[mapping_key]])&gt;1,"DUPLICATE","OK")</f>
        <v>OK</v>
      </c>
      <c r="M2687" t="str">
        <f>IF(COUNTIF(role_data[role_id],role_course_map[[#This Row],[role_id]])=0, "INVALID","VALID")</f>
        <v>VALID</v>
      </c>
      <c r="N2687" t="str">
        <f>IF(COUNTIF(course_data[course_id],role_course_map[[#This Row],[course_id]])=0, "INVALID","VALID")</f>
        <v>VALID</v>
      </c>
    </row>
    <row r="2688" spans="1:14" x14ac:dyDescent="0.35">
      <c r="A2688" t="s">
        <v>252</v>
      </c>
      <c r="B2688" s="5" t="str">
        <f>_xlfn.XLOOKUP(role_course_map[[#This Row],[role_id]], role_data[role_id], role_data[Role],"")</f>
        <v>SORT Team Leader</v>
      </c>
      <c r="C2688">
        <v>999094</v>
      </c>
      <c r="D2688" s="5" t="str">
        <f>_xlfn.XLOOKUP(role_course_map[[#This Row],[course_id]],course_data[course_id],course_data[title],"")</f>
        <v>Being well, Mind, Body &amp; Workplace</v>
      </c>
      <c r="E2688" s="5" t="str">
        <f>_xlfn.XLOOKUP(role_course_map[[#This Row],[course_id]],course_data[course_id],course_data[topic],"")</f>
        <v>SAS: Staff development and experience</v>
      </c>
      <c r="F2688" s="5" t="str">
        <f>_xlfn.XLOOKUP(role_course_map[[#This Row],[course_id]],course_data[course_id],course_data[type],"")</f>
        <v>eLearning</v>
      </c>
      <c r="K2688" t="str">
        <f>role_course_map[[#This Row],[role_id]] &amp; "|" &amp; role_course_map[[#This Row],[course_id]]</f>
        <v>R0120|999094</v>
      </c>
      <c r="L2688" t="str">
        <f>IF(COUNTIF(role_course_map[mapping_key],role_course_map[[#This Row],[mapping_key]])&gt;1,"DUPLICATE","OK")</f>
        <v>OK</v>
      </c>
      <c r="M2688" t="str">
        <f>IF(COUNTIF(role_data[role_id],role_course_map[[#This Row],[role_id]])=0, "INVALID","VALID")</f>
        <v>VALID</v>
      </c>
      <c r="N2688" t="str">
        <f>IF(COUNTIF(course_data[course_id],role_course_map[[#This Row],[course_id]])=0, "INVALID","VALID")</f>
        <v>VALID</v>
      </c>
    </row>
    <row r="2689" spans="1:14" x14ac:dyDescent="0.35">
      <c r="A2689" t="s">
        <v>439</v>
      </c>
      <c r="B2689" s="5" t="str">
        <f>_xlfn.XLOOKUP(role_course_map[[#This Row],[role_id]], role_data[role_id], role_data[Role],"")</f>
        <v>Administration Assistant</v>
      </c>
      <c r="C2689">
        <v>999056</v>
      </c>
      <c r="D2689" s="5" t="str">
        <f>_xlfn.XLOOKUP(role_course_map[[#This Row],[course_id]],course_data[course_id],course_data[title],"")</f>
        <v>Driver Assessment &amp; Training</v>
      </c>
      <c r="E2689" s="5" t="str">
        <f>_xlfn.XLOOKUP(role_course_map[[#This Row],[course_id]],course_data[course_id],course_data[topic],"")</f>
        <v>SAS : Health and Safety</v>
      </c>
      <c r="F2689" s="5" t="str">
        <f>_xlfn.XLOOKUP(role_course_map[[#This Row],[course_id]],course_data[course_id],course_data[type],"")</f>
        <v>eLearning</v>
      </c>
      <c r="K2689" t="str">
        <f>role_course_map[[#This Row],[role_id]] &amp; "|" &amp; role_course_map[[#This Row],[course_id]]</f>
        <v>R0209|999056</v>
      </c>
      <c r="L2689" t="str">
        <f>IF(COUNTIF(role_course_map[mapping_key],role_course_map[[#This Row],[mapping_key]])&gt;1,"DUPLICATE","OK")</f>
        <v>OK</v>
      </c>
      <c r="M2689" t="str">
        <f>IF(COUNTIF(role_data[role_id],role_course_map[[#This Row],[role_id]])=0, "INVALID","VALID")</f>
        <v>VALID</v>
      </c>
      <c r="N2689" t="str">
        <f>IF(COUNTIF(course_data[course_id],role_course_map[[#This Row],[course_id]])=0, "INVALID","VALID")</f>
        <v>VALID</v>
      </c>
    </row>
    <row r="2690" spans="1:14" x14ac:dyDescent="0.35">
      <c r="A2690" t="s">
        <v>439</v>
      </c>
      <c r="B2690" s="5" t="str">
        <f>_xlfn.XLOOKUP(role_course_map[[#This Row],[role_id]], role_data[role_id], role_data[Role],"")</f>
        <v>Administration Assistant</v>
      </c>
      <c r="C2690">
        <v>999057</v>
      </c>
      <c r="D2690" s="5" t="str">
        <f>_xlfn.XLOOKUP(role_course_map[[#This Row],[course_id]],course_data[course_id],course_data[title],"")</f>
        <v>Fatigue Awareness</v>
      </c>
      <c r="E2690" s="5" t="str">
        <f>_xlfn.XLOOKUP(role_course_map[[#This Row],[course_id]],course_data[course_id],course_data[topic],"")</f>
        <v>SAS : Health and Safety</v>
      </c>
      <c r="F2690" s="5" t="str">
        <f>_xlfn.XLOOKUP(role_course_map[[#This Row],[course_id]],course_data[course_id],course_data[type],"")</f>
        <v>eLearning</v>
      </c>
      <c r="K2690" t="str">
        <f>role_course_map[[#This Row],[role_id]] &amp; "|" &amp; role_course_map[[#This Row],[course_id]]</f>
        <v>R0209|999057</v>
      </c>
      <c r="L2690" t="str">
        <f>IF(COUNTIF(role_course_map[mapping_key],role_course_map[[#This Row],[mapping_key]])&gt;1,"DUPLICATE","OK")</f>
        <v>OK</v>
      </c>
      <c r="M2690" t="str">
        <f>IF(COUNTIF(role_data[role_id],role_course_map[[#This Row],[role_id]])=0, "INVALID","VALID")</f>
        <v>VALID</v>
      </c>
      <c r="N2690" t="str">
        <f>IF(COUNTIF(course_data[course_id],role_course_map[[#This Row],[course_id]])=0, "INVALID","VALID")</f>
        <v>VALID</v>
      </c>
    </row>
    <row r="2691" spans="1:14" x14ac:dyDescent="0.35">
      <c r="A2691" t="s">
        <v>439</v>
      </c>
      <c r="B2691" s="5" t="str">
        <f>_xlfn.XLOOKUP(role_course_map[[#This Row],[role_id]], role_data[role_id], role_data[Role],"")</f>
        <v>Administration Assistant</v>
      </c>
      <c r="C2691">
        <v>999058</v>
      </c>
      <c r="D2691" s="5" t="str">
        <f>_xlfn.XLOOKUP(role_course_map[[#This Row],[course_id]],course_data[course_id],course_data[title],"")</f>
        <v>Stress Identification &amp; Stress Management</v>
      </c>
      <c r="E2691" s="5" t="str">
        <f>_xlfn.XLOOKUP(role_course_map[[#This Row],[course_id]],course_data[course_id],course_data[topic],"")</f>
        <v>SAS : Health and Safety</v>
      </c>
      <c r="F2691" s="5" t="str">
        <f>_xlfn.XLOOKUP(role_course_map[[#This Row],[course_id]],course_data[course_id],course_data[type],"")</f>
        <v>eLearning</v>
      </c>
      <c r="K2691" t="str">
        <f>role_course_map[[#This Row],[role_id]] &amp; "|" &amp; role_course_map[[#This Row],[course_id]]</f>
        <v>R0209|999058</v>
      </c>
      <c r="L2691" t="str">
        <f>IF(COUNTIF(role_course_map[mapping_key],role_course_map[[#This Row],[mapping_key]])&gt;1,"DUPLICATE","OK")</f>
        <v>OK</v>
      </c>
      <c r="M2691" t="str">
        <f>IF(COUNTIF(role_data[role_id],role_course_map[[#This Row],[role_id]])=0, "INVALID","VALID")</f>
        <v>VALID</v>
      </c>
      <c r="N2691" t="str">
        <f>IF(COUNTIF(course_data[course_id],role_course_map[[#This Row],[course_id]])=0, "INVALID","VALID")</f>
        <v>VALID</v>
      </c>
    </row>
    <row r="2692" spans="1:14" x14ac:dyDescent="0.35">
      <c r="A2692" t="s">
        <v>439</v>
      </c>
      <c r="B2692" s="5" t="str">
        <f>_xlfn.XLOOKUP(role_course_map[[#This Row],[role_id]], role_data[role_id], role_data[Role],"")</f>
        <v>Administration Assistant</v>
      </c>
      <c r="C2692">
        <v>999094</v>
      </c>
      <c r="D2692" s="5" t="str">
        <f>_xlfn.XLOOKUP(role_course_map[[#This Row],[course_id]],course_data[course_id],course_data[title],"")</f>
        <v>Being well, Mind, Body &amp; Workplace</v>
      </c>
      <c r="E2692" s="5" t="str">
        <f>_xlfn.XLOOKUP(role_course_map[[#This Row],[course_id]],course_data[course_id],course_data[topic],"")</f>
        <v>SAS: Staff development and experience</v>
      </c>
      <c r="F2692" s="5" t="str">
        <f>_xlfn.XLOOKUP(role_course_map[[#This Row],[course_id]],course_data[course_id],course_data[type],"")</f>
        <v>eLearning</v>
      </c>
      <c r="K2692" t="str">
        <f>role_course_map[[#This Row],[role_id]] &amp; "|" &amp; role_course_map[[#This Row],[course_id]]</f>
        <v>R0209|999094</v>
      </c>
      <c r="L2692" t="str">
        <f>IF(COUNTIF(role_course_map[mapping_key],role_course_map[[#This Row],[mapping_key]])&gt;1,"DUPLICATE","OK")</f>
        <v>OK</v>
      </c>
      <c r="M2692" t="str">
        <f>IF(COUNTIF(role_data[role_id],role_course_map[[#This Row],[role_id]])=0, "INVALID","VALID")</f>
        <v>VALID</v>
      </c>
      <c r="N2692" t="str">
        <f>IF(COUNTIF(course_data[course_id],role_course_map[[#This Row],[course_id]])=0, "INVALID","VALID")</f>
        <v>VALID</v>
      </c>
    </row>
    <row r="2693" spans="1:14" x14ac:dyDescent="0.35">
      <c r="A2693" t="s">
        <v>443</v>
      </c>
      <c r="B2693" s="5" t="str">
        <f>_xlfn.XLOOKUP(role_course_map[[#This Row],[role_id]], role_data[role_id], role_data[Role],"")</f>
        <v>Administration Officer</v>
      </c>
      <c r="C2693">
        <v>999056</v>
      </c>
      <c r="D2693" s="5" t="str">
        <f>_xlfn.XLOOKUP(role_course_map[[#This Row],[course_id]],course_data[course_id],course_data[title],"")</f>
        <v>Driver Assessment &amp; Training</v>
      </c>
      <c r="E2693" s="5" t="str">
        <f>_xlfn.XLOOKUP(role_course_map[[#This Row],[course_id]],course_data[course_id],course_data[topic],"")</f>
        <v>SAS : Health and Safety</v>
      </c>
      <c r="F2693" s="5" t="str">
        <f>_xlfn.XLOOKUP(role_course_map[[#This Row],[course_id]],course_data[course_id],course_data[type],"")</f>
        <v>eLearning</v>
      </c>
      <c r="K2693" t="str">
        <f>role_course_map[[#This Row],[role_id]] &amp; "|" &amp; role_course_map[[#This Row],[course_id]]</f>
        <v>R0210|999056</v>
      </c>
      <c r="L2693" t="str">
        <f>IF(COUNTIF(role_course_map[mapping_key],role_course_map[[#This Row],[mapping_key]])&gt;1,"DUPLICATE","OK")</f>
        <v>OK</v>
      </c>
      <c r="M2693" t="str">
        <f>IF(COUNTIF(role_data[role_id],role_course_map[[#This Row],[role_id]])=0, "INVALID","VALID")</f>
        <v>VALID</v>
      </c>
      <c r="N2693" t="str">
        <f>IF(COUNTIF(course_data[course_id],role_course_map[[#This Row],[course_id]])=0, "INVALID","VALID")</f>
        <v>VALID</v>
      </c>
    </row>
    <row r="2694" spans="1:14" x14ac:dyDescent="0.35">
      <c r="A2694" t="s">
        <v>443</v>
      </c>
      <c r="B2694" s="5" t="str">
        <f>_xlfn.XLOOKUP(role_course_map[[#This Row],[role_id]], role_data[role_id], role_data[Role],"")</f>
        <v>Administration Officer</v>
      </c>
      <c r="C2694">
        <v>999057</v>
      </c>
      <c r="D2694" s="5" t="str">
        <f>_xlfn.XLOOKUP(role_course_map[[#This Row],[course_id]],course_data[course_id],course_data[title],"")</f>
        <v>Fatigue Awareness</v>
      </c>
      <c r="E2694" s="5" t="str">
        <f>_xlfn.XLOOKUP(role_course_map[[#This Row],[course_id]],course_data[course_id],course_data[topic],"")</f>
        <v>SAS : Health and Safety</v>
      </c>
      <c r="F2694" s="5" t="str">
        <f>_xlfn.XLOOKUP(role_course_map[[#This Row],[course_id]],course_data[course_id],course_data[type],"")</f>
        <v>eLearning</v>
      </c>
      <c r="K2694" t="str">
        <f>role_course_map[[#This Row],[role_id]] &amp; "|" &amp; role_course_map[[#This Row],[course_id]]</f>
        <v>R0210|999057</v>
      </c>
      <c r="L2694" t="str">
        <f>IF(COUNTIF(role_course_map[mapping_key],role_course_map[[#This Row],[mapping_key]])&gt;1,"DUPLICATE","OK")</f>
        <v>OK</v>
      </c>
      <c r="M2694" t="str">
        <f>IF(COUNTIF(role_data[role_id],role_course_map[[#This Row],[role_id]])=0, "INVALID","VALID")</f>
        <v>VALID</v>
      </c>
      <c r="N2694" t="str">
        <f>IF(COUNTIF(course_data[course_id],role_course_map[[#This Row],[course_id]])=0, "INVALID","VALID")</f>
        <v>VALID</v>
      </c>
    </row>
    <row r="2695" spans="1:14" x14ac:dyDescent="0.35">
      <c r="A2695" t="s">
        <v>443</v>
      </c>
      <c r="B2695" s="5" t="str">
        <f>_xlfn.XLOOKUP(role_course_map[[#This Row],[role_id]], role_data[role_id], role_data[Role],"")</f>
        <v>Administration Officer</v>
      </c>
      <c r="C2695">
        <v>999058</v>
      </c>
      <c r="D2695" s="5" t="str">
        <f>_xlfn.XLOOKUP(role_course_map[[#This Row],[course_id]],course_data[course_id],course_data[title],"")</f>
        <v>Stress Identification &amp; Stress Management</v>
      </c>
      <c r="E2695" s="5" t="str">
        <f>_xlfn.XLOOKUP(role_course_map[[#This Row],[course_id]],course_data[course_id],course_data[topic],"")</f>
        <v>SAS : Health and Safety</v>
      </c>
      <c r="F2695" s="5" t="str">
        <f>_xlfn.XLOOKUP(role_course_map[[#This Row],[course_id]],course_data[course_id],course_data[type],"")</f>
        <v>eLearning</v>
      </c>
      <c r="K2695" t="str">
        <f>role_course_map[[#This Row],[role_id]] &amp; "|" &amp; role_course_map[[#This Row],[course_id]]</f>
        <v>R0210|999058</v>
      </c>
      <c r="L2695" t="str">
        <f>IF(COUNTIF(role_course_map[mapping_key],role_course_map[[#This Row],[mapping_key]])&gt;1,"DUPLICATE","OK")</f>
        <v>OK</v>
      </c>
      <c r="M2695" t="str">
        <f>IF(COUNTIF(role_data[role_id],role_course_map[[#This Row],[role_id]])=0, "INVALID","VALID")</f>
        <v>VALID</v>
      </c>
      <c r="N2695" t="str">
        <f>IF(COUNTIF(course_data[course_id],role_course_map[[#This Row],[course_id]])=0, "INVALID","VALID")</f>
        <v>VALID</v>
      </c>
    </row>
    <row r="2696" spans="1:14" x14ac:dyDescent="0.35">
      <c r="A2696" t="s">
        <v>443</v>
      </c>
      <c r="B2696" s="5" t="str">
        <f>_xlfn.XLOOKUP(role_course_map[[#This Row],[role_id]], role_data[role_id], role_data[Role],"")</f>
        <v>Administration Officer</v>
      </c>
      <c r="C2696">
        <v>999094</v>
      </c>
      <c r="D2696" s="5" t="str">
        <f>_xlfn.XLOOKUP(role_course_map[[#This Row],[course_id]],course_data[course_id],course_data[title],"")</f>
        <v>Being well, Mind, Body &amp; Workplace</v>
      </c>
      <c r="E2696" s="5" t="str">
        <f>_xlfn.XLOOKUP(role_course_map[[#This Row],[course_id]],course_data[course_id],course_data[topic],"")</f>
        <v>SAS: Staff development and experience</v>
      </c>
      <c r="F2696" s="5" t="str">
        <f>_xlfn.XLOOKUP(role_course_map[[#This Row],[course_id]],course_data[course_id],course_data[type],"")</f>
        <v>eLearning</v>
      </c>
      <c r="K2696" t="str">
        <f>role_course_map[[#This Row],[role_id]] &amp; "|" &amp; role_course_map[[#This Row],[course_id]]</f>
        <v>R0210|999094</v>
      </c>
      <c r="L2696" t="str">
        <f>IF(COUNTIF(role_course_map[mapping_key],role_course_map[[#This Row],[mapping_key]])&gt;1,"DUPLICATE","OK")</f>
        <v>OK</v>
      </c>
      <c r="M2696" t="str">
        <f>IF(COUNTIF(role_data[role_id],role_course_map[[#This Row],[role_id]])=0, "INVALID","VALID")</f>
        <v>VALID</v>
      </c>
      <c r="N2696" t="str">
        <f>IF(COUNTIF(course_data[course_id],role_course_map[[#This Row],[course_id]])=0, "INVALID","VALID")</f>
        <v>VALID</v>
      </c>
    </row>
    <row r="2697" spans="1:14" x14ac:dyDescent="0.35">
      <c r="A2697" t="s">
        <v>445</v>
      </c>
      <c r="B2697" s="5" t="str">
        <f>_xlfn.XLOOKUP(role_course_map[[#This Row],[role_id]], role_data[role_id], role_data[Role],"")</f>
        <v>Administration Support</v>
      </c>
      <c r="C2697">
        <v>999056</v>
      </c>
      <c r="D2697" s="5" t="str">
        <f>_xlfn.XLOOKUP(role_course_map[[#This Row],[course_id]],course_data[course_id],course_data[title],"")</f>
        <v>Driver Assessment &amp; Training</v>
      </c>
      <c r="E2697" s="5" t="str">
        <f>_xlfn.XLOOKUP(role_course_map[[#This Row],[course_id]],course_data[course_id],course_data[topic],"")</f>
        <v>SAS : Health and Safety</v>
      </c>
      <c r="F2697" s="5" t="str">
        <f>_xlfn.XLOOKUP(role_course_map[[#This Row],[course_id]],course_data[course_id],course_data[type],"")</f>
        <v>eLearning</v>
      </c>
      <c r="K2697" t="str">
        <f>role_course_map[[#This Row],[role_id]] &amp; "|" &amp; role_course_map[[#This Row],[course_id]]</f>
        <v>R0211|999056</v>
      </c>
      <c r="L2697" t="str">
        <f>IF(COUNTIF(role_course_map[mapping_key],role_course_map[[#This Row],[mapping_key]])&gt;1,"DUPLICATE","OK")</f>
        <v>OK</v>
      </c>
      <c r="M2697" t="str">
        <f>IF(COUNTIF(role_data[role_id],role_course_map[[#This Row],[role_id]])=0, "INVALID","VALID")</f>
        <v>VALID</v>
      </c>
      <c r="N2697" t="str">
        <f>IF(COUNTIF(course_data[course_id],role_course_map[[#This Row],[course_id]])=0, "INVALID","VALID")</f>
        <v>VALID</v>
      </c>
    </row>
    <row r="2698" spans="1:14" x14ac:dyDescent="0.35">
      <c r="A2698" t="s">
        <v>445</v>
      </c>
      <c r="B2698" s="5" t="str">
        <f>_xlfn.XLOOKUP(role_course_map[[#This Row],[role_id]], role_data[role_id], role_data[Role],"")</f>
        <v>Administration Support</v>
      </c>
      <c r="C2698">
        <v>999057</v>
      </c>
      <c r="D2698" s="5" t="str">
        <f>_xlfn.XLOOKUP(role_course_map[[#This Row],[course_id]],course_data[course_id],course_data[title],"")</f>
        <v>Fatigue Awareness</v>
      </c>
      <c r="E2698" s="5" t="str">
        <f>_xlfn.XLOOKUP(role_course_map[[#This Row],[course_id]],course_data[course_id],course_data[topic],"")</f>
        <v>SAS : Health and Safety</v>
      </c>
      <c r="F2698" s="5" t="str">
        <f>_xlfn.XLOOKUP(role_course_map[[#This Row],[course_id]],course_data[course_id],course_data[type],"")</f>
        <v>eLearning</v>
      </c>
      <c r="K2698" t="str">
        <f>role_course_map[[#This Row],[role_id]] &amp; "|" &amp; role_course_map[[#This Row],[course_id]]</f>
        <v>R0211|999057</v>
      </c>
      <c r="L2698" t="str">
        <f>IF(COUNTIF(role_course_map[mapping_key],role_course_map[[#This Row],[mapping_key]])&gt;1,"DUPLICATE","OK")</f>
        <v>OK</v>
      </c>
      <c r="M2698" t="str">
        <f>IF(COUNTIF(role_data[role_id],role_course_map[[#This Row],[role_id]])=0, "INVALID","VALID")</f>
        <v>VALID</v>
      </c>
      <c r="N2698" t="str">
        <f>IF(COUNTIF(course_data[course_id],role_course_map[[#This Row],[course_id]])=0, "INVALID","VALID")</f>
        <v>VALID</v>
      </c>
    </row>
    <row r="2699" spans="1:14" x14ac:dyDescent="0.35">
      <c r="A2699" t="s">
        <v>445</v>
      </c>
      <c r="B2699" s="5" t="str">
        <f>_xlfn.XLOOKUP(role_course_map[[#This Row],[role_id]], role_data[role_id], role_data[Role],"")</f>
        <v>Administration Support</v>
      </c>
      <c r="C2699">
        <v>999058</v>
      </c>
      <c r="D2699" s="5" t="str">
        <f>_xlfn.XLOOKUP(role_course_map[[#This Row],[course_id]],course_data[course_id],course_data[title],"")</f>
        <v>Stress Identification &amp; Stress Management</v>
      </c>
      <c r="E2699" s="5" t="str">
        <f>_xlfn.XLOOKUP(role_course_map[[#This Row],[course_id]],course_data[course_id],course_data[topic],"")</f>
        <v>SAS : Health and Safety</v>
      </c>
      <c r="F2699" s="5" t="str">
        <f>_xlfn.XLOOKUP(role_course_map[[#This Row],[course_id]],course_data[course_id],course_data[type],"")</f>
        <v>eLearning</v>
      </c>
      <c r="K2699" t="str">
        <f>role_course_map[[#This Row],[role_id]] &amp; "|" &amp; role_course_map[[#This Row],[course_id]]</f>
        <v>R0211|999058</v>
      </c>
      <c r="L2699" t="str">
        <f>IF(COUNTIF(role_course_map[mapping_key],role_course_map[[#This Row],[mapping_key]])&gt;1,"DUPLICATE","OK")</f>
        <v>OK</v>
      </c>
      <c r="M2699" t="str">
        <f>IF(COUNTIF(role_data[role_id],role_course_map[[#This Row],[role_id]])=0, "INVALID","VALID")</f>
        <v>VALID</v>
      </c>
      <c r="N2699" t="str">
        <f>IF(COUNTIF(course_data[course_id],role_course_map[[#This Row],[course_id]])=0, "INVALID","VALID")</f>
        <v>VALID</v>
      </c>
    </row>
    <row r="2700" spans="1:14" x14ac:dyDescent="0.35">
      <c r="A2700" t="s">
        <v>445</v>
      </c>
      <c r="B2700" s="5" t="str">
        <f>_xlfn.XLOOKUP(role_course_map[[#This Row],[role_id]], role_data[role_id], role_data[Role],"")</f>
        <v>Administration Support</v>
      </c>
      <c r="C2700">
        <v>999094</v>
      </c>
      <c r="D2700" s="5" t="str">
        <f>_xlfn.XLOOKUP(role_course_map[[#This Row],[course_id]],course_data[course_id],course_data[title],"")</f>
        <v>Being well, Mind, Body &amp; Workplace</v>
      </c>
      <c r="E2700" s="5" t="str">
        <f>_xlfn.XLOOKUP(role_course_map[[#This Row],[course_id]],course_data[course_id],course_data[topic],"")</f>
        <v>SAS: Staff development and experience</v>
      </c>
      <c r="F2700" s="5" t="str">
        <f>_xlfn.XLOOKUP(role_course_map[[#This Row],[course_id]],course_data[course_id],course_data[type],"")</f>
        <v>eLearning</v>
      </c>
      <c r="K2700" t="str">
        <f>role_course_map[[#This Row],[role_id]] &amp; "|" &amp; role_course_map[[#This Row],[course_id]]</f>
        <v>R0211|999094</v>
      </c>
      <c r="L2700" t="str">
        <f>IF(COUNTIF(role_course_map[mapping_key],role_course_map[[#This Row],[mapping_key]])&gt;1,"DUPLICATE","OK")</f>
        <v>OK</v>
      </c>
      <c r="M2700" t="str">
        <f>IF(COUNTIF(role_data[role_id],role_course_map[[#This Row],[role_id]])=0, "INVALID","VALID")</f>
        <v>VALID</v>
      </c>
      <c r="N2700" t="str">
        <f>IF(COUNTIF(course_data[course_id],role_course_map[[#This Row],[course_id]])=0, "INVALID","VALID")</f>
        <v>VALID</v>
      </c>
    </row>
    <row r="2701" spans="1:14" x14ac:dyDescent="0.35">
      <c r="A2701" t="s">
        <v>447</v>
      </c>
      <c r="B2701" s="5" t="str">
        <f>_xlfn.XLOOKUP(role_course_map[[#This Row],[role_id]], role_data[role_id], role_data[Role],"")</f>
        <v>Administrator</v>
      </c>
      <c r="C2701">
        <v>999056</v>
      </c>
      <c r="D2701" s="5" t="str">
        <f>_xlfn.XLOOKUP(role_course_map[[#This Row],[course_id]],course_data[course_id],course_data[title],"")</f>
        <v>Driver Assessment &amp; Training</v>
      </c>
      <c r="E2701" s="5" t="str">
        <f>_xlfn.XLOOKUP(role_course_map[[#This Row],[course_id]],course_data[course_id],course_data[topic],"")</f>
        <v>SAS : Health and Safety</v>
      </c>
      <c r="F2701" s="5" t="str">
        <f>_xlfn.XLOOKUP(role_course_map[[#This Row],[course_id]],course_data[course_id],course_data[type],"")</f>
        <v>eLearning</v>
      </c>
      <c r="K2701" t="str">
        <f>role_course_map[[#This Row],[role_id]] &amp; "|" &amp; role_course_map[[#This Row],[course_id]]</f>
        <v>R0212|999056</v>
      </c>
      <c r="L2701" t="str">
        <f>IF(COUNTIF(role_course_map[mapping_key],role_course_map[[#This Row],[mapping_key]])&gt;1,"DUPLICATE","OK")</f>
        <v>OK</v>
      </c>
      <c r="M2701" t="str">
        <f>IF(COUNTIF(role_data[role_id],role_course_map[[#This Row],[role_id]])=0, "INVALID","VALID")</f>
        <v>VALID</v>
      </c>
      <c r="N2701" t="str">
        <f>IF(COUNTIF(course_data[course_id],role_course_map[[#This Row],[course_id]])=0, "INVALID","VALID")</f>
        <v>VALID</v>
      </c>
    </row>
    <row r="2702" spans="1:14" x14ac:dyDescent="0.35">
      <c r="A2702" t="s">
        <v>447</v>
      </c>
      <c r="B2702" s="5" t="str">
        <f>_xlfn.XLOOKUP(role_course_map[[#This Row],[role_id]], role_data[role_id], role_data[Role],"")</f>
        <v>Administrator</v>
      </c>
      <c r="C2702">
        <v>999057</v>
      </c>
      <c r="D2702" s="5" t="str">
        <f>_xlfn.XLOOKUP(role_course_map[[#This Row],[course_id]],course_data[course_id],course_data[title],"")</f>
        <v>Fatigue Awareness</v>
      </c>
      <c r="E2702" s="5" t="str">
        <f>_xlfn.XLOOKUP(role_course_map[[#This Row],[course_id]],course_data[course_id],course_data[topic],"")</f>
        <v>SAS : Health and Safety</v>
      </c>
      <c r="F2702" s="5" t="str">
        <f>_xlfn.XLOOKUP(role_course_map[[#This Row],[course_id]],course_data[course_id],course_data[type],"")</f>
        <v>eLearning</v>
      </c>
      <c r="K2702" t="str">
        <f>role_course_map[[#This Row],[role_id]] &amp; "|" &amp; role_course_map[[#This Row],[course_id]]</f>
        <v>R0212|999057</v>
      </c>
      <c r="L2702" t="str">
        <f>IF(COUNTIF(role_course_map[mapping_key],role_course_map[[#This Row],[mapping_key]])&gt;1,"DUPLICATE","OK")</f>
        <v>OK</v>
      </c>
      <c r="M2702" t="str">
        <f>IF(COUNTIF(role_data[role_id],role_course_map[[#This Row],[role_id]])=0, "INVALID","VALID")</f>
        <v>VALID</v>
      </c>
      <c r="N2702" t="str">
        <f>IF(COUNTIF(course_data[course_id],role_course_map[[#This Row],[course_id]])=0, "INVALID","VALID")</f>
        <v>VALID</v>
      </c>
    </row>
    <row r="2703" spans="1:14" x14ac:dyDescent="0.35">
      <c r="A2703" t="s">
        <v>447</v>
      </c>
      <c r="B2703" s="5" t="str">
        <f>_xlfn.XLOOKUP(role_course_map[[#This Row],[role_id]], role_data[role_id], role_data[Role],"")</f>
        <v>Administrator</v>
      </c>
      <c r="C2703">
        <v>999058</v>
      </c>
      <c r="D2703" s="5" t="str">
        <f>_xlfn.XLOOKUP(role_course_map[[#This Row],[course_id]],course_data[course_id],course_data[title],"")</f>
        <v>Stress Identification &amp; Stress Management</v>
      </c>
      <c r="E2703" s="5" t="str">
        <f>_xlfn.XLOOKUP(role_course_map[[#This Row],[course_id]],course_data[course_id],course_data[topic],"")</f>
        <v>SAS : Health and Safety</v>
      </c>
      <c r="F2703" s="5" t="str">
        <f>_xlfn.XLOOKUP(role_course_map[[#This Row],[course_id]],course_data[course_id],course_data[type],"")</f>
        <v>eLearning</v>
      </c>
      <c r="K2703" t="str">
        <f>role_course_map[[#This Row],[role_id]] &amp; "|" &amp; role_course_map[[#This Row],[course_id]]</f>
        <v>R0212|999058</v>
      </c>
      <c r="L2703" t="str">
        <f>IF(COUNTIF(role_course_map[mapping_key],role_course_map[[#This Row],[mapping_key]])&gt;1,"DUPLICATE","OK")</f>
        <v>OK</v>
      </c>
      <c r="M2703" t="str">
        <f>IF(COUNTIF(role_data[role_id],role_course_map[[#This Row],[role_id]])=0, "INVALID","VALID")</f>
        <v>VALID</v>
      </c>
      <c r="N2703" t="str">
        <f>IF(COUNTIF(course_data[course_id],role_course_map[[#This Row],[course_id]])=0, "INVALID","VALID")</f>
        <v>VALID</v>
      </c>
    </row>
    <row r="2704" spans="1:14" x14ac:dyDescent="0.35">
      <c r="A2704" t="s">
        <v>447</v>
      </c>
      <c r="B2704" s="5" t="str">
        <f>_xlfn.XLOOKUP(role_course_map[[#This Row],[role_id]], role_data[role_id], role_data[Role],"")</f>
        <v>Administrator</v>
      </c>
      <c r="C2704">
        <v>999094</v>
      </c>
      <c r="D2704" s="5" t="str">
        <f>_xlfn.XLOOKUP(role_course_map[[#This Row],[course_id]],course_data[course_id],course_data[title],"")</f>
        <v>Being well, Mind, Body &amp; Workplace</v>
      </c>
      <c r="E2704" s="5" t="str">
        <f>_xlfn.XLOOKUP(role_course_map[[#This Row],[course_id]],course_data[course_id],course_data[topic],"")</f>
        <v>SAS: Staff development and experience</v>
      </c>
      <c r="F2704" s="5" t="str">
        <f>_xlfn.XLOOKUP(role_course_map[[#This Row],[course_id]],course_data[course_id],course_data[type],"")</f>
        <v>eLearning</v>
      </c>
      <c r="K2704" t="str">
        <f>role_course_map[[#This Row],[role_id]] &amp; "|" &amp; role_course_map[[#This Row],[course_id]]</f>
        <v>R0212|999094</v>
      </c>
      <c r="L2704" t="str">
        <f>IF(COUNTIF(role_course_map[mapping_key],role_course_map[[#This Row],[mapping_key]])&gt;1,"DUPLICATE","OK")</f>
        <v>OK</v>
      </c>
      <c r="M2704" t="str">
        <f>IF(COUNTIF(role_data[role_id],role_course_map[[#This Row],[role_id]])=0, "INVALID","VALID")</f>
        <v>VALID</v>
      </c>
      <c r="N2704" t="str">
        <f>IF(COUNTIF(course_data[course_id],role_course_map[[#This Row],[course_id]])=0, "INVALID","VALID")</f>
        <v>VALID</v>
      </c>
    </row>
    <row r="2705" spans="1:14" x14ac:dyDescent="0.35">
      <c r="A2705" t="s">
        <v>448</v>
      </c>
      <c r="B2705" s="5" t="str">
        <f>_xlfn.XLOOKUP(role_course_map[[#This Row],[role_id]], role_data[role_id], role_data[Role],"")</f>
        <v>Higher Clerical Officer</v>
      </c>
      <c r="C2705">
        <v>999056</v>
      </c>
      <c r="D2705" s="5" t="str">
        <f>_xlfn.XLOOKUP(role_course_map[[#This Row],[course_id]],course_data[course_id],course_data[title],"")</f>
        <v>Driver Assessment &amp; Training</v>
      </c>
      <c r="E2705" s="5" t="str">
        <f>_xlfn.XLOOKUP(role_course_map[[#This Row],[course_id]],course_data[course_id],course_data[topic],"")</f>
        <v>SAS : Health and Safety</v>
      </c>
      <c r="F2705" s="5" t="str">
        <f>_xlfn.XLOOKUP(role_course_map[[#This Row],[course_id]],course_data[course_id],course_data[type],"")</f>
        <v>eLearning</v>
      </c>
      <c r="K2705" t="str">
        <f>role_course_map[[#This Row],[role_id]] &amp; "|" &amp; role_course_map[[#This Row],[course_id]]</f>
        <v>R0213|999056</v>
      </c>
      <c r="L2705" t="str">
        <f>IF(COUNTIF(role_course_map[mapping_key],role_course_map[[#This Row],[mapping_key]])&gt;1,"DUPLICATE","OK")</f>
        <v>OK</v>
      </c>
      <c r="M2705" t="str">
        <f>IF(COUNTIF(role_data[role_id],role_course_map[[#This Row],[role_id]])=0, "INVALID","VALID")</f>
        <v>VALID</v>
      </c>
      <c r="N2705" t="str">
        <f>IF(COUNTIF(course_data[course_id],role_course_map[[#This Row],[course_id]])=0, "INVALID","VALID")</f>
        <v>VALID</v>
      </c>
    </row>
    <row r="2706" spans="1:14" x14ac:dyDescent="0.35">
      <c r="A2706" t="s">
        <v>448</v>
      </c>
      <c r="B2706" s="5" t="str">
        <f>_xlfn.XLOOKUP(role_course_map[[#This Row],[role_id]], role_data[role_id], role_data[Role],"")</f>
        <v>Higher Clerical Officer</v>
      </c>
      <c r="C2706">
        <v>999057</v>
      </c>
      <c r="D2706" s="5" t="str">
        <f>_xlfn.XLOOKUP(role_course_map[[#This Row],[course_id]],course_data[course_id],course_data[title],"")</f>
        <v>Fatigue Awareness</v>
      </c>
      <c r="E2706" s="5" t="str">
        <f>_xlfn.XLOOKUP(role_course_map[[#This Row],[course_id]],course_data[course_id],course_data[topic],"")</f>
        <v>SAS : Health and Safety</v>
      </c>
      <c r="F2706" s="5" t="str">
        <f>_xlfn.XLOOKUP(role_course_map[[#This Row],[course_id]],course_data[course_id],course_data[type],"")</f>
        <v>eLearning</v>
      </c>
      <c r="K2706" t="str">
        <f>role_course_map[[#This Row],[role_id]] &amp; "|" &amp; role_course_map[[#This Row],[course_id]]</f>
        <v>R0213|999057</v>
      </c>
      <c r="L2706" t="str">
        <f>IF(COUNTIF(role_course_map[mapping_key],role_course_map[[#This Row],[mapping_key]])&gt;1,"DUPLICATE","OK")</f>
        <v>OK</v>
      </c>
      <c r="M2706" t="str">
        <f>IF(COUNTIF(role_data[role_id],role_course_map[[#This Row],[role_id]])=0, "INVALID","VALID")</f>
        <v>VALID</v>
      </c>
      <c r="N2706" t="str">
        <f>IF(COUNTIF(course_data[course_id],role_course_map[[#This Row],[course_id]])=0, "INVALID","VALID")</f>
        <v>VALID</v>
      </c>
    </row>
    <row r="2707" spans="1:14" x14ac:dyDescent="0.35">
      <c r="A2707" t="s">
        <v>448</v>
      </c>
      <c r="B2707" s="5" t="str">
        <f>_xlfn.XLOOKUP(role_course_map[[#This Row],[role_id]], role_data[role_id], role_data[Role],"")</f>
        <v>Higher Clerical Officer</v>
      </c>
      <c r="C2707">
        <v>999058</v>
      </c>
      <c r="D2707" s="5" t="str">
        <f>_xlfn.XLOOKUP(role_course_map[[#This Row],[course_id]],course_data[course_id],course_data[title],"")</f>
        <v>Stress Identification &amp; Stress Management</v>
      </c>
      <c r="E2707" s="5" t="str">
        <f>_xlfn.XLOOKUP(role_course_map[[#This Row],[course_id]],course_data[course_id],course_data[topic],"")</f>
        <v>SAS : Health and Safety</v>
      </c>
      <c r="F2707" s="5" t="str">
        <f>_xlfn.XLOOKUP(role_course_map[[#This Row],[course_id]],course_data[course_id],course_data[type],"")</f>
        <v>eLearning</v>
      </c>
      <c r="K2707" t="str">
        <f>role_course_map[[#This Row],[role_id]] &amp; "|" &amp; role_course_map[[#This Row],[course_id]]</f>
        <v>R0213|999058</v>
      </c>
      <c r="L2707" t="str">
        <f>IF(COUNTIF(role_course_map[mapping_key],role_course_map[[#This Row],[mapping_key]])&gt;1,"DUPLICATE","OK")</f>
        <v>OK</v>
      </c>
      <c r="M2707" t="str">
        <f>IF(COUNTIF(role_data[role_id],role_course_map[[#This Row],[role_id]])=0, "INVALID","VALID")</f>
        <v>VALID</v>
      </c>
      <c r="N2707" t="str">
        <f>IF(COUNTIF(course_data[course_id],role_course_map[[#This Row],[course_id]])=0, "INVALID","VALID")</f>
        <v>VALID</v>
      </c>
    </row>
    <row r="2708" spans="1:14" x14ac:dyDescent="0.35">
      <c r="A2708" t="s">
        <v>448</v>
      </c>
      <c r="B2708" s="5" t="str">
        <f>_xlfn.XLOOKUP(role_course_map[[#This Row],[role_id]], role_data[role_id], role_data[Role],"")</f>
        <v>Higher Clerical Officer</v>
      </c>
      <c r="C2708">
        <v>999094</v>
      </c>
      <c r="D2708" s="5" t="str">
        <f>_xlfn.XLOOKUP(role_course_map[[#This Row],[course_id]],course_data[course_id],course_data[title],"")</f>
        <v>Being well, Mind, Body &amp; Workplace</v>
      </c>
      <c r="E2708" s="5" t="str">
        <f>_xlfn.XLOOKUP(role_course_map[[#This Row],[course_id]],course_data[course_id],course_data[topic],"")</f>
        <v>SAS: Staff development and experience</v>
      </c>
      <c r="F2708" s="5" t="str">
        <f>_xlfn.XLOOKUP(role_course_map[[#This Row],[course_id]],course_data[course_id],course_data[type],"")</f>
        <v>eLearning</v>
      </c>
      <c r="K2708" t="str">
        <f>role_course_map[[#This Row],[role_id]] &amp; "|" &amp; role_course_map[[#This Row],[course_id]]</f>
        <v>R0213|999094</v>
      </c>
      <c r="L2708" t="str">
        <f>IF(COUNTIF(role_course_map[mapping_key],role_course_map[[#This Row],[mapping_key]])&gt;1,"DUPLICATE","OK")</f>
        <v>OK</v>
      </c>
      <c r="M2708" t="str">
        <f>IF(COUNTIF(role_data[role_id],role_course_map[[#This Row],[role_id]])=0, "INVALID","VALID")</f>
        <v>VALID</v>
      </c>
      <c r="N2708" t="str">
        <f>IF(COUNTIF(course_data[course_id],role_course_map[[#This Row],[course_id]])=0, "INVALID","VALID")</f>
        <v>VALID</v>
      </c>
    </row>
    <row r="2709" spans="1:14" x14ac:dyDescent="0.35">
      <c r="A2709" t="s">
        <v>450</v>
      </c>
      <c r="B2709" s="5" t="str">
        <f>_xlfn.XLOOKUP(role_course_map[[#This Row],[role_id]], role_data[role_id], role_data[Role],"")</f>
        <v>Personal Assistant</v>
      </c>
      <c r="C2709">
        <v>999056</v>
      </c>
      <c r="D2709" s="5" t="str">
        <f>_xlfn.XLOOKUP(role_course_map[[#This Row],[course_id]],course_data[course_id],course_data[title],"")</f>
        <v>Driver Assessment &amp; Training</v>
      </c>
      <c r="E2709" s="5" t="str">
        <f>_xlfn.XLOOKUP(role_course_map[[#This Row],[course_id]],course_data[course_id],course_data[topic],"")</f>
        <v>SAS : Health and Safety</v>
      </c>
      <c r="F2709" s="5" t="str">
        <f>_xlfn.XLOOKUP(role_course_map[[#This Row],[course_id]],course_data[course_id],course_data[type],"")</f>
        <v>eLearning</v>
      </c>
      <c r="K2709" t="str">
        <f>role_course_map[[#This Row],[role_id]] &amp; "|" &amp; role_course_map[[#This Row],[course_id]]</f>
        <v>R0214|999056</v>
      </c>
      <c r="L2709" t="str">
        <f>IF(COUNTIF(role_course_map[mapping_key],role_course_map[[#This Row],[mapping_key]])&gt;1,"DUPLICATE","OK")</f>
        <v>OK</v>
      </c>
      <c r="M2709" t="str">
        <f>IF(COUNTIF(role_data[role_id],role_course_map[[#This Row],[role_id]])=0, "INVALID","VALID")</f>
        <v>VALID</v>
      </c>
      <c r="N2709" t="str">
        <f>IF(COUNTIF(course_data[course_id],role_course_map[[#This Row],[course_id]])=0, "INVALID","VALID")</f>
        <v>VALID</v>
      </c>
    </row>
    <row r="2710" spans="1:14" x14ac:dyDescent="0.35">
      <c r="A2710" t="s">
        <v>450</v>
      </c>
      <c r="B2710" s="5" t="str">
        <f>_xlfn.XLOOKUP(role_course_map[[#This Row],[role_id]], role_data[role_id], role_data[Role],"")</f>
        <v>Personal Assistant</v>
      </c>
      <c r="C2710">
        <v>999057</v>
      </c>
      <c r="D2710" s="5" t="str">
        <f>_xlfn.XLOOKUP(role_course_map[[#This Row],[course_id]],course_data[course_id],course_data[title],"")</f>
        <v>Fatigue Awareness</v>
      </c>
      <c r="E2710" s="5" t="str">
        <f>_xlfn.XLOOKUP(role_course_map[[#This Row],[course_id]],course_data[course_id],course_data[topic],"")</f>
        <v>SAS : Health and Safety</v>
      </c>
      <c r="F2710" s="5" t="str">
        <f>_xlfn.XLOOKUP(role_course_map[[#This Row],[course_id]],course_data[course_id],course_data[type],"")</f>
        <v>eLearning</v>
      </c>
      <c r="K2710" t="str">
        <f>role_course_map[[#This Row],[role_id]] &amp; "|" &amp; role_course_map[[#This Row],[course_id]]</f>
        <v>R0214|999057</v>
      </c>
      <c r="L2710" t="str">
        <f>IF(COUNTIF(role_course_map[mapping_key],role_course_map[[#This Row],[mapping_key]])&gt;1,"DUPLICATE","OK")</f>
        <v>OK</v>
      </c>
      <c r="M2710" t="str">
        <f>IF(COUNTIF(role_data[role_id],role_course_map[[#This Row],[role_id]])=0, "INVALID","VALID")</f>
        <v>VALID</v>
      </c>
      <c r="N2710" t="str">
        <f>IF(COUNTIF(course_data[course_id],role_course_map[[#This Row],[course_id]])=0, "INVALID","VALID")</f>
        <v>VALID</v>
      </c>
    </row>
    <row r="2711" spans="1:14" x14ac:dyDescent="0.35">
      <c r="A2711" t="s">
        <v>450</v>
      </c>
      <c r="B2711" s="5" t="str">
        <f>_xlfn.XLOOKUP(role_course_map[[#This Row],[role_id]], role_data[role_id], role_data[Role],"")</f>
        <v>Personal Assistant</v>
      </c>
      <c r="C2711">
        <v>999058</v>
      </c>
      <c r="D2711" s="5" t="str">
        <f>_xlfn.XLOOKUP(role_course_map[[#This Row],[course_id]],course_data[course_id],course_data[title],"")</f>
        <v>Stress Identification &amp; Stress Management</v>
      </c>
      <c r="E2711" s="5" t="str">
        <f>_xlfn.XLOOKUP(role_course_map[[#This Row],[course_id]],course_data[course_id],course_data[topic],"")</f>
        <v>SAS : Health and Safety</v>
      </c>
      <c r="F2711" s="5" t="str">
        <f>_xlfn.XLOOKUP(role_course_map[[#This Row],[course_id]],course_data[course_id],course_data[type],"")</f>
        <v>eLearning</v>
      </c>
      <c r="K2711" t="str">
        <f>role_course_map[[#This Row],[role_id]] &amp; "|" &amp; role_course_map[[#This Row],[course_id]]</f>
        <v>R0214|999058</v>
      </c>
      <c r="L2711" t="str">
        <f>IF(COUNTIF(role_course_map[mapping_key],role_course_map[[#This Row],[mapping_key]])&gt;1,"DUPLICATE","OK")</f>
        <v>OK</v>
      </c>
      <c r="M2711" t="str">
        <f>IF(COUNTIF(role_data[role_id],role_course_map[[#This Row],[role_id]])=0, "INVALID","VALID")</f>
        <v>VALID</v>
      </c>
      <c r="N2711" t="str">
        <f>IF(COUNTIF(course_data[course_id],role_course_map[[#This Row],[course_id]])=0, "INVALID","VALID")</f>
        <v>VALID</v>
      </c>
    </row>
    <row r="2712" spans="1:14" x14ac:dyDescent="0.35">
      <c r="A2712" t="s">
        <v>450</v>
      </c>
      <c r="B2712" s="5" t="str">
        <f>_xlfn.XLOOKUP(role_course_map[[#This Row],[role_id]], role_data[role_id], role_data[Role],"")</f>
        <v>Personal Assistant</v>
      </c>
      <c r="C2712">
        <v>999094</v>
      </c>
      <c r="D2712" s="5" t="str">
        <f>_xlfn.XLOOKUP(role_course_map[[#This Row],[course_id]],course_data[course_id],course_data[title],"")</f>
        <v>Being well, Mind, Body &amp; Workplace</v>
      </c>
      <c r="E2712" s="5" t="str">
        <f>_xlfn.XLOOKUP(role_course_map[[#This Row],[course_id]],course_data[course_id],course_data[topic],"")</f>
        <v>SAS: Staff development and experience</v>
      </c>
      <c r="F2712" s="5" t="str">
        <f>_xlfn.XLOOKUP(role_course_map[[#This Row],[course_id]],course_data[course_id],course_data[type],"")</f>
        <v>eLearning</v>
      </c>
      <c r="K2712" t="str">
        <f>role_course_map[[#This Row],[role_id]] &amp; "|" &amp; role_course_map[[#This Row],[course_id]]</f>
        <v>R0214|999094</v>
      </c>
      <c r="L2712" t="str">
        <f>IF(COUNTIF(role_course_map[mapping_key],role_course_map[[#This Row],[mapping_key]])&gt;1,"DUPLICATE","OK")</f>
        <v>OK</v>
      </c>
      <c r="M2712" t="str">
        <f>IF(COUNTIF(role_data[role_id],role_course_map[[#This Row],[role_id]])=0, "INVALID","VALID")</f>
        <v>VALID</v>
      </c>
      <c r="N2712" t="str">
        <f>IF(COUNTIF(course_data[course_id],role_course_map[[#This Row],[course_id]])=0, "INVALID","VALID")</f>
        <v>VALID</v>
      </c>
    </row>
    <row r="2713" spans="1:14" x14ac:dyDescent="0.35">
      <c r="A2713" t="s">
        <v>401</v>
      </c>
      <c r="B2713" s="5" t="str">
        <f>_xlfn.XLOOKUP(role_course_map[[#This Row],[role_id]], role_data[role_id], role_data[Role],"")</f>
        <v>Portfolio Manager</v>
      </c>
      <c r="C2713">
        <v>999072</v>
      </c>
      <c r="D2713" s="5" t="str">
        <f>_xlfn.XLOOKUP(role_course_map[[#This Row],[course_id]],course_data[course_id],course_data[title],"")</f>
        <v>PMO Induction</v>
      </c>
      <c r="E2713" s="5" t="str">
        <f>_xlfn.XLOOKUP(role_course_map[[#This Row],[course_id]],course_data[course_id],course_data[topic],"")</f>
        <v>SAS : Project Management Office</v>
      </c>
      <c r="F2713" s="5" t="str">
        <f>_xlfn.XLOOKUP(role_course_map[[#This Row],[course_id]],course_data[course_id],course_data[type],"")</f>
        <v>Course</v>
      </c>
      <c r="K2713" t="str">
        <f>role_course_map[[#This Row],[role_id]] &amp; "|" &amp; role_course_map[[#This Row],[course_id]]</f>
        <v>R0190|999072</v>
      </c>
      <c r="L2713" t="str">
        <f>IF(COUNTIF(role_course_map[mapping_key],role_course_map[[#This Row],[mapping_key]])&gt;1,"DUPLICATE","OK")</f>
        <v>OK</v>
      </c>
      <c r="M2713" t="str">
        <f>IF(COUNTIF(role_data[role_id],role_course_map[[#This Row],[role_id]])=0, "INVALID","VALID")</f>
        <v>VALID</v>
      </c>
      <c r="N2713" t="str">
        <f>IF(COUNTIF(course_data[course_id],role_course_map[[#This Row],[course_id]])=0, "INVALID","VALID")</f>
        <v>VALID</v>
      </c>
    </row>
    <row r="2714" spans="1:14" x14ac:dyDescent="0.35">
      <c r="A2714" t="s">
        <v>401</v>
      </c>
      <c r="B2714" s="5" t="str">
        <f>_xlfn.XLOOKUP(role_course_map[[#This Row],[role_id]], role_data[role_id], role_data[Role],"")</f>
        <v>Portfolio Manager</v>
      </c>
      <c r="C2714">
        <v>999073</v>
      </c>
      <c r="D2714" s="5" t="str">
        <f>_xlfn.XLOOKUP(role_course_map[[#This Row],[course_id]],course_data[course_id],course_data[title],"")</f>
        <v>Introduction to Change Management</v>
      </c>
      <c r="E2714" s="5" t="str">
        <f>_xlfn.XLOOKUP(role_course_map[[#This Row],[course_id]],course_data[course_id],course_data[topic],"")</f>
        <v>SAS : Project Management Office</v>
      </c>
      <c r="F2714" s="5" t="str">
        <f>_xlfn.XLOOKUP(role_course_map[[#This Row],[course_id]],course_data[course_id],course_data[type],"")</f>
        <v>eLearning</v>
      </c>
      <c r="K2714" t="str">
        <f>role_course_map[[#This Row],[role_id]] &amp; "|" &amp; role_course_map[[#This Row],[course_id]]</f>
        <v>R0190|999073</v>
      </c>
      <c r="L2714" t="str">
        <f>IF(COUNTIF(role_course_map[mapping_key],role_course_map[[#This Row],[mapping_key]])&gt;1,"DUPLICATE","OK")</f>
        <v>OK</v>
      </c>
      <c r="M2714" t="str">
        <f>IF(COUNTIF(role_data[role_id],role_course_map[[#This Row],[role_id]])=0, "INVALID","VALID")</f>
        <v>VALID</v>
      </c>
      <c r="N2714" t="str">
        <f>IF(COUNTIF(course_data[course_id],role_course_map[[#This Row],[course_id]])=0, "INVALID","VALID")</f>
        <v>VALID</v>
      </c>
    </row>
    <row r="2715" spans="1:14" x14ac:dyDescent="0.35">
      <c r="A2715" t="s">
        <v>401</v>
      </c>
      <c r="B2715" s="5" t="str">
        <f>_xlfn.XLOOKUP(role_course_map[[#This Row],[role_id]], role_data[role_id], role_data[Role],"")</f>
        <v>Portfolio Manager</v>
      </c>
      <c r="C2715">
        <v>999056</v>
      </c>
      <c r="D2715" s="5" t="str">
        <f>_xlfn.XLOOKUP(role_course_map[[#This Row],[course_id]],course_data[course_id],course_data[title],"")</f>
        <v>Driver Assessment &amp; Training</v>
      </c>
      <c r="E2715" s="5" t="str">
        <f>_xlfn.XLOOKUP(role_course_map[[#This Row],[course_id]],course_data[course_id],course_data[topic],"")</f>
        <v>SAS : Health and Safety</v>
      </c>
      <c r="F2715" s="5" t="str">
        <f>_xlfn.XLOOKUP(role_course_map[[#This Row],[course_id]],course_data[course_id],course_data[type],"")</f>
        <v>eLearning</v>
      </c>
      <c r="K2715" t="str">
        <f>role_course_map[[#This Row],[role_id]] &amp; "|" &amp; role_course_map[[#This Row],[course_id]]</f>
        <v>R0190|999056</v>
      </c>
      <c r="L2715" t="str">
        <f>IF(COUNTIF(role_course_map[mapping_key],role_course_map[[#This Row],[mapping_key]])&gt;1,"DUPLICATE","OK")</f>
        <v>OK</v>
      </c>
      <c r="M2715" t="str">
        <f>IF(COUNTIF(role_data[role_id],role_course_map[[#This Row],[role_id]])=0, "INVALID","VALID")</f>
        <v>VALID</v>
      </c>
      <c r="N2715" t="str">
        <f>IF(COUNTIF(course_data[course_id],role_course_map[[#This Row],[course_id]])=0, "INVALID","VALID")</f>
        <v>VALID</v>
      </c>
    </row>
    <row r="2716" spans="1:14" x14ac:dyDescent="0.35">
      <c r="A2716" t="s">
        <v>401</v>
      </c>
      <c r="B2716" s="5" t="str">
        <f>_xlfn.XLOOKUP(role_course_map[[#This Row],[role_id]], role_data[role_id], role_data[Role],"")</f>
        <v>Portfolio Manager</v>
      </c>
      <c r="C2716">
        <v>999057</v>
      </c>
      <c r="D2716" s="5" t="str">
        <f>_xlfn.XLOOKUP(role_course_map[[#This Row],[course_id]],course_data[course_id],course_data[title],"")</f>
        <v>Fatigue Awareness</v>
      </c>
      <c r="E2716" s="5" t="str">
        <f>_xlfn.XLOOKUP(role_course_map[[#This Row],[course_id]],course_data[course_id],course_data[topic],"")</f>
        <v>SAS : Health and Safety</v>
      </c>
      <c r="F2716" s="5" t="str">
        <f>_xlfn.XLOOKUP(role_course_map[[#This Row],[course_id]],course_data[course_id],course_data[type],"")</f>
        <v>eLearning</v>
      </c>
      <c r="K2716" t="str">
        <f>role_course_map[[#This Row],[role_id]] &amp; "|" &amp; role_course_map[[#This Row],[course_id]]</f>
        <v>R0190|999057</v>
      </c>
      <c r="L2716" t="str">
        <f>IF(COUNTIF(role_course_map[mapping_key],role_course_map[[#This Row],[mapping_key]])&gt;1,"DUPLICATE","OK")</f>
        <v>OK</v>
      </c>
      <c r="M2716" t="str">
        <f>IF(COUNTIF(role_data[role_id],role_course_map[[#This Row],[role_id]])=0, "INVALID","VALID")</f>
        <v>VALID</v>
      </c>
      <c r="N2716" t="str">
        <f>IF(COUNTIF(course_data[course_id],role_course_map[[#This Row],[course_id]])=0, "INVALID","VALID")</f>
        <v>VALID</v>
      </c>
    </row>
    <row r="2717" spans="1:14" x14ac:dyDescent="0.35">
      <c r="A2717" t="s">
        <v>401</v>
      </c>
      <c r="B2717" s="5" t="str">
        <f>_xlfn.XLOOKUP(role_course_map[[#This Row],[role_id]], role_data[role_id], role_data[Role],"")</f>
        <v>Portfolio Manager</v>
      </c>
      <c r="C2717">
        <v>999058</v>
      </c>
      <c r="D2717" s="5" t="str">
        <f>_xlfn.XLOOKUP(role_course_map[[#This Row],[course_id]],course_data[course_id],course_data[title],"")</f>
        <v>Stress Identification &amp; Stress Management</v>
      </c>
      <c r="E2717" s="5" t="str">
        <f>_xlfn.XLOOKUP(role_course_map[[#This Row],[course_id]],course_data[course_id],course_data[topic],"")</f>
        <v>SAS : Health and Safety</v>
      </c>
      <c r="F2717" s="5" t="str">
        <f>_xlfn.XLOOKUP(role_course_map[[#This Row],[course_id]],course_data[course_id],course_data[type],"")</f>
        <v>eLearning</v>
      </c>
      <c r="K2717" t="str">
        <f>role_course_map[[#This Row],[role_id]] &amp; "|" &amp; role_course_map[[#This Row],[course_id]]</f>
        <v>R0190|999058</v>
      </c>
      <c r="L2717" t="str">
        <f>IF(COUNTIF(role_course_map[mapping_key],role_course_map[[#This Row],[mapping_key]])&gt;1,"DUPLICATE","OK")</f>
        <v>OK</v>
      </c>
      <c r="M2717" t="str">
        <f>IF(COUNTIF(role_data[role_id],role_course_map[[#This Row],[role_id]])=0, "INVALID","VALID")</f>
        <v>VALID</v>
      </c>
      <c r="N2717" t="str">
        <f>IF(COUNTIF(course_data[course_id],role_course_map[[#This Row],[course_id]])=0, "INVALID","VALID")</f>
        <v>VALID</v>
      </c>
    </row>
    <row r="2718" spans="1:14" x14ac:dyDescent="0.35">
      <c r="A2718" t="s">
        <v>401</v>
      </c>
      <c r="B2718" s="5" t="str">
        <f>_xlfn.XLOOKUP(role_course_map[[#This Row],[role_id]], role_data[role_id], role_data[Role],"")</f>
        <v>Portfolio Manager</v>
      </c>
      <c r="C2718">
        <v>999062</v>
      </c>
      <c r="D2718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2718" s="5" t="str">
        <f>_xlfn.XLOOKUP(role_course_map[[#This Row],[course_id]],course_data[course_id],course_data[topic],"")</f>
        <v>SAS : Health and Safety</v>
      </c>
      <c r="F2718" s="5" t="str">
        <f>_xlfn.XLOOKUP(role_course_map[[#This Row],[course_id]],course_data[course_id],course_data[type],"")</f>
        <v>Course</v>
      </c>
      <c r="K2718" t="str">
        <f>role_course_map[[#This Row],[role_id]] &amp; "|" &amp; role_course_map[[#This Row],[course_id]]</f>
        <v>R0190|999062</v>
      </c>
      <c r="L2718" t="str">
        <f>IF(COUNTIF(role_course_map[mapping_key],role_course_map[[#This Row],[mapping_key]])&gt;1,"DUPLICATE","OK")</f>
        <v>OK</v>
      </c>
      <c r="M2718" t="str">
        <f>IF(COUNTIF(role_data[role_id],role_course_map[[#This Row],[role_id]])=0, "INVALID","VALID")</f>
        <v>VALID</v>
      </c>
      <c r="N2718" t="str">
        <f>IF(COUNTIF(course_data[course_id],role_course_map[[#This Row],[course_id]])=0, "INVALID","VALID")</f>
        <v>VALID</v>
      </c>
    </row>
    <row r="2719" spans="1:14" x14ac:dyDescent="0.35">
      <c r="A2719" t="s">
        <v>401</v>
      </c>
      <c r="B2719" s="5" t="str">
        <f>_xlfn.XLOOKUP(role_course_map[[#This Row],[role_id]], role_data[role_id], role_data[Role],"")</f>
        <v>Portfolio Manager</v>
      </c>
      <c r="C2719">
        <v>999091</v>
      </c>
      <c r="D2719" s="5" t="str">
        <f>_xlfn.XLOOKUP(role_course_map[[#This Row],[course_id]],course_data[course_id],course_data[title],"")</f>
        <v>Intermediate Leadership Development Programme</v>
      </c>
      <c r="E2719" s="5" t="str">
        <f>_xlfn.XLOOKUP(role_course_map[[#This Row],[course_id]],course_data[course_id],course_data[topic],"")</f>
        <v>SAS: Staff development and experience</v>
      </c>
      <c r="F2719" s="5">
        <f>_xlfn.XLOOKUP(role_course_map[[#This Row],[course_id]],course_data[course_id],course_data[type],"")</f>
        <v>0</v>
      </c>
      <c r="K2719" t="str">
        <f>role_course_map[[#This Row],[role_id]] &amp; "|" &amp; role_course_map[[#This Row],[course_id]]</f>
        <v>R0190|999091</v>
      </c>
      <c r="L2719" t="str">
        <f>IF(COUNTIF(role_course_map[mapping_key],role_course_map[[#This Row],[mapping_key]])&gt;1,"DUPLICATE","OK")</f>
        <v>OK</v>
      </c>
      <c r="M2719" t="str">
        <f>IF(COUNTIF(role_data[role_id],role_course_map[[#This Row],[role_id]])=0, "INVALID","VALID")</f>
        <v>VALID</v>
      </c>
      <c r="N2719" t="str">
        <f>IF(COUNTIF(course_data[course_id],role_course_map[[#This Row],[course_id]])=0, "INVALID","VALID")</f>
        <v>VALID</v>
      </c>
    </row>
    <row r="2720" spans="1:14" x14ac:dyDescent="0.35">
      <c r="A2720" t="s">
        <v>401</v>
      </c>
      <c r="B2720" s="5" t="str">
        <f>_xlfn.XLOOKUP(role_course_map[[#This Row],[role_id]], role_data[role_id], role_data[Role],"")</f>
        <v>Portfolio Manager</v>
      </c>
      <c r="C2720">
        <v>999094</v>
      </c>
      <c r="D2720" s="5" t="str">
        <f>_xlfn.XLOOKUP(role_course_map[[#This Row],[course_id]],course_data[course_id],course_data[title],"")</f>
        <v>Being well, Mind, Body &amp; Workplace</v>
      </c>
      <c r="E2720" s="5" t="str">
        <f>_xlfn.XLOOKUP(role_course_map[[#This Row],[course_id]],course_data[course_id],course_data[topic],"")</f>
        <v>SAS: Staff development and experience</v>
      </c>
      <c r="F2720" s="5" t="str">
        <f>_xlfn.XLOOKUP(role_course_map[[#This Row],[course_id]],course_data[course_id],course_data[type],"")</f>
        <v>eLearning</v>
      </c>
      <c r="K2720" t="str">
        <f>role_course_map[[#This Row],[role_id]] &amp; "|" &amp; role_course_map[[#This Row],[course_id]]</f>
        <v>R0190|999094</v>
      </c>
      <c r="L2720" t="str">
        <f>IF(COUNTIF(role_course_map[mapping_key],role_course_map[[#This Row],[mapping_key]])&gt;1,"DUPLICATE","OK")</f>
        <v>OK</v>
      </c>
      <c r="M2720" t="str">
        <f>IF(COUNTIF(role_data[role_id],role_course_map[[#This Row],[role_id]])=0, "INVALID","VALID")</f>
        <v>VALID</v>
      </c>
      <c r="N2720" t="str">
        <f>IF(COUNTIF(course_data[course_id],role_course_map[[#This Row],[course_id]])=0, "INVALID","VALID")</f>
        <v>VALID</v>
      </c>
    </row>
    <row r="2721" spans="1:14" x14ac:dyDescent="0.35">
      <c r="A2721" t="s">
        <v>403</v>
      </c>
      <c r="B2721" s="5" t="str">
        <f>_xlfn.XLOOKUP(role_course_map[[#This Row],[role_id]], role_data[role_id], role_data[Role],"")</f>
        <v>Programme Administrator</v>
      </c>
      <c r="C2721">
        <v>999056</v>
      </c>
      <c r="D2721" s="5" t="str">
        <f>_xlfn.XLOOKUP(role_course_map[[#This Row],[course_id]],course_data[course_id],course_data[title],"")</f>
        <v>Driver Assessment &amp; Training</v>
      </c>
      <c r="E2721" s="5" t="str">
        <f>_xlfn.XLOOKUP(role_course_map[[#This Row],[course_id]],course_data[course_id],course_data[topic],"")</f>
        <v>SAS : Health and Safety</v>
      </c>
      <c r="F2721" s="5" t="str">
        <f>_xlfn.XLOOKUP(role_course_map[[#This Row],[course_id]],course_data[course_id],course_data[type],"")</f>
        <v>eLearning</v>
      </c>
      <c r="K2721" t="str">
        <f>role_course_map[[#This Row],[role_id]] &amp; "|" &amp; role_course_map[[#This Row],[course_id]]</f>
        <v>R0191|999056</v>
      </c>
      <c r="L2721" t="str">
        <f>IF(COUNTIF(role_course_map[mapping_key],role_course_map[[#This Row],[mapping_key]])&gt;1,"DUPLICATE","OK")</f>
        <v>OK</v>
      </c>
      <c r="M2721" t="str">
        <f>IF(COUNTIF(role_data[role_id],role_course_map[[#This Row],[role_id]])=0, "INVALID","VALID")</f>
        <v>VALID</v>
      </c>
      <c r="N2721" t="str">
        <f>IF(COUNTIF(course_data[course_id],role_course_map[[#This Row],[course_id]])=0, "INVALID","VALID")</f>
        <v>VALID</v>
      </c>
    </row>
    <row r="2722" spans="1:14" x14ac:dyDescent="0.35">
      <c r="A2722" t="s">
        <v>403</v>
      </c>
      <c r="B2722" s="5" t="str">
        <f>_xlfn.XLOOKUP(role_course_map[[#This Row],[role_id]], role_data[role_id], role_data[Role],"")</f>
        <v>Programme Administrator</v>
      </c>
      <c r="C2722">
        <v>999057</v>
      </c>
      <c r="D2722" s="5" t="str">
        <f>_xlfn.XLOOKUP(role_course_map[[#This Row],[course_id]],course_data[course_id],course_data[title],"")</f>
        <v>Fatigue Awareness</v>
      </c>
      <c r="E2722" s="5" t="str">
        <f>_xlfn.XLOOKUP(role_course_map[[#This Row],[course_id]],course_data[course_id],course_data[topic],"")</f>
        <v>SAS : Health and Safety</v>
      </c>
      <c r="F2722" s="5" t="str">
        <f>_xlfn.XLOOKUP(role_course_map[[#This Row],[course_id]],course_data[course_id],course_data[type],"")</f>
        <v>eLearning</v>
      </c>
      <c r="K2722" t="str">
        <f>role_course_map[[#This Row],[role_id]] &amp; "|" &amp; role_course_map[[#This Row],[course_id]]</f>
        <v>R0191|999057</v>
      </c>
      <c r="L2722" t="str">
        <f>IF(COUNTIF(role_course_map[mapping_key],role_course_map[[#This Row],[mapping_key]])&gt;1,"DUPLICATE","OK")</f>
        <v>OK</v>
      </c>
      <c r="M2722" t="str">
        <f>IF(COUNTIF(role_data[role_id],role_course_map[[#This Row],[role_id]])=0, "INVALID","VALID")</f>
        <v>VALID</v>
      </c>
      <c r="N2722" t="str">
        <f>IF(COUNTIF(course_data[course_id],role_course_map[[#This Row],[course_id]])=0, "INVALID","VALID")</f>
        <v>VALID</v>
      </c>
    </row>
    <row r="2723" spans="1:14" x14ac:dyDescent="0.35">
      <c r="A2723" t="s">
        <v>403</v>
      </c>
      <c r="B2723" s="5" t="str">
        <f>_xlfn.XLOOKUP(role_course_map[[#This Row],[role_id]], role_data[role_id], role_data[Role],"")</f>
        <v>Programme Administrator</v>
      </c>
      <c r="C2723">
        <v>999058</v>
      </c>
      <c r="D2723" s="5" t="str">
        <f>_xlfn.XLOOKUP(role_course_map[[#This Row],[course_id]],course_data[course_id],course_data[title],"")</f>
        <v>Stress Identification &amp; Stress Management</v>
      </c>
      <c r="E2723" s="5" t="str">
        <f>_xlfn.XLOOKUP(role_course_map[[#This Row],[course_id]],course_data[course_id],course_data[topic],"")</f>
        <v>SAS : Health and Safety</v>
      </c>
      <c r="F2723" s="5" t="str">
        <f>_xlfn.XLOOKUP(role_course_map[[#This Row],[course_id]],course_data[course_id],course_data[type],"")</f>
        <v>eLearning</v>
      </c>
      <c r="K2723" t="str">
        <f>role_course_map[[#This Row],[role_id]] &amp; "|" &amp; role_course_map[[#This Row],[course_id]]</f>
        <v>R0191|999058</v>
      </c>
      <c r="L2723" t="str">
        <f>IF(COUNTIF(role_course_map[mapping_key],role_course_map[[#This Row],[mapping_key]])&gt;1,"DUPLICATE","OK")</f>
        <v>OK</v>
      </c>
      <c r="M2723" t="str">
        <f>IF(COUNTIF(role_data[role_id],role_course_map[[#This Row],[role_id]])=0, "INVALID","VALID")</f>
        <v>VALID</v>
      </c>
      <c r="N2723" t="str">
        <f>IF(COUNTIF(course_data[course_id],role_course_map[[#This Row],[course_id]])=0, "INVALID","VALID")</f>
        <v>VALID</v>
      </c>
    </row>
    <row r="2724" spans="1:14" x14ac:dyDescent="0.35">
      <c r="A2724" t="s">
        <v>403</v>
      </c>
      <c r="B2724" s="5" t="str">
        <f>_xlfn.XLOOKUP(role_course_map[[#This Row],[role_id]], role_data[role_id], role_data[Role],"")</f>
        <v>Programme Administrator</v>
      </c>
      <c r="C2724">
        <v>999094</v>
      </c>
      <c r="D2724" s="5" t="str">
        <f>_xlfn.XLOOKUP(role_course_map[[#This Row],[course_id]],course_data[course_id],course_data[title],"")</f>
        <v>Being well, Mind, Body &amp; Workplace</v>
      </c>
      <c r="E2724" s="5" t="str">
        <f>_xlfn.XLOOKUP(role_course_map[[#This Row],[course_id]],course_data[course_id],course_data[topic],"")</f>
        <v>SAS: Staff development and experience</v>
      </c>
      <c r="F2724" s="5" t="str">
        <f>_xlfn.XLOOKUP(role_course_map[[#This Row],[course_id]],course_data[course_id],course_data[type],"")</f>
        <v>eLearning</v>
      </c>
      <c r="K2724" t="str">
        <f>role_course_map[[#This Row],[role_id]] &amp; "|" &amp; role_course_map[[#This Row],[course_id]]</f>
        <v>R0191|999094</v>
      </c>
      <c r="L2724" t="str">
        <f>IF(COUNTIF(role_course_map[mapping_key],role_course_map[[#This Row],[mapping_key]])&gt;1,"DUPLICATE","OK")</f>
        <v>OK</v>
      </c>
      <c r="M2724" t="str">
        <f>IF(COUNTIF(role_data[role_id],role_course_map[[#This Row],[role_id]])=0, "INVALID","VALID")</f>
        <v>VALID</v>
      </c>
      <c r="N2724" t="str">
        <f>IF(COUNTIF(course_data[course_id],role_course_map[[#This Row],[course_id]])=0, "INVALID","VALID")</f>
        <v>VALID</v>
      </c>
    </row>
    <row r="2725" spans="1:14" x14ac:dyDescent="0.35">
      <c r="A2725" t="s">
        <v>405</v>
      </c>
      <c r="B2725" s="5" t="str">
        <f>_xlfn.XLOOKUP(role_course_map[[#This Row],[role_id]], role_data[role_id], role_data[Role],"")</f>
        <v>Programme Manager</v>
      </c>
      <c r="C2725">
        <v>999072</v>
      </c>
      <c r="D2725" s="5" t="str">
        <f>_xlfn.XLOOKUP(role_course_map[[#This Row],[course_id]],course_data[course_id],course_data[title],"")</f>
        <v>PMO Induction</v>
      </c>
      <c r="E2725" s="5" t="str">
        <f>_xlfn.XLOOKUP(role_course_map[[#This Row],[course_id]],course_data[course_id],course_data[topic],"")</f>
        <v>SAS : Project Management Office</v>
      </c>
      <c r="F2725" s="5" t="str">
        <f>_xlfn.XLOOKUP(role_course_map[[#This Row],[course_id]],course_data[course_id],course_data[type],"")</f>
        <v>Course</v>
      </c>
      <c r="K2725" t="str">
        <f>role_course_map[[#This Row],[role_id]] &amp; "|" &amp; role_course_map[[#This Row],[course_id]]</f>
        <v>R0192|999072</v>
      </c>
      <c r="L2725" t="str">
        <f>IF(COUNTIF(role_course_map[mapping_key],role_course_map[[#This Row],[mapping_key]])&gt;1,"DUPLICATE","OK")</f>
        <v>OK</v>
      </c>
      <c r="M2725" t="str">
        <f>IF(COUNTIF(role_data[role_id],role_course_map[[#This Row],[role_id]])=0, "INVALID","VALID")</f>
        <v>VALID</v>
      </c>
      <c r="N2725" t="str">
        <f>IF(COUNTIF(course_data[course_id],role_course_map[[#This Row],[course_id]])=0, "INVALID","VALID")</f>
        <v>VALID</v>
      </c>
    </row>
    <row r="2726" spans="1:14" x14ac:dyDescent="0.35">
      <c r="A2726" t="s">
        <v>405</v>
      </c>
      <c r="B2726" s="5" t="str">
        <f>_xlfn.XLOOKUP(role_course_map[[#This Row],[role_id]], role_data[role_id], role_data[Role],"")</f>
        <v>Programme Manager</v>
      </c>
      <c r="C2726">
        <v>999073</v>
      </c>
      <c r="D2726" s="5" t="str">
        <f>_xlfn.XLOOKUP(role_course_map[[#This Row],[course_id]],course_data[course_id],course_data[title],"")</f>
        <v>Introduction to Change Management</v>
      </c>
      <c r="E2726" s="5" t="str">
        <f>_xlfn.XLOOKUP(role_course_map[[#This Row],[course_id]],course_data[course_id],course_data[topic],"")</f>
        <v>SAS : Project Management Office</v>
      </c>
      <c r="F2726" s="5" t="str">
        <f>_xlfn.XLOOKUP(role_course_map[[#This Row],[course_id]],course_data[course_id],course_data[type],"")</f>
        <v>eLearning</v>
      </c>
      <c r="K2726" t="str">
        <f>role_course_map[[#This Row],[role_id]] &amp; "|" &amp; role_course_map[[#This Row],[course_id]]</f>
        <v>R0192|999073</v>
      </c>
      <c r="L2726" t="str">
        <f>IF(COUNTIF(role_course_map[mapping_key],role_course_map[[#This Row],[mapping_key]])&gt;1,"DUPLICATE","OK")</f>
        <v>OK</v>
      </c>
      <c r="M2726" t="str">
        <f>IF(COUNTIF(role_data[role_id],role_course_map[[#This Row],[role_id]])=0, "INVALID","VALID")</f>
        <v>VALID</v>
      </c>
      <c r="N2726" t="str">
        <f>IF(COUNTIF(course_data[course_id],role_course_map[[#This Row],[course_id]])=0, "INVALID","VALID")</f>
        <v>VALID</v>
      </c>
    </row>
    <row r="2727" spans="1:14" x14ac:dyDescent="0.35">
      <c r="A2727" t="s">
        <v>405</v>
      </c>
      <c r="B2727" s="5" t="str">
        <f>_xlfn.XLOOKUP(role_course_map[[#This Row],[role_id]], role_data[role_id], role_data[Role],"")</f>
        <v>Programme Manager</v>
      </c>
      <c r="C2727">
        <v>999056</v>
      </c>
      <c r="D2727" s="5" t="str">
        <f>_xlfn.XLOOKUP(role_course_map[[#This Row],[course_id]],course_data[course_id],course_data[title],"")</f>
        <v>Driver Assessment &amp; Training</v>
      </c>
      <c r="E2727" s="5" t="str">
        <f>_xlfn.XLOOKUP(role_course_map[[#This Row],[course_id]],course_data[course_id],course_data[topic],"")</f>
        <v>SAS : Health and Safety</v>
      </c>
      <c r="F2727" s="5" t="str">
        <f>_xlfn.XLOOKUP(role_course_map[[#This Row],[course_id]],course_data[course_id],course_data[type],"")</f>
        <v>eLearning</v>
      </c>
      <c r="K2727" t="str">
        <f>role_course_map[[#This Row],[role_id]] &amp; "|" &amp; role_course_map[[#This Row],[course_id]]</f>
        <v>R0192|999056</v>
      </c>
      <c r="L2727" t="str">
        <f>IF(COUNTIF(role_course_map[mapping_key],role_course_map[[#This Row],[mapping_key]])&gt;1,"DUPLICATE","OK")</f>
        <v>OK</v>
      </c>
      <c r="M2727" t="str">
        <f>IF(COUNTIF(role_data[role_id],role_course_map[[#This Row],[role_id]])=0, "INVALID","VALID")</f>
        <v>VALID</v>
      </c>
      <c r="N2727" t="str">
        <f>IF(COUNTIF(course_data[course_id],role_course_map[[#This Row],[course_id]])=0, "INVALID","VALID")</f>
        <v>VALID</v>
      </c>
    </row>
    <row r="2728" spans="1:14" x14ac:dyDescent="0.35">
      <c r="A2728" t="s">
        <v>405</v>
      </c>
      <c r="B2728" s="5" t="str">
        <f>_xlfn.XLOOKUP(role_course_map[[#This Row],[role_id]], role_data[role_id], role_data[Role],"")</f>
        <v>Programme Manager</v>
      </c>
      <c r="C2728">
        <v>999057</v>
      </c>
      <c r="D2728" s="5" t="str">
        <f>_xlfn.XLOOKUP(role_course_map[[#This Row],[course_id]],course_data[course_id],course_data[title],"")</f>
        <v>Fatigue Awareness</v>
      </c>
      <c r="E2728" s="5" t="str">
        <f>_xlfn.XLOOKUP(role_course_map[[#This Row],[course_id]],course_data[course_id],course_data[topic],"")</f>
        <v>SAS : Health and Safety</v>
      </c>
      <c r="F2728" s="5" t="str">
        <f>_xlfn.XLOOKUP(role_course_map[[#This Row],[course_id]],course_data[course_id],course_data[type],"")</f>
        <v>eLearning</v>
      </c>
      <c r="K2728" t="str">
        <f>role_course_map[[#This Row],[role_id]] &amp; "|" &amp; role_course_map[[#This Row],[course_id]]</f>
        <v>R0192|999057</v>
      </c>
      <c r="L2728" t="str">
        <f>IF(COUNTIF(role_course_map[mapping_key],role_course_map[[#This Row],[mapping_key]])&gt;1,"DUPLICATE","OK")</f>
        <v>OK</v>
      </c>
      <c r="M2728" t="str">
        <f>IF(COUNTIF(role_data[role_id],role_course_map[[#This Row],[role_id]])=0, "INVALID","VALID")</f>
        <v>VALID</v>
      </c>
      <c r="N2728" t="str">
        <f>IF(COUNTIF(course_data[course_id],role_course_map[[#This Row],[course_id]])=0, "INVALID","VALID")</f>
        <v>VALID</v>
      </c>
    </row>
    <row r="2729" spans="1:14" x14ac:dyDescent="0.35">
      <c r="A2729" t="s">
        <v>405</v>
      </c>
      <c r="B2729" s="5" t="str">
        <f>_xlfn.XLOOKUP(role_course_map[[#This Row],[role_id]], role_data[role_id], role_data[Role],"")</f>
        <v>Programme Manager</v>
      </c>
      <c r="C2729">
        <v>999058</v>
      </c>
      <c r="D2729" s="5" t="str">
        <f>_xlfn.XLOOKUP(role_course_map[[#This Row],[course_id]],course_data[course_id],course_data[title],"")</f>
        <v>Stress Identification &amp; Stress Management</v>
      </c>
      <c r="E2729" s="5" t="str">
        <f>_xlfn.XLOOKUP(role_course_map[[#This Row],[course_id]],course_data[course_id],course_data[topic],"")</f>
        <v>SAS : Health and Safety</v>
      </c>
      <c r="F2729" s="5" t="str">
        <f>_xlfn.XLOOKUP(role_course_map[[#This Row],[course_id]],course_data[course_id],course_data[type],"")</f>
        <v>eLearning</v>
      </c>
      <c r="K2729" t="str">
        <f>role_course_map[[#This Row],[role_id]] &amp; "|" &amp; role_course_map[[#This Row],[course_id]]</f>
        <v>R0192|999058</v>
      </c>
      <c r="L2729" t="str">
        <f>IF(COUNTIF(role_course_map[mapping_key],role_course_map[[#This Row],[mapping_key]])&gt;1,"DUPLICATE","OK")</f>
        <v>OK</v>
      </c>
      <c r="M2729" t="str">
        <f>IF(COUNTIF(role_data[role_id],role_course_map[[#This Row],[role_id]])=0, "INVALID","VALID")</f>
        <v>VALID</v>
      </c>
      <c r="N2729" t="str">
        <f>IF(COUNTIF(course_data[course_id],role_course_map[[#This Row],[course_id]])=0, "INVALID","VALID")</f>
        <v>VALID</v>
      </c>
    </row>
    <row r="2730" spans="1:14" x14ac:dyDescent="0.35">
      <c r="A2730" t="s">
        <v>405</v>
      </c>
      <c r="B2730" s="5" t="str">
        <f>_xlfn.XLOOKUP(role_course_map[[#This Row],[role_id]], role_data[role_id], role_data[Role],"")</f>
        <v>Programme Manager</v>
      </c>
      <c r="C2730">
        <v>999062</v>
      </c>
      <c r="D2730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2730" s="5" t="str">
        <f>_xlfn.XLOOKUP(role_course_map[[#This Row],[course_id]],course_data[course_id],course_data[topic],"")</f>
        <v>SAS : Health and Safety</v>
      </c>
      <c r="F2730" s="5" t="str">
        <f>_xlfn.XLOOKUP(role_course_map[[#This Row],[course_id]],course_data[course_id],course_data[type],"")</f>
        <v>Course</v>
      </c>
      <c r="K2730" t="str">
        <f>role_course_map[[#This Row],[role_id]] &amp; "|" &amp; role_course_map[[#This Row],[course_id]]</f>
        <v>R0192|999062</v>
      </c>
      <c r="L2730" t="str">
        <f>IF(COUNTIF(role_course_map[mapping_key],role_course_map[[#This Row],[mapping_key]])&gt;1,"DUPLICATE","OK")</f>
        <v>OK</v>
      </c>
      <c r="M2730" t="str">
        <f>IF(COUNTIF(role_data[role_id],role_course_map[[#This Row],[role_id]])=0, "INVALID","VALID")</f>
        <v>VALID</v>
      </c>
      <c r="N2730" t="str">
        <f>IF(COUNTIF(course_data[course_id],role_course_map[[#This Row],[course_id]])=0, "INVALID","VALID")</f>
        <v>VALID</v>
      </c>
    </row>
    <row r="2731" spans="1:14" x14ac:dyDescent="0.35">
      <c r="A2731" t="s">
        <v>405</v>
      </c>
      <c r="B2731" s="5" t="str">
        <f>_xlfn.XLOOKUP(role_course_map[[#This Row],[role_id]], role_data[role_id], role_data[Role],"")</f>
        <v>Programme Manager</v>
      </c>
      <c r="C2731">
        <v>999091</v>
      </c>
      <c r="D2731" s="5" t="str">
        <f>_xlfn.XLOOKUP(role_course_map[[#This Row],[course_id]],course_data[course_id],course_data[title],"")</f>
        <v>Intermediate Leadership Development Programme</v>
      </c>
      <c r="E2731" s="5" t="str">
        <f>_xlfn.XLOOKUP(role_course_map[[#This Row],[course_id]],course_data[course_id],course_data[topic],"")</f>
        <v>SAS: Staff development and experience</v>
      </c>
      <c r="F2731" s="5">
        <f>_xlfn.XLOOKUP(role_course_map[[#This Row],[course_id]],course_data[course_id],course_data[type],"")</f>
        <v>0</v>
      </c>
      <c r="K2731" t="str">
        <f>role_course_map[[#This Row],[role_id]] &amp; "|" &amp; role_course_map[[#This Row],[course_id]]</f>
        <v>R0192|999091</v>
      </c>
      <c r="L2731" t="str">
        <f>IF(COUNTIF(role_course_map[mapping_key],role_course_map[[#This Row],[mapping_key]])&gt;1,"DUPLICATE","OK")</f>
        <v>OK</v>
      </c>
      <c r="M2731" t="str">
        <f>IF(COUNTIF(role_data[role_id],role_course_map[[#This Row],[role_id]])=0, "INVALID","VALID")</f>
        <v>VALID</v>
      </c>
      <c r="N2731" t="str">
        <f>IF(COUNTIF(course_data[course_id],role_course_map[[#This Row],[course_id]])=0, "INVALID","VALID")</f>
        <v>VALID</v>
      </c>
    </row>
    <row r="2732" spans="1:14" x14ac:dyDescent="0.35">
      <c r="A2732" t="s">
        <v>405</v>
      </c>
      <c r="B2732" s="5" t="str">
        <f>_xlfn.XLOOKUP(role_course_map[[#This Row],[role_id]], role_data[role_id], role_data[Role],"")</f>
        <v>Programme Manager</v>
      </c>
      <c r="C2732">
        <v>999094</v>
      </c>
      <c r="D2732" s="5" t="str">
        <f>_xlfn.XLOOKUP(role_course_map[[#This Row],[course_id]],course_data[course_id],course_data[title],"")</f>
        <v>Being well, Mind, Body &amp; Workplace</v>
      </c>
      <c r="E2732" s="5" t="str">
        <f>_xlfn.XLOOKUP(role_course_map[[#This Row],[course_id]],course_data[course_id],course_data[topic],"")</f>
        <v>SAS: Staff development and experience</v>
      </c>
      <c r="F2732" s="5" t="str">
        <f>_xlfn.XLOOKUP(role_course_map[[#This Row],[course_id]],course_data[course_id],course_data[type],"")</f>
        <v>eLearning</v>
      </c>
      <c r="K2732" t="str">
        <f>role_course_map[[#This Row],[role_id]] &amp; "|" &amp; role_course_map[[#This Row],[course_id]]</f>
        <v>R0192|999094</v>
      </c>
      <c r="L2732" t="str">
        <f>IF(COUNTIF(role_course_map[mapping_key],role_course_map[[#This Row],[mapping_key]])&gt;1,"DUPLICATE","OK")</f>
        <v>OK</v>
      </c>
      <c r="M2732" t="str">
        <f>IF(COUNTIF(role_data[role_id],role_course_map[[#This Row],[role_id]])=0, "INVALID","VALID")</f>
        <v>VALID</v>
      </c>
      <c r="N2732" t="str">
        <f>IF(COUNTIF(course_data[course_id],role_course_map[[#This Row],[course_id]])=0, "INVALID","VALID")</f>
        <v>VALID</v>
      </c>
    </row>
    <row r="2733" spans="1:14" x14ac:dyDescent="0.35">
      <c r="A2733" t="s">
        <v>407</v>
      </c>
      <c r="B2733" s="5" t="str">
        <f>_xlfn.XLOOKUP(role_course_map[[#This Row],[role_id]], role_data[role_id], role_data[Role],"")</f>
        <v>Programme Support Officer</v>
      </c>
      <c r="C2733">
        <v>999072</v>
      </c>
      <c r="D2733" s="5" t="str">
        <f>_xlfn.XLOOKUP(role_course_map[[#This Row],[course_id]],course_data[course_id],course_data[title],"")</f>
        <v>PMO Induction</v>
      </c>
      <c r="E2733" s="5" t="str">
        <f>_xlfn.XLOOKUP(role_course_map[[#This Row],[course_id]],course_data[course_id],course_data[topic],"")</f>
        <v>SAS : Project Management Office</v>
      </c>
      <c r="F2733" s="5" t="str">
        <f>_xlfn.XLOOKUP(role_course_map[[#This Row],[course_id]],course_data[course_id],course_data[type],"")</f>
        <v>Course</v>
      </c>
      <c r="K2733" t="str">
        <f>role_course_map[[#This Row],[role_id]] &amp; "|" &amp; role_course_map[[#This Row],[course_id]]</f>
        <v>R0193|999072</v>
      </c>
      <c r="L2733" t="str">
        <f>IF(COUNTIF(role_course_map[mapping_key],role_course_map[[#This Row],[mapping_key]])&gt;1,"DUPLICATE","OK")</f>
        <v>OK</v>
      </c>
      <c r="M2733" t="str">
        <f>IF(COUNTIF(role_data[role_id],role_course_map[[#This Row],[role_id]])=0, "INVALID","VALID")</f>
        <v>VALID</v>
      </c>
      <c r="N2733" t="str">
        <f>IF(COUNTIF(course_data[course_id],role_course_map[[#This Row],[course_id]])=0, "INVALID","VALID")</f>
        <v>VALID</v>
      </c>
    </row>
    <row r="2734" spans="1:14" x14ac:dyDescent="0.35">
      <c r="A2734" t="s">
        <v>407</v>
      </c>
      <c r="B2734" s="5" t="str">
        <f>_xlfn.XLOOKUP(role_course_map[[#This Row],[role_id]], role_data[role_id], role_data[Role],"")</f>
        <v>Programme Support Officer</v>
      </c>
      <c r="C2734">
        <v>999073</v>
      </c>
      <c r="D2734" s="5" t="str">
        <f>_xlfn.XLOOKUP(role_course_map[[#This Row],[course_id]],course_data[course_id],course_data[title],"")</f>
        <v>Introduction to Change Management</v>
      </c>
      <c r="E2734" s="5" t="str">
        <f>_xlfn.XLOOKUP(role_course_map[[#This Row],[course_id]],course_data[course_id],course_data[topic],"")</f>
        <v>SAS : Project Management Office</v>
      </c>
      <c r="F2734" s="5" t="str">
        <f>_xlfn.XLOOKUP(role_course_map[[#This Row],[course_id]],course_data[course_id],course_data[type],"")</f>
        <v>eLearning</v>
      </c>
      <c r="K2734" t="str">
        <f>role_course_map[[#This Row],[role_id]] &amp; "|" &amp; role_course_map[[#This Row],[course_id]]</f>
        <v>R0193|999073</v>
      </c>
      <c r="L2734" t="str">
        <f>IF(COUNTIF(role_course_map[mapping_key],role_course_map[[#This Row],[mapping_key]])&gt;1,"DUPLICATE","OK")</f>
        <v>OK</v>
      </c>
      <c r="M2734" t="str">
        <f>IF(COUNTIF(role_data[role_id],role_course_map[[#This Row],[role_id]])=0, "INVALID","VALID")</f>
        <v>VALID</v>
      </c>
      <c r="N2734" t="str">
        <f>IF(COUNTIF(course_data[course_id],role_course_map[[#This Row],[course_id]])=0, "INVALID","VALID")</f>
        <v>VALID</v>
      </c>
    </row>
    <row r="2735" spans="1:14" x14ac:dyDescent="0.35">
      <c r="A2735" t="s">
        <v>407</v>
      </c>
      <c r="B2735" s="5" t="str">
        <f>_xlfn.XLOOKUP(role_course_map[[#This Row],[role_id]], role_data[role_id], role_data[Role],"")</f>
        <v>Programme Support Officer</v>
      </c>
      <c r="C2735">
        <v>999056</v>
      </c>
      <c r="D2735" s="5" t="str">
        <f>_xlfn.XLOOKUP(role_course_map[[#This Row],[course_id]],course_data[course_id],course_data[title],"")</f>
        <v>Driver Assessment &amp; Training</v>
      </c>
      <c r="E2735" s="5" t="str">
        <f>_xlfn.XLOOKUP(role_course_map[[#This Row],[course_id]],course_data[course_id],course_data[topic],"")</f>
        <v>SAS : Health and Safety</v>
      </c>
      <c r="F2735" s="5" t="str">
        <f>_xlfn.XLOOKUP(role_course_map[[#This Row],[course_id]],course_data[course_id],course_data[type],"")</f>
        <v>eLearning</v>
      </c>
      <c r="K2735" t="str">
        <f>role_course_map[[#This Row],[role_id]] &amp; "|" &amp; role_course_map[[#This Row],[course_id]]</f>
        <v>R0193|999056</v>
      </c>
      <c r="L2735" t="str">
        <f>IF(COUNTIF(role_course_map[mapping_key],role_course_map[[#This Row],[mapping_key]])&gt;1,"DUPLICATE","OK")</f>
        <v>OK</v>
      </c>
      <c r="M2735" t="str">
        <f>IF(COUNTIF(role_data[role_id],role_course_map[[#This Row],[role_id]])=0, "INVALID","VALID")</f>
        <v>VALID</v>
      </c>
      <c r="N2735" t="str">
        <f>IF(COUNTIF(course_data[course_id],role_course_map[[#This Row],[course_id]])=0, "INVALID","VALID")</f>
        <v>VALID</v>
      </c>
    </row>
    <row r="2736" spans="1:14" x14ac:dyDescent="0.35">
      <c r="A2736" t="s">
        <v>407</v>
      </c>
      <c r="B2736" s="5" t="str">
        <f>_xlfn.XLOOKUP(role_course_map[[#This Row],[role_id]], role_data[role_id], role_data[Role],"")</f>
        <v>Programme Support Officer</v>
      </c>
      <c r="C2736">
        <v>999057</v>
      </c>
      <c r="D2736" s="5" t="str">
        <f>_xlfn.XLOOKUP(role_course_map[[#This Row],[course_id]],course_data[course_id],course_data[title],"")</f>
        <v>Fatigue Awareness</v>
      </c>
      <c r="E2736" s="5" t="str">
        <f>_xlfn.XLOOKUP(role_course_map[[#This Row],[course_id]],course_data[course_id],course_data[topic],"")</f>
        <v>SAS : Health and Safety</v>
      </c>
      <c r="F2736" s="5" t="str">
        <f>_xlfn.XLOOKUP(role_course_map[[#This Row],[course_id]],course_data[course_id],course_data[type],"")</f>
        <v>eLearning</v>
      </c>
      <c r="K2736" t="str">
        <f>role_course_map[[#This Row],[role_id]] &amp; "|" &amp; role_course_map[[#This Row],[course_id]]</f>
        <v>R0193|999057</v>
      </c>
      <c r="L2736" t="str">
        <f>IF(COUNTIF(role_course_map[mapping_key],role_course_map[[#This Row],[mapping_key]])&gt;1,"DUPLICATE","OK")</f>
        <v>OK</v>
      </c>
      <c r="M2736" t="str">
        <f>IF(COUNTIF(role_data[role_id],role_course_map[[#This Row],[role_id]])=0, "INVALID","VALID")</f>
        <v>VALID</v>
      </c>
      <c r="N2736" t="str">
        <f>IF(COUNTIF(course_data[course_id],role_course_map[[#This Row],[course_id]])=0, "INVALID","VALID")</f>
        <v>VALID</v>
      </c>
    </row>
    <row r="2737" spans="1:14" x14ac:dyDescent="0.35">
      <c r="A2737" t="s">
        <v>407</v>
      </c>
      <c r="B2737" s="5" t="str">
        <f>_xlfn.XLOOKUP(role_course_map[[#This Row],[role_id]], role_data[role_id], role_data[Role],"")</f>
        <v>Programme Support Officer</v>
      </c>
      <c r="C2737">
        <v>999058</v>
      </c>
      <c r="D2737" s="5" t="str">
        <f>_xlfn.XLOOKUP(role_course_map[[#This Row],[course_id]],course_data[course_id],course_data[title],"")</f>
        <v>Stress Identification &amp; Stress Management</v>
      </c>
      <c r="E2737" s="5" t="str">
        <f>_xlfn.XLOOKUP(role_course_map[[#This Row],[course_id]],course_data[course_id],course_data[topic],"")</f>
        <v>SAS : Health and Safety</v>
      </c>
      <c r="F2737" s="5" t="str">
        <f>_xlfn.XLOOKUP(role_course_map[[#This Row],[course_id]],course_data[course_id],course_data[type],"")</f>
        <v>eLearning</v>
      </c>
      <c r="K2737" t="str">
        <f>role_course_map[[#This Row],[role_id]] &amp; "|" &amp; role_course_map[[#This Row],[course_id]]</f>
        <v>R0193|999058</v>
      </c>
      <c r="L2737" t="str">
        <f>IF(COUNTIF(role_course_map[mapping_key],role_course_map[[#This Row],[mapping_key]])&gt;1,"DUPLICATE","OK")</f>
        <v>OK</v>
      </c>
      <c r="M2737" t="str">
        <f>IF(COUNTIF(role_data[role_id],role_course_map[[#This Row],[role_id]])=0, "INVALID","VALID")</f>
        <v>VALID</v>
      </c>
      <c r="N2737" t="str">
        <f>IF(COUNTIF(course_data[course_id],role_course_map[[#This Row],[course_id]])=0, "INVALID","VALID")</f>
        <v>VALID</v>
      </c>
    </row>
    <row r="2738" spans="1:14" x14ac:dyDescent="0.35">
      <c r="A2738" t="s">
        <v>407</v>
      </c>
      <c r="B2738" s="5" t="str">
        <f>_xlfn.XLOOKUP(role_course_map[[#This Row],[role_id]], role_data[role_id], role_data[Role],"")</f>
        <v>Programme Support Officer</v>
      </c>
      <c r="C2738">
        <v>999094</v>
      </c>
      <c r="D2738" s="5" t="str">
        <f>_xlfn.XLOOKUP(role_course_map[[#This Row],[course_id]],course_data[course_id],course_data[title],"")</f>
        <v>Being well, Mind, Body &amp; Workplace</v>
      </c>
      <c r="E2738" s="5" t="str">
        <f>_xlfn.XLOOKUP(role_course_map[[#This Row],[course_id]],course_data[course_id],course_data[topic],"")</f>
        <v>SAS: Staff development and experience</v>
      </c>
      <c r="F2738" s="5" t="str">
        <f>_xlfn.XLOOKUP(role_course_map[[#This Row],[course_id]],course_data[course_id],course_data[type],"")</f>
        <v>eLearning</v>
      </c>
      <c r="K2738" t="str">
        <f>role_course_map[[#This Row],[role_id]] &amp; "|" &amp; role_course_map[[#This Row],[course_id]]</f>
        <v>R0193|999094</v>
      </c>
      <c r="L2738" t="str">
        <f>IF(COUNTIF(role_course_map[mapping_key],role_course_map[[#This Row],[mapping_key]])&gt;1,"DUPLICATE","OK")</f>
        <v>OK</v>
      </c>
      <c r="M2738" t="str">
        <f>IF(COUNTIF(role_data[role_id],role_course_map[[#This Row],[role_id]])=0, "INVALID","VALID")</f>
        <v>VALID</v>
      </c>
      <c r="N2738" t="str">
        <f>IF(COUNTIF(course_data[course_id],role_course_map[[#This Row],[course_id]])=0, "INVALID","VALID")</f>
        <v>VALID</v>
      </c>
    </row>
    <row r="2739" spans="1:14" x14ac:dyDescent="0.35">
      <c r="A2739" t="s">
        <v>409</v>
      </c>
      <c r="B2739" s="5" t="str">
        <f>_xlfn.XLOOKUP(role_course_map[[#This Row],[role_id]], role_data[role_id], role_data[Role],"")</f>
        <v>Project Manager</v>
      </c>
      <c r="C2739">
        <v>999072</v>
      </c>
      <c r="D2739" s="5" t="str">
        <f>_xlfn.XLOOKUP(role_course_map[[#This Row],[course_id]],course_data[course_id],course_data[title],"")</f>
        <v>PMO Induction</v>
      </c>
      <c r="E2739" s="5" t="str">
        <f>_xlfn.XLOOKUP(role_course_map[[#This Row],[course_id]],course_data[course_id],course_data[topic],"")</f>
        <v>SAS : Project Management Office</v>
      </c>
      <c r="F2739" s="5" t="str">
        <f>_xlfn.XLOOKUP(role_course_map[[#This Row],[course_id]],course_data[course_id],course_data[type],"")</f>
        <v>Course</v>
      </c>
      <c r="K2739" t="str">
        <f>role_course_map[[#This Row],[role_id]] &amp; "|" &amp; role_course_map[[#This Row],[course_id]]</f>
        <v>R0194|999072</v>
      </c>
      <c r="L2739" t="str">
        <f>IF(COUNTIF(role_course_map[mapping_key],role_course_map[[#This Row],[mapping_key]])&gt;1,"DUPLICATE","OK")</f>
        <v>OK</v>
      </c>
      <c r="M2739" t="str">
        <f>IF(COUNTIF(role_data[role_id],role_course_map[[#This Row],[role_id]])=0, "INVALID","VALID")</f>
        <v>VALID</v>
      </c>
      <c r="N2739" t="str">
        <f>IF(COUNTIF(course_data[course_id],role_course_map[[#This Row],[course_id]])=0, "INVALID","VALID")</f>
        <v>VALID</v>
      </c>
    </row>
    <row r="2740" spans="1:14" x14ac:dyDescent="0.35">
      <c r="A2740" t="s">
        <v>409</v>
      </c>
      <c r="B2740" s="5" t="str">
        <f>_xlfn.XLOOKUP(role_course_map[[#This Row],[role_id]], role_data[role_id], role_data[Role],"")</f>
        <v>Project Manager</v>
      </c>
      <c r="C2740">
        <v>999073</v>
      </c>
      <c r="D2740" s="5" t="str">
        <f>_xlfn.XLOOKUP(role_course_map[[#This Row],[course_id]],course_data[course_id],course_data[title],"")</f>
        <v>Introduction to Change Management</v>
      </c>
      <c r="E2740" s="5" t="str">
        <f>_xlfn.XLOOKUP(role_course_map[[#This Row],[course_id]],course_data[course_id],course_data[topic],"")</f>
        <v>SAS : Project Management Office</v>
      </c>
      <c r="F2740" s="5" t="str">
        <f>_xlfn.XLOOKUP(role_course_map[[#This Row],[course_id]],course_data[course_id],course_data[type],"")</f>
        <v>eLearning</v>
      </c>
      <c r="K2740" t="str">
        <f>role_course_map[[#This Row],[role_id]] &amp; "|" &amp; role_course_map[[#This Row],[course_id]]</f>
        <v>R0194|999073</v>
      </c>
      <c r="L2740" t="str">
        <f>IF(COUNTIF(role_course_map[mapping_key],role_course_map[[#This Row],[mapping_key]])&gt;1,"DUPLICATE","OK")</f>
        <v>OK</v>
      </c>
      <c r="M2740" t="str">
        <f>IF(COUNTIF(role_data[role_id],role_course_map[[#This Row],[role_id]])=0, "INVALID","VALID")</f>
        <v>VALID</v>
      </c>
      <c r="N2740" t="str">
        <f>IF(COUNTIF(course_data[course_id],role_course_map[[#This Row],[course_id]])=0, "INVALID","VALID")</f>
        <v>VALID</v>
      </c>
    </row>
    <row r="2741" spans="1:14" x14ac:dyDescent="0.35">
      <c r="A2741" t="s">
        <v>409</v>
      </c>
      <c r="B2741" s="5" t="str">
        <f>_xlfn.XLOOKUP(role_course_map[[#This Row],[role_id]], role_data[role_id], role_data[Role],"")</f>
        <v>Project Manager</v>
      </c>
      <c r="C2741">
        <v>999056</v>
      </c>
      <c r="D2741" s="5" t="str">
        <f>_xlfn.XLOOKUP(role_course_map[[#This Row],[course_id]],course_data[course_id],course_data[title],"")</f>
        <v>Driver Assessment &amp; Training</v>
      </c>
      <c r="E2741" s="5" t="str">
        <f>_xlfn.XLOOKUP(role_course_map[[#This Row],[course_id]],course_data[course_id],course_data[topic],"")</f>
        <v>SAS : Health and Safety</v>
      </c>
      <c r="F2741" s="5" t="str">
        <f>_xlfn.XLOOKUP(role_course_map[[#This Row],[course_id]],course_data[course_id],course_data[type],"")</f>
        <v>eLearning</v>
      </c>
      <c r="K2741" t="str">
        <f>role_course_map[[#This Row],[role_id]] &amp; "|" &amp; role_course_map[[#This Row],[course_id]]</f>
        <v>R0194|999056</v>
      </c>
      <c r="L2741" t="str">
        <f>IF(COUNTIF(role_course_map[mapping_key],role_course_map[[#This Row],[mapping_key]])&gt;1,"DUPLICATE","OK")</f>
        <v>OK</v>
      </c>
      <c r="M2741" t="str">
        <f>IF(COUNTIF(role_data[role_id],role_course_map[[#This Row],[role_id]])=0, "INVALID","VALID")</f>
        <v>VALID</v>
      </c>
      <c r="N2741" t="str">
        <f>IF(COUNTIF(course_data[course_id],role_course_map[[#This Row],[course_id]])=0, "INVALID","VALID")</f>
        <v>VALID</v>
      </c>
    </row>
    <row r="2742" spans="1:14" x14ac:dyDescent="0.35">
      <c r="A2742" t="s">
        <v>409</v>
      </c>
      <c r="B2742" s="5" t="str">
        <f>_xlfn.XLOOKUP(role_course_map[[#This Row],[role_id]], role_data[role_id], role_data[Role],"")</f>
        <v>Project Manager</v>
      </c>
      <c r="C2742">
        <v>999057</v>
      </c>
      <c r="D2742" s="5" t="str">
        <f>_xlfn.XLOOKUP(role_course_map[[#This Row],[course_id]],course_data[course_id],course_data[title],"")</f>
        <v>Fatigue Awareness</v>
      </c>
      <c r="E2742" s="5" t="str">
        <f>_xlfn.XLOOKUP(role_course_map[[#This Row],[course_id]],course_data[course_id],course_data[topic],"")</f>
        <v>SAS : Health and Safety</v>
      </c>
      <c r="F2742" s="5" t="str">
        <f>_xlfn.XLOOKUP(role_course_map[[#This Row],[course_id]],course_data[course_id],course_data[type],"")</f>
        <v>eLearning</v>
      </c>
      <c r="K2742" t="str">
        <f>role_course_map[[#This Row],[role_id]] &amp; "|" &amp; role_course_map[[#This Row],[course_id]]</f>
        <v>R0194|999057</v>
      </c>
      <c r="L2742" t="str">
        <f>IF(COUNTIF(role_course_map[mapping_key],role_course_map[[#This Row],[mapping_key]])&gt;1,"DUPLICATE","OK")</f>
        <v>OK</v>
      </c>
      <c r="M2742" t="str">
        <f>IF(COUNTIF(role_data[role_id],role_course_map[[#This Row],[role_id]])=0, "INVALID","VALID")</f>
        <v>VALID</v>
      </c>
      <c r="N2742" t="str">
        <f>IF(COUNTIF(course_data[course_id],role_course_map[[#This Row],[course_id]])=0, "INVALID","VALID")</f>
        <v>VALID</v>
      </c>
    </row>
    <row r="2743" spans="1:14" x14ac:dyDescent="0.35">
      <c r="A2743" t="s">
        <v>409</v>
      </c>
      <c r="B2743" s="5" t="str">
        <f>_xlfn.XLOOKUP(role_course_map[[#This Row],[role_id]], role_data[role_id], role_data[Role],"")</f>
        <v>Project Manager</v>
      </c>
      <c r="C2743">
        <v>999058</v>
      </c>
      <c r="D2743" s="5" t="str">
        <f>_xlfn.XLOOKUP(role_course_map[[#This Row],[course_id]],course_data[course_id],course_data[title],"")</f>
        <v>Stress Identification &amp; Stress Management</v>
      </c>
      <c r="E2743" s="5" t="str">
        <f>_xlfn.XLOOKUP(role_course_map[[#This Row],[course_id]],course_data[course_id],course_data[topic],"")</f>
        <v>SAS : Health and Safety</v>
      </c>
      <c r="F2743" s="5" t="str">
        <f>_xlfn.XLOOKUP(role_course_map[[#This Row],[course_id]],course_data[course_id],course_data[type],"")</f>
        <v>eLearning</v>
      </c>
      <c r="K2743" t="str">
        <f>role_course_map[[#This Row],[role_id]] &amp; "|" &amp; role_course_map[[#This Row],[course_id]]</f>
        <v>R0194|999058</v>
      </c>
      <c r="L2743" t="str">
        <f>IF(COUNTIF(role_course_map[mapping_key],role_course_map[[#This Row],[mapping_key]])&gt;1,"DUPLICATE","OK")</f>
        <v>OK</v>
      </c>
      <c r="M2743" t="str">
        <f>IF(COUNTIF(role_data[role_id],role_course_map[[#This Row],[role_id]])=0, "INVALID","VALID")</f>
        <v>VALID</v>
      </c>
      <c r="N2743" t="str">
        <f>IF(COUNTIF(course_data[course_id],role_course_map[[#This Row],[course_id]])=0, "INVALID","VALID")</f>
        <v>VALID</v>
      </c>
    </row>
    <row r="2744" spans="1:14" x14ac:dyDescent="0.35">
      <c r="A2744" t="s">
        <v>409</v>
      </c>
      <c r="B2744" s="5" t="str">
        <f>_xlfn.XLOOKUP(role_course_map[[#This Row],[role_id]], role_data[role_id], role_data[Role],"")</f>
        <v>Project Manager</v>
      </c>
      <c r="C2744">
        <v>999062</v>
      </c>
      <c r="D2744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2744" s="5" t="str">
        <f>_xlfn.XLOOKUP(role_course_map[[#This Row],[course_id]],course_data[course_id],course_data[topic],"")</f>
        <v>SAS : Health and Safety</v>
      </c>
      <c r="F2744" s="5" t="str">
        <f>_xlfn.XLOOKUP(role_course_map[[#This Row],[course_id]],course_data[course_id],course_data[type],"")</f>
        <v>Course</v>
      </c>
      <c r="K2744" t="str">
        <f>role_course_map[[#This Row],[role_id]] &amp; "|" &amp; role_course_map[[#This Row],[course_id]]</f>
        <v>R0194|999062</v>
      </c>
      <c r="L2744" t="str">
        <f>IF(COUNTIF(role_course_map[mapping_key],role_course_map[[#This Row],[mapping_key]])&gt;1,"DUPLICATE","OK")</f>
        <v>OK</v>
      </c>
      <c r="M2744" t="str">
        <f>IF(COUNTIF(role_data[role_id],role_course_map[[#This Row],[role_id]])=0, "INVALID","VALID")</f>
        <v>VALID</v>
      </c>
      <c r="N2744" t="str">
        <f>IF(COUNTIF(course_data[course_id],role_course_map[[#This Row],[course_id]])=0, "INVALID","VALID")</f>
        <v>VALID</v>
      </c>
    </row>
    <row r="2745" spans="1:14" x14ac:dyDescent="0.35">
      <c r="A2745" t="s">
        <v>409</v>
      </c>
      <c r="B2745" s="5" t="str">
        <f>_xlfn.XLOOKUP(role_course_map[[#This Row],[role_id]], role_data[role_id], role_data[Role],"")</f>
        <v>Project Manager</v>
      </c>
      <c r="C2745">
        <v>75406</v>
      </c>
      <c r="D2745" s="5" t="str">
        <f>_xlfn.XLOOKUP(role_course_map[[#This Row],[course_id]],course_data[course_id],course_data[title],"")</f>
        <v>Foundation Leadership and Management Programme (FLMP)</v>
      </c>
      <c r="E2745" s="5" t="str">
        <f>_xlfn.XLOOKUP(role_course_map[[#This Row],[course_id]],course_data[course_id],course_data[topic],"")</f>
        <v>SAS: Staff development and experience</v>
      </c>
      <c r="F2745" s="5" t="str">
        <f>_xlfn.XLOOKUP(role_course_map[[#This Row],[course_id]],course_data[course_id],course_data[type],"")</f>
        <v>Page</v>
      </c>
      <c r="K2745" t="str">
        <f>role_course_map[[#This Row],[role_id]] &amp; "|" &amp; role_course_map[[#This Row],[course_id]]</f>
        <v>R0194|75406</v>
      </c>
      <c r="L2745" t="str">
        <f>IF(COUNTIF(role_course_map[mapping_key],role_course_map[[#This Row],[mapping_key]])&gt;1,"DUPLICATE","OK")</f>
        <v>OK</v>
      </c>
      <c r="M2745" t="str">
        <f>IF(COUNTIF(role_data[role_id],role_course_map[[#This Row],[role_id]])=0, "INVALID","VALID")</f>
        <v>VALID</v>
      </c>
      <c r="N2745" t="str">
        <f>IF(COUNTIF(course_data[course_id],role_course_map[[#This Row],[course_id]])=0, "INVALID","VALID")</f>
        <v>VALID</v>
      </c>
    </row>
    <row r="2746" spans="1:14" x14ac:dyDescent="0.35">
      <c r="A2746" t="s">
        <v>411</v>
      </c>
      <c r="B2746" s="5" t="str">
        <f>_xlfn.XLOOKUP(role_course_map[[#This Row],[role_id]], role_data[role_id], role_data[Role],"")</f>
        <v>Senior Project Officer</v>
      </c>
      <c r="C2746">
        <v>999072</v>
      </c>
      <c r="D2746" s="5" t="str">
        <f>_xlfn.XLOOKUP(role_course_map[[#This Row],[course_id]],course_data[course_id],course_data[title],"")</f>
        <v>PMO Induction</v>
      </c>
      <c r="E2746" s="5" t="str">
        <f>_xlfn.XLOOKUP(role_course_map[[#This Row],[course_id]],course_data[course_id],course_data[topic],"")</f>
        <v>SAS : Project Management Office</v>
      </c>
      <c r="F2746" s="5" t="str">
        <f>_xlfn.XLOOKUP(role_course_map[[#This Row],[course_id]],course_data[course_id],course_data[type],"")</f>
        <v>Course</v>
      </c>
      <c r="K2746" t="str">
        <f>role_course_map[[#This Row],[role_id]] &amp; "|" &amp; role_course_map[[#This Row],[course_id]]</f>
        <v>R0195|999072</v>
      </c>
      <c r="L2746" t="str">
        <f>IF(COUNTIF(role_course_map[mapping_key],role_course_map[[#This Row],[mapping_key]])&gt;1,"DUPLICATE","OK")</f>
        <v>OK</v>
      </c>
      <c r="M2746" t="str">
        <f>IF(COUNTIF(role_data[role_id],role_course_map[[#This Row],[role_id]])=0, "INVALID","VALID")</f>
        <v>VALID</v>
      </c>
      <c r="N2746" t="str">
        <f>IF(COUNTIF(course_data[course_id],role_course_map[[#This Row],[course_id]])=0, "INVALID","VALID")</f>
        <v>VALID</v>
      </c>
    </row>
    <row r="2747" spans="1:14" x14ac:dyDescent="0.35">
      <c r="A2747" t="s">
        <v>411</v>
      </c>
      <c r="B2747" s="5" t="str">
        <f>_xlfn.XLOOKUP(role_course_map[[#This Row],[role_id]], role_data[role_id], role_data[Role],"")</f>
        <v>Senior Project Officer</v>
      </c>
      <c r="C2747">
        <v>999073</v>
      </c>
      <c r="D2747" s="5" t="str">
        <f>_xlfn.XLOOKUP(role_course_map[[#This Row],[course_id]],course_data[course_id],course_data[title],"")</f>
        <v>Introduction to Change Management</v>
      </c>
      <c r="E2747" s="5" t="str">
        <f>_xlfn.XLOOKUP(role_course_map[[#This Row],[course_id]],course_data[course_id],course_data[topic],"")</f>
        <v>SAS : Project Management Office</v>
      </c>
      <c r="F2747" s="5" t="str">
        <f>_xlfn.XLOOKUP(role_course_map[[#This Row],[course_id]],course_data[course_id],course_data[type],"")</f>
        <v>eLearning</v>
      </c>
      <c r="K2747" t="str">
        <f>role_course_map[[#This Row],[role_id]] &amp; "|" &amp; role_course_map[[#This Row],[course_id]]</f>
        <v>R0195|999073</v>
      </c>
      <c r="L2747" t="str">
        <f>IF(COUNTIF(role_course_map[mapping_key],role_course_map[[#This Row],[mapping_key]])&gt;1,"DUPLICATE","OK")</f>
        <v>OK</v>
      </c>
      <c r="M2747" t="str">
        <f>IF(COUNTIF(role_data[role_id],role_course_map[[#This Row],[role_id]])=0, "INVALID","VALID")</f>
        <v>VALID</v>
      </c>
      <c r="N2747" t="str">
        <f>IF(COUNTIF(course_data[course_id],role_course_map[[#This Row],[course_id]])=0, "INVALID","VALID")</f>
        <v>VALID</v>
      </c>
    </row>
    <row r="2748" spans="1:14" x14ac:dyDescent="0.35">
      <c r="A2748" t="s">
        <v>411</v>
      </c>
      <c r="B2748" s="5" t="str">
        <f>_xlfn.XLOOKUP(role_course_map[[#This Row],[role_id]], role_data[role_id], role_data[Role],"")</f>
        <v>Senior Project Officer</v>
      </c>
      <c r="C2748">
        <v>999056</v>
      </c>
      <c r="D2748" s="5" t="str">
        <f>_xlfn.XLOOKUP(role_course_map[[#This Row],[course_id]],course_data[course_id],course_data[title],"")</f>
        <v>Driver Assessment &amp; Training</v>
      </c>
      <c r="E2748" s="5" t="str">
        <f>_xlfn.XLOOKUP(role_course_map[[#This Row],[course_id]],course_data[course_id],course_data[topic],"")</f>
        <v>SAS : Health and Safety</v>
      </c>
      <c r="F2748" s="5" t="str">
        <f>_xlfn.XLOOKUP(role_course_map[[#This Row],[course_id]],course_data[course_id],course_data[type],"")</f>
        <v>eLearning</v>
      </c>
      <c r="K2748" t="str">
        <f>role_course_map[[#This Row],[role_id]] &amp; "|" &amp; role_course_map[[#This Row],[course_id]]</f>
        <v>R0195|999056</v>
      </c>
      <c r="L2748" t="str">
        <f>IF(COUNTIF(role_course_map[mapping_key],role_course_map[[#This Row],[mapping_key]])&gt;1,"DUPLICATE","OK")</f>
        <v>OK</v>
      </c>
      <c r="M2748" t="str">
        <f>IF(COUNTIF(role_data[role_id],role_course_map[[#This Row],[role_id]])=0, "INVALID","VALID")</f>
        <v>VALID</v>
      </c>
      <c r="N2748" t="str">
        <f>IF(COUNTIF(course_data[course_id],role_course_map[[#This Row],[course_id]])=0, "INVALID","VALID")</f>
        <v>VALID</v>
      </c>
    </row>
    <row r="2749" spans="1:14" x14ac:dyDescent="0.35">
      <c r="A2749" t="s">
        <v>411</v>
      </c>
      <c r="B2749" s="5" t="str">
        <f>_xlfn.XLOOKUP(role_course_map[[#This Row],[role_id]], role_data[role_id], role_data[Role],"")</f>
        <v>Senior Project Officer</v>
      </c>
      <c r="C2749">
        <v>999057</v>
      </c>
      <c r="D2749" s="5" t="str">
        <f>_xlfn.XLOOKUP(role_course_map[[#This Row],[course_id]],course_data[course_id],course_data[title],"")</f>
        <v>Fatigue Awareness</v>
      </c>
      <c r="E2749" s="5" t="str">
        <f>_xlfn.XLOOKUP(role_course_map[[#This Row],[course_id]],course_data[course_id],course_data[topic],"")</f>
        <v>SAS : Health and Safety</v>
      </c>
      <c r="F2749" s="5" t="str">
        <f>_xlfn.XLOOKUP(role_course_map[[#This Row],[course_id]],course_data[course_id],course_data[type],"")</f>
        <v>eLearning</v>
      </c>
      <c r="K2749" t="str">
        <f>role_course_map[[#This Row],[role_id]] &amp; "|" &amp; role_course_map[[#This Row],[course_id]]</f>
        <v>R0195|999057</v>
      </c>
      <c r="L2749" t="str">
        <f>IF(COUNTIF(role_course_map[mapping_key],role_course_map[[#This Row],[mapping_key]])&gt;1,"DUPLICATE","OK")</f>
        <v>OK</v>
      </c>
      <c r="M2749" t="str">
        <f>IF(COUNTIF(role_data[role_id],role_course_map[[#This Row],[role_id]])=0, "INVALID","VALID")</f>
        <v>VALID</v>
      </c>
      <c r="N2749" t="str">
        <f>IF(COUNTIF(course_data[course_id],role_course_map[[#This Row],[course_id]])=0, "INVALID","VALID")</f>
        <v>VALID</v>
      </c>
    </row>
    <row r="2750" spans="1:14" x14ac:dyDescent="0.35">
      <c r="A2750" t="s">
        <v>411</v>
      </c>
      <c r="B2750" s="5" t="str">
        <f>_xlfn.XLOOKUP(role_course_map[[#This Row],[role_id]], role_data[role_id], role_data[Role],"")</f>
        <v>Senior Project Officer</v>
      </c>
      <c r="C2750">
        <v>999058</v>
      </c>
      <c r="D2750" s="5" t="str">
        <f>_xlfn.XLOOKUP(role_course_map[[#This Row],[course_id]],course_data[course_id],course_data[title],"")</f>
        <v>Stress Identification &amp; Stress Management</v>
      </c>
      <c r="E2750" s="5" t="str">
        <f>_xlfn.XLOOKUP(role_course_map[[#This Row],[course_id]],course_data[course_id],course_data[topic],"")</f>
        <v>SAS : Health and Safety</v>
      </c>
      <c r="F2750" s="5" t="str">
        <f>_xlfn.XLOOKUP(role_course_map[[#This Row],[course_id]],course_data[course_id],course_data[type],"")</f>
        <v>eLearning</v>
      </c>
      <c r="K2750" t="str">
        <f>role_course_map[[#This Row],[role_id]] &amp; "|" &amp; role_course_map[[#This Row],[course_id]]</f>
        <v>R0195|999058</v>
      </c>
      <c r="L2750" t="str">
        <f>IF(COUNTIF(role_course_map[mapping_key],role_course_map[[#This Row],[mapping_key]])&gt;1,"DUPLICATE","OK")</f>
        <v>OK</v>
      </c>
      <c r="M2750" t="str">
        <f>IF(COUNTIF(role_data[role_id],role_course_map[[#This Row],[role_id]])=0, "INVALID","VALID")</f>
        <v>VALID</v>
      </c>
      <c r="N2750" t="str">
        <f>IF(COUNTIF(course_data[course_id],role_course_map[[#This Row],[course_id]])=0, "INVALID","VALID")</f>
        <v>VALID</v>
      </c>
    </row>
    <row r="2751" spans="1:14" x14ac:dyDescent="0.35">
      <c r="A2751" t="s">
        <v>411</v>
      </c>
      <c r="B2751" s="5" t="str">
        <f>_xlfn.XLOOKUP(role_course_map[[#This Row],[role_id]], role_data[role_id], role_data[Role],"")</f>
        <v>Senior Project Officer</v>
      </c>
      <c r="C2751">
        <v>999094</v>
      </c>
      <c r="D2751" s="5" t="str">
        <f>_xlfn.XLOOKUP(role_course_map[[#This Row],[course_id]],course_data[course_id],course_data[title],"")</f>
        <v>Being well, Mind, Body &amp; Workplace</v>
      </c>
      <c r="E2751" s="5" t="str">
        <f>_xlfn.XLOOKUP(role_course_map[[#This Row],[course_id]],course_data[course_id],course_data[topic],"")</f>
        <v>SAS: Staff development and experience</v>
      </c>
      <c r="F2751" s="5" t="str">
        <f>_xlfn.XLOOKUP(role_course_map[[#This Row],[course_id]],course_data[course_id],course_data[type],"")</f>
        <v>eLearning</v>
      </c>
      <c r="K2751" t="str">
        <f>role_course_map[[#This Row],[role_id]] &amp; "|" &amp; role_course_map[[#This Row],[course_id]]</f>
        <v>R0195|999094</v>
      </c>
      <c r="L2751" t="str">
        <f>IF(COUNTIF(role_course_map[mapping_key],role_course_map[[#This Row],[mapping_key]])&gt;1,"DUPLICATE","OK")</f>
        <v>OK</v>
      </c>
      <c r="M2751" t="str">
        <f>IF(COUNTIF(role_data[role_id],role_course_map[[#This Row],[role_id]])=0, "INVALID","VALID")</f>
        <v>VALID</v>
      </c>
      <c r="N2751" t="str">
        <f>IF(COUNTIF(course_data[course_id],role_course_map[[#This Row],[course_id]])=0, "INVALID","VALID")</f>
        <v>VALID</v>
      </c>
    </row>
    <row r="2752" spans="1:14" x14ac:dyDescent="0.35">
      <c r="A2752" t="s">
        <v>413</v>
      </c>
      <c r="B2752" s="5" t="str">
        <f>_xlfn.XLOOKUP(role_course_map[[#This Row],[role_id]], role_data[role_id], role_data[Role],"")</f>
        <v>Strategy Programme Officer</v>
      </c>
      <c r="C2752">
        <v>999072</v>
      </c>
      <c r="D2752" s="5" t="str">
        <f>_xlfn.XLOOKUP(role_course_map[[#This Row],[course_id]],course_data[course_id],course_data[title],"")</f>
        <v>PMO Induction</v>
      </c>
      <c r="E2752" s="5" t="str">
        <f>_xlfn.XLOOKUP(role_course_map[[#This Row],[course_id]],course_data[course_id],course_data[topic],"")</f>
        <v>SAS : Project Management Office</v>
      </c>
      <c r="F2752" s="5" t="str">
        <f>_xlfn.XLOOKUP(role_course_map[[#This Row],[course_id]],course_data[course_id],course_data[type],"")</f>
        <v>Course</v>
      </c>
      <c r="K2752" t="str">
        <f>role_course_map[[#This Row],[role_id]] &amp; "|" &amp; role_course_map[[#This Row],[course_id]]</f>
        <v>R0196|999072</v>
      </c>
      <c r="L2752" t="str">
        <f>IF(COUNTIF(role_course_map[mapping_key],role_course_map[[#This Row],[mapping_key]])&gt;1,"DUPLICATE","OK")</f>
        <v>OK</v>
      </c>
      <c r="M2752" t="str">
        <f>IF(COUNTIF(role_data[role_id],role_course_map[[#This Row],[role_id]])=0, "INVALID","VALID")</f>
        <v>VALID</v>
      </c>
      <c r="N2752" t="str">
        <f>IF(COUNTIF(course_data[course_id],role_course_map[[#This Row],[course_id]])=0, "INVALID","VALID")</f>
        <v>VALID</v>
      </c>
    </row>
    <row r="2753" spans="1:14" x14ac:dyDescent="0.35">
      <c r="A2753" t="s">
        <v>413</v>
      </c>
      <c r="B2753" s="5" t="str">
        <f>_xlfn.XLOOKUP(role_course_map[[#This Row],[role_id]], role_data[role_id], role_data[Role],"")</f>
        <v>Strategy Programme Officer</v>
      </c>
      <c r="C2753">
        <v>999073</v>
      </c>
      <c r="D2753" s="5" t="str">
        <f>_xlfn.XLOOKUP(role_course_map[[#This Row],[course_id]],course_data[course_id],course_data[title],"")</f>
        <v>Introduction to Change Management</v>
      </c>
      <c r="E2753" s="5" t="str">
        <f>_xlfn.XLOOKUP(role_course_map[[#This Row],[course_id]],course_data[course_id],course_data[topic],"")</f>
        <v>SAS : Project Management Office</v>
      </c>
      <c r="F2753" s="5" t="str">
        <f>_xlfn.XLOOKUP(role_course_map[[#This Row],[course_id]],course_data[course_id],course_data[type],"")</f>
        <v>eLearning</v>
      </c>
      <c r="K2753" t="str">
        <f>role_course_map[[#This Row],[role_id]] &amp; "|" &amp; role_course_map[[#This Row],[course_id]]</f>
        <v>R0196|999073</v>
      </c>
      <c r="L2753" t="str">
        <f>IF(COUNTIF(role_course_map[mapping_key],role_course_map[[#This Row],[mapping_key]])&gt;1,"DUPLICATE","OK")</f>
        <v>OK</v>
      </c>
      <c r="M2753" t="str">
        <f>IF(COUNTIF(role_data[role_id],role_course_map[[#This Row],[role_id]])=0, "INVALID","VALID")</f>
        <v>VALID</v>
      </c>
      <c r="N2753" t="str">
        <f>IF(COUNTIF(course_data[course_id],role_course_map[[#This Row],[course_id]])=0, "INVALID","VALID")</f>
        <v>VALID</v>
      </c>
    </row>
    <row r="2754" spans="1:14" x14ac:dyDescent="0.35">
      <c r="A2754" t="s">
        <v>413</v>
      </c>
      <c r="B2754" s="5" t="str">
        <f>_xlfn.XLOOKUP(role_course_map[[#This Row],[role_id]], role_data[role_id], role_data[Role],"")</f>
        <v>Strategy Programme Officer</v>
      </c>
      <c r="C2754">
        <v>999056</v>
      </c>
      <c r="D2754" s="5" t="str">
        <f>_xlfn.XLOOKUP(role_course_map[[#This Row],[course_id]],course_data[course_id],course_data[title],"")</f>
        <v>Driver Assessment &amp; Training</v>
      </c>
      <c r="E2754" s="5" t="str">
        <f>_xlfn.XLOOKUP(role_course_map[[#This Row],[course_id]],course_data[course_id],course_data[topic],"")</f>
        <v>SAS : Health and Safety</v>
      </c>
      <c r="F2754" s="5" t="str">
        <f>_xlfn.XLOOKUP(role_course_map[[#This Row],[course_id]],course_data[course_id],course_data[type],"")</f>
        <v>eLearning</v>
      </c>
      <c r="K2754" t="str">
        <f>role_course_map[[#This Row],[role_id]] &amp; "|" &amp; role_course_map[[#This Row],[course_id]]</f>
        <v>R0196|999056</v>
      </c>
      <c r="L2754" t="str">
        <f>IF(COUNTIF(role_course_map[mapping_key],role_course_map[[#This Row],[mapping_key]])&gt;1,"DUPLICATE","OK")</f>
        <v>OK</v>
      </c>
      <c r="M2754" t="str">
        <f>IF(COUNTIF(role_data[role_id],role_course_map[[#This Row],[role_id]])=0, "INVALID","VALID")</f>
        <v>VALID</v>
      </c>
      <c r="N2754" t="str">
        <f>IF(COUNTIF(course_data[course_id],role_course_map[[#This Row],[course_id]])=0, "INVALID","VALID")</f>
        <v>VALID</v>
      </c>
    </row>
    <row r="2755" spans="1:14" x14ac:dyDescent="0.35">
      <c r="A2755" t="s">
        <v>413</v>
      </c>
      <c r="B2755" s="5" t="str">
        <f>_xlfn.XLOOKUP(role_course_map[[#This Row],[role_id]], role_data[role_id], role_data[Role],"")</f>
        <v>Strategy Programme Officer</v>
      </c>
      <c r="C2755">
        <v>999057</v>
      </c>
      <c r="D2755" s="5" t="str">
        <f>_xlfn.XLOOKUP(role_course_map[[#This Row],[course_id]],course_data[course_id],course_data[title],"")</f>
        <v>Fatigue Awareness</v>
      </c>
      <c r="E2755" s="5" t="str">
        <f>_xlfn.XLOOKUP(role_course_map[[#This Row],[course_id]],course_data[course_id],course_data[topic],"")</f>
        <v>SAS : Health and Safety</v>
      </c>
      <c r="F2755" s="5" t="str">
        <f>_xlfn.XLOOKUP(role_course_map[[#This Row],[course_id]],course_data[course_id],course_data[type],"")</f>
        <v>eLearning</v>
      </c>
      <c r="K2755" t="str">
        <f>role_course_map[[#This Row],[role_id]] &amp; "|" &amp; role_course_map[[#This Row],[course_id]]</f>
        <v>R0196|999057</v>
      </c>
      <c r="L2755" t="str">
        <f>IF(COUNTIF(role_course_map[mapping_key],role_course_map[[#This Row],[mapping_key]])&gt;1,"DUPLICATE","OK")</f>
        <v>OK</v>
      </c>
      <c r="M2755" t="str">
        <f>IF(COUNTIF(role_data[role_id],role_course_map[[#This Row],[role_id]])=0, "INVALID","VALID")</f>
        <v>VALID</v>
      </c>
      <c r="N2755" t="str">
        <f>IF(COUNTIF(course_data[course_id],role_course_map[[#This Row],[course_id]])=0, "INVALID","VALID")</f>
        <v>VALID</v>
      </c>
    </row>
    <row r="2756" spans="1:14" x14ac:dyDescent="0.35">
      <c r="A2756" t="s">
        <v>413</v>
      </c>
      <c r="B2756" s="5" t="str">
        <f>_xlfn.XLOOKUP(role_course_map[[#This Row],[role_id]], role_data[role_id], role_data[Role],"")</f>
        <v>Strategy Programme Officer</v>
      </c>
      <c r="C2756">
        <v>999058</v>
      </c>
      <c r="D2756" s="5" t="str">
        <f>_xlfn.XLOOKUP(role_course_map[[#This Row],[course_id]],course_data[course_id],course_data[title],"")</f>
        <v>Stress Identification &amp; Stress Management</v>
      </c>
      <c r="E2756" s="5" t="str">
        <f>_xlfn.XLOOKUP(role_course_map[[#This Row],[course_id]],course_data[course_id],course_data[topic],"")</f>
        <v>SAS : Health and Safety</v>
      </c>
      <c r="F2756" s="5" t="str">
        <f>_xlfn.XLOOKUP(role_course_map[[#This Row],[course_id]],course_data[course_id],course_data[type],"")</f>
        <v>eLearning</v>
      </c>
      <c r="K2756" t="str">
        <f>role_course_map[[#This Row],[role_id]] &amp; "|" &amp; role_course_map[[#This Row],[course_id]]</f>
        <v>R0196|999058</v>
      </c>
      <c r="L2756" t="str">
        <f>IF(COUNTIF(role_course_map[mapping_key],role_course_map[[#This Row],[mapping_key]])&gt;1,"DUPLICATE","OK")</f>
        <v>OK</v>
      </c>
      <c r="M2756" t="str">
        <f>IF(COUNTIF(role_data[role_id],role_course_map[[#This Row],[role_id]])=0, "INVALID","VALID")</f>
        <v>VALID</v>
      </c>
      <c r="N2756" t="str">
        <f>IF(COUNTIF(course_data[course_id],role_course_map[[#This Row],[course_id]])=0, "INVALID","VALID")</f>
        <v>VALID</v>
      </c>
    </row>
    <row r="2757" spans="1:14" x14ac:dyDescent="0.35">
      <c r="A2757" t="s">
        <v>413</v>
      </c>
      <c r="B2757" s="5" t="str">
        <f>_xlfn.XLOOKUP(role_course_map[[#This Row],[role_id]], role_data[role_id], role_data[Role],"")</f>
        <v>Strategy Programme Officer</v>
      </c>
      <c r="C2757">
        <v>999094</v>
      </c>
      <c r="D2757" s="5" t="str">
        <f>_xlfn.XLOOKUP(role_course_map[[#This Row],[course_id]],course_data[course_id],course_data[title],"")</f>
        <v>Being well, Mind, Body &amp; Workplace</v>
      </c>
      <c r="E2757" s="5" t="str">
        <f>_xlfn.XLOOKUP(role_course_map[[#This Row],[course_id]],course_data[course_id],course_data[topic],"")</f>
        <v>SAS: Staff development and experience</v>
      </c>
      <c r="F2757" s="5" t="str">
        <f>_xlfn.XLOOKUP(role_course_map[[#This Row],[course_id]],course_data[course_id],course_data[type],"")</f>
        <v>eLearning</v>
      </c>
      <c r="K2757" t="str">
        <f>role_course_map[[#This Row],[role_id]] &amp; "|" &amp; role_course_map[[#This Row],[course_id]]</f>
        <v>R0196|999094</v>
      </c>
      <c r="L2757" t="str">
        <f>IF(COUNTIF(role_course_map[mapping_key],role_course_map[[#This Row],[mapping_key]])&gt;1,"DUPLICATE","OK")</f>
        <v>OK</v>
      </c>
      <c r="M2757" t="str">
        <f>IF(COUNTIF(role_data[role_id],role_course_map[[#This Row],[role_id]])=0, "INVALID","VALID")</f>
        <v>VALID</v>
      </c>
      <c r="N2757" t="str">
        <f>IF(COUNTIF(course_data[course_id],role_course_map[[#This Row],[course_id]])=0, "INVALID","VALID")</f>
        <v>VALID</v>
      </c>
    </row>
    <row r="2758" spans="1:14" x14ac:dyDescent="0.35">
      <c r="A2758" t="s">
        <v>111</v>
      </c>
      <c r="B2758" s="5" t="str">
        <f>_xlfn.XLOOKUP(role_course_map[[#This Row],[role_id]], role_data[role_id], role_data[Role],"")</f>
        <v>Materials Management Operative</v>
      </c>
      <c r="C2758">
        <v>999056</v>
      </c>
      <c r="D2758" s="5" t="str">
        <f>_xlfn.XLOOKUP(role_course_map[[#This Row],[course_id]],course_data[course_id],course_data[title],"")</f>
        <v>Driver Assessment &amp; Training</v>
      </c>
      <c r="E2758" s="5" t="str">
        <f>_xlfn.XLOOKUP(role_course_map[[#This Row],[course_id]],course_data[course_id],course_data[topic],"")</f>
        <v>SAS : Health and Safety</v>
      </c>
      <c r="F2758" s="5" t="str">
        <f>_xlfn.XLOOKUP(role_course_map[[#This Row],[course_id]],course_data[course_id],course_data[type],"")</f>
        <v>eLearning</v>
      </c>
      <c r="K2758" t="str">
        <f>role_course_map[[#This Row],[role_id]] &amp; "|" &amp; role_course_map[[#This Row],[course_id]]</f>
        <v>R0050|999056</v>
      </c>
      <c r="L2758" t="str">
        <f>IF(COUNTIF(role_course_map[mapping_key],role_course_map[[#This Row],[mapping_key]])&gt;1,"DUPLICATE","OK")</f>
        <v>OK</v>
      </c>
      <c r="M2758" t="str">
        <f>IF(COUNTIF(role_data[role_id],role_course_map[[#This Row],[role_id]])=0, "INVALID","VALID")</f>
        <v>VALID</v>
      </c>
      <c r="N2758" t="str">
        <f>IF(COUNTIF(course_data[course_id],role_course_map[[#This Row],[course_id]])=0, "INVALID","VALID")</f>
        <v>VALID</v>
      </c>
    </row>
    <row r="2759" spans="1:14" x14ac:dyDescent="0.35">
      <c r="A2759" t="s">
        <v>111</v>
      </c>
      <c r="B2759" s="5" t="str">
        <f>_xlfn.XLOOKUP(role_course_map[[#This Row],[role_id]], role_data[role_id], role_data[Role],"")</f>
        <v>Materials Management Operative</v>
      </c>
      <c r="C2759">
        <v>999057</v>
      </c>
      <c r="D2759" s="5" t="str">
        <f>_xlfn.XLOOKUP(role_course_map[[#This Row],[course_id]],course_data[course_id],course_data[title],"")</f>
        <v>Fatigue Awareness</v>
      </c>
      <c r="E2759" s="5" t="str">
        <f>_xlfn.XLOOKUP(role_course_map[[#This Row],[course_id]],course_data[course_id],course_data[topic],"")</f>
        <v>SAS : Health and Safety</v>
      </c>
      <c r="F2759" s="5" t="str">
        <f>_xlfn.XLOOKUP(role_course_map[[#This Row],[course_id]],course_data[course_id],course_data[type],"")</f>
        <v>eLearning</v>
      </c>
      <c r="K2759" t="str">
        <f>role_course_map[[#This Row],[role_id]] &amp; "|" &amp; role_course_map[[#This Row],[course_id]]</f>
        <v>R0050|999057</v>
      </c>
      <c r="L2759" t="str">
        <f>IF(COUNTIF(role_course_map[mapping_key],role_course_map[[#This Row],[mapping_key]])&gt;1,"DUPLICATE","OK")</f>
        <v>OK</v>
      </c>
      <c r="M2759" t="str">
        <f>IF(COUNTIF(role_data[role_id],role_course_map[[#This Row],[role_id]])=0, "INVALID","VALID")</f>
        <v>VALID</v>
      </c>
      <c r="N2759" t="str">
        <f>IF(COUNTIF(course_data[course_id],role_course_map[[#This Row],[course_id]])=0, "INVALID","VALID")</f>
        <v>VALID</v>
      </c>
    </row>
    <row r="2760" spans="1:14" x14ac:dyDescent="0.35">
      <c r="A2760" t="s">
        <v>111</v>
      </c>
      <c r="B2760" s="5" t="str">
        <f>_xlfn.XLOOKUP(role_course_map[[#This Row],[role_id]], role_data[role_id], role_data[Role],"")</f>
        <v>Materials Management Operative</v>
      </c>
      <c r="C2760">
        <v>999058</v>
      </c>
      <c r="D2760" s="5" t="str">
        <f>_xlfn.XLOOKUP(role_course_map[[#This Row],[course_id]],course_data[course_id],course_data[title],"")</f>
        <v>Stress Identification &amp; Stress Management</v>
      </c>
      <c r="E2760" s="5" t="str">
        <f>_xlfn.XLOOKUP(role_course_map[[#This Row],[course_id]],course_data[course_id],course_data[topic],"")</f>
        <v>SAS : Health and Safety</v>
      </c>
      <c r="F2760" s="5" t="str">
        <f>_xlfn.XLOOKUP(role_course_map[[#This Row],[course_id]],course_data[course_id],course_data[type],"")</f>
        <v>eLearning</v>
      </c>
      <c r="K2760" t="str">
        <f>role_course_map[[#This Row],[role_id]] &amp; "|" &amp; role_course_map[[#This Row],[course_id]]</f>
        <v>R0050|999058</v>
      </c>
      <c r="L2760" t="str">
        <f>IF(COUNTIF(role_course_map[mapping_key],role_course_map[[#This Row],[mapping_key]])&gt;1,"DUPLICATE","OK")</f>
        <v>OK</v>
      </c>
      <c r="M2760" t="str">
        <f>IF(COUNTIF(role_data[role_id],role_course_map[[#This Row],[role_id]])=0, "INVALID","VALID")</f>
        <v>VALID</v>
      </c>
      <c r="N2760" t="str">
        <f>IF(COUNTIF(course_data[course_id],role_course_map[[#This Row],[course_id]])=0, "INVALID","VALID")</f>
        <v>VALID</v>
      </c>
    </row>
    <row r="2761" spans="1:14" x14ac:dyDescent="0.35">
      <c r="A2761" t="s">
        <v>111</v>
      </c>
      <c r="B2761" s="5" t="str">
        <f>_xlfn.XLOOKUP(role_course_map[[#This Row],[role_id]], role_data[role_id], role_data[Role],"")</f>
        <v>Materials Management Operative</v>
      </c>
      <c r="C2761">
        <v>999094</v>
      </c>
      <c r="D2761" s="5" t="str">
        <f>_xlfn.XLOOKUP(role_course_map[[#This Row],[course_id]],course_data[course_id],course_data[title],"")</f>
        <v>Being well, Mind, Body &amp; Workplace</v>
      </c>
      <c r="E2761" s="5" t="str">
        <f>_xlfn.XLOOKUP(role_course_map[[#This Row],[course_id]],course_data[course_id],course_data[topic],"")</f>
        <v>SAS: Staff development and experience</v>
      </c>
      <c r="F2761" s="5" t="str">
        <f>_xlfn.XLOOKUP(role_course_map[[#This Row],[course_id]],course_data[course_id],course_data[type],"")</f>
        <v>eLearning</v>
      </c>
      <c r="K2761" t="str">
        <f>role_course_map[[#This Row],[role_id]] &amp; "|" &amp; role_course_map[[#This Row],[course_id]]</f>
        <v>R0050|999094</v>
      </c>
      <c r="L2761" t="str">
        <f>IF(COUNTIF(role_course_map[mapping_key],role_course_map[[#This Row],[mapping_key]])&gt;1,"DUPLICATE","OK")</f>
        <v>OK</v>
      </c>
      <c r="M2761" t="str">
        <f>IF(COUNTIF(role_data[role_id],role_course_map[[#This Row],[role_id]])=0, "INVALID","VALID")</f>
        <v>VALID</v>
      </c>
      <c r="N2761" t="str">
        <f>IF(COUNTIF(course_data[course_id],role_course_map[[#This Row],[course_id]])=0, "INVALID","VALID")</f>
        <v>VALID</v>
      </c>
    </row>
    <row r="2762" spans="1:14" x14ac:dyDescent="0.35">
      <c r="A2762" t="s">
        <v>113</v>
      </c>
      <c r="B2762" s="5" t="str">
        <f>_xlfn.XLOOKUP(role_course_map[[#This Row],[role_id]], role_data[role_id], role_data[Role],"")</f>
        <v>Procurement Administrator</v>
      </c>
      <c r="C2762">
        <v>999056</v>
      </c>
      <c r="D2762" s="5" t="str">
        <f>_xlfn.XLOOKUP(role_course_map[[#This Row],[course_id]],course_data[course_id],course_data[title],"")</f>
        <v>Driver Assessment &amp; Training</v>
      </c>
      <c r="E2762" s="5" t="str">
        <f>_xlfn.XLOOKUP(role_course_map[[#This Row],[course_id]],course_data[course_id],course_data[topic],"")</f>
        <v>SAS : Health and Safety</v>
      </c>
      <c r="F2762" s="5" t="str">
        <f>_xlfn.XLOOKUP(role_course_map[[#This Row],[course_id]],course_data[course_id],course_data[type],"")</f>
        <v>eLearning</v>
      </c>
      <c r="K2762" t="str">
        <f>role_course_map[[#This Row],[role_id]] &amp; "|" &amp; role_course_map[[#This Row],[course_id]]</f>
        <v>R0051|999056</v>
      </c>
      <c r="L2762" t="str">
        <f>IF(COUNTIF(role_course_map[mapping_key],role_course_map[[#This Row],[mapping_key]])&gt;1,"DUPLICATE","OK")</f>
        <v>OK</v>
      </c>
      <c r="M2762" t="str">
        <f>IF(COUNTIF(role_data[role_id],role_course_map[[#This Row],[role_id]])=0, "INVALID","VALID")</f>
        <v>VALID</v>
      </c>
      <c r="N2762" t="str">
        <f>IF(COUNTIF(course_data[course_id],role_course_map[[#This Row],[course_id]])=0, "INVALID","VALID")</f>
        <v>VALID</v>
      </c>
    </row>
    <row r="2763" spans="1:14" x14ac:dyDescent="0.35">
      <c r="A2763" t="s">
        <v>113</v>
      </c>
      <c r="B2763" s="5" t="str">
        <f>_xlfn.XLOOKUP(role_course_map[[#This Row],[role_id]], role_data[role_id], role_data[Role],"")</f>
        <v>Procurement Administrator</v>
      </c>
      <c r="C2763">
        <v>999057</v>
      </c>
      <c r="D2763" s="5" t="str">
        <f>_xlfn.XLOOKUP(role_course_map[[#This Row],[course_id]],course_data[course_id],course_data[title],"")</f>
        <v>Fatigue Awareness</v>
      </c>
      <c r="E2763" s="5" t="str">
        <f>_xlfn.XLOOKUP(role_course_map[[#This Row],[course_id]],course_data[course_id],course_data[topic],"")</f>
        <v>SAS : Health and Safety</v>
      </c>
      <c r="F2763" s="5" t="str">
        <f>_xlfn.XLOOKUP(role_course_map[[#This Row],[course_id]],course_data[course_id],course_data[type],"")</f>
        <v>eLearning</v>
      </c>
      <c r="K2763" t="str">
        <f>role_course_map[[#This Row],[role_id]] &amp; "|" &amp; role_course_map[[#This Row],[course_id]]</f>
        <v>R0051|999057</v>
      </c>
      <c r="L2763" t="str">
        <f>IF(COUNTIF(role_course_map[mapping_key],role_course_map[[#This Row],[mapping_key]])&gt;1,"DUPLICATE","OK")</f>
        <v>OK</v>
      </c>
      <c r="M2763" t="str">
        <f>IF(COUNTIF(role_data[role_id],role_course_map[[#This Row],[role_id]])=0, "INVALID","VALID")</f>
        <v>VALID</v>
      </c>
      <c r="N2763" t="str">
        <f>IF(COUNTIF(course_data[course_id],role_course_map[[#This Row],[course_id]])=0, "INVALID","VALID")</f>
        <v>VALID</v>
      </c>
    </row>
    <row r="2764" spans="1:14" x14ac:dyDescent="0.35">
      <c r="A2764" t="s">
        <v>113</v>
      </c>
      <c r="B2764" s="5" t="str">
        <f>_xlfn.XLOOKUP(role_course_map[[#This Row],[role_id]], role_data[role_id], role_data[Role],"")</f>
        <v>Procurement Administrator</v>
      </c>
      <c r="C2764">
        <v>999058</v>
      </c>
      <c r="D2764" s="5" t="str">
        <f>_xlfn.XLOOKUP(role_course_map[[#This Row],[course_id]],course_data[course_id],course_data[title],"")</f>
        <v>Stress Identification &amp; Stress Management</v>
      </c>
      <c r="E2764" s="5" t="str">
        <f>_xlfn.XLOOKUP(role_course_map[[#This Row],[course_id]],course_data[course_id],course_data[topic],"")</f>
        <v>SAS : Health and Safety</v>
      </c>
      <c r="F2764" s="5" t="str">
        <f>_xlfn.XLOOKUP(role_course_map[[#This Row],[course_id]],course_data[course_id],course_data[type],"")</f>
        <v>eLearning</v>
      </c>
      <c r="K2764" t="str">
        <f>role_course_map[[#This Row],[role_id]] &amp; "|" &amp; role_course_map[[#This Row],[course_id]]</f>
        <v>R0051|999058</v>
      </c>
      <c r="L2764" t="str">
        <f>IF(COUNTIF(role_course_map[mapping_key],role_course_map[[#This Row],[mapping_key]])&gt;1,"DUPLICATE","OK")</f>
        <v>OK</v>
      </c>
      <c r="M2764" t="str">
        <f>IF(COUNTIF(role_data[role_id],role_course_map[[#This Row],[role_id]])=0, "INVALID","VALID")</f>
        <v>VALID</v>
      </c>
      <c r="N2764" t="str">
        <f>IF(COUNTIF(course_data[course_id],role_course_map[[#This Row],[course_id]])=0, "INVALID","VALID")</f>
        <v>VALID</v>
      </c>
    </row>
    <row r="2765" spans="1:14" x14ac:dyDescent="0.35">
      <c r="A2765" t="s">
        <v>113</v>
      </c>
      <c r="B2765" s="5" t="str">
        <f>_xlfn.XLOOKUP(role_course_map[[#This Row],[role_id]], role_data[role_id], role_data[Role],"")</f>
        <v>Procurement Administrator</v>
      </c>
      <c r="C2765">
        <v>999094</v>
      </c>
      <c r="D2765" s="5" t="str">
        <f>_xlfn.XLOOKUP(role_course_map[[#This Row],[course_id]],course_data[course_id],course_data[title],"")</f>
        <v>Being well, Mind, Body &amp; Workplace</v>
      </c>
      <c r="E2765" s="5" t="str">
        <f>_xlfn.XLOOKUP(role_course_map[[#This Row],[course_id]],course_data[course_id],course_data[topic],"")</f>
        <v>SAS: Staff development and experience</v>
      </c>
      <c r="F2765" s="5" t="str">
        <f>_xlfn.XLOOKUP(role_course_map[[#This Row],[course_id]],course_data[course_id],course_data[type],"")</f>
        <v>eLearning</v>
      </c>
      <c r="K2765" t="str">
        <f>role_course_map[[#This Row],[role_id]] &amp; "|" &amp; role_course_map[[#This Row],[course_id]]</f>
        <v>R0051|999094</v>
      </c>
      <c r="L2765" t="str">
        <f>IF(COUNTIF(role_course_map[mapping_key],role_course_map[[#This Row],[mapping_key]])&gt;1,"DUPLICATE","OK")</f>
        <v>OK</v>
      </c>
      <c r="M2765" t="str">
        <f>IF(COUNTIF(role_data[role_id],role_course_map[[#This Row],[role_id]])=0, "INVALID","VALID")</f>
        <v>VALID</v>
      </c>
      <c r="N2765" t="str">
        <f>IF(COUNTIF(course_data[course_id],role_course_map[[#This Row],[course_id]])=0, "INVALID","VALID")</f>
        <v>VALID</v>
      </c>
    </row>
    <row r="2766" spans="1:14" x14ac:dyDescent="0.35">
      <c r="A2766" t="s">
        <v>115</v>
      </c>
      <c r="B2766" s="5" t="str">
        <f>_xlfn.XLOOKUP(role_course_map[[#This Row],[role_id]], role_data[role_id], role_data[Role],"")</f>
        <v>Procurement Officer</v>
      </c>
      <c r="C2766">
        <v>999056</v>
      </c>
      <c r="D2766" s="5" t="str">
        <f>_xlfn.XLOOKUP(role_course_map[[#This Row],[course_id]],course_data[course_id],course_data[title],"")</f>
        <v>Driver Assessment &amp; Training</v>
      </c>
      <c r="E2766" s="5" t="str">
        <f>_xlfn.XLOOKUP(role_course_map[[#This Row],[course_id]],course_data[course_id],course_data[topic],"")</f>
        <v>SAS : Health and Safety</v>
      </c>
      <c r="F2766" s="5" t="str">
        <f>_xlfn.XLOOKUP(role_course_map[[#This Row],[course_id]],course_data[course_id],course_data[type],"")</f>
        <v>eLearning</v>
      </c>
      <c r="K2766" t="str">
        <f>role_course_map[[#This Row],[role_id]] &amp; "|" &amp; role_course_map[[#This Row],[course_id]]</f>
        <v>R0052|999056</v>
      </c>
      <c r="L2766" t="str">
        <f>IF(COUNTIF(role_course_map[mapping_key],role_course_map[[#This Row],[mapping_key]])&gt;1,"DUPLICATE","OK")</f>
        <v>OK</v>
      </c>
      <c r="M2766" t="str">
        <f>IF(COUNTIF(role_data[role_id],role_course_map[[#This Row],[role_id]])=0, "INVALID","VALID")</f>
        <v>VALID</v>
      </c>
      <c r="N2766" t="str">
        <f>IF(COUNTIF(course_data[course_id],role_course_map[[#This Row],[course_id]])=0, "INVALID","VALID")</f>
        <v>VALID</v>
      </c>
    </row>
    <row r="2767" spans="1:14" x14ac:dyDescent="0.35">
      <c r="A2767" t="s">
        <v>115</v>
      </c>
      <c r="B2767" s="5" t="str">
        <f>_xlfn.XLOOKUP(role_course_map[[#This Row],[role_id]], role_data[role_id], role_data[Role],"")</f>
        <v>Procurement Officer</v>
      </c>
      <c r="C2767">
        <v>999057</v>
      </c>
      <c r="D2767" s="5" t="str">
        <f>_xlfn.XLOOKUP(role_course_map[[#This Row],[course_id]],course_data[course_id],course_data[title],"")</f>
        <v>Fatigue Awareness</v>
      </c>
      <c r="E2767" s="5" t="str">
        <f>_xlfn.XLOOKUP(role_course_map[[#This Row],[course_id]],course_data[course_id],course_data[topic],"")</f>
        <v>SAS : Health and Safety</v>
      </c>
      <c r="F2767" s="5" t="str">
        <f>_xlfn.XLOOKUP(role_course_map[[#This Row],[course_id]],course_data[course_id],course_data[type],"")</f>
        <v>eLearning</v>
      </c>
      <c r="K2767" t="str">
        <f>role_course_map[[#This Row],[role_id]] &amp; "|" &amp; role_course_map[[#This Row],[course_id]]</f>
        <v>R0052|999057</v>
      </c>
      <c r="L2767" t="str">
        <f>IF(COUNTIF(role_course_map[mapping_key],role_course_map[[#This Row],[mapping_key]])&gt;1,"DUPLICATE","OK")</f>
        <v>OK</v>
      </c>
      <c r="M2767" t="str">
        <f>IF(COUNTIF(role_data[role_id],role_course_map[[#This Row],[role_id]])=0, "INVALID","VALID")</f>
        <v>VALID</v>
      </c>
      <c r="N2767" t="str">
        <f>IF(COUNTIF(course_data[course_id],role_course_map[[#This Row],[course_id]])=0, "INVALID","VALID")</f>
        <v>VALID</v>
      </c>
    </row>
    <row r="2768" spans="1:14" x14ac:dyDescent="0.35">
      <c r="A2768" t="s">
        <v>115</v>
      </c>
      <c r="B2768" s="5" t="str">
        <f>_xlfn.XLOOKUP(role_course_map[[#This Row],[role_id]], role_data[role_id], role_data[Role],"")</f>
        <v>Procurement Officer</v>
      </c>
      <c r="C2768">
        <v>999058</v>
      </c>
      <c r="D2768" s="5" t="str">
        <f>_xlfn.XLOOKUP(role_course_map[[#This Row],[course_id]],course_data[course_id],course_data[title],"")</f>
        <v>Stress Identification &amp; Stress Management</v>
      </c>
      <c r="E2768" s="5" t="str">
        <f>_xlfn.XLOOKUP(role_course_map[[#This Row],[course_id]],course_data[course_id],course_data[topic],"")</f>
        <v>SAS : Health and Safety</v>
      </c>
      <c r="F2768" s="5" t="str">
        <f>_xlfn.XLOOKUP(role_course_map[[#This Row],[course_id]],course_data[course_id],course_data[type],"")</f>
        <v>eLearning</v>
      </c>
      <c r="K2768" t="str">
        <f>role_course_map[[#This Row],[role_id]] &amp; "|" &amp; role_course_map[[#This Row],[course_id]]</f>
        <v>R0052|999058</v>
      </c>
      <c r="L2768" t="str">
        <f>IF(COUNTIF(role_course_map[mapping_key],role_course_map[[#This Row],[mapping_key]])&gt;1,"DUPLICATE","OK")</f>
        <v>OK</v>
      </c>
      <c r="M2768" t="str">
        <f>IF(COUNTIF(role_data[role_id],role_course_map[[#This Row],[role_id]])=0, "INVALID","VALID")</f>
        <v>VALID</v>
      </c>
      <c r="N2768" t="str">
        <f>IF(COUNTIF(course_data[course_id],role_course_map[[#This Row],[course_id]])=0, "INVALID","VALID")</f>
        <v>VALID</v>
      </c>
    </row>
    <row r="2769" spans="1:14" x14ac:dyDescent="0.35">
      <c r="A2769" t="s">
        <v>115</v>
      </c>
      <c r="B2769" s="5" t="str">
        <f>_xlfn.XLOOKUP(role_course_map[[#This Row],[role_id]], role_data[role_id], role_data[Role],"")</f>
        <v>Procurement Officer</v>
      </c>
      <c r="C2769">
        <v>999094</v>
      </c>
      <c r="D2769" s="5" t="str">
        <f>_xlfn.XLOOKUP(role_course_map[[#This Row],[course_id]],course_data[course_id],course_data[title],"")</f>
        <v>Being well, Mind, Body &amp; Workplace</v>
      </c>
      <c r="E2769" s="5" t="str">
        <f>_xlfn.XLOOKUP(role_course_map[[#This Row],[course_id]],course_data[course_id],course_data[topic],"")</f>
        <v>SAS: Staff development and experience</v>
      </c>
      <c r="F2769" s="5" t="str">
        <f>_xlfn.XLOOKUP(role_course_map[[#This Row],[course_id]],course_data[course_id],course_data[type],"")</f>
        <v>eLearning</v>
      </c>
      <c r="K2769" t="str">
        <f>role_course_map[[#This Row],[role_id]] &amp; "|" &amp; role_course_map[[#This Row],[course_id]]</f>
        <v>R0052|999094</v>
      </c>
      <c r="L2769" t="str">
        <f>IF(COUNTIF(role_course_map[mapping_key],role_course_map[[#This Row],[mapping_key]])&gt;1,"DUPLICATE","OK")</f>
        <v>OK</v>
      </c>
      <c r="M2769" t="str">
        <f>IF(COUNTIF(role_data[role_id],role_course_map[[#This Row],[role_id]])=0, "INVALID","VALID")</f>
        <v>VALID</v>
      </c>
      <c r="N2769" t="str">
        <f>IF(COUNTIF(course_data[course_id],role_course_map[[#This Row],[course_id]])=0, "INVALID","VALID")</f>
        <v>VALID</v>
      </c>
    </row>
    <row r="2770" spans="1:14" x14ac:dyDescent="0.35">
      <c r="A2770" t="s">
        <v>116</v>
      </c>
      <c r="B2770" s="5" t="str">
        <f>_xlfn.XLOOKUP(role_course_map[[#This Row],[role_id]], role_data[role_id], role_data[Role],"")</f>
        <v>Procurement Specialist</v>
      </c>
      <c r="C2770">
        <v>999056</v>
      </c>
      <c r="D2770" s="5" t="str">
        <f>_xlfn.XLOOKUP(role_course_map[[#This Row],[course_id]],course_data[course_id],course_data[title],"")</f>
        <v>Driver Assessment &amp; Training</v>
      </c>
      <c r="E2770" s="5" t="str">
        <f>_xlfn.XLOOKUP(role_course_map[[#This Row],[course_id]],course_data[course_id],course_data[topic],"")</f>
        <v>SAS : Health and Safety</v>
      </c>
      <c r="F2770" s="5" t="str">
        <f>_xlfn.XLOOKUP(role_course_map[[#This Row],[course_id]],course_data[course_id],course_data[type],"")</f>
        <v>eLearning</v>
      </c>
      <c r="K2770" t="str">
        <f>role_course_map[[#This Row],[role_id]] &amp; "|" &amp; role_course_map[[#This Row],[course_id]]</f>
        <v>R0053|999056</v>
      </c>
      <c r="L2770" t="str">
        <f>IF(COUNTIF(role_course_map[mapping_key],role_course_map[[#This Row],[mapping_key]])&gt;1,"DUPLICATE","OK")</f>
        <v>OK</v>
      </c>
      <c r="M2770" t="str">
        <f>IF(COUNTIF(role_data[role_id],role_course_map[[#This Row],[role_id]])=0, "INVALID","VALID")</f>
        <v>VALID</v>
      </c>
      <c r="N2770" t="str">
        <f>IF(COUNTIF(course_data[course_id],role_course_map[[#This Row],[course_id]])=0, "INVALID","VALID")</f>
        <v>VALID</v>
      </c>
    </row>
    <row r="2771" spans="1:14" x14ac:dyDescent="0.35">
      <c r="A2771" t="s">
        <v>116</v>
      </c>
      <c r="B2771" s="5" t="str">
        <f>_xlfn.XLOOKUP(role_course_map[[#This Row],[role_id]], role_data[role_id], role_data[Role],"")</f>
        <v>Procurement Specialist</v>
      </c>
      <c r="C2771">
        <v>999057</v>
      </c>
      <c r="D2771" s="5" t="str">
        <f>_xlfn.XLOOKUP(role_course_map[[#This Row],[course_id]],course_data[course_id],course_data[title],"")</f>
        <v>Fatigue Awareness</v>
      </c>
      <c r="E2771" s="5" t="str">
        <f>_xlfn.XLOOKUP(role_course_map[[#This Row],[course_id]],course_data[course_id],course_data[topic],"")</f>
        <v>SAS : Health and Safety</v>
      </c>
      <c r="F2771" s="5" t="str">
        <f>_xlfn.XLOOKUP(role_course_map[[#This Row],[course_id]],course_data[course_id],course_data[type],"")</f>
        <v>eLearning</v>
      </c>
      <c r="K2771" t="str">
        <f>role_course_map[[#This Row],[role_id]] &amp; "|" &amp; role_course_map[[#This Row],[course_id]]</f>
        <v>R0053|999057</v>
      </c>
      <c r="L2771" t="str">
        <f>IF(COUNTIF(role_course_map[mapping_key],role_course_map[[#This Row],[mapping_key]])&gt;1,"DUPLICATE","OK")</f>
        <v>OK</v>
      </c>
      <c r="M2771" t="str">
        <f>IF(COUNTIF(role_data[role_id],role_course_map[[#This Row],[role_id]])=0, "INVALID","VALID")</f>
        <v>VALID</v>
      </c>
      <c r="N2771" t="str">
        <f>IF(COUNTIF(course_data[course_id],role_course_map[[#This Row],[course_id]])=0, "INVALID","VALID")</f>
        <v>VALID</v>
      </c>
    </row>
    <row r="2772" spans="1:14" x14ac:dyDescent="0.35">
      <c r="A2772" t="s">
        <v>116</v>
      </c>
      <c r="B2772" s="5" t="str">
        <f>_xlfn.XLOOKUP(role_course_map[[#This Row],[role_id]], role_data[role_id], role_data[Role],"")</f>
        <v>Procurement Specialist</v>
      </c>
      <c r="C2772">
        <v>999058</v>
      </c>
      <c r="D2772" s="5" t="str">
        <f>_xlfn.XLOOKUP(role_course_map[[#This Row],[course_id]],course_data[course_id],course_data[title],"")</f>
        <v>Stress Identification &amp; Stress Management</v>
      </c>
      <c r="E2772" s="5" t="str">
        <f>_xlfn.XLOOKUP(role_course_map[[#This Row],[course_id]],course_data[course_id],course_data[topic],"")</f>
        <v>SAS : Health and Safety</v>
      </c>
      <c r="F2772" s="5" t="str">
        <f>_xlfn.XLOOKUP(role_course_map[[#This Row],[course_id]],course_data[course_id],course_data[type],"")</f>
        <v>eLearning</v>
      </c>
      <c r="K2772" t="str">
        <f>role_course_map[[#This Row],[role_id]] &amp; "|" &amp; role_course_map[[#This Row],[course_id]]</f>
        <v>R0053|999058</v>
      </c>
      <c r="L2772" t="str">
        <f>IF(COUNTIF(role_course_map[mapping_key],role_course_map[[#This Row],[mapping_key]])&gt;1,"DUPLICATE","OK")</f>
        <v>OK</v>
      </c>
      <c r="M2772" t="str">
        <f>IF(COUNTIF(role_data[role_id],role_course_map[[#This Row],[role_id]])=0, "INVALID","VALID")</f>
        <v>VALID</v>
      </c>
      <c r="N2772" t="str">
        <f>IF(COUNTIF(course_data[course_id],role_course_map[[#This Row],[course_id]])=0, "INVALID","VALID")</f>
        <v>VALID</v>
      </c>
    </row>
    <row r="2773" spans="1:14" x14ac:dyDescent="0.35">
      <c r="A2773" t="s">
        <v>116</v>
      </c>
      <c r="B2773" s="5" t="str">
        <f>_xlfn.XLOOKUP(role_course_map[[#This Row],[role_id]], role_data[role_id], role_data[Role],"")</f>
        <v>Procurement Specialist</v>
      </c>
      <c r="C2773">
        <v>999094</v>
      </c>
      <c r="D2773" s="5" t="str">
        <f>_xlfn.XLOOKUP(role_course_map[[#This Row],[course_id]],course_data[course_id],course_data[title],"")</f>
        <v>Being well, Mind, Body &amp; Workplace</v>
      </c>
      <c r="E2773" s="5" t="str">
        <f>_xlfn.XLOOKUP(role_course_map[[#This Row],[course_id]],course_data[course_id],course_data[topic],"")</f>
        <v>SAS: Staff development and experience</v>
      </c>
      <c r="F2773" s="5" t="str">
        <f>_xlfn.XLOOKUP(role_course_map[[#This Row],[course_id]],course_data[course_id],course_data[type],"")</f>
        <v>eLearning</v>
      </c>
      <c r="K2773" t="str">
        <f>role_course_map[[#This Row],[role_id]] &amp; "|" &amp; role_course_map[[#This Row],[course_id]]</f>
        <v>R0053|999094</v>
      </c>
      <c r="L2773" t="str">
        <f>IF(COUNTIF(role_course_map[mapping_key],role_course_map[[#This Row],[mapping_key]])&gt;1,"DUPLICATE","OK")</f>
        <v>OK</v>
      </c>
      <c r="M2773" t="str">
        <f>IF(COUNTIF(role_data[role_id],role_course_map[[#This Row],[role_id]])=0, "INVALID","VALID")</f>
        <v>VALID</v>
      </c>
      <c r="N2773" t="str">
        <f>IF(COUNTIF(course_data[course_id],role_course_map[[#This Row],[course_id]])=0, "INVALID","VALID")</f>
        <v>VALID</v>
      </c>
    </row>
    <row r="2774" spans="1:14" x14ac:dyDescent="0.35">
      <c r="A2774" t="s">
        <v>418</v>
      </c>
      <c r="B2774" s="5" t="str">
        <f>_xlfn.XLOOKUP(role_course_map[[#This Row],[role_id]], role_data[role_id], role_data[Role],"")</f>
        <v>Public Protection Practitioner</v>
      </c>
      <c r="C2774">
        <v>999056</v>
      </c>
      <c r="D2774" s="5" t="str">
        <f>_xlfn.XLOOKUP(role_course_map[[#This Row],[course_id]],course_data[course_id],course_data[title],"")</f>
        <v>Driver Assessment &amp; Training</v>
      </c>
      <c r="E2774" s="5" t="str">
        <f>_xlfn.XLOOKUP(role_course_map[[#This Row],[course_id]],course_data[course_id],course_data[topic],"")</f>
        <v>SAS : Health and Safety</v>
      </c>
      <c r="F2774" s="5" t="str">
        <f>_xlfn.XLOOKUP(role_course_map[[#This Row],[course_id]],course_data[course_id],course_data[type],"")</f>
        <v>eLearning</v>
      </c>
      <c r="K2774" t="str">
        <f>role_course_map[[#This Row],[role_id]] &amp; "|" &amp; role_course_map[[#This Row],[course_id]]</f>
        <v>R0198|999056</v>
      </c>
      <c r="L2774" t="str">
        <f>IF(COUNTIF(role_course_map[mapping_key],role_course_map[[#This Row],[mapping_key]])&gt;1,"DUPLICATE","OK")</f>
        <v>OK</v>
      </c>
      <c r="M2774" t="str">
        <f>IF(COUNTIF(role_data[role_id],role_course_map[[#This Row],[role_id]])=0, "INVALID","VALID")</f>
        <v>VALID</v>
      </c>
      <c r="N2774" t="str">
        <f>IF(COUNTIF(course_data[course_id],role_course_map[[#This Row],[course_id]])=0, "INVALID","VALID")</f>
        <v>VALID</v>
      </c>
    </row>
    <row r="2775" spans="1:14" x14ac:dyDescent="0.35">
      <c r="A2775" t="s">
        <v>418</v>
      </c>
      <c r="B2775" s="5" t="str">
        <f>_xlfn.XLOOKUP(role_course_map[[#This Row],[role_id]], role_data[role_id], role_data[Role],"")</f>
        <v>Public Protection Practitioner</v>
      </c>
      <c r="C2775">
        <v>999057</v>
      </c>
      <c r="D2775" s="5" t="str">
        <f>_xlfn.XLOOKUP(role_course_map[[#This Row],[course_id]],course_data[course_id],course_data[title],"")</f>
        <v>Fatigue Awareness</v>
      </c>
      <c r="E2775" s="5" t="str">
        <f>_xlfn.XLOOKUP(role_course_map[[#This Row],[course_id]],course_data[course_id],course_data[topic],"")</f>
        <v>SAS : Health and Safety</v>
      </c>
      <c r="F2775" s="5" t="str">
        <f>_xlfn.XLOOKUP(role_course_map[[#This Row],[course_id]],course_data[course_id],course_data[type],"")</f>
        <v>eLearning</v>
      </c>
      <c r="K2775" t="str">
        <f>role_course_map[[#This Row],[role_id]] &amp; "|" &amp; role_course_map[[#This Row],[course_id]]</f>
        <v>R0198|999057</v>
      </c>
      <c r="L2775" t="str">
        <f>IF(COUNTIF(role_course_map[mapping_key],role_course_map[[#This Row],[mapping_key]])&gt;1,"DUPLICATE","OK")</f>
        <v>OK</v>
      </c>
      <c r="M2775" t="str">
        <f>IF(COUNTIF(role_data[role_id],role_course_map[[#This Row],[role_id]])=0, "INVALID","VALID")</f>
        <v>VALID</v>
      </c>
      <c r="N2775" t="str">
        <f>IF(COUNTIF(course_data[course_id],role_course_map[[#This Row],[course_id]])=0, "INVALID","VALID")</f>
        <v>VALID</v>
      </c>
    </row>
    <row r="2776" spans="1:14" x14ac:dyDescent="0.35">
      <c r="A2776" t="s">
        <v>418</v>
      </c>
      <c r="B2776" s="5" t="str">
        <f>_xlfn.XLOOKUP(role_course_map[[#This Row],[role_id]], role_data[role_id], role_data[Role],"")</f>
        <v>Public Protection Practitioner</v>
      </c>
      <c r="C2776">
        <v>999058</v>
      </c>
      <c r="D2776" s="5" t="str">
        <f>_xlfn.XLOOKUP(role_course_map[[#This Row],[course_id]],course_data[course_id],course_data[title],"")</f>
        <v>Stress Identification &amp; Stress Management</v>
      </c>
      <c r="E2776" s="5" t="str">
        <f>_xlfn.XLOOKUP(role_course_map[[#This Row],[course_id]],course_data[course_id],course_data[topic],"")</f>
        <v>SAS : Health and Safety</v>
      </c>
      <c r="F2776" s="5" t="str">
        <f>_xlfn.XLOOKUP(role_course_map[[#This Row],[course_id]],course_data[course_id],course_data[type],"")</f>
        <v>eLearning</v>
      </c>
      <c r="K2776" t="str">
        <f>role_course_map[[#This Row],[role_id]] &amp; "|" &amp; role_course_map[[#This Row],[course_id]]</f>
        <v>R0198|999058</v>
      </c>
      <c r="L2776" t="str">
        <f>IF(COUNTIF(role_course_map[mapping_key],role_course_map[[#This Row],[mapping_key]])&gt;1,"DUPLICATE","OK")</f>
        <v>OK</v>
      </c>
      <c r="M2776" t="str">
        <f>IF(COUNTIF(role_data[role_id],role_course_map[[#This Row],[role_id]])=0, "INVALID","VALID")</f>
        <v>VALID</v>
      </c>
      <c r="N2776" t="str">
        <f>IF(COUNTIF(course_data[course_id],role_course_map[[#This Row],[course_id]])=0, "INVALID","VALID")</f>
        <v>VALID</v>
      </c>
    </row>
    <row r="2777" spans="1:14" x14ac:dyDescent="0.35">
      <c r="A2777" t="s">
        <v>418</v>
      </c>
      <c r="B2777" s="5" t="str">
        <f>_xlfn.XLOOKUP(role_course_map[[#This Row],[role_id]], role_data[role_id], role_data[Role],"")</f>
        <v>Public Protection Practitioner</v>
      </c>
      <c r="C2777">
        <v>999094</v>
      </c>
      <c r="D2777" s="5" t="str">
        <f>_xlfn.XLOOKUP(role_course_map[[#This Row],[course_id]],course_data[course_id],course_data[title],"")</f>
        <v>Being well, Mind, Body &amp; Workplace</v>
      </c>
      <c r="E2777" s="5" t="str">
        <f>_xlfn.XLOOKUP(role_course_map[[#This Row],[course_id]],course_data[course_id],course_data[topic],"")</f>
        <v>SAS: Staff development and experience</v>
      </c>
      <c r="F2777" s="5" t="str">
        <f>_xlfn.XLOOKUP(role_course_map[[#This Row],[course_id]],course_data[course_id],course_data[type],"")</f>
        <v>eLearning</v>
      </c>
      <c r="K2777" t="str">
        <f>role_course_map[[#This Row],[role_id]] &amp; "|" &amp; role_course_map[[#This Row],[course_id]]</f>
        <v>R0198|999094</v>
      </c>
      <c r="L2777" t="str">
        <f>IF(COUNTIF(role_course_map[mapping_key],role_course_map[[#This Row],[mapping_key]])&gt;1,"DUPLICATE","OK")</f>
        <v>OK</v>
      </c>
      <c r="M2777" t="str">
        <f>IF(COUNTIF(role_data[role_id],role_course_map[[#This Row],[role_id]])=0, "INVALID","VALID")</f>
        <v>VALID</v>
      </c>
      <c r="N2777" t="str">
        <f>IF(COUNTIF(course_data[course_id],role_course_map[[#This Row],[course_id]])=0, "INVALID","VALID")</f>
        <v>VALID</v>
      </c>
    </row>
    <row r="2778" spans="1:14" x14ac:dyDescent="0.35">
      <c r="A2778" t="s">
        <v>21</v>
      </c>
      <c r="B2778" s="5" t="str">
        <f>_xlfn.XLOOKUP(role_course_map[[#This Row],[role_id]], role_data[role_id], role_data[Role],"")</f>
        <v>Executive Personal Assistant</v>
      </c>
      <c r="C2778">
        <v>999056</v>
      </c>
      <c r="D2778" s="5" t="str">
        <f>_xlfn.XLOOKUP(role_course_map[[#This Row],[course_id]],course_data[course_id],course_data[title],"")</f>
        <v>Driver Assessment &amp; Training</v>
      </c>
      <c r="E2778" s="5" t="str">
        <f>_xlfn.XLOOKUP(role_course_map[[#This Row],[course_id]],course_data[course_id],course_data[topic],"")</f>
        <v>SAS : Health and Safety</v>
      </c>
      <c r="F2778" s="5" t="str">
        <f>_xlfn.XLOOKUP(role_course_map[[#This Row],[course_id]],course_data[course_id],course_data[type],"")</f>
        <v>eLearning</v>
      </c>
      <c r="K2778" t="str">
        <f>role_course_map[[#This Row],[role_id]] &amp; "|" &amp; role_course_map[[#This Row],[course_id]]</f>
        <v>R0008|999056</v>
      </c>
      <c r="L2778" t="str">
        <f>IF(COUNTIF(role_course_map[mapping_key],role_course_map[[#This Row],[mapping_key]])&gt;1,"DUPLICATE","OK")</f>
        <v>OK</v>
      </c>
      <c r="M2778" t="str">
        <f>IF(COUNTIF(role_data[role_id],role_course_map[[#This Row],[role_id]])=0, "INVALID","VALID")</f>
        <v>VALID</v>
      </c>
      <c r="N2778" t="str">
        <f>IF(COUNTIF(course_data[course_id],role_course_map[[#This Row],[course_id]])=0, "INVALID","VALID")</f>
        <v>VALID</v>
      </c>
    </row>
    <row r="2779" spans="1:14" x14ac:dyDescent="0.35">
      <c r="A2779" t="s">
        <v>21</v>
      </c>
      <c r="B2779" s="5" t="str">
        <f>_xlfn.XLOOKUP(role_course_map[[#This Row],[role_id]], role_data[role_id], role_data[Role],"")</f>
        <v>Executive Personal Assistant</v>
      </c>
      <c r="C2779">
        <v>999057</v>
      </c>
      <c r="D2779" s="5" t="str">
        <f>_xlfn.XLOOKUP(role_course_map[[#This Row],[course_id]],course_data[course_id],course_data[title],"")</f>
        <v>Fatigue Awareness</v>
      </c>
      <c r="E2779" s="5" t="str">
        <f>_xlfn.XLOOKUP(role_course_map[[#This Row],[course_id]],course_data[course_id],course_data[topic],"")</f>
        <v>SAS : Health and Safety</v>
      </c>
      <c r="F2779" s="5" t="str">
        <f>_xlfn.XLOOKUP(role_course_map[[#This Row],[course_id]],course_data[course_id],course_data[type],"")</f>
        <v>eLearning</v>
      </c>
      <c r="K2779" t="str">
        <f>role_course_map[[#This Row],[role_id]] &amp; "|" &amp; role_course_map[[#This Row],[course_id]]</f>
        <v>R0008|999057</v>
      </c>
      <c r="L2779" t="str">
        <f>IF(COUNTIF(role_course_map[mapping_key],role_course_map[[#This Row],[mapping_key]])&gt;1,"DUPLICATE","OK")</f>
        <v>OK</v>
      </c>
      <c r="M2779" t="str">
        <f>IF(COUNTIF(role_data[role_id],role_course_map[[#This Row],[role_id]])=0, "INVALID","VALID")</f>
        <v>VALID</v>
      </c>
      <c r="N2779" t="str">
        <f>IF(COUNTIF(course_data[course_id],role_course_map[[#This Row],[course_id]])=0, "INVALID","VALID")</f>
        <v>VALID</v>
      </c>
    </row>
    <row r="2780" spans="1:14" x14ac:dyDescent="0.35">
      <c r="A2780" t="s">
        <v>21</v>
      </c>
      <c r="B2780" s="5" t="str">
        <f>_xlfn.XLOOKUP(role_course_map[[#This Row],[role_id]], role_data[role_id], role_data[Role],"")</f>
        <v>Executive Personal Assistant</v>
      </c>
      <c r="C2780">
        <v>999058</v>
      </c>
      <c r="D2780" s="5" t="str">
        <f>_xlfn.XLOOKUP(role_course_map[[#This Row],[course_id]],course_data[course_id],course_data[title],"")</f>
        <v>Stress Identification &amp; Stress Management</v>
      </c>
      <c r="E2780" s="5" t="str">
        <f>_xlfn.XLOOKUP(role_course_map[[#This Row],[course_id]],course_data[course_id],course_data[topic],"")</f>
        <v>SAS : Health and Safety</v>
      </c>
      <c r="F2780" s="5" t="str">
        <f>_xlfn.XLOOKUP(role_course_map[[#This Row],[course_id]],course_data[course_id],course_data[type],"")</f>
        <v>eLearning</v>
      </c>
      <c r="K2780" t="str">
        <f>role_course_map[[#This Row],[role_id]] &amp; "|" &amp; role_course_map[[#This Row],[course_id]]</f>
        <v>R0008|999058</v>
      </c>
      <c r="L2780" t="str">
        <f>IF(COUNTIF(role_course_map[mapping_key],role_course_map[[#This Row],[mapping_key]])&gt;1,"DUPLICATE","OK")</f>
        <v>OK</v>
      </c>
      <c r="M2780" t="str">
        <f>IF(COUNTIF(role_data[role_id],role_course_map[[#This Row],[role_id]])=0, "INVALID","VALID")</f>
        <v>VALID</v>
      </c>
      <c r="N2780" t="str">
        <f>IF(COUNTIF(course_data[course_id],role_course_map[[#This Row],[course_id]])=0, "INVALID","VALID")</f>
        <v>VALID</v>
      </c>
    </row>
    <row r="2781" spans="1:14" x14ac:dyDescent="0.35">
      <c r="A2781" t="s">
        <v>21</v>
      </c>
      <c r="B2781" s="5" t="str">
        <f>_xlfn.XLOOKUP(role_course_map[[#This Row],[role_id]], role_data[role_id], role_data[Role],"")</f>
        <v>Executive Personal Assistant</v>
      </c>
      <c r="C2781">
        <v>999094</v>
      </c>
      <c r="D2781" s="5" t="str">
        <f>_xlfn.XLOOKUP(role_course_map[[#This Row],[course_id]],course_data[course_id],course_data[title],"")</f>
        <v>Being well, Mind, Body &amp; Workplace</v>
      </c>
      <c r="E2781" s="5" t="str">
        <f>_xlfn.XLOOKUP(role_course_map[[#This Row],[course_id]],course_data[course_id],course_data[topic],"")</f>
        <v>SAS: Staff development and experience</v>
      </c>
      <c r="F2781" s="5" t="str">
        <f>_xlfn.XLOOKUP(role_course_map[[#This Row],[course_id]],course_data[course_id],course_data[type],"")</f>
        <v>eLearning</v>
      </c>
      <c r="K2781" t="str">
        <f>role_course_map[[#This Row],[role_id]] &amp; "|" &amp; role_course_map[[#This Row],[course_id]]</f>
        <v>R0008|999094</v>
      </c>
      <c r="L2781" t="str">
        <f>IF(COUNTIF(role_course_map[mapping_key],role_course_map[[#This Row],[mapping_key]])&gt;1,"DUPLICATE","OK")</f>
        <v>OK</v>
      </c>
      <c r="M2781" t="str">
        <f>IF(COUNTIF(role_data[role_id],role_course_map[[#This Row],[role_id]])=0, "INVALID","VALID")</f>
        <v>VALID</v>
      </c>
      <c r="N2781" t="str">
        <f>IF(COUNTIF(course_data[course_id],role_course_map[[#This Row],[course_id]])=0, "INVALID","VALID")</f>
        <v>VALID</v>
      </c>
    </row>
    <row r="2782" spans="1:14" x14ac:dyDescent="0.35">
      <c r="A2782" t="s">
        <v>379</v>
      </c>
      <c r="B2782" s="5" t="str">
        <f>_xlfn.XLOOKUP(role_course_map[[#This Row],[role_id]], role_data[role_id], role_data[Role],"")</f>
        <v>Research and Innovation Co-ordinator</v>
      </c>
      <c r="C2782">
        <v>999056</v>
      </c>
      <c r="D2782" s="5" t="str">
        <f>_xlfn.XLOOKUP(role_course_map[[#This Row],[course_id]],course_data[course_id],course_data[title],"")</f>
        <v>Driver Assessment &amp; Training</v>
      </c>
      <c r="E2782" s="5" t="str">
        <f>_xlfn.XLOOKUP(role_course_map[[#This Row],[course_id]],course_data[course_id],course_data[topic],"")</f>
        <v>SAS : Health and Safety</v>
      </c>
      <c r="F2782" s="5" t="str">
        <f>_xlfn.XLOOKUP(role_course_map[[#This Row],[course_id]],course_data[course_id],course_data[type],"")</f>
        <v>eLearning</v>
      </c>
      <c r="K2782" t="str">
        <f>role_course_map[[#This Row],[role_id]] &amp; "|" &amp; role_course_map[[#This Row],[course_id]]</f>
        <v>R0181|999056</v>
      </c>
      <c r="L2782" t="str">
        <f>IF(COUNTIF(role_course_map[mapping_key],role_course_map[[#This Row],[mapping_key]])&gt;1,"DUPLICATE","OK")</f>
        <v>OK</v>
      </c>
      <c r="M2782" t="str">
        <f>IF(COUNTIF(role_data[role_id],role_course_map[[#This Row],[role_id]])=0, "INVALID","VALID")</f>
        <v>VALID</v>
      </c>
      <c r="N2782" t="str">
        <f>IF(COUNTIF(course_data[course_id],role_course_map[[#This Row],[course_id]])=0, "INVALID","VALID")</f>
        <v>VALID</v>
      </c>
    </row>
    <row r="2783" spans="1:14" x14ac:dyDescent="0.35">
      <c r="A2783" t="s">
        <v>379</v>
      </c>
      <c r="B2783" s="5" t="str">
        <f>_xlfn.XLOOKUP(role_course_map[[#This Row],[role_id]], role_data[role_id], role_data[Role],"")</f>
        <v>Research and Innovation Co-ordinator</v>
      </c>
      <c r="C2783">
        <v>999057</v>
      </c>
      <c r="D2783" s="5" t="str">
        <f>_xlfn.XLOOKUP(role_course_map[[#This Row],[course_id]],course_data[course_id],course_data[title],"")</f>
        <v>Fatigue Awareness</v>
      </c>
      <c r="E2783" s="5" t="str">
        <f>_xlfn.XLOOKUP(role_course_map[[#This Row],[course_id]],course_data[course_id],course_data[topic],"")</f>
        <v>SAS : Health and Safety</v>
      </c>
      <c r="F2783" s="5" t="str">
        <f>_xlfn.XLOOKUP(role_course_map[[#This Row],[course_id]],course_data[course_id],course_data[type],"")</f>
        <v>eLearning</v>
      </c>
      <c r="K2783" t="str">
        <f>role_course_map[[#This Row],[role_id]] &amp; "|" &amp; role_course_map[[#This Row],[course_id]]</f>
        <v>R0181|999057</v>
      </c>
      <c r="L2783" t="str">
        <f>IF(COUNTIF(role_course_map[mapping_key],role_course_map[[#This Row],[mapping_key]])&gt;1,"DUPLICATE","OK")</f>
        <v>OK</v>
      </c>
      <c r="M2783" t="str">
        <f>IF(COUNTIF(role_data[role_id],role_course_map[[#This Row],[role_id]])=0, "INVALID","VALID")</f>
        <v>VALID</v>
      </c>
      <c r="N2783" t="str">
        <f>IF(COUNTIF(course_data[course_id],role_course_map[[#This Row],[course_id]])=0, "INVALID","VALID")</f>
        <v>VALID</v>
      </c>
    </row>
    <row r="2784" spans="1:14" x14ac:dyDescent="0.35">
      <c r="A2784" t="s">
        <v>379</v>
      </c>
      <c r="B2784" s="5" t="str">
        <f>_xlfn.XLOOKUP(role_course_map[[#This Row],[role_id]], role_data[role_id], role_data[Role],"")</f>
        <v>Research and Innovation Co-ordinator</v>
      </c>
      <c r="C2784">
        <v>999058</v>
      </c>
      <c r="D2784" s="5" t="str">
        <f>_xlfn.XLOOKUP(role_course_map[[#This Row],[course_id]],course_data[course_id],course_data[title],"")</f>
        <v>Stress Identification &amp; Stress Management</v>
      </c>
      <c r="E2784" s="5" t="str">
        <f>_xlfn.XLOOKUP(role_course_map[[#This Row],[course_id]],course_data[course_id],course_data[topic],"")</f>
        <v>SAS : Health and Safety</v>
      </c>
      <c r="F2784" s="5" t="str">
        <f>_xlfn.XLOOKUP(role_course_map[[#This Row],[course_id]],course_data[course_id],course_data[type],"")</f>
        <v>eLearning</v>
      </c>
      <c r="K2784" t="str">
        <f>role_course_map[[#This Row],[role_id]] &amp; "|" &amp; role_course_map[[#This Row],[course_id]]</f>
        <v>R0181|999058</v>
      </c>
      <c r="L2784" t="str">
        <f>IF(COUNTIF(role_course_map[mapping_key],role_course_map[[#This Row],[mapping_key]])&gt;1,"DUPLICATE","OK")</f>
        <v>OK</v>
      </c>
      <c r="M2784" t="str">
        <f>IF(COUNTIF(role_data[role_id],role_course_map[[#This Row],[role_id]])=0, "INVALID","VALID")</f>
        <v>VALID</v>
      </c>
      <c r="N2784" t="str">
        <f>IF(COUNTIF(course_data[course_id],role_course_map[[#This Row],[course_id]])=0, "INVALID","VALID")</f>
        <v>VALID</v>
      </c>
    </row>
    <row r="2785" spans="1:14" x14ac:dyDescent="0.35">
      <c r="A2785" t="s">
        <v>379</v>
      </c>
      <c r="B2785" s="5" t="str">
        <f>_xlfn.XLOOKUP(role_course_map[[#This Row],[role_id]], role_data[role_id], role_data[Role],"")</f>
        <v>Research and Innovation Co-ordinator</v>
      </c>
      <c r="C2785">
        <v>999094</v>
      </c>
      <c r="D2785" s="5" t="str">
        <f>_xlfn.XLOOKUP(role_course_map[[#This Row],[course_id]],course_data[course_id],course_data[title],"")</f>
        <v>Being well, Mind, Body &amp; Workplace</v>
      </c>
      <c r="E2785" s="5" t="str">
        <f>_xlfn.XLOOKUP(role_course_map[[#This Row],[course_id]],course_data[course_id],course_data[topic],"")</f>
        <v>SAS: Staff development and experience</v>
      </c>
      <c r="F2785" s="5" t="str">
        <f>_xlfn.XLOOKUP(role_course_map[[#This Row],[course_id]],course_data[course_id],course_data[type],"")</f>
        <v>eLearning</v>
      </c>
      <c r="K2785" t="str">
        <f>role_course_map[[#This Row],[role_id]] &amp; "|" &amp; role_course_map[[#This Row],[course_id]]</f>
        <v>R0181|999094</v>
      </c>
      <c r="L2785" t="str">
        <f>IF(COUNTIF(role_course_map[mapping_key],role_course_map[[#This Row],[mapping_key]])&gt;1,"DUPLICATE","OK")</f>
        <v>OK</v>
      </c>
      <c r="M2785" t="str">
        <f>IF(COUNTIF(role_data[role_id],role_course_map[[#This Row],[role_id]])=0, "INVALID","VALID")</f>
        <v>VALID</v>
      </c>
      <c r="N2785" t="str">
        <f>IF(COUNTIF(course_data[course_id],role_course_map[[#This Row],[course_id]])=0, "INVALID","VALID")</f>
        <v>VALID</v>
      </c>
    </row>
    <row r="2786" spans="1:14" x14ac:dyDescent="0.35">
      <c r="A2786" t="s">
        <v>224</v>
      </c>
      <c r="B2786" s="5" t="str">
        <f>_xlfn.XLOOKUP(role_course_map[[#This Row],[role_id]], role_data[role_id], role_data[Role],"")</f>
        <v>Community Resilience Team Leader</v>
      </c>
      <c r="C2786">
        <v>999091</v>
      </c>
      <c r="D2786" s="5" t="str">
        <f>_xlfn.XLOOKUP(role_course_map[[#This Row],[course_id]],course_data[course_id],course_data[title],"")</f>
        <v>Intermediate Leadership Development Programme</v>
      </c>
      <c r="E2786" s="5" t="str">
        <f>_xlfn.XLOOKUP(role_course_map[[#This Row],[course_id]],course_data[course_id],course_data[topic],"")</f>
        <v>SAS: Staff development and experience</v>
      </c>
      <c r="F2786" s="5">
        <f>_xlfn.XLOOKUP(role_course_map[[#This Row],[course_id]],course_data[course_id],course_data[type],"")</f>
        <v>0</v>
      </c>
      <c r="K2786" t="str">
        <f>role_course_map[[#This Row],[role_id]] &amp; "|" &amp; role_course_map[[#This Row],[course_id]]</f>
        <v>R0105|999091</v>
      </c>
      <c r="L2786" t="str">
        <f>IF(COUNTIF(role_course_map[mapping_key],role_course_map[[#This Row],[mapping_key]])&gt;1,"DUPLICATE","OK")</f>
        <v>OK</v>
      </c>
      <c r="M2786" t="str">
        <f>IF(COUNTIF(role_data[role_id],role_course_map[[#This Row],[role_id]])=0, "INVALID","VALID")</f>
        <v>VALID</v>
      </c>
      <c r="N2786" t="str">
        <f>IF(COUNTIF(course_data[course_id],role_course_map[[#This Row],[course_id]])=0, "INVALID","VALID")</f>
        <v>VALID</v>
      </c>
    </row>
    <row r="2787" spans="1:14" x14ac:dyDescent="0.35">
      <c r="A2787" t="s">
        <v>224</v>
      </c>
      <c r="B2787" s="5" t="str">
        <f>_xlfn.XLOOKUP(role_course_map[[#This Row],[role_id]], role_data[role_id], role_data[Role],"")</f>
        <v>Community Resilience Team Leader</v>
      </c>
      <c r="C2787">
        <v>999062</v>
      </c>
      <c r="D2787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2787" s="5" t="str">
        <f>_xlfn.XLOOKUP(role_course_map[[#This Row],[course_id]],course_data[course_id],course_data[topic],"")</f>
        <v>SAS : Health and Safety</v>
      </c>
      <c r="F2787" s="5" t="str">
        <f>_xlfn.XLOOKUP(role_course_map[[#This Row],[course_id]],course_data[course_id],course_data[type],"")</f>
        <v>Course</v>
      </c>
      <c r="K2787" t="str">
        <f>role_course_map[[#This Row],[role_id]] &amp; "|" &amp; role_course_map[[#This Row],[course_id]]</f>
        <v>R0105|999062</v>
      </c>
      <c r="L2787" t="str">
        <f>IF(COUNTIF(role_course_map[mapping_key],role_course_map[[#This Row],[mapping_key]])&gt;1,"DUPLICATE","OK")</f>
        <v>OK</v>
      </c>
      <c r="M2787" t="str">
        <f>IF(COUNTIF(role_data[role_id],role_course_map[[#This Row],[role_id]])=0, "INVALID","VALID")</f>
        <v>VALID</v>
      </c>
      <c r="N2787" t="str">
        <f>IF(COUNTIF(course_data[course_id],role_course_map[[#This Row],[course_id]])=0, "INVALID","VALID")</f>
        <v>VALID</v>
      </c>
    </row>
    <row r="2788" spans="1:14" x14ac:dyDescent="0.35">
      <c r="A2788" t="s">
        <v>224</v>
      </c>
      <c r="B2788" s="5" t="str">
        <f>_xlfn.XLOOKUP(role_course_map[[#This Row],[role_id]], role_data[role_id], role_data[Role],"")</f>
        <v>Community Resilience Team Leader</v>
      </c>
      <c r="C2788">
        <v>999058</v>
      </c>
      <c r="D2788" s="5" t="str">
        <f>_xlfn.XLOOKUP(role_course_map[[#This Row],[course_id]],course_data[course_id],course_data[title],"")</f>
        <v>Stress Identification &amp; Stress Management</v>
      </c>
      <c r="E2788" s="5" t="str">
        <f>_xlfn.XLOOKUP(role_course_map[[#This Row],[course_id]],course_data[course_id],course_data[topic],"")</f>
        <v>SAS : Health and Safety</v>
      </c>
      <c r="F2788" s="5" t="str">
        <f>_xlfn.XLOOKUP(role_course_map[[#This Row],[course_id]],course_data[course_id],course_data[type],"")</f>
        <v>eLearning</v>
      </c>
      <c r="K2788" t="str">
        <f>role_course_map[[#This Row],[role_id]] &amp; "|" &amp; role_course_map[[#This Row],[course_id]]</f>
        <v>R0105|999058</v>
      </c>
      <c r="L2788" t="str">
        <f>IF(COUNTIF(role_course_map[mapping_key],role_course_map[[#This Row],[mapping_key]])&gt;1,"DUPLICATE","OK")</f>
        <v>OK</v>
      </c>
      <c r="M2788" t="str">
        <f>IF(COUNTIF(role_data[role_id],role_course_map[[#This Row],[role_id]])=0, "INVALID","VALID")</f>
        <v>VALID</v>
      </c>
      <c r="N2788" t="str">
        <f>IF(COUNTIF(course_data[course_id],role_course_map[[#This Row],[course_id]])=0, "INVALID","VALID")</f>
        <v>VALID</v>
      </c>
    </row>
    <row r="2789" spans="1:14" x14ac:dyDescent="0.35">
      <c r="A2789" t="s">
        <v>224</v>
      </c>
      <c r="B2789" s="5" t="str">
        <f>_xlfn.XLOOKUP(role_course_map[[#This Row],[role_id]], role_data[role_id], role_data[Role],"")</f>
        <v>Community Resilience Team Leader</v>
      </c>
      <c r="C2789">
        <v>999056</v>
      </c>
      <c r="D2789" s="5" t="str">
        <f>_xlfn.XLOOKUP(role_course_map[[#This Row],[course_id]],course_data[course_id],course_data[title],"")</f>
        <v>Driver Assessment &amp; Training</v>
      </c>
      <c r="E2789" s="5" t="str">
        <f>_xlfn.XLOOKUP(role_course_map[[#This Row],[course_id]],course_data[course_id],course_data[topic],"")</f>
        <v>SAS : Health and Safety</v>
      </c>
      <c r="F2789" s="5" t="str">
        <f>_xlfn.XLOOKUP(role_course_map[[#This Row],[course_id]],course_data[course_id],course_data[type],"")</f>
        <v>eLearning</v>
      </c>
      <c r="K2789" t="str">
        <f>role_course_map[[#This Row],[role_id]] &amp; "|" &amp; role_course_map[[#This Row],[course_id]]</f>
        <v>R0105|999056</v>
      </c>
      <c r="L2789" t="str">
        <f>IF(COUNTIF(role_course_map[mapping_key],role_course_map[[#This Row],[mapping_key]])&gt;1,"DUPLICATE","OK")</f>
        <v>OK</v>
      </c>
      <c r="M2789" t="str">
        <f>IF(COUNTIF(role_data[role_id],role_course_map[[#This Row],[role_id]])=0, "INVALID","VALID")</f>
        <v>VALID</v>
      </c>
      <c r="N2789" t="str">
        <f>IF(COUNTIF(course_data[course_id],role_course_map[[#This Row],[course_id]])=0, "INVALID","VALID")</f>
        <v>VALID</v>
      </c>
    </row>
    <row r="2790" spans="1:14" x14ac:dyDescent="0.35">
      <c r="A2790" t="s">
        <v>224</v>
      </c>
      <c r="B2790" s="5" t="str">
        <f>_xlfn.XLOOKUP(role_course_map[[#This Row],[role_id]], role_data[role_id], role_data[Role],"")</f>
        <v>Community Resilience Team Leader</v>
      </c>
      <c r="C2790">
        <v>999057</v>
      </c>
      <c r="D2790" s="5" t="str">
        <f>_xlfn.XLOOKUP(role_course_map[[#This Row],[course_id]],course_data[course_id],course_data[title],"")</f>
        <v>Fatigue Awareness</v>
      </c>
      <c r="E2790" s="5" t="str">
        <f>_xlfn.XLOOKUP(role_course_map[[#This Row],[course_id]],course_data[course_id],course_data[topic],"")</f>
        <v>SAS : Health and Safety</v>
      </c>
      <c r="F2790" s="5" t="str">
        <f>_xlfn.XLOOKUP(role_course_map[[#This Row],[course_id]],course_data[course_id],course_data[type],"")</f>
        <v>eLearning</v>
      </c>
      <c r="K2790" t="str">
        <f>role_course_map[[#This Row],[role_id]] &amp; "|" &amp; role_course_map[[#This Row],[course_id]]</f>
        <v>R0105|999057</v>
      </c>
      <c r="L2790" t="str">
        <f>IF(COUNTIF(role_course_map[mapping_key],role_course_map[[#This Row],[mapping_key]])&gt;1,"DUPLICATE","OK")</f>
        <v>OK</v>
      </c>
      <c r="M2790" t="str">
        <f>IF(COUNTIF(role_data[role_id],role_course_map[[#This Row],[role_id]])=0, "INVALID","VALID")</f>
        <v>VALID</v>
      </c>
      <c r="N2790" t="str">
        <f>IF(COUNTIF(course_data[course_id],role_course_map[[#This Row],[course_id]])=0, "INVALID","VALID")</f>
        <v>VALID</v>
      </c>
    </row>
    <row r="2791" spans="1:14" x14ac:dyDescent="0.35">
      <c r="A2791" t="s">
        <v>224</v>
      </c>
      <c r="B2791" s="5" t="str">
        <f>_xlfn.XLOOKUP(role_course_map[[#This Row],[role_id]], role_data[role_id], role_data[Role],"")</f>
        <v>Community Resilience Team Leader</v>
      </c>
      <c r="C2791">
        <v>999061</v>
      </c>
      <c r="D2791" s="5" t="str">
        <f>_xlfn.XLOOKUP(role_course_map[[#This Row],[course_id]],course_data[course_id],course_data[title],"")</f>
        <v>Skin Awareness</v>
      </c>
      <c r="E2791" s="5" t="str">
        <f>_xlfn.XLOOKUP(role_course_map[[#This Row],[course_id]],course_data[course_id],course_data[topic],"")</f>
        <v>SAS : Health and Safety</v>
      </c>
      <c r="F2791" s="5" t="str">
        <f>_xlfn.XLOOKUP(role_course_map[[#This Row],[course_id]],course_data[course_id],course_data[type],"")</f>
        <v>eLearning</v>
      </c>
      <c r="K2791" t="str">
        <f>role_course_map[[#This Row],[role_id]] &amp; "|" &amp; role_course_map[[#This Row],[course_id]]</f>
        <v>R0105|999061</v>
      </c>
      <c r="L2791" t="str">
        <f>IF(COUNTIF(role_course_map[mapping_key],role_course_map[[#This Row],[mapping_key]])&gt;1,"DUPLICATE","OK")</f>
        <v>OK</v>
      </c>
      <c r="M2791" t="str">
        <f>IF(COUNTIF(role_data[role_id],role_course_map[[#This Row],[role_id]])=0, "INVALID","VALID")</f>
        <v>VALID</v>
      </c>
      <c r="N2791" t="str">
        <f>IF(COUNTIF(course_data[course_id],role_course_map[[#This Row],[course_id]])=0, "INVALID","VALID")</f>
        <v>VALID</v>
      </c>
    </row>
    <row r="2792" spans="1:14" x14ac:dyDescent="0.35">
      <c r="A2792" t="s">
        <v>224</v>
      </c>
      <c r="B2792" s="5" t="str">
        <f>_xlfn.XLOOKUP(role_course_map[[#This Row],[role_id]], role_data[role_id], role_data[Role],"")</f>
        <v>Community Resilience Team Leader</v>
      </c>
      <c r="C2792">
        <v>999092</v>
      </c>
      <c r="D2792" s="5" t="str">
        <f>_xlfn.XLOOKUP(role_course_map[[#This Row],[course_id]],course_data[course_id],course_data[title],"")</f>
        <v>Health &amp; Wellbeing Awareness for Managers</v>
      </c>
      <c r="E2792" s="5" t="str">
        <f>_xlfn.XLOOKUP(role_course_map[[#This Row],[course_id]],course_data[course_id],course_data[topic],"")</f>
        <v>SAS: Staff development and experience</v>
      </c>
      <c r="F2792" s="5" t="str">
        <f>_xlfn.XLOOKUP(role_course_map[[#This Row],[course_id]],course_data[course_id],course_data[type],"")</f>
        <v>eLearning</v>
      </c>
      <c r="K2792" t="str">
        <f>role_course_map[[#This Row],[role_id]] &amp; "|" &amp; role_course_map[[#This Row],[course_id]]</f>
        <v>R0105|999092</v>
      </c>
      <c r="L2792" t="str">
        <f>IF(COUNTIF(role_course_map[mapping_key],role_course_map[[#This Row],[mapping_key]])&gt;1,"DUPLICATE","OK")</f>
        <v>OK</v>
      </c>
      <c r="M2792" t="str">
        <f>IF(COUNTIF(role_data[role_id],role_course_map[[#This Row],[role_id]])=0, "INVALID","VALID")</f>
        <v>VALID</v>
      </c>
      <c r="N2792" t="str">
        <f>IF(COUNTIF(course_data[course_id],role_course_map[[#This Row],[course_id]])=0, "INVALID","VALID")</f>
        <v>VALID</v>
      </c>
    </row>
    <row r="2793" spans="1:14" x14ac:dyDescent="0.35">
      <c r="A2793" t="s">
        <v>224</v>
      </c>
      <c r="B2793" s="5" t="str">
        <f>_xlfn.XLOOKUP(role_course_map[[#This Row],[role_id]], role_data[role_id], role_data[Role],"")</f>
        <v>Community Resilience Team Leader</v>
      </c>
      <c r="C2793">
        <v>999093</v>
      </c>
      <c r="D2793" s="5" t="str">
        <f>_xlfn.XLOOKUP(role_course_map[[#This Row],[course_id]],course_data[course_id],course_data[title],"")</f>
        <v>Managing Wellbeing Refresher for Managers</v>
      </c>
      <c r="E2793" s="5" t="str">
        <f>_xlfn.XLOOKUP(role_course_map[[#This Row],[course_id]],course_data[course_id],course_data[topic],"")</f>
        <v>SAS: Staff development and experience</v>
      </c>
      <c r="F2793" s="5" t="str">
        <f>_xlfn.XLOOKUP(role_course_map[[#This Row],[course_id]],course_data[course_id],course_data[type],"")</f>
        <v>eLearning</v>
      </c>
      <c r="K2793" t="str">
        <f>role_course_map[[#This Row],[role_id]] &amp; "|" &amp; role_course_map[[#This Row],[course_id]]</f>
        <v>R0105|999093</v>
      </c>
      <c r="L2793" t="str">
        <f>IF(COUNTIF(role_course_map[mapping_key],role_course_map[[#This Row],[mapping_key]])&gt;1,"DUPLICATE","OK")</f>
        <v>OK</v>
      </c>
      <c r="M2793" t="str">
        <f>IF(COUNTIF(role_data[role_id],role_course_map[[#This Row],[role_id]])=0, "INVALID","VALID")</f>
        <v>VALID</v>
      </c>
      <c r="N2793" t="str">
        <f>IF(COUNTIF(course_data[course_id],role_course_map[[#This Row],[course_id]])=0, "INVALID","VALID")</f>
        <v>VALID</v>
      </c>
    </row>
    <row r="2794" spans="1:14" x14ac:dyDescent="0.35">
      <c r="A2794" t="s">
        <v>224</v>
      </c>
      <c r="B2794" s="5" t="str">
        <f>_xlfn.XLOOKUP(role_course_map[[#This Row],[role_id]], role_data[role_id], role_data[Role],"")</f>
        <v>Community Resilience Team Leader</v>
      </c>
      <c r="C2794">
        <v>999094</v>
      </c>
      <c r="D2794" s="5" t="str">
        <f>_xlfn.XLOOKUP(role_course_map[[#This Row],[course_id]],course_data[course_id],course_data[title],"")</f>
        <v>Being well, Mind, Body &amp; Workplace</v>
      </c>
      <c r="E2794" s="5" t="str">
        <f>_xlfn.XLOOKUP(role_course_map[[#This Row],[course_id]],course_data[course_id],course_data[topic],"")</f>
        <v>SAS: Staff development and experience</v>
      </c>
      <c r="F2794" s="5" t="str">
        <f>_xlfn.XLOOKUP(role_course_map[[#This Row],[course_id]],course_data[course_id],course_data[type],"")</f>
        <v>eLearning</v>
      </c>
      <c r="K2794" t="str">
        <f>role_course_map[[#This Row],[role_id]] &amp; "|" &amp; role_course_map[[#This Row],[course_id]]</f>
        <v>R0105|999094</v>
      </c>
      <c r="L2794" t="str">
        <f>IF(COUNTIF(role_course_map[mapping_key],role_course_map[[#This Row],[mapping_key]])&gt;1,"DUPLICATE","OK")</f>
        <v>OK</v>
      </c>
      <c r="M2794" t="str">
        <f>IF(COUNTIF(role_data[role_id],role_course_map[[#This Row],[role_id]])=0, "INVALID","VALID")</f>
        <v>VALID</v>
      </c>
      <c r="N2794" t="str">
        <f>IF(COUNTIF(course_data[course_id],role_course_map[[#This Row],[course_id]])=0, "INVALID","VALID")</f>
        <v>VALID</v>
      </c>
    </row>
    <row r="2795" spans="1:14" x14ac:dyDescent="0.35">
      <c r="A2795" t="s">
        <v>224</v>
      </c>
      <c r="B2795" s="5" t="str">
        <f>_xlfn.XLOOKUP(role_course_map[[#This Row],[role_id]], role_data[role_id], role_data[Role],"")</f>
        <v>Community Resilience Team Leader</v>
      </c>
      <c r="D2795" s="5" t="s">
        <v>1062</v>
      </c>
      <c r="E2795" s="5" t="str">
        <f>_xlfn.XLOOKUP(role_course_map[[#This Row],[course_id]],course_data[course_id],course_data[topic],"")</f>
        <v/>
      </c>
      <c r="F2795" s="5" t="str">
        <f>_xlfn.XLOOKUP(role_course_map[[#This Row],[course_id]],course_data[course_id],course_data[type],"")</f>
        <v/>
      </c>
      <c r="K2795" t="str">
        <f>role_course_map[[#This Row],[role_id]] &amp; "|" &amp; role_course_map[[#This Row],[course_id]]</f>
        <v>R0105|</v>
      </c>
      <c r="L2795" t="str">
        <f>IF(COUNTIF(role_course_map[mapping_key],role_course_map[[#This Row],[mapping_key]])&gt;1,"DUPLICATE","OK")</f>
        <v>OK</v>
      </c>
      <c r="M2795" t="str">
        <f>IF(COUNTIF(role_data[role_id],role_course_map[[#This Row],[role_id]])=0, "INVALID","VALID")</f>
        <v>VALID</v>
      </c>
      <c r="N2795" t="str">
        <f>IF(COUNTIF(course_data[course_id],role_course_map[[#This Row],[course_id]])=0, "INVALID","VALID")</f>
        <v>INVALID</v>
      </c>
    </row>
    <row r="2796" spans="1:14" x14ac:dyDescent="0.35">
      <c r="A2796" t="s">
        <v>224</v>
      </c>
      <c r="B2796" s="5" t="str">
        <f>_xlfn.XLOOKUP(role_course_map[[#This Row],[role_id]], role_data[role_id], role_data[Role],"")</f>
        <v>Community Resilience Team Leader</v>
      </c>
      <c r="C2796">
        <v>999067</v>
      </c>
      <c r="D2796" s="5" t="str">
        <f>_xlfn.XLOOKUP(role_course_map[[#This Row],[course_id]],course_data[course_id],course_data[title],"")</f>
        <v>Major incident awareness - Course overview</v>
      </c>
      <c r="E2796" s="5" t="str">
        <f>_xlfn.XLOOKUP(role_course_map[[#This Row],[course_id]],course_data[course_id],course_data[topic],"")</f>
        <v>SAS : National Risk and Resilience Department (NRRD)</v>
      </c>
      <c r="F2796" s="5" t="str">
        <f>_xlfn.XLOOKUP(role_course_map[[#This Row],[course_id]],course_data[course_id],course_data[type],"")</f>
        <v>eLearning</v>
      </c>
      <c r="K2796" t="str">
        <f>role_course_map[[#This Row],[role_id]] &amp; "|" &amp; role_course_map[[#This Row],[course_id]]</f>
        <v>R0105|999067</v>
      </c>
      <c r="L2796" t="str">
        <f>IF(COUNTIF(role_course_map[mapping_key],role_course_map[[#This Row],[mapping_key]])&gt;1,"DUPLICATE","OK")</f>
        <v>OK</v>
      </c>
      <c r="M2796" t="str">
        <f>IF(COUNTIF(role_data[role_id],role_course_map[[#This Row],[role_id]])=0, "INVALID","VALID")</f>
        <v>VALID</v>
      </c>
      <c r="N2796" t="str">
        <f>IF(COUNTIF(course_data[course_id],role_course_map[[#This Row],[course_id]])=0, "INVALID","VALID")</f>
        <v>VALID</v>
      </c>
    </row>
    <row r="2797" spans="1:14" x14ac:dyDescent="0.35">
      <c r="A2797" t="s">
        <v>224</v>
      </c>
      <c r="B2797" s="5" t="str">
        <f>_xlfn.XLOOKUP(role_course_map[[#This Row],[role_id]], role_data[role_id], role_data[Role],"")</f>
        <v>Community Resilience Team Leader</v>
      </c>
      <c r="C2797">
        <v>999068</v>
      </c>
      <c r="D2797" s="5" t="str">
        <f>_xlfn.XLOOKUP(role_course_map[[#This Row],[course_id]],course_data[course_id],course_data[title],"")</f>
        <v xml:space="preserve">Major incident awareness for responders </v>
      </c>
      <c r="E2797" s="5" t="str">
        <f>_xlfn.XLOOKUP(role_course_map[[#This Row],[course_id]],course_data[course_id],course_data[topic],"")</f>
        <v>SAS : National Risk and Resilience Department (NRRD)</v>
      </c>
      <c r="F2797" s="5" t="str">
        <f>_xlfn.XLOOKUP(role_course_map[[#This Row],[course_id]],course_data[course_id],course_data[type],"")</f>
        <v>eLearning</v>
      </c>
      <c r="K2797" t="str">
        <f>role_course_map[[#This Row],[role_id]] &amp; "|" &amp; role_course_map[[#This Row],[course_id]]</f>
        <v>R0105|999068</v>
      </c>
      <c r="L2797" t="str">
        <f>IF(COUNTIF(role_course_map[mapping_key],role_course_map[[#This Row],[mapping_key]])&gt;1,"DUPLICATE","OK")</f>
        <v>OK</v>
      </c>
      <c r="M2797" t="str">
        <f>IF(COUNTIF(role_data[role_id],role_course_map[[#This Row],[role_id]])=0, "INVALID","VALID")</f>
        <v>VALID</v>
      </c>
      <c r="N2797" t="str">
        <f>IF(COUNTIF(course_data[course_id],role_course_map[[#This Row],[course_id]])=0, "INVALID","VALID")</f>
        <v>VALID</v>
      </c>
    </row>
    <row r="2798" spans="1:14" x14ac:dyDescent="0.35">
      <c r="A2798" t="s">
        <v>224</v>
      </c>
      <c r="B2798" s="5" t="str">
        <f>_xlfn.XLOOKUP(role_course_map[[#This Row],[role_id]], role_data[role_id], role_data[Role],"")</f>
        <v>Community Resilience Team Leader</v>
      </c>
      <c r="C2798">
        <v>999069</v>
      </c>
      <c r="D2798" s="5" t="str">
        <f>_xlfn.XLOOKUP(role_course_map[[#This Row],[course_id]],course_data[course_id],course_data[title],"")</f>
        <v>Non-specialist MTFA response (JOPS3)</v>
      </c>
      <c r="E2798" s="5" t="str">
        <f>_xlfn.XLOOKUP(role_course_map[[#This Row],[course_id]],course_data[course_id],course_data[topic],"")</f>
        <v>SAS : National Risk and Resilience Department (NRRD)</v>
      </c>
      <c r="F2798" s="5" t="str">
        <f>_xlfn.XLOOKUP(role_course_map[[#This Row],[course_id]],course_data[course_id],course_data[type],"")</f>
        <v>eLearning</v>
      </c>
      <c r="K2798" t="str">
        <f>role_course_map[[#This Row],[role_id]] &amp; "|" &amp; role_course_map[[#This Row],[course_id]]</f>
        <v>R0105|999069</v>
      </c>
      <c r="L2798" t="str">
        <f>IF(COUNTIF(role_course_map[mapping_key],role_course_map[[#This Row],[mapping_key]])&gt;1,"DUPLICATE","OK")</f>
        <v>OK</v>
      </c>
      <c r="M2798" t="str">
        <f>IF(COUNTIF(role_data[role_id],role_course_map[[#This Row],[role_id]])=0, "INVALID","VALID")</f>
        <v>VALID</v>
      </c>
      <c r="N2798" t="str">
        <f>IF(COUNTIF(course_data[course_id],role_course_map[[#This Row],[course_id]])=0, "INVALID","VALID")</f>
        <v>VALID</v>
      </c>
    </row>
    <row r="2799" spans="1:14" x14ac:dyDescent="0.35">
      <c r="A2799" t="s">
        <v>224</v>
      </c>
      <c r="B2799" s="5" t="str">
        <f>_xlfn.XLOOKUP(role_course_map[[#This Row],[role_id]], role_data[role_id], role_data[Role],"")</f>
        <v>Community Resilience Team Leader</v>
      </c>
      <c r="C2799">
        <v>999070</v>
      </c>
      <c r="D2799" s="5" t="str">
        <f>_xlfn.XLOOKUP(role_course_map[[#This Row],[course_id]],course_data[course_id],course_data[title],"")</f>
        <v xml:space="preserve">SAS: JESIP (NEW) </v>
      </c>
      <c r="E2799" s="5" t="str">
        <f>_xlfn.XLOOKUP(role_course_map[[#This Row],[course_id]],course_data[course_id],course_data[topic],"")</f>
        <v>SAS : National Risk and Resilience Department (NRRD)</v>
      </c>
      <c r="F2799" s="5" t="str">
        <f>_xlfn.XLOOKUP(role_course_map[[#This Row],[course_id]],course_data[course_id],course_data[type],"")</f>
        <v>eLearning</v>
      </c>
      <c r="K2799" t="str">
        <f>role_course_map[[#This Row],[role_id]] &amp; "|" &amp; role_course_map[[#This Row],[course_id]]</f>
        <v>R0105|999070</v>
      </c>
      <c r="L2799" t="str">
        <f>IF(COUNTIF(role_course_map[mapping_key],role_course_map[[#This Row],[mapping_key]])&gt;1,"DUPLICATE","OK")</f>
        <v>OK</v>
      </c>
      <c r="M2799" t="str">
        <f>IF(COUNTIF(role_data[role_id],role_course_map[[#This Row],[role_id]])=0, "INVALID","VALID")</f>
        <v>VALID</v>
      </c>
      <c r="N2799" t="str">
        <f>IF(COUNTIF(course_data[course_id],role_course_map[[#This Row],[course_id]])=0, "INVALID","VALID")</f>
        <v>VALID</v>
      </c>
    </row>
    <row r="2800" spans="1:14" x14ac:dyDescent="0.35">
      <c r="A2800" t="s">
        <v>224</v>
      </c>
      <c r="B2800" s="5" t="str">
        <f>_xlfn.XLOOKUP(role_course_map[[#This Row],[role_id]], role_data[role_id], role_data[Role],"")</f>
        <v>Community Resilience Team Leader</v>
      </c>
      <c r="C2800">
        <v>89568</v>
      </c>
      <c r="D2800" s="5" t="str">
        <f>_xlfn.XLOOKUP(role_course_map[[#This Row],[course_id]],course_data[course_id],course_data[title],"")</f>
        <v>C3 for SOMs</v>
      </c>
      <c r="E2800" s="5" t="str">
        <f>_xlfn.XLOOKUP(role_course_map[[#This Row],[course_id]],course_data[course_id],course_data[topic],"")</f>
        <v>SAS: Systems Training</v>
      </c>
      <c r="F2800" s="5" t="str">
        <f>_xlfn.XLOOKUP(role_course_map[[#This Row],[course_id]],course_data[course_id],course_data[type],"")</f>
        <v>Course</v>
      </c>
      <c r="K2800" t="str">
        <f>role_course_map[[#This Row],[role_id]] &amp; "|" &amp; role_course_map[[#This Row],[course_id]]</f>
        <v>R0105|89568</v>
      </c>
      <c r="L2800" t="str">
        <f>IF(COUNTIF(role_course_map[mapping_key],role_course_map[[#This Row],[mapping_key]])&gt;1,"DUPLICATE","OK")</f>
        <v>OK</v>
      </c>
      <c r="M2800" t="str">
        <f>IF(COUNTIF(role_data[role_id],role_course_map[[#This Row],[role_id]])=0, "INVALID","VALID")</f>
        <v>VALID</v>
      </c>
      <c r="N2800" t="str">
        <f>IF(COUNTIF(course_data[course_id],role_course_map[[#This Row],[course_id]])=0, "INVALID","VALID")</f>
        <v>VALID</v>
      </c>
    </row>
    <row r="2801" spans="1:14" x14ac:dyDescent="0.35">
      <c r="A2801" t="s">
        <v>220</v>
      </c>
      <c r="B2801" s="5" t="str">
        <f>_xlfn.XLOOKUP(role_course_map[[#This Row],[role_id]], role_data[role_id], role_data[Role],"")</f>
        <v>Command Training Officer</v>
      </c>
      <c r="C2801">
        <v>999058</v>
      </c>
      <c r="D2801" s="5" t="str">
        <f>_xlfn.XLOOKUP(role_course_map[[#This Row],[course_id]],course_data[course_id],course_data[title],"")</f>
        <v>Stress Identification &amp; Stress Management</v>
      </c>
      <c r="E2801" s="5" t="str">
        <f>_xlfn.XLOOKUP(role_course_map[[#This Row],[course_id]],course_data[course_id],course_data[topic],"")</f>
        <v>SAS : Health and Safety</v>
      </c>
      <c r="F2801" s="5" t="str">
        <f>_xlfn.XLOOKUP(role_course_map[[#This Row],[course_id]],course_data[course_id],course_data[type],"")</f>
        <v>eLearning</v>
      </c>
      <c r="K2801" t="str">
        <f>role_course_map[[#This Row],[role_id]] &amp; "|" &amp; role_course_map[[#This Row],[course_id]]</f>
        <v>R0103|999058</v>
      </c>
      <c r="L2801" t="str">
        <f>IF(COUNTIF(role_course_map[mapping_key],role_course_map[[#This Row],[mapping_key]])&gt;1,"DUPLICATE","OK")</f>
        <v>OK</v>
      </c>
      <c r="M2801" t="str">
        <f>IF(COUNTIF(role_data[role_id],role_course_map[[#This Row],[role_id]])=0, "INVALID","VALID")</f>
        <v>VALID</v>
      </c>
      <c r="N2801" t="str">
        <f>IF(COUNTIF(course_data[course_id],role_course_map[[#This Row],[course_id]])=0, "INVALID","VALID")</f>
        <v>VALID</v>
      </c>
    </row>
    <row r="2802" spans="1:14" x14ac:dyDescent="0.35">
      <c r="A2802" t="s">
        <v>220</v>
      </c>
      <c r="B2802" s="5" t="str">
        <f>_xlfn.XLOOKUP(role_course_map[[#This Row],[role_id]], role_data[role_id], role_data[Role],"")</f>
        <v>Command Training Officer</v>
      </c>
      <c r="C2802">
        <v>999056</v>
      </c>
      <c r="D2802" s="5" t="str">
        <f>_xlfn.XLOOKUP(role_course_map[[#This Row],[course_id]],course_data[course_id],course_data[title],"")</f>
        <v>Driver Assessment &amp; Training</v>
      </c>
      <c r="E2802" s="5" t="str">
        <f>_xlfn.XLOOKUP(role_course_map[[#This Row],[course_id]],course_data[course_id],course_data[topic],"")</f>
        <v>SAS : Health and Safety</v>
      </c>
      <c r="F2802" s="5" t="str">
        <f>_xlfn.XLOOKUP(role_course_map[[#This Row],[course_id]],course_data[course_id],course_data[type],"")</f>
        <v>eLearning</v>
      </c>
      <c r="K2802" t="str">
        <f>role_course_map[[#This Row],[role_id]] &amp; "|" &amp; role_course_map[[#This Row],[course_id]]</f>
        <v>R0103|999056</v>
      </c>
      <c r="L2802" t="str">
        <f>IF(COUNTIF(role_course_map[mapping_key],role_course_map[[#This Row],[mapping_key]])&gt;1,"DUPLICATE","OK")</f>
        <v>OK</v>
      </c>
      <c r="M2802" t="str">
        <f>IF(COUNTIF(role_data[role_id],role_course_map[[#This Row],[role_id]])=0, "INVALID","VALID")</f>
        <v>VALID</v>
      </c>
      <c r="N2802" t="str">
        <f>IF(COUNTIF(course_data[course_id],role_course_map[[#This Row],[course_id]])=0, "INVALID","VALID")</f>
        <v>VALID</v>
      </c>
    </row>
    <row r="2803" spans="1:14" x14ac:dyDescent="0.35">
      <c r="A2803" t="s">
        <v>220</v>
      </c>
      <c r="B2803" s="5" t="str">
        <f>_xlfn.XLOOKUP(role_course_map[[#This Row],[role_id]], role_data[role_id], role_data[Role],"")</f>
        <v>Command Training Officer</v>
      </c>
      <c r="C2803">
        <v>999057</v>
      </c>
      <c r="D2803" s="5" t="str">
        <f>_xlfn.XLOOKUP(role_course_map[[#This Row],[course_id]],course_data[course_id],course_data[title],"")</f>
        <v>Fatigue Awareness</v>
      </c>
      <c r="E2803" s="5" t="str">
        <f>_xlfn.XLOOKUP(role_course_map[[#This Row],[course_id]],course_data[course_id],course_data[topic],"")</f>
        <v>SAS : Health and Safety</v>
      </c>
      <c r="F2803" s="5" t="str">
        <f>_xlfn.XLOOKUP(role_course_map[[#This Row],[course_id]],course_data[course_id],course_data[type],"")</f>
        <v>eLearning</v>
      </c>
      <c r="K2803" t="str">
        <f>role_course_map[[#This Row],[role_id]] &amp; "|" &amp; role_course_map[[#This Row],[course_id]]</f>
        <v>R0103|999057</v>
      </c>
      <c r="L2803" t="str">
        <f>IF(COUNTIF(role_course_map[mapping_key],role_course_map[[#This Row],[mapping_key]])&gt;1,"DUPLICATE","OK")</f>
        <v>OK</v>
      </c>
      <c r="M2803" t="str">
        <f>IF(COUNTIF(role_data[role_id],role_course_map[[#This Row],[role_id]])=0, "INVALID","VALID")</f>
        <v>VALID</v>
      </c>
      <c r="N2803" t="str">
        <f>IF(COUNTIF(course_data[course_id],role_course_map[[#This Row],[course_id]])=0, "INVALID","VALID")</f>
        <v>VALID</v>
      </c>
    </row>
    <row r="2804" spans="1:14" x14ac:dyDescent="0.35">
      <c r="A2804" t="s">
        <v>220</v>
      </c>
      <c r="B2804" s="5" t="str">
        <f>_xlfn.XLOOKUP(role_course_map[[#This Row],[role_id]], role_data[role_id], role_data[Role],"")</f>
        <v>Command Training Officer</v>
      </c>
      <c r="C2804">
        <v>999061</v>
      </c>
      <c r="D2804" s="5" t="str">
        <f>_xlfn.XLOOKUP(role_course_map[[#This Row],[course_id]],course_data[course_id],course_data[title],"")</f>
        <v>Skin Awareness</v>
      </c>
      <c r="E2804" s="5" t="str">
        <f>_xlfn.XLOOKUP(role_course_map[[#This Row],[course_id]],course_data[course_id],course_data[topic],"")</f>
        <v>SAS : Health and Safety</v>
      </c>
      <c r="F2804" s="5" t="str">
        <f>_xlfn.XLOOKUP(role_course_map[[#This Row],[course_id]],course_data[course_id],course_data[type],"")</f>
        <v>eLearning</v>
      </c>
      <c r="K2804" t="str">
        <f>role_course_map[[#This Row],[role_id]] &amp; "|" &amp; role_course_map[[#This Row],[course_id]]</f>
        <v>R0103|999061</v>
      </c>
      <c r="L2804" t="str">
        <f>IF(COUNTIF(role_course_map[mapping_key],role_course_map[[#This Row],[mapping_key]])&gt;1,"DUPLICATE","OK")</f>
        <v>OK</v>
      </c>
      <c r="M2804" t="str">
        <f>IF(COUNTIF(role_data[role_id],role_course_map[[#This Row],[role_id]])=0, "INVALID","VALID")</f>
        <v>VALID</v>
      </c>
      <c r="N2804" t="str">
        <f>IF(COUNTIF(course_data[course_id],role_course_map[[#This Row],[course_id]])=0, "INVALID","VALID")</f>
        <v>VALID</v>
      </c>
    </row>
    <row r="2805" spans="1:14" x14ac:dyDescent="0.35">
      <c r="A2805" t="s">
        <v>220</v>
      </c>
      <c r="B2805" s="5" t="str">
        <f>_xlfn.XLOOKUP(role_course_map[[#This Row],[role_id]], role_data[role_id], role_data[Role],"")</f>
        <v>Command Training Officer</v>
      </c>
      <c r="C2805">
        <v>999094</v>
      </c>
      <c r="D2805" s="5" t="str">
        <f>_xlfn.XLOOKUP(role_course_map[[#This Row],[course_id]],course_data[course_id],course_data[title],"")</f>
        <v>Being well, Mind, Body &amp; Workplace</v>
      </c>
      <c r="E2805" s="5" t="str">
        <f>_xlfn.XLOOKUP(role_course_map[[#This Row],[course_id]],course_data[course_id],course_data[topic],"")</f>
        <v>SAS: Staff development and experience</v>
      </c>
      <c r="F2805" s="5" t="str">
        <f>_xlfn.XLOOKUP(role_course_map[[#This Row],[course_id]],course_data[course_id],course_data[type],"")</f>
        <v>eLearning</v>
      </c>
      <c r="K2805" t="str">
        <f>role_course_map[[#This Row],[role_id]] &amp; "|" &amp; role_course_map[[#This Row],[course_id]]</f>
        <v>R0103|999094</v>
      </c>
      <c r="L2805" t="str">
        <f>IF(COUNTIF(role_course_map[mapping_key],role_course_map[[#This Row],[mapping_key]])&gt;1,"DUPLICATE","OK")</f>
        <v>OK</v>
      </c>
      <c r="M2805" t="str">
        <f>IF(COUNTIF(role_data[role_id],role_course_map[[#This Row],[role_id]])=0, "INVALID","VALID")</f>
        <v>VALID</v>
      </c>
      <c r="N2805" t="str">
        <f>IF(COUNTIF(course_data[course_id],role_course_map[[#This Row],[course_id]])=0, "INVALID","VALID")</f>
        <v>VALID</v>
      </c>
    </row>
    <row r="2806" spans="1:14" x14ac:dyDescent="0.35">
      <c r="A2806" t="s">
        <v>220</v>
      </c>
      <c r="B2806" s="5" t="str">
        <f>_xlfn.XLOOKUP(role_course_map[[#This Row],[role_id]], role_data[role_id], role_data[Role],"")</f>
        <v>Command Training Officer</v>
      </c>
      <c r="D2806" s="5" t="s">
        <v>1062</v>
      </c>
      <c r="E2806" s="5" t="str">
        <f>_xlfn.XLOOKUP(role_course_map[[#This Row],[course_id]],course_data[course_id],course_data[topic],"")</f>
        <v/>
      </c>
      <c r="F2806" s="5" t="str">
        <f>_xlfn.XLOOKUP(role_course_map[[#This Row],[course_id]],course_data[course_id],course_data[type],"")</f>
        <v/>
      </c>
      <c r="K2806" t="str">
        <f>role_course_map[[#This Row],[role_id]] &amp; "|" &amp; role_course_map[[#This Row],[course_id]]</f>
        <v>R0103|</v>
      </c>
      <c r="L2806" t="str">
        <f>IF(COUNTIF(role_course_map[mapping_key],role_course_map[[#This Row],[mapping_key]])&gt;1,"DUPLICATE","OK")</f>
        <v>OK</v>
      </c>
      <c r="M2806" t="str">
        <f>IF(COUNTIF(role_data[role_id],role_course_map[[#This Row],[role_id]])=0, "INVALID","VALID")</f>
        <v>VALID</v>
      </c>
      <c r="N2806" t="str">
        <f>IF(COUNTIF(course_data[course_id],role_course_map[[#This Row],[course_id]])=0, "INVALID","VALID")</f>
        <v>INVALID</v>
      </c>
    </row>
    <row r="2807" spans="1:14" x14ac:dyDescent="0.35">
      <c r="A2807" t="s">
        <v>220</v>
      </c>
      <c r="B2807" s="5" t="str">
        <f>_xlfn.XLOOKUP(role_course_map[[#This Row],[role_id]], role_data[role_id], role_data[Role],"")</f>
        <v>Command Training Officer</v>
      </c>
      <c r="C2807">
        <v>82211</v>
      </c>
      <c r="D2807" s="5" t="str">
        <f>_xlfn.XLOOKUP(role_course_map[[#This Row],[course_id]],course_data[course_id],course_data[title],"")</f>
        <v>MTA Command &amp; Control</v>
      </c>
      <c r="E2807" s="5" t="str">
        <f>_xlfn.XLOOKUP(role_course_map[[#This Row],[course_id]],course_data[course_id],course_data[topic],"")</f>
        <v>SAS : National Risk and Resilience Department (NRRD)</v>
      </c>
      <c r="F2807" s="5" t="str">
        <f>_xlfn.XLOOKUP(role_course_map[[#This Row],[course_id]],course_data[course_id],course_data[type],"")</f>
        <v>eLearning</v>
      </c>
      <c r="K2807" t="str">
        <f>role_course_map[[#This Row],[role_id]] &amp; "|" &amp; role_course_map[[#This Row],[course_id]]</f>
        <v>R0103|82211</v>
      </c>
      <c r="L2807" t="str">
        <f>IF(COUNTIF(role_course_map[mapping_key],role_course_map[[#This Row],[mapping_key]])&gt;1,"DUPLICATE","OK")</f>
        <v>OK</v>
      </c>
      <c r="M2807" t="str">
        <f>IF(COUNTIF(role_data[role_id],role_course_map[[#This Row],[role_id]])=0, "INVALID","VALID")</f>
        <v>VALID</v>
      </c>
      <c r="N2807" t="str">
        <f>IF(COUNTIF(course_data[course_id],role_course_map[[#This Row],[course_id]])=0, "INVALID","VALID")</f>
        <v>VALID</v>
      </c>
    </row>
    <row r="2808" spans="1:14" x14ac:dyDescent="0.35">
      <c r="A2808" t="s">
        <v>220</v>
      </c>
      <c r="B2808" s="5" t="str">
        <f>_xlfn.XLOOKUP(role_course_map[[#This Row],[role_id]], role_data[role_id], role_data[Role],"")</f>
        <v>Command Training Officer</v>
      </c>
      <c r="C2808">
        <v>999067</v>
      </c>
      <c r="D2808" s="5" t="str">
        <f>_xlfn.XLOOKUP(role_course_map[[#This Row],[course_id]],course_data[course_id],course_data[title],"")</f>
        <v>Major incident awareness - Course overview</v>
      </c>
      <c r="E2808" s="5" t="str">
        <f>_xlfn.XLOOKUP(role_course_map[[#This Row],[course_id]],course_data[course_id],course_data[topic],"")</f>
        <v>SAS : National Risk and Resilience Department (NRRD)</v>
      </c>
      <c r="F2808" s="5" t="str">
        <f>_xlfn.XLOOKUP(role_course_map[[#This Row],[course_id]],course_data[course_id],course_data[type],"")</f>
        <v>eLearning</v>
      </c>
      <c r="K2808" t="str">
        <f>role_course_map[[#This Row],[role_id]] &amp; "|" &amp; role_course_map[[#This Row],[course_id]]</f>
        <v>R0103|999067</v>
      </c>
      <c r="L2808" t="str">
        <f>IF(COUNTIF(role_course_map[mapping_key],role_course_map[[#This Row],[mapping_key]])&gt;1,"DUPLICATE","OK")</f>
        <v>OK</v>
      </c>
      <c r="M2808" t="str">
        <f>IF(COUNTIF(role_data[role_id],role_course_map[[#This Row],[role_id]])=0, "INVALID","VALID")</f>
        <v>VALID</v>
      </c>
      <c r="N2808" t="str">
        <f>IF(COUNTIF(course_data[course_id],role_course_map[[#This Row],[course_id]])=0, "INVALID","VALID")</f>
        <v>VALID</v>
      </c>
    </row>
    <row r="2809" spans="1:14" x14ac:dyDescent="0.35">
      <c r="A2809" t="s">
        <v>220</v>
      </c>
      <c r="B2809" s="5" t="str">
        <f>_xlfn.XLOOKUP(role_course_map[[#This Row],[role_id]], role_data[role_id], role_data[Role],"")</f>
        <v>Command Training Officer</v>
      </c>
      <c r="C2809">
        <v>999068</v>
      </c>
      <c r="D2809" s="5" t="str">
        <f>_xlfn.XLOOKUP(role_course_map[[#This Row],[course_id]],course_data[course_id],course_data[title],"")</f>
        <v xml:space="preserve">Major incident awareness for responders </v>
      </c>
      <c r="E2809" s="5" t="str">
        <f>_xlfn.XLOOKUP(role_course_map[[#This Row],[course_id]],course_data[course_id],course_data[topic],"")</f>
        <v>SAS : National Risk and Resilience Department (NRRD)</v>
      </c>
      <c r="F2809" s="5" t="str">
        <f>_xlfn.XLOOKUP(role_course_map[[#This Row],[course_id]],course_data[course_id],course_data[type],"")</f>
        <v>eLearning</v>
      </c>
      <c r="K2809" t="str">
        <f>role_course_map[[#This Row],[role_id]] &amp; "|" &amp; role_course_map[[#This Row],[course_id]]</f>
        <v>R0103|999068</v>
      </c>
      <c r="L2809" t="str">
        <f>IF(COUNTIF(role_course_map[mapping_key],role_course_map[[#This Row],[mapping_key]])&gt;1,"DUPLICATE","OK")</f>
        <v>OK</v>
      </c>
      <c r="M2809" t="str">
        <f>IF(COUNTIF(role_data[role_id],role_course_map[[#This Row],[role_id]])=0, "INVALID","VALID")</f>
        <v>VALID</v>
      </c>
      <c r="N2809" t="str">
        <f>IF(COUNTIF(course_data[course_id],role_course_map[[#This Row],[course_id]])=0, "INVALID","VALID")</f>
        <v>VALID</v>
      </c>
    </row>
    <row r="2810" spans="1:14" x14ac:dyDescent="0.35">
      <c r="A2810" t="s">
        <v>220</v>
      </c>
      <c r="B2810" s="5" t="str">
        <f>_xlfn.XLOOKUP(role_course_map[[#This Row],[role_id]], role_data[role_id], role_data[Role],"")</f>
        <v>Command Training Officer</v>
      </c>
      <c r="C2810">
        <v>999069</v>
      </c>
      <c r="D2810" s="5" t="str">
        <f>_xlfn.XLOOKUP(role_course_map[[#This Row],[course_id]],course_data[course_id],course_data[title],"")</f>
        <v>Non-specialist MTFA response (JOPS3)</v>
      </c>
      <c r="E2810" s="5" t="str">
        <f>_xlfn.XLOOKUP(role_course_map[[#This Row],[course_id]],course_data[course_id],course_data[topic],"")</f>
        <v>SAS : National Risk and Resilience Department (NRRD)</v>
      </c>
      <c r="F2810" s="5" t="str">
        <f>_xlfn.XLOOKUP(role_course_map[[#This Row],[course_id]],course_data[course_id],course_data[type],"")</f>
        <v>eLearning</v>
      </c>
      <c r="K2810" t="str">
        <f>role_course_map[[#This Row],[role_id]] &amp; "|" &amp; role_course_map[[#This Row],[course_id]]</f>
        <v>R0103|999069</v>
      </c>
      <c r="L2810" t="str">
        <f>IF(COUNTIF(role_course_map[mapping_key],role_course_map[[#This Row],[mapping_key]])&gt;1,"DUPLICATE","OK")</f>
        <v>OK</v>
      </c>
      <c r="M2810" t="str">
        <f>IF(COUNTIF(role_data[role_id],role_course_map[[#This Row],[role_id]])=0, "INVALID","VALID")</f>
        <v>VALID</v>
      </c>
      <c r="N2810" t="str">
        <f>IF(COUNTIF(course_data[course_id],role_course_map[[#This Row],[course_id]])=0, "INVALID","VALID")</f>
        <v>VALID</v>
      </c>
    </row>
    <row r="2811" spans="1:14" x14ac:dyDescent="0.35">
      <c r="A2811" t="s">
        <v>220</v>
      </c>
      <c r="B2811" s="5" t="str">
        <f>_xlfn.XLOOKUP(role_course_map[[#This Row],[role_id]], role_data[role_id], role_data[Role],"")</f>
        <v>Command Training Officer</v>
      </c>
      <c r="C2811">
        <v>999070</v>
      </c>
      <c r="D2811" s="5" t="str">
        <f>_xlfn.XLOOKUP(role_course_map[[#This Row],[course_id]],course_data[course_id],course_data[title],"")</f>
        <v xml:space="preserve">SAS: JESIP (NEW) </v>
      </c>
      <c r="E2811" s="5" t="str">
        <f>_xlfn.XLOOKUP(role_course_map[[#This Row],[course_id]],course_data[course_id],course_data[topic],"")</f>
        <v>SAS : National Risk and Resilience Department (NRRD)</v>
      </c>
      <c r="F2811" s="5" t="str">
        <f>_xlfn.XLOOKUP(role_course_map[[#This Row],[course_id]],course_data[course_id],course_data[type],"")</f>
        <v>eLearning</v>
      </c>
      <c r="K2811" t="str">
        <f>role_course_map[[#This Row],[role_id]] &amp; "|" &amp; role_course_map[[#This Row],[course_id]]</f>
        <v>R0103|999070</v>
      </c>
      <c r="L2811" t="str">
        <f>IF(COUNTIF(role_course_map[mapping_key],role_course_map[[#This Row],[mapping_key]])&gt;1,"DUPLICATE","OK")</f>
        <v>OK</v>
      </c>
      <c r="M2811" t="str">
        <f>IF(COUNTIF(role_data[role_id],role_course_map[[#This Row],[role_id]])=0, "INVALID","VALID")</f>
        <v>VALID</v>
      </c>
      <c r="N2811" t="str">
        <f>IF(COUNTIF(course_data[course_id],role_course_map[[#This Row],[course_id]])=0, "INVALID","VALID")</f>
        <v>VALID</v>
      </c>
    </row>
    <row r="2812" spans="1:14" x14ac:dyDescent="0.35">
      <c r="A2812" t="s">
        <v>216</v>
      </c>
      <c r="B2812" s="5" t="str">
        <f>_xlfn.XLOOKUP(role_course_map[[#This Row],[role_id]], role_data[role_id], role_data[Role],"")</f>
        <v>CBRNe Instructor</v>
      </c>
      <c r="C2812">
        <v>79218</v>
      </c>
      <c r="D2812" s="5" t="str">
        <f>_xlfn.XLOOKUP(role_course_map[[#This Row],[course_id]],course_data[course_id],course_data[title],"")</f>
        <v>Life support</v>
      </c>
      <c r="E2812" s="5" t="str">
        <f>_xlfn.XLOOKUP(role_course_map[[#This Row],[course_id]],course_data[course_id],course_data[topic],"")</f>
        <v>SAS : Clinical Practice</v>
      </c>
      <c r="F2812" s="5" t="str">
        <f>_xlfn.XLOOKUP(role_course_map[[#This Row],[course_id]],course_data[course_id],course_data[type],"")</f>
        <v>Page</v>
      </c>
      <c r="K2812" t="str">
        <f>role_course_map[[#This Row],[role_id]] &amp; "|" &amp; role_course_map[[#This Row],[course_id]]</f>
        <v>R0101|79218</v>
      </c>
      <c r="L2812" t="str">
        <f>IF(COUNTIF(role_course_map[mapping_key],role_course_map[[#This Row],[mapping_key]])&gt;1,"DUPLICATE","OK")</f>
        <v>OK</v>
      </c>
      <c r="M2812" t="str">
        <f>IF(COUNTIF(role_data[role_id],role_course_map[[#This Row],[role_id]])=0, "INVALID","VALID")</f>
        <v>VALID</v>
      </c>
      <c r="N2812" t="str">
        <f>IF(COUNTIF(course_data[course_id],role_course_map[[#This Row],[course_id]])=0, "INVALID","VALID")</f>
        <v>VALID</v>
      </c>
    </row>
    <row r="2813" spans="1:14" x14ac:dyDescent="0.35">
      <c r="A2813" t="s">
        <v>216</v>
      </c>
      <c r="B2813" s="5" t="str">
        <f>_xlfn.XLOOKUP(role_course_map[[#This Row],[role_id]], role_data[role_id], role_data[Role],"")</f>
        <v>CBRNe Instructor</v>
      </c>
      <c r="C2813">
        <v>999009</v>
      </c>
      <c r="D2813" s="5" t="str">
        <f>_xlfn.XLOOKUP(role_course_map[[#This Row],[course_id]],course_data[course_id],course_data[title],"")</f>
        <v>Life Support</v>
      </c>
      <c r="E2813" s="5" t="str">
        <f>_xlfn.XLOOKUP(role_course_map[[#This Row],[course_id]],course_data[course_id],course_data[topic],"")</f>
        <v>SAS : Clinical Practice</v>
      </c>
      <c r="F2813" s="5" t="str">
        <f>_xlfn.XLOOKUP(role_course_map[[#This Row],[course_id]],course_data[course_id],course_data[type],"")</f>
        <v>Course</v>
      </c>
      <c r="K2813" t="str">
        <f>role_course_map[[#This Row],[role_id]] &amp; "|" &amp; role_course_map[[#This Row],[course_id]]</f>
        <v>R0101|999009</v>
      </c>
      <c r="L2813" t="str">
        <f>IF(COUNTIF(role_course_map[mapping_key],role_course_map[[#This Row],[mapping_key]])&gt;1,"DUPLICATE","OK")</f>
        <v>OK</v>
      </c>
      <c r="M2813" t="str">
        <f>IF(COUNTIF(role_data[role_id],role_course_map[[#This Row],[role_id]])=0, "INVALID","VALID")</f>
        <v>VALID</v>
      </c>
      <c r="N2813" t="str">
        <f>IF(COUNTIF(course_data[course_id],role_course_map[[#This Row],[course_id]])=0, "INVALID","VALID")</f>
        <v>VALID</v>
      </c>
    </row>
    <row r="2814" spans="1:14" x14ac:dyDescent="0.35">
      <c r="A2814" t="s">
        <v>216</v>
      </c>
      <c r="B2814" s="5" t="str">
        <f>_xlfn.XLOOKUP(role_course_map[[#This Row],[role_id]], role_data[role_id], role_data[Role],"")</f>
        <v>CBRNe Instructor</v>
      </c>
      <c r="C2814">
        <v>999007</v>
      </c>
      <c r="D2814" s="5" t="str">
        <f>_xlfn.XLOOKUP(role_course_map[[#This Row],[course_id]],course_data[course_id],course_data[title],"")</f>
        <v>Obstetrics</v>
      </c>
      <c r="E2814" s="5" t="str">
        <f>_xlfn.XLOOKUP(role_course_map[[#This Row],[course_id]],course_data[course_id],course_data[topic],"")</f>
        <v>SAS : Clinical Practice</v>
      </c>
      <c r="F2814" s="5" t="str">
        <f>_xlfn.XLOOKUP(role_course_map[[#This Row],[course_id]],course_data[course_id],course_data[type],"")</f>
        <v>Course</v>
      </c>
      <c r="K2814" t="str">
        <f>role_course_map[[#This Row],[role_id]] &amp; "|" &amp; role_course_map[[#This Row],[course_id]]</f>
        <v>R0101|999007</v>
      </c>
      <c r="L2814" t="str">
        <f>IF(COUNTIF(role_course_map[mapping_key],role_course_map[[#This Row],[mapping_key]])&gt;1,"DUPLICATE","OK")</f>
        <v>OK</v>
      </c>
      <c r="M2814" t="str">
        <f>IF(COUNTIF(role_data[role_id],role_course_map[[#This Row],[role_id]])=0, "INVALID","VALID")</f>
        <v>VALID</v>
      </c>
      <c r="N2814" t="str">
        <f>IF(COUNTIF(course_data[course_id],role_course_map[[#This Row],[course_id]])=0, "INVALID","VALID")</f>
        <v>VALID</v>
      </c>
    </row>
    <row r="2815" spans="1:14" x14ac:dyDescent="0.35">
      <c r="A2815" t="s">
        <v>216</v>
      </c>
      <c r="B2815" s="5" t="str">
        <f>_xlfn.XLOOKUP(role_course_map[[#This Row],[role_id]], role_data[role_id], role_data[Role],"")</f>
        <v>CBRNe Instructor</v>
      </c>
      <c r="C2815">
        <v>999008</v>
      </c>
      <c r="D2815" s="5" t="str">
        <f>_xlfn.XLOOKUP(role_course_map[[#This Row],[course_id]],course_data[course_id],course_data[title],"")</f>
        <v>Obstetrics</v>
      </c>
      <c r="E2815" s="5" t="str">
        <f>_xlfn.XLOOKUP(role_course_map[[#This Row],[course_id]],course_data[course_id],course_data[topic],"")</f>
        <v>SAS : Clinical Practice</v>
      </c>
      <c r="F2815" s="5" t="str">
        <f>_xlfn.XLOOKUP(role_course_map[[#This Row],[course_id]],course_data[course_id],course_data[type],"")</f>
        <v>eLearning</v>
      </c>
      <c r="K2815" t="str">
        <f>role_course_map[[#This Row],[role_id]] &amp; "|" &amp; role_course_map[[#This Row],[course_id]]</f>
        <v>R0101|999008</v>
      </c>
      <c r="L2815" t="str">
        <f>IF(COUNTIF(role_course_map[mapping_key],role_course_map[[#This Row],[mapping_key]])&gt;1,"DUPLICATE","OK")</f>
        <v>OK</v>
      </c>
      <c r="M2815" t="str">
        <f>IF(COUNTIF(role_data[role_id],role_course_map[[#This Row],[role_id]])=0, "INVALID","VALID")</f>
        <v>VALID</v>
      </c>
      <c r="N2815" t="str">
        <f>IF(COUNTIF(course_data[course_id],role_course_map[[#This Row],[course_id]])=0, "INVALID","VALID")</f>
        <v>VALID</v>
      </c>
    </row>
    <row r="2816" spans="1:14" x14ac:dyDescent="0.35">
      <c r="A2816" t="s">
        <v>216</v>
      </c>
      <c r="B2816" s="5" t="str">
        <f>_xlfn.XLOOKUP(role_course_map[[#This Row],[role_id]], role_data[role_id], role_data[Role],"")</f>
        <v>CBRNe Instructor</v>
      </c>
      <c r="C2816">
        <v>999010</v>
      </c>
      <c r="D2816" s="5" t="str">
        <f>_xlfn.XLOOKUP(role_course_map[[#This Row],[course_id]],course_data[course_id],course_data[title],"")</f>
        <v>Paediatrics</v>
      </c>
      <c r="E2816" s="5" t="str">
        <f>_xlfn.XLOOKUP(role_course_map[[#This Row],[course_id]],course_data[course_id],course_data[topic],"")</f>
        <v>SAS : Clinical Practice</v>
      </c>
      <c r="F2816" s="5" t="str">
        <f>_xlfn.XLOOKUP(role_course_map[[#This Row],[course_id]],course_data[course_id],course_data[type],"")</f>
        <v>Course</v>
      </c>
      <c r="K2816" t="str">
        <f>role_course_map[[#This Row],[role_id]] &amp; "|" &amp; role_course_map[[#This Row],[course_id]]</f>
        <v>R0101|999010</v>
      </c>
      <c r="L2816" t="str">
        <f>IF(COUNTIF(role_course_map[mapping_key],role_course_map[[#This Row],[mapping_key]])&gt;1,"DUPLICATE","OK")</f>
        <v>OK</v>
      </c>
      <c r="M2816" t="str">
        <f>IF(COUNTIF(role_data[role_id],role_course_map[[#This Row],[role_id]])=0, "INVALID","VALID")</f>
        <v>VALID</v>
      </c>
      <c r="N2816" t="str">
        <f>IF(COUNTIF(course_data[course_id],role_course_map[[#This Row],[course_id]])=0, "INVALID","VALID")</f>
        <v>VALID</v>
      </c>
    </row>
    <row r="2817" spans="1:14" x14ac:dyDescent="0.35">
      <c r="A2817" t="s">
        <v>216</v>
      </c>
      <c r="B2817" s="5" t="str">
        <f>_xlfn.XLOOKUP(role_course_map[[#This Row],[role_id]], role_data[role_id], role_data[Role],"")</f>
        <v>CBRNe Instructor</v>
      </c>
      <c r="C2817">
        <v>999011</v>
      </c>
      <c r="D2817" s="5" t="str">
        <f>_xlfn.XLOOKUP(role_course_map[[#This Row],[course_id]],course_data[course_id],course_data[title],"")</f>
        <v>Paediatrics</v>
      </c>
      <c r="E2817" s="5" t="str">
        <f>_xlfn.XLOOKUP(role_course_map[[#This Row],[course_id]],course_data[course_id],course_data[topic],"")</f>
        <v>SAS : Clinical Practice</v>
      </c>
      <c r="F2817" s="5" t="str">
        <f>_xlfn.XLOOKUP(role_course_map[[#This Row],[course_id]],course_data[course_id],course_data[type],"")</f>
        <v>eLearning</v>
      </c>
      <c r="K2817" t="str">
        <f>role_course_map[[#This Row],[role_id]] &amp; "|" &amp; role_course_map[[#This Row],[course_id]]</f>
        <v>R0101|999011</v>
      </c>
      <c r="L2817" t="str">
        <f>IF(COUNTIF(role_course_map[mapping_key],role_course_map[[#This Row],[mapping_key]])&gt;1,"DUPLICATE","OK")</f>
        <v>OK</v>
      </c>
      <c r="M2817" t="str">
        <f>IF(COUNTIF(role_data[role_id],role_course_map[[#This Row],[role_id]])=0, "INVALID","VALID")</f>
        <v>VALID</v>
      </c>
      <c r="N2817" t="str">
        <f>IF(COUNTIF(course_data[course_id],role_course_map[[#This Row],[course_id]])=0, "INVALID","VALID")</f>
        <v>VALID</v>
      </c>
    </row>
    <row r="2818" spans="1:14" x14ac:dyDescent="0.35">
      <c r="A2818" t="s">
        <v>216</v>
      </c>
      <c r="B2818" s="5" t="str">
        <f>_xlfn.XLOOKUP(role_course_map[[#This Row],[role_id]], role_data[role_id], role_data[Role],"")</f>
        <v>CBRNe Instructor</v>
      </c>
      <c r="C2818">
        <v>999012</v>
      </c>
      <c r="D2818" s="5" t="str">
        <f>_xlfn.XLOOKUP(role_course_map[[#This Row],[course_id]],course_data[course_id],course_data[title],"")</f>
        <v>Trauma</v>
      </c>
      <c r="E2818" s="5" t="str">
        <f>_xlfn.XLOOKUP(role_course_map[[#This Row],[course_id]],course_data[course_id],course_data[topic],"")</f>
        <v>SAS : Clinical Practice</v>
      </c>
      <c r="F2818" s="5" t="str">
        <f>_xlfn.XLOOKUP(role_course_map[[#This Row],[course_id]],course_data[course_id],course_data[type],"")</f>
        <v>Course</v>
      </c>
      <c r="K2818" t="str">
        <f>role_course_map[[#This Row],[role_id]] &amp; "|" &amp; role_course_map[[#This Row],[course_id]]</f>
        <v>R0101|999012</v>
      </c>
      <c r="L2818" t="str">
        <f>IF(COUNTIF(role_course_map[mapping_key],role_course_map[[#This Row],[mapping_key]])&gt;1,"DUPLICATE","OK")</f>
        <v>OK</v>
      </c>
      <c r="M2818" t="str">
        <f>IF(COUNTIF(role_data[role_id],role_course_map[[#This Row],[role_id]])=0, "INVALID","VALID")</f>
        <v>VALID</v>
      </c>
      <c r="N2818" t="str">
        <f>IF(COUNTIF(course_data[course_id],role_course_map[[#This Row],[course_id]])=0, "INVALID","VALID")</f>
        <v>VALID</v>
      </c>
    </row>
    <row r="2819" spans="1:14" x14ac:dyDescent="0.35">
      <c r="A2819" t="s">
        <v>216</v>
      </c>
      <c r="B2819" s="5" t="str">
        <f>_xlfn.XLOOKUP(role_course_map[[#This Row],[role_id]], role_data[role_id], role_data[Role],"")</f>
        <v>CBRNe Instructor</v>
      </c>
      <c r="C2819">
        <v>999013</v>
      </c>
      <c r="D2819" s="5" t="str">
        <f>_xlfn.XLOOKUP(role_course_map[[#This Row],[course_id]],course_data[course_id],course_data[title],"")</f>
        <v>Trauma</v>
      </c>
      <c r="E2819" s="5" t="str">
        <f>_xlfn.XLOOKUP(role_course_map[[#This Row],[course_id]],course_data[course_id],course_data[topic],"")</f>
        <v>SAS : Clinical Practice</v>
      </c>
      <c r="F2819" s="5" t="str">
        <f>_xlfn.XLOOKUP(role_course_map[[#This Row],[course_id]],course_data[course_id],course_data[type],"")</f>
        <v>eLearning</v>
      </c>
      <c r="K2819" t="str">
        <f>role_course_map[[#This Row],[role_id]] &amp; "|" &amp; role_course_map[[#This Row],[course_id]]</f>
        <v>R0101|999013</v>
      </c>
      <c r="L2819" t="str">
        <f>IF(COUNTIF(role_course_map[mapping_key],role_course_map[[#This Row],[mapping_key]])&gt;1,"DUPLICATE","OK")</f>
        <v>OK</v>
      </c>
      <c r="M2819" t="str">
        <f>IF(COUNTIF(role_data[role_id],role_course_map[[#This Row],[role_id]])=0, "INVALID","VALID")</f>
        <v>VALID</v>
      </c>
      <c r="N2819" t="str">
        <f>IF(COUNTIF(course_data[course_id],role_course_map[[#This Row],[course_id]])=0, "INVALID","VALID")</f>
        <v>VALID</v>
      </c>
    </row>
    <row r="2820" spans="1:14" x14ac:dyDescent="0.35">
      <c r="A2820" t="s">
        <v>216</v>
      </c>
      <c r="B2820" s="5" t="str">
        <f>_xlfn.XLOOKUP(role_course_map[[#This Row],[role_id]], role_data[role_id], role_data[Role],"")</f>
        <v>CBRNe Instructor</v>
      </c>
      <c r="C2820">
        <v>999014</v>
      </c>
      <c r="D2820" s="5" t="str">
        <f>_xlfn.XLOOKUP(role_course_map[[#This Row],[course_id]],course_data[course_id],course_data[title],"")</f>
        <v>Patient Assessment</v>
      </c>
      <c r="E2820" s="5" t="str">
        <f>_xlfn.XLOOKUP(role_course_map[[#This Row],[course_id]],course_data[course_id],course_data[topic],"")</f>
        <v>SAS : Clinical Practice</v>
      </c>
      <c r="F2820" s="5" t="str">
        <f>_xlfn.XLOOKUP(role_course_map[[#This Row],[course_id]],course_data[course_id],course_data[type],"")</f>
        <v>Course</v>
      </c>
      <c r="K2820" t="str">
        <f>role_course_map[[#This Row],[role_id]] &amp; "|" &amp; role_course_map[[#This Row],[course_id]]</f>
        <v>R0101|999014</v>
      </c>
      <c r="L2820" t="str">
        <f>IF(COUNTIF(role_course_map[mapping_key],role_course_map[[#This Row],[mapping_key]])&gt;1,"DUPLICATE","OK")</f>
        <v>OK</v>
      </c>
      <c r="M2820" t="str">
        <f>IF(COUNTIF(role_data[role_id],role_course_map[[#This Row],[role_id]])=0, "INVALID","VALID")</f>
        <v>VALID</v>
      </c>
      <c r="N2820" t="str">
        <f>IF(COUNTIF(course_data[course_id],role_course_map[[#This Row],[course_id]])=0, "INVALID","VALID")</f>
        <v>VALID</v>
      </c>
    </row>
    <row r="2821" spans="1:14" x14ac:dyDescent="0.35">
      <c r="A2821" t="s">
        <v>216</v>
      </c>
      <c r="B2821" s="5" t="str">
        <f>_xlfn.XLOOKUP(role_course_map[[#This Row],[role_id]], role_data[role_id], role_data[Role],"")</f>
        <v>CBRNe Instructor</v>
      </c>
      <c r="C2821">
        <v>999015</v>
      </c>
      <c r="D2821" s="5" t="str">
        <f>_xlfn.XLOOKUP(role_course_map[[#This Row],[course_id]],course_data[course_id],course_data[title],"")</f>
        <v>Patient Assessment</v>
      </c>
      <c r="E2821" s="5" t="str">
        <f>_xlfn.XLOOKUP(role_course_map[[#This Row],[course_id]],course_data[course_id],course_data[topic],"")</f>
        <v>SAS : Clinical Practice</v>
      </c>
      <c r="F2821" s="5" t="str">
        <f>_xlfn.XLOOKUP(role_course_map[[#This Row],[course_id]],course_data[course_id],course_data[type],"")</f>
        <v>eLearning</v>
      </c>
      <c r="K2821" t="str">
        <f>role_course_map[[#This Row],[role_id]] &amp; "|" &amp; role_course_map[[#This Row],[course_id]]</f>
        <v>R0101|999015</v>
      </c>
      <c r="L2821" t="str">
        <f>IF(COUNTIF(role_course_map[mapping_key],role_course_map[[#This Row],[mapping_key]])&gt;1,"DUPLICATE","OK")</f>
        <v>OK</v>
      </c>
      <c r="M2821" t="str">
        <f>IF(COUNTIF(role_data[role_id],role_course_map[[#This Row],[role_id]])=0, "INVALID","VALID")</f>
        <v>VALID</v>
      </c>
      <c r="N2821" t="str">
        <f>IF(COUNTIF(course_data[course_id],role_course_map[[#This Row],[course_id]])=0, "INVALID","VALID")</f>
        <v>VALID</v>
      </c>
    </row>
    <row r="2822" spans="1:14" x14ac:dyDescent="0.35">
      <c r="A2822" t="s">
        <v>216</v>
      </c>
      <c r="B2822" s="5" t="str">
        <f>_xlfn.XLOOKUP(role_course_map[[#This Row],[role_id]], role_data[role_id], role_data[Role],"")</f>
        <v>CBRNe Instructor</v>
      </c>
      <c r="C2822">
        <v>999016</v>
      </c>
      <c r="D2822" s="5" t="str">
        <f>_xlfn.XLOOKUP(role_course_map[[#This Row],[course_id]],course_data[course_id],course_data[title],"")</f>
        <v>Clinical Skills</v>
      </c>
      <c r="E2822" s="5" t="str">
        <f>_xlfn.XLOOKUP(role_course_map[[#This Row],[course_id]],course_data[course_id],course_data[topic],"")</f>
        <v>SAS : Clinical Practice</v>
      </c>
      <c r="F2822" s="5" t="str">
        <f>_xlfn.XLOOKUP(role_course_map[[#This Row],[course_id]],course_data[course_id],course_data[type],"")</f>
        <v>Course</v>
      </c>
      <c r="K2822" t="str">
        <f>role_course_map[[#This Row],[role_id]] &amp; "|" &amp; role_course_map[[#This Row],[course_id]]</f>
        <v>R0101|999016</v>
      </c>
      <c r="L2822" t="str">
        <f>IF(COUNTIF(role_course_map[mapping_key],role_course_map[[#This Row],[mapping_key]])&gt;1,"DUPLICATE","OK")</f>
        <v>OK</v>
      </c>
      <c r="M2822" t="str">
        <f>IF(COUNTIF(role_data[role_id],role_course_map[[#This Row],[role_id]])=0, "INVALID","VALID")</f>
        <v>VALID</v>
      </c>
      <c r="N2822" t="str">
        <f>IF(COUNTIF(course_data[course_id],role_course_map[[#This Row],[course_id]])=0, "INVALID","VALID")</f>
        <v>VALID</v>
      </c>
    </row>
    <row r="2823" spans="1:14" x14ac:dyDescent="0.35">
      <c r="A2823" t="s">
        <v>216</v>
      </c>
      <c r="B2823" s="5" t="str">
        <f>_xlfn.XLOOKUP(role_course_map[[#This Row],[role_id]], role_data[role_id], role_data[Role],"")</f>
        <v>CBRNe Instructor</v>
      </c>
      <c r="C2823">
        <v>999017</v>
      </c>
      <c r="D2823" s="5" t="str">
        <f>_xlfn.XLOOKUP(role_course_map[[#This Row],[course_id]],course_data[course_id],course_data[title],"")</f>
        <v>Clinical Skills</v>
      </c>
      <c r="E2823" s="5" t="str">
        <f>_xlfn.XLOOKUP(role_course_map[[#This Row],[course_id]],course_data[course_id],course_data[topic],"")</f>
        <v>SAS : Clinical Practice</v>
      </c>
      <c r="F2823" s="5" t="str">
        <f>_xlfn.XLOOKUP(role_course_map[[#This Row],[course_id]],course_data[course_id],course_data[type],"")</f>
        <v>eLearning</v>
      </c>
      <c r="K2823" t="str">
        <f>role_course_map[[#This Row],[role_id]] &amp; "|" &amp; role_course_map[[#This Row],[course_id]]</f>
        <v>R0101|999017</v>
      </c>
      <c r="L2823" t="str">
        <f>IF(COUNTIF(role_course_map[mapping_key],role_course_map[[#This Row],[mapping_key]])&gt;1,"DUPLICATE","OK")</f>
        <v>OK</v>
      </c>
      <c r="M2823" t="str">
        <f>IF(COUNTIF(role_data[role_id],role_course_map[[#This Row],[role_id]])=0, "INVALID","VALID")</f>
        <v>VALID</v>
      </c>
      <c r="N2823" t="str">
        <f>IF(COUNTIF(course_data[course_id],role_course_map[[#This Row],[course_id]])=0, "INVALID","VALID")</f>
        <v>VALID</v>
      </c>
    </row>
    <row r="2824" spans="1:14" x14ac:dyDescent="0.35">
      <c r="A2824" t="s">
        <v>216</v>
      </c>
      <c r="B2824" s="5" t="str">
        <f>_xlfn.XLOOKUP(role_course_map[[#This Row],[role_id]], role_data[role_id], role_data[Role],"")</f>
        <v>CBRNe Instructor</v>
      </c>
      <c r="C2824">
        <v>999018</v>
      </c>
      <c r="D2824" s="5" t="str">
        <f>_xlfn.XLOOKUP(role_course_map[[#This Row],[course_id]],course_data[course_id],course_data[title],"")</f>
        <v>Learning from Events</v>
      </c>
      <c r="E2824" s="5" t="str">
        <f>_xlfn.XLOOKUP(role_course_map[[#This Row],[course_id]],course_data[course_id],course_data[topic],"")</f>
        <v>SAS : Clinical Practice</v>
      </c>
      <c r="F2824" s="5" t="str">
        <f>_xlfn.XLOOKUP(role_course_map[[#This Row],[course_id]],course_data[course_id],course_data[type],"")</f>
        <v>eLearning</v>
      </c>
      <c r="K2824" t="str">
        <f>role_course_map[[#This Row],[role_id]] &amp; "|" &amp; role_course_map[[#This Row],[course_id]]</f>
        <v>R0101|999018</v>
      </c>
      <c r="L2824" t="str">
        <f>IF(COUNTIF(role_course_map[mapping_key],role_course_map[[#This Row],[mapping_key]])&gt;1,"DUPLICATE","OK")</f>
        <v>OK</v>
      </c>
      <c r="M2824" t="str">
        <f>IF(COUNTIF(role_data[role_id],role_course_map[[#This Row],[role_id]])=0, "INVALID","VALID")</f>
        <v>VALID</v>
      </c>
      <c r="N2824" t="str">
        <f>IF(COUNTIF(course_data[course_id],role_course_map[[#This Row],[course_id]])=0, "INVALID","VALID")</f>
        <v>VALID</v>
      </c>
    </row>
    <row r="2825" spans="1:14" x14ac:dyDescent="0.35">
      <c r="A2825" t="s">
        <v>216</v>
      </c>
      <c r="B2825" s="5" t="str">
        <f>_xlfn.XLOOKUP(role_course_map[[#This Row],[role_id]], role_data[role_id], role_data[Role],"")</f>
        <v>CBRNe Instructor</v>
      </c>
      <c r="C2825">
        <v>999019</v>
      </c>
      <c r="D2825" s="5" t="str">
        <f>_xlfn.XLOOKUP(role_course_map[[#This Row],[course_id]],course_data[course_id],course_data[title],"")</f>
        <v>Medicines Management</v>
      </c>
      <c r="E2825" s="5" t="str">
        <f>_xlfn.XLOOKUP(role_course_map[[#This Row],[course_id]],course_data[course_id],course_data[topic],"")</f>
        <v>SAS : Clinical Practice</v>
      </c>
      <c r="F2825" s="5" t="str">
        <f>_xlfn.XLOOKUP(role_course_map[[#This Row],[course_id]],course_data[course_id],course_data[type],"")</f>
        <v>eLearning</v>
      </c>
      <c r="K2825" t="str">
        <f>role_course_map[[#This Row],[role_id]] &amp; "|" &amp; role_course_map[[#This Row],[course_id]]</f>
        <v>R0101|999019</v>
      </c>
      <c r="L2825" t="str">
        <f>IF(COUNTIF(role_course_map[mapping_key],role_course_map[[#This Row],[mapping_key]])&gt;1,"DUPLICATE","OK")</f>
        <v>OK</v>
      </c>
      <c r="M2825" t="str">
        <f>IF(COUNTIF(role_data[role_id],role_course_map[[#This Row],[role_id]])=0, "INVALID","VALID")</f>
        <v>VALID</v>
      </c>
      <c r="N2825" t="str">
        <f>IF(COUNTIF(course_data[course_id],role_course_map[[#This Row],[course_id]])=0, "INVALID","VALID")</f>
        <v>VALID</v>
      </c>
    </row>
    <row r="2826" spans="1:14" x14ac:dyDescent="0.35">
      <c r="A2826" t="s">
        <v>216</v>
      </c>
      <c r="B2826" s="5" t="str">
        <f>_xlfn.XLOOKUP(role_course_map[[#This Row],[role_id]], role_data[role_id], role_data[Role],"")</f>
        <v>CBRNe Instructor</v>
      </c>
      <c r="C2826">
        <v>999020</v>
      </c>
      <c r="D2826" s="5" t="str">
        <f>_xlfn.XLOOKUP(role_course_map[[#This Row],[course_id]],course_data[course_id],course_data[title],"")</f>
        <v>JRCALC Update</v>
      </c>
      <c r="E2826" s="5" t="str">
        <f>_xlfn.XLOOKUP(role_course_map[[#This Row],[course_id]],course_data[course_id],course_data[topic],"")</f>
        <v>SAS : Clinical Practice</v>
      </c>
      <c r="F2826" s="5" t="str">
        <f>_xlfn.XLOOKUP(role_course_map[[#This Row],[course_id]],course_data[course_id],course_data[type],"")</f>
        <v>eLearning</v>
      </c>
      <c r="K2826" t="str">
        <f>role_course_map[[#This Row],[role_id]] &amp; "|" &amp; role_course_map[[#This Row],[course_id]]</f>
        <v>R0101|999020</v>
      </c>
      <c r="L2826" t="str">
        <f>IF(COUNTIF(role_course_map[mapping_key],role_course_map[[#This Row],[mapping_key]])&gt;1,"DUPLICATE","OK")</f>
        <v>OK</v>
      </c>
      <c r="M2826" t="str">
        <f>IF(COUNTIF(role_data[role_id],role_course_map[[#This Row],[role_id]])=0, "INVALID","VALID")</f>
        <v>VALID</v>
      </c>
      <c r="N2826" t="str">
        <f>IF(COUNTIF(course_data[course_id],role_course_map[[#This Row],[course_id]])=0, "INVALID","VALID")</f>
        <v>VALID</v>
      </c>
    </row>
    <row r="2827" spans="1:14" x14ac:dyDescent="0.35">
      <c r="A2827" t="s">
        <v>216</v>
      </c>
      <c r="B2827" s="5" t="str">
        <f>_xlfn.XLOOKUP(role_course_map[[#This Row],[role_id]], role_data[role_id], role_data[Role],"")</f>
        <v>CBRNe Instructor</v>
      </c>
      <c r="C2827">
        <v>999021</v>
      </c>
      <c r="D2827" s="5" t="str">
        <f>_xlfn.XLOOKUP(role_course_map[[#This Row],[course_id]],course_data[course_id],course_data[title],"")</f>
        <v>Mental Health</v>
      </c>
      <c r="E2827" s="5" t="str">
        <f>_xlfn.XLOOKUP(role_course_map[[#This Row],[course_id]],course_data[course_id],course_data[topic],"")</f>
        <v>SAS : Clinical Practice</v>
      </c>
      <c r="F2827" s="5" t="str">
        <f>_xlfn.XLOOKUP(role_course_map[[#This Row],[course_id]],course_data[course_id],course_data[type],"")</f>
        <v>eLearning</v>
      </c>
      <c r="K2827" t="str">
        <f>role_course_map[[#This Row],[role_id]] &amp; "|" &amp; role_course_map[[#This Row],[course_id]]</f>
        <v>R0101|999021</v>
      </c>
      <c r="L2827" t="str">
        <f>IF(COUNTIF(role_course_map[mapping_key],role_course_map[[#This Row],[mapping_key]])&gt;1,"DUPLICATE","OK")</f>
        <v>OK</v>
      </c>
      <c r="M2827" t="str">
        <f>IF(COUNTIF(role_data[role_id],role_course_map[[#This Row],[role_id]])=0, "INVALID","VALID")</f>
        <v>VALID</v>
      </c>
      <c r="N2827" t="str">
        <f>IF(COUNTIF(course_data[course_id],role_course_map[[#This Row],[course_id]])=0, "INVALID","VALID")</f>
        <v>VALID</v>
      </c>
    </row>
    <row r="2828" spans="1:14" x14ac:dyDescent="0.35">
      <c r="A2828" t="s">
        <v>216</v>
      </c>
      <c r="B2828" s="5" t="str">
        <f>_xlfn.XLOOKUP(role_course_map[[#This Row],[role_id]], role_data[role_id], role_data[Role],"")</f>
        <v>CBRNe Instructor</v>
      </c>
      <c r="C2828">
        <v>999022</v>
      </c>
      <c r="D2828" s="5" t="str">
        <f>_xlfn.XLOOKUP(role_course_map[[#This Row],[course_id]],course_data[course_id],course_data[title],"")</f>
        <v>Learning Disabilities</v>
      </c>
      <c r="E2828" s="5" t="str">
        <f>_xlfn.XLOOKUP(role_course_map[[#This Row],[course_id]],course_data[course_id],course_data[topic],"")</f>
        <v>SAS : Clinical Practice</v>
      </c>
      <c r="F2828" s="5" t="str">
        <f>_xlfn.XLOOKUP(role_course_map[[#This Row],[course_id]],course_data[course_id],course_data[type],"")</f>
        <v>eLearning</v>
      </c>
      <c r="K2828" t="str">
        <f>role_course_map[[#This Row],[role_id]] &amp; "|" &amp; role_course_map[[#This Row],[course_id]]</f>
        <v>R0101|999022</v>
      </c>
      <c r="L2828" t="str">
        <f>IF(COUNTIF(role_course_map[mapping_key],role_course_map[[#This Row],[mapping_key]])&gt;1,"DUPLICATE","OK")</f>
        <v>OK</v>
      </c>
      <c r="M2828" t="str">
        <f>IF(COUNTIF(role_data[role_id],role_course_map[[#This Row],[role_id]])=0, "INVALID","VALID")</f>
        <v>VALID</v>
      </c>
      <c r="N2828" t="str">
        <f>IF(COUNTIF(course_data[course_id],role_course_map[[#This Row],[course_id]])=0, "INVALID","VALID")</f>
        <v>VALID</v>
      </c>
    </row>
    <row r="2829" spans="1:14" x14ac:dyDescent="0.35">
      <c r="A2829" t="s">
        <v>216</v>
      </c>
      <c r="B2829" s="5" t="str">
        <f>_xlfn.XLOOKUP(role_course_map[[#This Row],[role_id]], role_data[role_id], role_data[Role],"")</f>
        <v>CBRNe Instructor</v>
      </c>
      <c r="C2829">
        <v>75202</v>
      </c>
      <c r="D2829" s="5" t="str">
        <f>_xlfn.XLOOKUP(role_course_map[[#This Row],[course_id]],course_data[course_id],course_data[title],"")</f>
        <v>SAS : Clinical Practice</v>
      </c>
      <c r="E2829" s="5" t="str">
        <f>_xlfn.XLOOKUP(role_course_map[[#This Row],[course_id]],course_data[course_id],course_data[topic],"")</f>
        <v>SAS : Clinical Practice</v>
      </c>
      <c r="F2829" s="5" t="str">
        <f>_xlfn.XLOOKUP(role_course_map[[#This Row],[course_id]],course_data[course_id],course_data[type],"")</f>
        <v>Page</v>
      </c>
      <c r="K2829" t="str">
        <f>role_course_map[[#This Row],[role_id]] &amp; "|" &amp; role_course_map[[#This Row],[course_id]]</f>
        <v>R0101|75202</v>
      </c>
      <c r="L2829" t="str">
        <f>IF(COUNTIF(role_course_map[mapping_key],role_course_map[[#This Row],[mapping_key]])&gt;1,"DUPLICATE","OK")</f>
        <v>OK</v>
      </c>
      <c r="M2829" t="str">
        <f>IF(COUNTIF(role_data[role_id],role_course_map[[#This Row],[role_id]])=0, "INVALID","VALID")</f>
        <v>VALID</v>
      </c>
      <c r="N2829" t="str">
        <f>IF(COUNTIF(course_data[course_id],role_course_map[[#This Row],[course_id]])=0, "INVALID","VALID")</f>
        <v>VALID</v>
      </c>
    </row>
    <row r="2830" spans="1:14" x14ac:dyDescent="0.35">
      <c r="A2830" t="s">
        <v>216</v>
      </c>
      <c r="B2830" s="5" t="str">
        <f>_xlfn.XLOOKUP(role_course_map[[#This Row],[role_id]], role_data[role_id], role_data[Role],"")</f>
        <v>CBRNe Instructor</v>
      </c>
      <c r="C2830">
        <v>999023</v>
      </c>
      <c r="D2830" s="5" t="str">
        <f>_xlfn.XLOOKUP(role_course_map[[#This Row],[course_id]],course_data[course_id],course_data[title],"")</f>
        <v>Dementia</v>
      </c>
      <c r="E2830" s="5" t="str">
        <f>_xlfn.XLOOKUP(role_course_map[[#This Row],[course_id]],course_data[course_id],course_data[topic],"")</f>
        <v>SAS : Clinical Practice</v>
      </c>
      <c r="F2830" s="5" t="str">
        <f>_xlfn.XLOOKUP(role_course_map[[#This Row],[course_id]],course_data[course_id],course_data[type],"")</f>
        <v>eLearning</v>
      </c>
      <c r="K2830" t="str">
        <f>role_course_map[[#This Row],[role_id]] &amp; "|" &amp; role_course_map[[#This Row],[course_id]]</f>
        <v>R0101|999023</v>
      </c>
      <c r="L2830" t="str">
        <f>IF(COUNTIF(role_course_map[mapping_key],role_course_map[[#This Row],[mapping_key]])&gt;1,"DUPLICATE","OK")</f>
        <v>OK</v>
      </c>
      <c r="M2830" t="str">
        <f>IF(COUNTIF(role_data[role_id],role_course_map[[#This Row],[role_id]])=0, "INVALID","VALID")</f>
        <v>VALID</v>
      </c>
      <c r="N2830" t="str">
        <f>IF(COUNTIF(course_data[course_id],role_course_map[[#This Row],[course_id]])=0, "INVALID","VALID")</f>
        <v>VALID</v>
      </c>
    </row>
    <row r="2831" spans="1:14" x14ac:dyDescent="0.35">
      <c r="A2831" t="s">
        <v>216</v>
      </c>
      <c r="B2831" s="5" t="str">
        <f>_xlfn.XLOOKUP(role_course_map[[#This Row],[role_id]], role_data[role_id], role_data[Role],"")</f>
        <v>CBRNe Instructor</v>
      </c>
      <c r="C2831">
        <v>999024</v>
      </c>
      <c r="D2831" s="5" t="str">
        <f>_xlfn.XLOOKUP(role_course_map[[#This Row],[course_id]],course_data[course_id],course_data[title],"")</f>
        <v>Conditions requiring specific hospital management. I.e. Parkinsons</v>
      </c>
      <c r="E2831" s="5" t="str">
        <f>_xlfn.XLOOKUP(role_course_map[[#This Row],[course_id]],course_data[course_id],course_data[topic],"")</f>
        <v>SAS : Clinical Practice</v>
      </c>
      <c r="F2831" s="5" t="str">
        <f>_xlfn.XLOOKUP(role_course_map[[#This Row],[course_id]],course_data[course_id],course_data[type],"")</f>
        <v>eLearning</v>
      </c>
      <c r="K2831" t="str">
        <f>role_course_map[[#This Row],[role_id]] &amp; "|" &amp; role_course_map[[#This Row],[course_id]]</f>
        <v>R0101|999024</v>
      </c>
      <c r="L2831" t="str">
        <f>IF(COUNTIF(role_course_map[mapping_key],role_course_map[[#This Row],[mapping_key]])&gt;1,"DUPLICATE","OK")</f>
        <v>OK</v>
      </c>
      <c r="M2831" t="str">
        <f>IF(COUNTIF(role_data[role_id],role_course_map[[#This Row],[role_id]])=0, "INVALID","VALID")</f>
        <v>VALID</v>
      </c>
      <c r="N2831" t="str">
        <f>IF(COUNTIF(course_data[course_id],role_course_map[[#This Row],[course_id]])=0, "INVALID","VALID")</f>
        <v>VALID</v>
      </c>
    </row>
    <row r="2832" spans="1:14" x14ac:dyDescent="0.35">
      <c r="A2832" t="s">
        <v>216</v>
      </c>
      <c r="B2832" s="5" t="str">
        <f>_xlfn.XLOOKUP(role_course_map[[#This Row],[role_id]], role_data[role_id], role_data[Role],"")</f>
        <v>CBRNe Instructor</v>
      </c>
      <c r="C2832">
        <v>999095</v>
      </c>
      <c r="D2832" s="5" t="str">
        <f>_xlfn.XLOOKUP(role_course_map[[#This Row],[course_id]],course_data[course_id],course_data[title],"")</f>
        <v>Mentoring</v>
      </c>
      <c r="E2832" s="5" t="str">
        <f>_xlfn.XLOOKUP(role_course_map[[#This Row],[course_id]],course_data[course_id],course_data[topic],"")</f>
        <v>SAS: Staff development and experience</v>
      </c>
      <c r="F2832" s="5" t="str">
        <f>_xlfn.XLOOKUP(role_course_map[[#This Row],[course_id]],course_data[course_id],course_data[type],"")</f>
        <v>eLearning</v>
      </c>
      <c r="K2832" t="str">
        <f>role_course_map[[#This Row],[role_id]] &amp; "|" &amp; role_course_map[[#This Row],[course_id]]</f>
        <v>R0101|999095</v>
      </c>
      <c r="L2832" t="str">
        <f>IF(COUNTIF(role_course_map[mapping_key],role_course_map[[#This Row],[mapping_key]])&gt;1,"DUPLICATE","OK")</f>
        <v>OK</v>
      </c>
      <c r="M2832" t="str">
        <f>IF(COUNTIF(role_data[role_id],role_course_map[[#This Row],[role_id]])=0, "INVALID","VALID")</f>
        <v>VALID</v>
      </c>
      <c r="N2832" t="str">
        <f>IF(COUNTIF(course_data[course_id],role_course_map[[#This Row],[course_id]])=0, "INVALID","VALID")</f>
        <v>VALID</v>
      </c>
    </row>
    <row r="2833" spans="1:14" x14ac:dyDescent="0.35">
      <c r="A2833" t="s">
        <v>216</v>
      </c>
      <c r="B2833" s="5" t="str">
        <f>_xlfn.XLOOKUP(role_course_map[[#This Row],[role_id]], role_data[role_id], role_data[Role],"")</f>
        <v>CBRNe Instructor</v>
      </c>
      <c r="C2833">
        <v>999096</v>
      </c>
      <c r="D2833" s="5" t="str">
        <f>_xlfn.XLOOKUP(role_course_map[[#This Row],[course_id]],course_data[course_id],course_data[title],"")</f>
        <v>Supporting others in practice (Supervision)</v>
      </c>
      <c r="E2833" s="5" t="str">
        <f>_xlfn.XLOOKUP(role_course_map[[#This Row],[course_id]],course_data[course_id],course_data[topic],"")</f>
        <v>SAS: Staff development and experience</v>
      </c>
      <c r="F2833" s="5" t="str">
        <f>_xlfn.XLOOKUP(role_course_map[[#This Row],[course_id]],course_data[course_id],course_data[type],"")</f>
        <v>Course</v>
      </c>
      <c r="K2833" t="str">
        <f>role_course_map[[#This Row],[role_id]] &amp; "|" &amp; role_course_map[[#This Row],[course_id]]</f>
        <v>R0101|999096</v>
      </c>
      <c r="L2833" t="str">
        <f>IF(COUNTIF(role_course_map[mapping_key],role_course_map[[#This Row],[mapping_key]])&gt;1,"DUPLICATE","OK")</f>
        <v>OK</v>
      </c>
      <c r="M2833" t="str">
        <f>IF(COUNTIF(role_data[role_id],role_course_map[[#This Row],[role_id]])=0, "INVALID","VALID")</f>
        <v>VALID</v>
      </c>
      <c r="N2833" t="str">
        <f>IF(COUNTIF(course_data[course_id],role_course_map[[#This Row],[course_id]])=0, "INVALID","VALID")</f>
        <v>VALID</v>
      </c>
    </row>
    <row r="2834" spans="1:14" x14ac:dyDescent="0.35">
      <c r="A2834" t="s">
        <v>216</v>
      </c>
      <c r="B2834" s="5" t="str">
        <f>_xlfn.XLOOKUP(role_course_map[[#This Row],[role_id]], role_data[role_id], role_data[Role],"")</f>
        <v>CBRNe Instructor</v>
      </c>
      <c r="C2834">
        <v>999097</v>
      </c>
      <c r="D2834" s="5" t="str">
        <f>_xlfn.XLOOKUP(role_course_map[[#This Row],[course_id]],course_data[course_id],course_data[title],"")</f>
        <v>Personal Wellbeing</v>
      </c>
      <c r="E2834" s="5" t="str">
        <f>_xlfn.XLOOKUP(role_course_map[[#This Row],[course_id]],course_data[course_id],course_data[topic],"")</f>
        <v>SAS: Staff development and experience</v>
      </c>
      <c r="F2834" s="5" t="str">
        <f>_xlfn.XLOOKUP(role_course_map[[#This Row],[course_id]],course_data[course_id],course_data[type],"")</f>
        <v>eLearning</v>
      </c>
      <c r="K2834" t="str">
        <f>role_course_map[[#This Row],[role_id]] &amp; "|" &amp; role_course_map[[#This Row],[course_id]]</f>
        <v>R0101|999097</v>
      </c>
      <c r="L2834" t="str">
        <f>IF(COUNTIF(role_course_map[mapping_key],role_course_map[[#This Row],[mapping_key]])&gt;1,"DUPLICATE","OK")</f>
        <v>OK</v>
      </c>
      <c r="M2834" t="str">
        <f>IF(COUNTIF(role_data[role_id],role_course_map[[#This Row],[role_id]])=0, "INVALID","VALID")</f>
        <v>VALID</v>
      </c>
      <c r="N2834" t="str">
        <f>IF(COUNTIF(course_data[course_id],role_course_map[[#This Row],[course_id]])=0, "INVALID","VALID")</f>
        <v>VALID</v>
      </c>
    </row>
    <row r="2835" spans="1:14" x14ac:dyDescent="0.35">
      <c r="A2835" t="s">
        <v>216</v>
      </c>
      <c r="B2835" s="5" t="str">
        <f>_xlfn.XLOOKUP(role_course_map[[#This Row],[role_id]], role_data[role_id], role_data[Role],"")</f>
        <v>CBRNe Instructor</v>
      </c>
      <c r="C2835">
        <v>999091</v>
      </c>
      <c r="D2835" s="5" t="str">
        <f>_xlfn.XLOOKUP(role_course_map[[#This Row],[course_id]],course_data[course_id],course_data[title],"")</f>
        <v>Intermediate Leadership Development Programme</v>
      </c>
      <c r="E2835" s="5" t="str">
        <f>_xlfn.XLOOKUP(role_course_map[[#This Row],[course_id]],course_data[course_id],course_data[topic],"")</f>
        <v>SAS: Staff development and experience</v>
      </c>
      <c r="F2835" s="5">
        <f>_xlfn.XLOOKUP(role_course_map[[#This Row],[course_id]],course_data[course_id],course_data[type],"")</f>
        <v>0</v>
      </c>
      <c r="K2835" t="str">
        <f>role_course_map[[#This Row],[role_id]] &amp; "|" &amp; role_course_map[[#This Row],[course_id]]</f>
        <v>R0101|999091</v>
      </c>
      <c r="L2835" t="str">
        <f>IF(COUNTIF(role_course_map[mapping_key],role_course_map[[#This Row],[mapping_key]])&gt;1,"DUPLICATE","OK")</f>
        <v>OK</v>
      </c>
      <c r="M2835" t="str">
        <f>IF(COUNTIF(role_data[role_id],role_course_map[[#This Row],[role_id]])=0, "INVALID","VALID")</f>
        <v>VALID</v>
      </c>
      <c r="N2835" t="str">
        <f>IF(COUNTIF(course_data[course_id],role_course_map[[#This Row],[course_id]])=0, "INVALID","VALID")</f>
        <v>VALID</v>
      </c>
    </row>
    <row r="2836" spans="1:14" x14ac:dyDescent="0.35">
      <c r="A2836" t="s">
        <v>216</v>
      </c>
      <c r="B2836" s="5" t="str">
        <f>_xlfn.XLOOKUP(role_course_map[[#This Row],[role_id]], role_data[role_id], role_data[Role],"")</f>
        <v>CBRNe Instructor</v>
      </c>
      <c r="C2836">
        <v>79147</v>
      </c>
      <c r="D2836" s="5" t="str">
        <f>_xlfn.XLOOKUP(role_course_map[[#This Row],[course_id]],course_data[course_id],course_data[title],"")</f>
        <v>Driving risks at work</v>
      </c>
      <c r="E2836" s="5" t="str">
        <f>_xlfn.XLOOKUP(role_course_map[[#This Row],[course_id]],course_data[course_id],course_data[topic],"")</f>
        <v>SAS : Health and Safety</v>
      </c>
      <c r="F2836" s="5" t="str">
        <f>_xlfn.XLOOKUP(role_course_map[[#This Row],[course_id]],course_data[course_id],course_data[type],"")</f>
        <v>eLearning</v>
      </c>
      <c r="K2836" t="str">
        <f>role_course_map[[#This Row],[role_id]] &amp; "|" &amp; role_course_map[[#This Row],[course_id]]</f>
        <v>R0101|79147</v>
      </c>
      <c r="L2836" t="str">
        <f>IF(COUNTIF(role_course_map[mapping_key],role_course_map[[#This Row],[mapping_key]])&gt;1,"DUPLICATE","OK")</f>
        <v>OK</v>
      </c>
      <c r="M2836" t="str">
        <f>IF(COUNTIF(role_data[role_id],role_course_map[[#This Row],[role_id]])=0, "INVALID","VALID")</f>
        <v>VALID</v>
      </c>
      <c r="N2836" t="str">
        <f>IF(COUNTIF(course_data[course_id],role_course_map[[#This Row],[course_id]])=0, "INVALID","VALID")</f>
        <v>VALID</v>
      </c>
    </row>
    <row r="2837" spans="1:14" x14ac:dyDescent="0.35">
      <c r="A2837" t="s">
        <v>216</v>
      </c>
      <c r="B2837" s="5" t="str">
        <f>_xlfn.XLOOKUP(role_course_map[[#This Row],[role_id]], role_data[role_id], role_data[Role],"")</f>
        <v>CBRNe Instructor</v>
      </c>
      <c r="C2837">
        <v>999060</v>
      </c>
      <c r="D2837" s="5" t="str">
        <f>_xlfn.XLOOKUP(role_course_map[[#This Row],[course_id]],course_data[course_id],course_data[title],"")</f>
        <v>COSHH</v>
      </c>
      <c r="E2837" s="5" t="str">
        <f>_xlfn.XLOOKUP(role_course_map[[#This Row],[course_id]],course_data[course_id],course_data[topic],"")</f>
        <v>SAS : Health and Safety</v>
      </c>
      <c r="F2837" s="5" t="str">
        <f>_xlfn.XLOOKUP(role_course_map[[#This Row],[course_id]],course_data[course_id],course_data[type],"")</f>
        <v>eLearning</v>
      </c>
      <c r="K2837" t="str">
        <f>role_course_map[[#This Row],[role_id]] &amp; "|" &amp; role_course_map[[#This Row],[course_id]]</f>
        <v>R0101|999060</v>
      </c>
      <c r="L2837" t="str">
        <f>IF(COUNTIF(role_course_map[mapping_key],role_course_map[[#This Row],[mapping_key]])&gt;1,"DUPLICATE","OK")</f>
        <v>OK</v>
      </c>
      <c r="M2837" t="str">
        <f>IF(COUNTIF(role_data[role_id],role_course_map[[#This Row],[role_id]])=0, "INVALID","VALID")</f>
        <v>VALID</v>
      </c>
      <c r="N2837" t="str">
        <f>IF(COUNTIF(course_data[course_id],role_course_map[[#This Row],[course_id]])=0, "INVALID","VALID")</f>
        <v>VALID</v>
      </c>
    </row>
    <row r="2838" spans="1:14" x14ac:dyDescent="0.35">
      <c r="A2838" t="s">
        <v>216</v>
      </c>
      <c r="B2838" s="5" t="str">
        <f>_xlfn.XLOOKUP(role_course_map[[#This Row],[role_id]], role_data[role_id], role_data[Role],"")</f>
        <v>CBRNe Instructor</v>
      </c>
      <c r="C2838">
        <v>999066</v>
      </c>
      <c r="D2838" s="5" t="str">
        <f>_xlfn.XLOOKUP(role_course_map[[#This Row],[course_id]],course_data[course_id],course_data[title],"")</f>
        <v>NRRD Update i.e. Major Incidents/Methane/ Multiple Casualities</v>
      </c>
      <c r="E2838" s="5" t="str">
        <f>_xlfn.XLOOKUP(role_course_map[[#This Row],[course_id]],course_data[course_id],course_data[topic],"")</f>
        <v>SAS : National Risk and Resilience Department (NRRD)</v>
      </c>
      <c r="F2838" s="5" t="str">
        <f>_xlfn.XLOOKUP(role_course_map[[#This Row],[course_id]],course_data[course_id],course_data[type],"")</f>
        <v>eLearning</v>
      </c>
      <c r="K2838" t="str">
        <f>role_course_map[[#This Row],[role_id]] &amp; "|" &amp; role_course_map[[#This Row],[course_id]]</f>
        <v>R0101|999066</v>
      </c>
      <c r="L2838" t="str">
        <f>IF(COUNTIF(role_course_map[mapping_key],role_course_map[[#This Row],[mapping_key]])&gt;1,"DUPLICATE","OK")</f>
        <v>OK</v>
      </c>
      <c r="M2838" t="str">
        <f>IF(COUNTIF(role_data[role_id],role_course_map[[#This Row],[role_id]])=0, "INVALID","VALID")</f>
        <v>VALID</v>
      </c>
      <c r="N2838" t="str">
        <f>IF(COUNTIF(course_data[course_id],role_course_map[[#This Row],[course_id]])=0, "INVALID","VALID")</f>
        <v>VALID</v>
      </c>
    </row>
    <row r="2839" spans="1:14" x14ac:dyDescent="0.35">
      <c r="A2839" t="s">
        <v>216</v>
      </c>
      <c r="B2839" s="5" t="str">
        <f>_xlfn.XLOOKUP(role_course_map[[#This Row],[role_id]], role_data[role_id], role_data[Role],"")</f>
        <v>CBRNe Instructor</v>
      </c>
      <c r="C2839">
        <v>999025</v>
      </c>
      <c r="D2839" s="5" t="str">
        <f>_xlfn.XLOOKUP(role_course_map[[#This Row],[course_id]],course_data[course_id],course_data[title],"")</f>
        <v>Professional Standards</v>
      </c>
      <c r="E2839" s="5" t="str">
        <f>_xlfn.XLOOKUP(role_course_map[[#This Row],[course_id]],course_data[course_id],course_data[topic],"")</f>
        <v>SAS : Clinical Practice</v>
      </c>
      <c r="F2839" s="5" t="str">
        <f>_xlfn.XLOOKUP(role_course_map[[#This Row],[course_id]],course_data[course_id],course_data[type],"")</f>
        <v>eLearning</v>
      </c>
      <c r="K2839" t="str">
        <f>role_course_map[[#This Row],[role_id]] &amp; "|" &amp; role_course_map[[#This Row],[course_id]]</f>
        <v>R0101|999025</v>
      </c>
      <c r="L2839" t="str">
        <f>IF(COUNTIF(role_course_map[mapping_key],role_course_map[[#This Row],[mapping_key]])&gt;1,"DUPLICATE","OK")</f>
        <v>OK</v>
      </c>
      <c r="M2839" t="str">
        <f>IF(COUNTIF(role_data[role_id],role_course_map[[#This Row],[role_id]])=0, "INVALID","VALID")</f>
        <v>VALID</v>
      </c>
      <c r="N2839" t="str">
        <f>IF(COUNTIF(course_data[course_id],role_course_map[[#This Row],[course_id]])=0, "INVALID","VALID")</f>
        <v>VALID</v>
      </c>
    </row>
    <row r="2840" spans="1:14" x14ac:dyDescent="0.35">
      <c r="A2840" t="s">
        <v>216</v>
      </c>
      <c r="B2840" s="5" t="str">
        <f>_xlfn.XLOOKUP(role_course_map[[#This Row],[role_id]], role_data[role_id], role_data[Role],"")</f>
        <v>CBRNe Instructor</v>
      </c>
      <c r="C2840">
        <v>999026</v>
      </c>
      <c r="D2840" s="5" t="str">
        <f>_xlfn.XLOOKUP(role_course_map[[#This Row],[course_id]],course_data[course_id],course_data[title],"")</f>
        <v>Communication Standards</v>
      </c>
      <c r="E2840" s="5" t="str">
        <f>_xlfn.XLOOKUP(role_course_map[[#This Row],[course_id]],course_data[course_id],course_data[topic],"")</f>
        <v>SAS : Clinical Practice</v>
      </c>
      <c r="F2840" s="5" t="str">
        <f>_xlfn.XLOOKUP(role_course_map[[#This Row],[course_id]],course_data[course_id],course_data[type],"")</f>
        <v>eLearning</v>
      </c>
      <c r="K2840" t="str">
        <f>role_course_map[[#This Row],[role_id]] &amp; "|" &amp; role_course_map[[#This Row],[course_id]]</f>
        <v>R0101|999026</v>
      </c>
      <c r="L2840" t="str">
        <f>IF(COUNTIF(role_course_map[mapping_key],role_course_map[[#This Row],[mapping_key]])&gt;1,"DUPLICATE","OK")</f>
        <v>OK</v>
      </c>
      <c r="M2840" t="str">
        <f>IF(COUNTIF(role_data[role_id],role_course_map[[#This Row],[role_id]])=0, "INVALID","VALID")</f>
        <v>VALID</v>
      </c>
      <c r="N2840" t="str">
        <f>IF(COUNTIF(course_data[course_id],role_course_map[[#This Row],[course_id]])=0, "INVALID","VALID")</f>
        <v>VALID</v>
      </c>
    </row>
    <row r="2841" spans="1:14" x14ac:dyDescent="0.35">
      <c r="A2841" t="s">
        <v>216</v>
      </c>
      <c r="B2841" s="5" t="str">
        <f>_xlfn.XLOOKUP(role_course_map[[#This Row],[role_id]], role_data[role_id], role_data[Role],"")</f>
        <v>CBRNe Instructor</v>
      </c>
      <c r="C2841">
        <v>999062</v>
      </c>
      <c r="D2841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2841" s="5" t="str">
        <f>_xlfn.XLOOKUP(role_course_map[[#This Row],[course_id]],course_data[course_id],course_data[topic],"")</f>
        <v>SAS : Health and Safety</v>
      </c>
      <c r="F2841" s="5" t="str">
        <f>_xlfn.XLOOKUP(role_course_map[[#This Row],[course_id]],course_data[course_id],course_data[type],"")</f>
        <v>Course</v>
      </c>
      <c r="K2841" t="str">
        <f>role_course_map[[#This Row],[role_id]] &amp; "|" &amp; role_course_map[[#This Row],[course_id]]</f>
        <v>R0101|999062</v>
      </c>
      <c r="L2841" t="str">
        <f>IF(COUNTIF(role_course_map[mapping_key],role_course_map[[#This Row],[mapping_key]])&gt;1,"DUPLICATE","OK")</f>
        <v>OK</v>
      </c>
      <c r="M2841" t="str">
        <f>IF(COUNTIF(role_data[role_id],role_course_map[[#This Row],[role_id]])=0, "INVALID","VALID")</f>
        <v>VALID</v>
      </c>
      <c r="N2841" t="str">
        <f>IF(COUNTIF(course_data[course_id],role_course_map[[#This Row],[course_id]])=0, "INVALID","VALID")</f>
        <v>VALID</v>
      </c>
    </row>
    <row r="2842" spans="1:14" x14ac:dyDescent="0.35">
      <c r="A2842" t="s">
        <v>216</v>
      </c>
      <c r="B2842" s="5" t="str">
        <f>_xlfn.XLOOKUP(role_course_map[[#This Row],[role_id]], role_data[role_id], role_data[Role],"")</f>
        <v>CBRNe Instructor</v>
      </c>
      <c r="C2842">
        <v>999056</v>
      </c>
      <c r="D2842" s="5" t="str">
        <f>_xlfn.XLOOKUP(role_course_map[[#This Row],[course_id]],course_data[course_id],course_data[title],"")</f>
        <v>Driver Assessment &amp; Training</v>
      </c>
      <c r="E2842" s="5" t="str">
        <f>_xlfn.XLOOKUP(role_course_map[[#This Row],[course_id]],course_data[course_id],course_data[topic],"")</f>
        <v>SAS : Health and Safety</v>
      </c>
      <c r="F2842" s="5" t="str">
        <f>_xlfn.XLOOKUP(role_course_map[[#This Row],[course_id]],course_data[course_id],course_data[type],"")</f>
        <v>eLearning</v>
      </c>
      <c r="K2842" t="str">
        <f>role_course_map[[#This Row],[role_id]] &amp; "|" &amp; role_course_map[[#This Row],[course_id]]</f>
        <v>R0101|999056</v>
      </c>
      <c r="L2842" t="str">
        <f>IF(COUNTIF(role_course_map[mapping_key],role_course_map[[#This Row],[mapping_key]])&gt;1,"DUPLICATE","OK")</f>
        <v>OK</v>
      </c>
      <c r="M2842" t="str">
        <f>IF(COUNTIF(role_data[role_id],role_course_map[[#This Row],[role_id]])=0, "INVALID","VALID")</f>
        <v>VALID</v>
      </c>
      <c r="N2842" t="str">
        <f>IF(COUNTIF(course_data[course_id],role_course_map[[#This Row],[course_id]])=0, "INVALID","VALID")</f>
        <v>VALID</v>
      </c>
    </row>
    <row r="2843" spans="1:14" x14ac:dyDescent="0.35">
      <c r="A2843" t="s">
        <v>216</v>
      </c>
      <c r="B2843" s="5" t="str">
        <f>_xlfn.XLOOKUP(role_course_map[[#This Row],[role_id]], role_data[role_id], role_data[Role],"")</f>
        <v>CBRNe Instructor</v>
      </c>
      <c r="C2843">
        <v>999057</v>
      </c>
      <c r="D2843" s="5" t="str">
        <f>_xlfn.XLOOKUP(role_course_map[[#This Row],[course_id]],course_data[course_id],course_data[title],"")</f>
        <v>Fatigue Awareness</v>
      </c>
      <c r="E2843" s="5" t="str">
        <f>_xlfn.XLOOKUP(role_course_map[[#This Row],[course_id]],course_data[course_id],course_data[topic],"")</f>
        <v>SAS : Health and Safety</v>
      </c>
      <c r="F2843" s="5" t="str">
        <f>_xlfn.XLOOKUP(role_course_map[[#This Row],[course_id]],course_data[course_id],course_data[type],"")</f>
        <v>eLearning</v>
      </c>
      <c r="K2843" t="str">
        <f>role_course_map[[#This Row],[role_id]] &amp; "|" &amp; role_course_map[[#This Row],[course_id]]</f>
        <v>R0101|999057</v>
      </c>
      <c r="L2843" t="str">
        <f>IF(COUNTIF(role_course_map[mapping_key],role_course_map[[#This Row],[mapping_key]])&gt;1,"DUPLICATE","OK")</f>
        <v>OK</v>
      </c>
      <c r="M2843" t="str">
        <f>IF(COUNTIF(role_data[role_id],role_course_map[[#This Row],[role_id]])=0, "INVALID","VALID")</f>
        <v>VALID</v>
      </c>
      <c r="N2843" t="str">
        <f>IF(COUNTIF(course_data[course_id],role_course_map[[#This Row],[course_id]])=0, "INVALID","VALID")</f>
        <v>VALID</v>
      </c>
    </row>
    <row r="2844" spans="1:14" x14ac:dyDescent="0.35">
      <c r="A2844" t="s">
        <v>216</v>
      </c>
      <c r="B2844" s="5" t="str">
        <f>_xlfn.XLOOKUP(role_course_map[[#This Row],[role_id]], role_data[role_id], role_data[Role],"")</f>
        <v>CBRNe Instructor</v>
      </c>
      <c r="C2844">
        <v>999058</v>
      </c>
      <c r="D2844" s="5" t="str">
        <f>_xlfn.XLOOKUP(role_course_map[[#This Row],[course_id]],course_data[course_id],course_data[title],"")</f>
        <v>Stress Identification &amp; Stress Management</v>
      </c>
      <c r="E2844" s="5" t="str">
        <f>_xlfn.XLOOKUP(role_course_map[[#This Row],[course_id]],course_data[course_id],course_data[topic],"")</f>
        <v>SAS : Health and Safety</v>
      </c>
      <c r="F2844" s="5" t="str">
        <f>_xlfn.XLOOKUP(role_course_map[[#This Row],[course_id]],course_data[course_id],course_data[type],"")</f>
        <v>eLearning</v>
      </c>
      <c r="K2844" t="str">
        <f>role_course_map[[#This Row],[role_id]] &amp; "|" &amp; role_course_map[[#This Row],[course_id]]</f>
        <v>R0101|999058</v>
      </c>
      <c r="L2844" t="str">
        <f>IF(COUNTIF(role_course_map[mapping_key],role_course_map[[#This Row],[mapping_key]])&gt;1,"DUPLICATE","OK")</f>
        <v>OK</v>
      </c>
      <c r="M2844" t="str">
        <f>IF(COUNTIF(role_data[role_id],role_course_map[[#This Row],[role_id]])=0, "INVALID","VALID")</f>
        <v>VALID</v>
      </c>
      <c r="N2844" t="str">
        <f>IF(COUNTIF(course_data[course_id],role_course_map[[#This Row],[course_id]])=0, "INVALID","VALID")</f>
        <v>VALID</v>
      </c>
    </row>
    <row r="2845" spans="1:14" x14ac:dyDescent="0.35">
      <c r="A2845" t="s">
        <v>216</v>
      </c>
      <c r="B2845" s="5" t="str">
        <f>_xlfn.XLOOKUP(role_course_map[[#This Row],[role_id]], role_data[role_id], role_data[Role],"")</f>
        <v>CBRNe Instructor</v>
      </c>
      <c r="C2845">
        <v>999061</v>
      </c>
      <c r="D2845" s="5" t="str">
        <f>_xlfn.XLOOKUP(role_course_map[[#This Row],[course_id]],course_data[course_id],course_data[title],"")</f>
        <v>Skin Awareness</v>
      </c>
      <c r="E2845" s="5" t="str">
        <f>_xlfn.XLOOKUP(role_course_map[[#This Row],[course_id]],course_data[course_id],course_data[topic],"")</f>
        <v>SAS : Health and Safety</v>
      </c>
      <c r="F2845" s="5" t="str">
        <f>_xlfn.XLOOKUP(role_course_map[[#This Row],[course_id]],course_data[course_id],course_data[type],"")</f>
        <v>eLearning</v>
      </c>
      <c r="K2845" t="str">
        <f>role_course_map[[#This Row],[role_id]] &amp; "|" &amp; role_course_map[[#This Row],[course_id]]</f>
        <v>R0101|999061</v>
      </c>
      <c r="L2845" t="str">
        <f>IF(COUNTIF(role_course_map[mapping_key],role_course_map[[#This Row],[mapping_key]])&gt;1,"DUPLICATE","OK")</f>
        <v>OK</v>
      </c>
      <c r="M2845" t="str">
        <f>IF(COUNTIF(role_data[role_id],role_course_map[[#This Row],[role_id]])=0, "INVALID","VALID")</f>
        <v>VALID</v>
      </c>
      <c r="N2845" t="str">
        <f>IF(COUNTIF(course_data[course_id],role_course_map[[#This Row],[course_id]])=0, "INVALID","VALID")</f>
        <v>VALID</v>
      </c>
    </row>
    <row r="2846" spans="1:14" x14ac:dyDescent="0.35">
      <c r="A2846" t="s">
        <v>216</v>
      </c>
      <c r="B2846" s="5" t="str">
        <f>_xlfn.XLOOKUP(role_course_map[[#This Row],[role_id]], role_data[role_id], role_data[Role],"")</f>
        <v>CBRNe Instructor</v>
      </c>
      <c r="C2846">
        <v>999027</v>
      </c>
      <c r="D2846" s="5" t="str">
        <f>_xlfn.XLOOKUP(role_course_map[[#This Row],[course_id]],course_data[course_id],course_data[title],"")</f>
        <v>Manual and Patient Handling Foundation Training - Level 2</v>
      </c>
      <c r="E2846" s="5" t="str">
        <f>_xlfn.XLOOKUP(role_course_map[[#This Row],[course_id]],course_data[course_id],course_data[topic],"")</f>
        <v>SAS : Clinical Practice</v>
      </c>
      <c r="F2846" s="5" t="str">
        <f>_xlfn.XLOOKUP(role_course_map[[#This Row],[course_id]],course_data[course_id],course_data[type],"")</f>
        <v>Course</v>
      </c>
      <c r="K2846" t="str">
        <f>role_course_map[[#This Row],[role_id]] &amp; "|" &amp; role_course_map[[#This Row],[course_id]]</f>
        <v>R0101|999027</v>
      </c>
      <c r="L2846" t="str">
        <f>IF(COUNTIF(role_course_map[mapping_key],role_course_map[[#This Row],[mapping_key]])&gt;1,"DUPLICATE","OK")</f>
        <v>OK</v>
      </c>
      <c r="M2846" t="str">
        <f>IF(COUNTIF(role_data[role_id],role_course_map[[#This Row],[role_id]])=0, "INVALID","VALID")</f>
        <v>VALID</v>
      </c>
      <c r="N2846" t="str">
        <f>IF(COUNTIF(course_data[course_id],role_course_map[[#This Row],[course_id]])=0, "INVALID","VALID")</f>
        <v>VALID</v>
      </c>
    </row>
    <row r="2847" spans="1:14" x14ac:dyDescent="0.35">
      <c r="A2847" t="s">
        <v>216</v>
      </c>
      <c r="B2847" s="5" t="str">
        <f>_xlfn.XLOOKUP(role_course_map[[#This Row],[role_id]], role_data[role_id], role_data[Role],"")</f>
        <v>CBRNe Instructor</v>
      </c>
      <c r="C2847">
        <v>999028</v>
      </c>
      <c r="D2847" s="5" t="str">
        <f>_xlfn.XLOOKUP(role_course_map[[#This Row],[course_id]],course_data[course_id],course_data[title],"")</f>
        <v>Manual and Patient Handling Competency Assessment - Level 3</v>
      </c>
      <c r="E2847" s="5" t="str">
        <f>_xlfn.XLOOKUP(role_course_map[[#This Row],[course_id]],course_data[course_id],course_data[topic],"")</f>
        <v>SAS : Clinical Practice</v>
      </c>
      <c r="F2847" s="5" t="str">
        <f>_xlfn.XLOOKUP(role_course_map[[#This Row],[course_id]],course_data[course_id],course_data[type],"")</f>
        <v>Course</v>
      </c>
      <c r="K2847" t="str">
        <f>role_course_map[[#This Row],[role_id]] &amp; "|" &amp; role_course_map[[#This Row],[course_id]]</f>
        <v>R0101|999028</v>
      </c>
      <c r="L2847" t="str">
        <f>IF(COUNTIF(role_course_map[mapping_key],role_course_map[[#This Row],[mapping_key]])&gt;1,"DUPLICATE","OK")</f>
        <v>OK</v>
      </c>
      <c r="M2847" t="str">
        <f>IF(COUNTIF(role_data[role_id],role_course_map[[#This Row],[role_id]])=0, "INVALID","VALID")</f>
        <v>VALID</v>
      </c>
      <c r="N2847" t="str">
        <f>IF(COUNTIF(course_data[course_id],role_course_map[[#This Row],[course_id]])=0, "INVALID","VALID")</f>
        <v>VALID</v>
      </c>
    </row>
    <row r="2848" spans="1:14" x14ac:dyDescent="0.35">
      <c r="A2848" t="s">
        <v>216</v>
      </c>
      <c r="B2848" s="5" t="str">
        <f>_xlfn.XLOOKUP(role_course_map[[#This Row],[role_id]], role_data[role_id], role_data[Role],"")</f>
        <v>CBRNe Instructor</v>
      </c>
      <c r="C2848">
        <v>999029</v>
      </c>
      <c r="D2848" s="5" t="str">
        <f>_xlfn.XLOOKUP(role_course_map[[#This Row],[course_id]],course_data[course_id],course_data[title],"")</f>
        <v>Manual and Patient Handling Competency Assessment Theory - Level 3</v>
      </c>
      <c r="E2848" s="5" t="str">
        <f>_xlfn.XLOOKUP(role_course_map[[#This Row],[course_id]],course_data[course_id],course_data[topic],"")</f>
        <v>SAS : Clinical Practice</v>
      </c>
      <c r="F2848" s="5" t="str">
        <f>_xlfn.XLOOKUP(role_course_map[[#This Row],[course_id]],course_data[course_id],course_data[type],"")</f>
        <v>Course</v>
      </c>
      <c r="K2848" t="str">
        <f>role_course_map[[#This Row],[role_id]] &amp; "|" &amp; role_course_map[[#This Row],[course_id]]</f>
        <v>R0101|999029</v>
      </c>
      <c r="L2848" t="str">
        <f>IF(COUNTIF(role_course_map[mapping_key],role_course_map[[#This Row],[mapping_key]])&gt;1,"DUPLICATE","OK")</f>
        <v>OK</v>
      </c>
      <c r="M2848" t="str">
        <f>IF(COUNTIF(role_data[role_id],role_course_map[[#This Row],[role_id]])=0, "INVALID","VALID")</f>
        <v>VALID</v>
      </c>
      <c r="N2848" t="str">
        <f>IF(COUNTIF(course_data[course_id],role_course_map[[#This Row],[course_id]])=0, "INVALID","VALID")</f>
        <v>VALID</v>
      </c>
    </row>
    <row r="2849" spans="1:14" x14ac:dyDescent="0.35">
      <c r="A2849" t="s">
        <v>216</v>
      </c>
      <c r="B2849" s="5" t="str">
        <f>_xlfn.XLOOKUP(role_course_map[[#This Row],[role_id]], role_data[role_id], role_data[Role],"")</f>
        <v>CBRNe Instructor</v>
      </c>
      <c r="C2849" t="s">
        <v>659</v>
      </c>
      <c r="D2849" s="5" t="str">
        <f>_xlfn.XLOOKUP(role_course_map[[#This Row],[course_id]],course_data[course_id],course_data[title],"")</f>
        <v>Prevention and Management of Violence and Aggression - Breakaway training Level 2 /Restrictive movement Level 3</v>
      </c>
      <c r="E2849" s="5" t="str">
        <f>_xlfn.XLOOKUP(role_course_map[[#This Row],[course_id]],course_data[course_id],course_data[topic],"")</f>
        <v>SAS : Health and Safety</v>
      </c>
      <c r="F2849" s="5" t="str">
        <f>_xlfn.XLOOKUP(role_course_map[[#This Row],[course_id]],course_data[course_id],course_data[type],"")</f>
        <v>Course</v>
      </c>
      <c r="K2849" t="str">
        <f>role_course_map[[#This Row],[role_id]] &amp; "|" &amp; role_course_map[[#This Row],[course_id]]</f>
        <v>R0101|2025-6 edition</v>
      </c>
      <c r="L2849" t="str">
        <f>IF(COUNTIF(role_course_map[mapping_key],role_course_map[[#This Row],[mapping_key]])&gt;1,"DUPLICATE","OK")</f>
        <v>OK</v>
      </c>
      <c r="M2849" t="str">
        <f>IF(COUNTIF(role_data[role_id],role_course_map[[#This Row],[role_id]])=0, "INVALID","VALID")</f>
        <v>VALID</v>
      </c>
      <c r="N2849" t="str">
        <f>IF(COUNTIF(course_data[course_id],role_course_map[[#This Row],[course_id]])=0, "INVALID","VALID")</f>
        <v>VALID</v>
      </c>
    </row>
    <row r="2850" spans="1:14" x14ac:dyDescent="0.35">
      <c r="A2850" t="s">
        <v>216</v>
      </c>
      <c r="B2850" s="5" t="str">
        <f>_xlfn.XLOOKUP(role_course_map[[#This Row],[role_id]], role_data[role_id], role_data[Role],"")</f>
        <v>CBRNe Instructor</v>
      </c>
      <c r="C2850">
        <v>999055</v>
      </c>
      <c r="D2850" s="5" t="str">
        <f>_xlfn.XLOOKUP(role_course_map[[#This Row],[course_id]],course_data[course_id],course_data[title],"")</f>
        <v>Prevention and Management of Violence and Aggression - Refresher</v>
      </c>
      <c r="E2850" s="5" t="str">
        <f>_xlfn.XLOOKUP(role_course_map[[#This Row],[course_id]],course_data[course_id],course_data[topic],"")</f>
        <v>SAS : Health and Safety</v>
      </c>
      <c r="F2850" s="5" t="str">
        <f>_xlfn.XLOOKUP(role_course_map[[#This Row],[course_id]],course_data[course_id],course_data[type],"")</f>
        <v>Course</v>
      </c>
      <c r="K2850" t="str">
        <f>role_course_map[[#This Row],[role_id]] &amp; "|" &amp; role_course_map[[#This Row],[course_id]]</f>
        <v>R0101|999055</v>
      </c>
      <c r="L2850" t="str">
        <f>IF(COUNTIF(role_course_map[mapping_key],role_course_map[[#This Row],[mapping_key]])&gt;1,"DUPLICATE","OK")</f>
        <v>OK</v>
      </c>
      <c r="M2850" t="str">
        <f>IF(COUNTIF(role_data[role_id],role_course_map[[#This Row],[role_id]])=0, "INVALID","VALID")</f>
        <v>VALID</v>
      </c>
      <c r="N2850" t="str">
        <f>IF(COUNTIF(course_data[course_id],role_course_map[[#This Row],[course_id]])=0, "INVALID","VALID")</f>
        <v>VALID</v>
      </c>
    </row>
    <row r="2851" spans="1:14" x14ac:dyDescent="0.35">
      <c r="A2851" t="s">
        <v>216</v>
      </c>
      <c r="B2851" s="5" t="str">
        <f>_xlfn.XLOOKUP(role_course_map[[#This Row],[role_id]], role_data[role_id], role_data[Role],"")</f>
        <v>CBRNe Instructor</v>
      </c>
      <c r="C2851">
        <v>64322</v>
      </c>
      <c r="D2851" s="5" t="str">
        <f>_xlfn.XLOOKUP(role_course_map[[#This Row],[course_id]],course_data[course_id],course_data[title],"")</f>
        <v>Adult support and protection: practice level 2 [skilled]</v>
      </c>
      <c r="E2851" s="5" t="str">
        <f>_xlfn.XLOOKUP(role_course_map[[#This Row],[course_id]],course_data[course_id],course_data[topic],"")</f>
        <v>SAS : Public Protection</v>
      </c>
      <c r="F2851" s="5" t="str">
        <f>_xlfn.XLOOKUP(role_course_map[[#This Row],[course_id]],course_data[course_id],course_data[type],"")</f>
        <v>eLearning</v>
      </c>
      <c r="K2851" t="str">
        <f>role_course_map[[#This Row],[role_id]] &amp; "|" &amp; role_course_map[[#This Row],[course_id]]</f>
        <v>R0101|64322</v>
      </c>
      <c r="L2851" t="str">
        <f>IF(COUNTIF(role_course_map[mapping_key],role_course_map[[#This Row],[mapping_key]])&gt;1,"DUPLICATE","OK")</f>
        <v>OK</v>
      </c>
      <c r="M2851" t="str">
        <f>IF(COUNTIF(role_data[role_id],role_course_map[[#This Row],[role_id]])=0, "INVALID","VALID")</f>
        <v>VALID</v>
      </c>
      <c r="N2851" t="str">
        <f>IF(COUNTIF(course_data[course_id],role_course_map[[#This Row],[course_id]])=0, "INVALID","VALID")</f>
        <v>VALID</v>
      </c>
    </row>
    <row r="2852" spans="1:14" x14ac:dyDescent="0.35">
      <c r="A2852" t="s">
        <v>216</v>
      </c>
      <c r="B2852" s="5" t="str">
        <f>_xlfn.XLOOKUP(role_course_map[[#This Row],[role_id]], role_data[role_id], role_data[Role],"")</f>
        <v>CBRNe Instructor</v>
      </c>
      <c r="C2852">
        <v>64324</v>
      </c>
      <c r="D2852" s="5" t="str">
        <f>_xlfn.XLOOKUP(role_course_map[[#This Row],[course_id]],course_data[course_id],course_data[title],"")</f>
        <v>Child protection: practice level 2 [skilled]</v>
      </c>
      <c r="E2852" s="5" t="str">
        <f>_xlfn.XLOOKUP(role_course_map[[#This Row],[course_id]],course_data[course_id],course_data[topic],"")</f>
        <v>SAS : Public Protection</v>
      </c>
      <c r="F2852" s="5" t="str">
        <f>_xlfn.XLOOKUP(role_course_map[[#This Row],[course_id]],course_data[course_id],course_data[type],"")</f>
        <v>eLearning</v>
      </c>
      <c r="K2852" t="str">
        <f>role_course_map[[#This Row],[role_id]] &amp; "|" &amp; role_course_map[[#This Row],[course_id]]</f>
        <v>R0101|64324</v>
      </c>
      <c r="L2852" t="str">
        <f>IF(COUNTIF(role_course_map[mapping_key],role_course_map[[#This Row],[mapping_key]])&gt;1,"DUPLICATE","OK")</f>
        <v>OK</v>
      </c>
      <c r="M2852" t="str">
        <f>IF(COUNTIF(role_data[role_id],role_course_map[[#This Row],[role_id]])=0, "INVALID","VALID")</f>
        <v>VALID</v>
      </c>
      <c r="N2852" t="str">
        <f>IF(COUNTIF(course_data[course_id],role_course_map[[#This Row],[course_id]])=0, "INVALID","VALID")</f>
        <v>VALID</v>
      </c>
    </row>
    <row r="2853" spans="1:14" x14ac:dyDescent="0.35">
      <c r="A2853" t="s">
        <v>216</v>
      </c>
      <c r="B2853" s="5" t="str">
        <f>_xlfn.XLOOKUP(role_course_map[[#This Row],[role_id]], role_data[role_id], role_data[Role],"")</f>
        <v>CBRNe Instructor</v>
      </c>
      <c r="C2853">
        <v>76716</v>
      </c>
      <c r="D2853" s="5" t="str">
        <f>_xlfn.XLOOKUP(role_course_map[[#This Row],[course_id]],course_data[course_id],course_data[title],"")</f>
        <v>Domestic abuse awareness training tool (DAART)</v>
      </c>
      <c r="E2853" s="5" t="str">
        <f>_xlfn.XLOOKUP(role_course_map[[#This Row],[course_id]],course_data[course_id],course_data[topic],"")</f>
        <v>SAS : Public Protection</v>
      </c>
      <c r="F2853" s="5" t="str">
        <f>_xlfn.XLOOKUP(role_course_map[[#This Row],[course_id]],course_data[course_id],course_data[type],"")</f>
        <v>eLearning</v>
      </c>
      <c r="K2853" t="str">
        <f>role_course_map[[#This Row],[role_id]] &amp; "|" &amp; role_course_map[[#This Row],[course_id]]</f>
        <v>R0101|76716</v>
      </c>
      <c r="L2853" t="str">
        <f>IF(COUNTIF(role_course_map[mapping_key],role_course_map[[#This Row],[mapping_key]])&gt;1,"DUPLICATE","OK")</f>
        <v>OK</v>
      </c>
      <c r="M2853" t="str">
        <f>IF(COUNTIF(role_data[role_id],role_course_map[[#This Row],[role_id]])=0, "INVALID","VALID")</f>
        <v>VALID</v>
      </c>
      <c r="N2853" t="str">
        <f>IF(COUNTIF(course_data[course_id],role_course_map[[#This Row],[course_id]])=0, "INVALID","VALID")</f>
        <v>VALID</v>
      </c>
    </row>
    <row r="2854" spans="1:14" x14ac:dyDescent="0.35">
      <c r="A2854" t="s">
        <v>216</v>
      </c>
      <c r="B2854" s="5" t="str">
        <f>_xlfn.XLOOKUP(role_course_map[[#This Row],[role_id]], role_data[role_id], role_data[Role],"")</f>
        <v>CBRNe Instructor</v>
      </c>
      <c r="C2854">
        <v>79666</v>
      </c>
      <c r="D2854" s="5" t="str">
        <f>_xlfn.XLOOKUP(role_course_map[[#This Row],[course_id]],course_data[course_id],course_data[title],"")</f>
        <v>Getting it right for every child (GIRFEC): informed level</v>
      </c>
      <c r="E2854" s="5" t="str">
        <f>_xlfn.XLOOKUP(role_course_map[[#This Row],[course_id]],course_data[course_id],course_data[topic],"")</f>
        <v>SAS : Public Protection</v>
      </c>
      <c r="F2854" s="5" t="str">
        <f>_xlfn.XLOOKUP(role_course_map[[#This Row],[course_id]],course_data[course_id],course_data[type],"")</f>
        <v>eLearning</v>
      </c>
      <c r="K2854" t="str">
        <f>role_course_map[[#This Row],[role_id]] &amp; "|" &amp; role_course_map[[#This Row],[course_id]]</f>
        <v>R0101|79666</v>
      </c>
      <c r="L2854" t="str">
        <f>IF(COUNTIF(role_course_map[mapping_key],role_course_map[[#This Row],[mapping_key]])&gt;1,"DUPLICATE","OK")</f>
        <v>OK</v>
      </c>
      <c r="M2854" t="str">
        <f>IF(COUNTIF(role_data[role_id],role_course_map[[#This Row],[role_id]])=0, "INVALID","VALID")</f>
        <v>VALID</v>
      </c>
      <c r="N2854" t="str">
        <f>IF(COUNTIF(course_data[course_id],role_course_map[[#This Row],[course_id]])=0, "INVALID","VALID")</f>
        <v>VALID</v>
      </c>
    </row>
    <row r="2855" spans="1:14" x14ac:dyDescent="0.35">
      <c r="A2855" t="s">
        <v>216</v>
      </c>
      <c r="B2855" s="5" t="str">
        <f>_xlfn.XLOOKUP(role_course_map[[#This Row],[role_id]], role_data[role_id], role_data[Role],"")</f>
        <v>CBRNe Instructor</v>
      </c>
      <c r="C2855">
        <v>999074</v>
      </c>
      <c r="D2855" s="5" t="str">
        <f>_xlfn.XLOOKUP(role_course_map[[#This Row],[course_id]],course_data[course_id],course_data[title],"")</f>
        <v>SAS-specific Children’s rights</v>
      </c>
      <c r="E2855" s="5" t="str">
        <f>_xlfn.XLOOKUP(role_course_map[[#This Row],[course_id]],course_data[course_id],course_data[topic],"")</f>
        <v>SAS : Public Protection</v>
      </c>
      <c r="F2855" s="5" t="str">
        <f>_xlfn.XLOOKUP(role_course_map[[#This Row],[course_id]],course_data[course_id],course_data[type],"")</f>
        <v>eLearning</v>
      </c>
      <c r="K2855" t="str">
        <f>role_course_map[[#This Row],[role_id]] &amp; "|" &amp; role_course_map[[#This Row],[course_id]]</f>
        <v>R0101|999074</v>
      </c>
      <c r="L2855" t="str">
        <f>IF(COUNTIF(role_course_map[mapping_key],role_course_map[[#This Row],[mapping_key]])&gt;1,"DUPLICATE","OK")</f>
        <v>OK</v>
      </c>
      <c r="M2855" t="str">
        <f>IF(COUNTIF(role_data[role_id],role_course_map[[#This Row],[role_id]])=0, "INVALID","VALID")</f>
        <v>VALID</v>
      </c>
      <c r="N2855" t="str">
        <f>IF(COUNTIF(course_data[course_id],role_course_map[[#This Row],[course_id]])=0, "INVALID","VALID")</f>
        <v>VALID</v>
      </c>
    </row>
    <row r="2856" spans="1:14" x14ac:dyDescent="0.35">
      <c r="A2856" t="s">
        <v>216</v>
      </c>
      <c r="B2856" s="5" t="str">
        <f>_xlfn.XLOOKUP(role_course_map[[#This Row],[role_id]], role_data[role_id], role_data[Role],"")</f>
        <v>CBRNe Instructor</v>
      </c>
      <c r="C2856">
        <v>999075</v>
      </c>
      <c r="D2856" s="5" t="str">
        <f>_xlfn.XLOOKUP(role_course_map[[#This Row],[course_id]],course_data[course_id],course_data[title],"")</f>
        <v>Multiagency local or bespoke Level 3 delivery training</v>
      </c>
      <c r="E2856" s="5" t="str">
        <f>_xlfn.XLOOKUP(role_course_map[[#This Row],[course_id]],course_data[course_id],course_data[topic],"")</f>
        <v>SAS : Public Protection</v>
      </c>
      <c r="F2856" s="5" t="str">
        <f>_xlfn.XLOOKUP(role_course_map[[#This Row],[course_id]],course_data[course_id],course_data[type],"")</f>
        <v>eLearning</v>
      </c>
      <c r="K2856" t="str">
        <f>role_course_map[[#This Row],[role_id]] &amp; "|" &amp; role_course_map[[#This Row],[course_id]]</f>
        <v>R0101|999075</v>
      </c>
      <c r="L2856" t="str">
        <f>IF(COUNTIF(role_course_map[mapping_key],role_course_map[[#This Row],[mapping_key]])&gt;1,"DUPLICATE","OK")</f>
        <v>OK</v>
      </c>
      <c r="M2856" t="str">
        <f>IF(COUNTIF(role_data[role_id],role_course_map[[#This Row],[role_id]])=0, "INVALID","VALID")</f>
        <v>VALID</v>
      </c>
      <c r="N2856" t="str">
        <f>IF(COUNTIF(course_data[course_id],role_course_map[[#This Row],[course_id]])=0, "INVALID","VALID")</f>
        <v>VALID</v>
      </c>
    </row>
    <row r="2857" spans="1:14" x14ac:dyDescent="0.35">
      <c r="A2857" t="s">
        <v>216</v>
      </c>
      <c r="B2857" s="5" t="str">
        <f>_xlfn.XLOOKUP(role_course_map[[#This Row],[role_id]], role_data[role_id], role_data[Role],"")</f>
        <v>CBRNe Instructor</v>
      </c>
      <c r="C2857">
        <v>15249</v>
      </c>
      <c r="D2857" s="5" t="str">
        <f>_xlfn.XLOOKUP(role_course_map[[#This Row],[course_id]],course_data[course_id],course_data[title],"")</f>
        <v>Human trafficking</v>
      </c>
      <c r="E2857" s="5" t="str">
        <f>_xlfn.XLOOKUP(role_course_map[[#This Row],[course_id]],course_data[course_id],course_data[topic],"")</f>
        <v>SAS : Public Protection</v>
      </c>
      <c r="F2857" s="5" t="str">
        <f>_xlfn.XLOOKUP(role_course_map[[#This Row],[course_id]],course_data[course_id],course_data[type],"")</f>
        <v>eLearning</v>
      </c>
      <c r="K2857" t="str">
        <f>role_course_map[[#This Row],[role_id]] &amp; "|" &amp; role_course_map[[#This Row],[course_id]]</f>
        <v>R0101|15249</v>
      </c>
      <c r="L2857" t="str">
        <f>IF(COUNTIF(role_course_map[mapping_key],role_course_map[[#This Row],[mapping_key]])&gt;1,"DUPLICATE","OK")</f>
        <v>OK</v>
      </c>
      <c r="M2857" t="str">
        <f>IF(COUNTIF(role_data[role_id],role_course_map[[#This Row],[role_id]])=0, "INVALID","VALID")</f>
        <v>VALID</v>
      </c>
      <c r="N2857" t="str">
        <f>IF(COUNTIF(course_data[course_id],role_course_map[[#This Row],[course_id]])=0, "INVALID","VALID")</f>
        <v>VALID</v>
      </c>
    </row>
    <row r="2858" spans="1:14" x14ac:dyDescent="0.35">
      <c r="A2858" t="s">
        <v>216</v>
      </c>
      <c r="B2858" s="5" t="str">
        <f>_xlfn.XLOOKUP(role_course_map[[#This Row],[role_id]], role_data[role_id], role_data[Role],"")</f>
        <v>CBRNe Instructor</v>
      </c>
      <c r="C2858">
        <v>89161</v>
      </c>
      <c r="D2858" s="5" t="str">
        <f>_xlfn.XLOOKUP(role_course_map[[#This Row],[course_id]],course_data[course_id],course_data[title],"")</f>
        <v>Personal Protective Equipment</v>
      </c>
      <c r="E2858" s="5" t="str">
        <f>_xlfn.XLOOKUP(role_course_map[[#This Row],[course_id]],course_data[course_id],course_data[topic],"")</f>
        <v>SAS : Infection Prevention and Control (IPC)</v>
      </c>
      <c r="F2858" s="5" t="str">
        <f>_xlfn.XLOOKUP(role_course_map[[#This Row],[course_id]],course_data[course_id],course_data[type],"")</f>
        <v>eLearning</v>
      </c>
      <c r="K2858" t="str">
        <f>role_course_map[[#This Row],[role_id]] &amp; "|" &amp; role_course_map[[#This Row],[course_id]]</f>
        <v>R0101|89161</v>
      </c>
      <c r="L2858" t="str">
        <f>IF(COUNTIF(role_course_map[mapping_key],role_course_map[[#This Row],[mapping_key]])&gt;1,"DUPLICATE","OK")</f>
        <v>OK</v>
      </c>
      <c r="M2858" t="str">
        <f>IF(COUNTIF(role_data[role_id],role_course_map[[#This Row],[role_id]])=0, "INVALID","VALID")</f>
        <v>VALID</v>
      </c>
      <c r="N2858" t="str">
        <f>IF(COUNTIF(course_data[course_id],role_course_map[[#This Row],[course_id]])=0, "INVALID","VALID")</f>
        <v>VALID</v>
      </c>
    </row>
    <row r="2859" spans="1:14" x14ac:dyDescent="0.35">
      <c r="A2859" t="s">
        <v>216</v>
      </c>
      <c r="B2859" s="5" t="str">
        <f>_xlfn.XLOOKUP(role_course_map[[#This Row],[role_id]], role_data[role_id], role_data[Role],"")</f>
        <v>CBRNe Instructor</v>
      </c>
      <c r="C2859">
        <v>89157</v>
      </c>
      <c r="D2859" s="5" t="str">
        <f>_xlfn.XLOOKUP(role_course_map[[#This Row],[course_id]],course_data[course_id],course_data[title],"")</f>
        <v>Safe Management of Care Equipment</v>
      </c>
      <c r="E2859" s="5" t="str">
        <f>_xlfn.XLOOKUP(role_course_map[[#This Row],[course_id]],course_data[course_id],course_data[topic],"")</f>
        <v>SAS : Infection Prevention and Control (IPC)</v>
      </c>
      <c r="F2859" s="5" t="str">
        <f>_xlfn.XLOOKUP(role_course_map[[#This Row],[course_id]],course_data[course_id],course_data[type],"")</f>
        <v>eLearning</v>
      </c>
      <c r="K2859" t="str">
        <f>role_course_map[[#This Row],[role_id]] &amp; "|" &amp; role_course_map[[#This Row],[course_id]]</f>
        <v>R0101|89157</v>
      </c>
      <c r="L2859" t="str">
        <f>IF(COUNTIF(role_course_map[mapping_key],role_course_map[[#This Row],[mapping_key]])&gt;1,"DUPLICATE","OK")</f>
        <v>OK</v>
      </c>
      <c r="M2859" t="str">
        <f>IF(COUNTIF(role_data[role_id],role_course_map[[#This Row],[role_id]])=0, "INVALID","VALID")</f>
        <v>VALID</v>
      </c>
      <c r="N2859" t="str">
        <f>IF(COUNTIF(course_data[course_id],role_course_map[[#This Row],[course_id]])=0, "INVALID","VALID")</f>
        <v>VALID</v>
      </c>
    </row>
    <row r="2860" spans="1:14" x14ac:dyDescent="0.35">
      <c r="A2860" t="s">
        <v>216</v>
      </c>
      <c r="B2860" s="5" t="str">
        <f>_xlfn.XLOOKUP(role_course_map[[#This Row],[role_id]], role_data[role_id], role_data[Role],"")</f>
        <v>CBRNe Instructor</v>
      </c>
      <c r="C2860">
        <v>89158</v>
      </c>
      <c r="D2860" s="5" t="str">
        <f>_xlfn.XLOOKUP(role_course_map[[#This Row],[course_id]],course_data[course_id],course_data[title],"")</f>
        <v>Safe Management of Care Environment</v>
      </c>
      <c r="E2860" s="5" t="str">
        <f>_xlfn.XLOOKUP(role_course_map[[#This Row],[course_id]],course_data[course_id],course_data[topic],"")</f>
        <v>SAS : Infection Prevention and Control (IPC)</v>
      </c>
      <c r="F2860" s="5" t="str">
        <f>_xlfn.XLOOKUP(role_course_map[[#This Row],[course_id]],course_data[course_id],course_data[type],"")</f>
        <v>eLearning</v>
      </c>
      <c r="K2860" t="str">
        <f>role_course_map[[#This Row],[role_id]] &amp; "|" &amp; role_course_map[[#This Row],[course_id]]</f>
        <v>R0101|89158</v>
      </c>
      <c r="L2860" t="str">
        <f>IF(COUNTIF(role_course_map[mapping_key],role_course_map[[#This Row],[mapping_key]])&gt;1,"DUPLICATE","OK")</f>
        <v>OK</v>
      </c>
      <c r="M2860" t="str">
        <f>IF(COUNTIF(role_data[role_id],role_course_map[[#This Row],[role_id]])=0, "INVALID","VALID")</f>
        <v>VALID</v>
      </c>
      <c r="N2860" t="str">
        <f>IF(COUNTIF(course_data[course_id],role_course_map[[#This Row],[course_id]])=0, "INVALID","VALID")</f>
        <v>VALID</v>
      </c>
    </row>
    <row r="2861" spans="1:14" x14ac:dyDescent="0.35">
      <c r="A2861" t="s">
        <v>216</v>
      </c>
      <c r="B2861" s="5" t="str">
        <f>_xlfn.XLOOKUP(role_course_map[[#This Row],[role_id]], role_data[role_id], role_data[Role],"")</f>
        <v>CBRNe Instructor</v>
      </c>
      <c r="C2861">
        <v>89159</v>
      </c>
      <c r="D2861" s="5" t="str">
        <f>_xlfn.XLOOKUP(role_course_map[[#This Row],[course_id]],course_data[course_id],course_data[title],"")</f>
        <v>Safe Management of Linen</v>
      </c>
      <c r="E2861" s="5" t="str">
        <f>_xlfn.XLOOKUP(role_course_map[[#This Row],[course_id]],course_data[course_id],course_data[topic],"")</f>
        <v>SAS : Infection Prevention and Control (IPC)</v>
      </c>
      <c r="F2861" s="5" t="str">
        <f>_xlfn.XLOOKUP(role_course_map[[#This Row],[course_id]],course_data[course_id],course_data[type],"")</f>
        <v>eLearning</v>
      </c>
      <c r="K2861" t="str">
        <f>role_course_map[[#This Row],[role_id]] &amp; "|" &amp; role_course_map[[#This Row],[course_id]]</f>
        <v>R0101|89159</v>
      </c>
      <c r="L2861" t="str">
        <f>IF(COUNTIF(role_course_map[mapping_key],role_course_map[[#This Row],[mapping_key]])&gt;1,"DUPLICATE","OK")</f>
        <v>OK</v>
      </c>
      <c r="M2861" t="str">
        <f>IF(COUNTIF(role_data[role_id],role_course_map[[#This Row],[role_id]])=0, "INVALID","VALID")</f>
        <v>VALID</v>
      </c>
      <c r="N2861" t="str">
        <f>IF(COUNTIF(course_data[course_id],role_course_map[[#This Row],[course_id]])=0, "INVALID","VALID")</f>
        <v>VALID</v>
      </c>
    </row>
    <row r="2862" spans="1:14" x14ac:dyDescent="0.35">
      <c r="A2862" t="s">
        <v>216</v>
      </c>
      <c r="B2862" s="5" t="str">
        <f>_xlfn.XLOOKUP(role_course_map[[#This Row],[role_id]], role_data[role_id], role_data[Role],"")</f>
        <v>CBRNe Instructor</v>
      </c>
      <c r="C2862">
        <v>89160</v>
      </c>
      <c r="D2862" s="5" t="str">
        <f>_xlfn.XLOOKUP(role_course_map[[#This Row],[course_id]],course_data[course_id],course_data[title],"")</f>
        <v>Safe Management of blood and body fluids</v>
      </c>
      <c r="E2862" s="5" t="str">
        <f>_xlfn.XLOOKUP(role_course_map[[#This Row],[course_id]],course_data[course_id],course_data[topic],"")</f>
        <v>SAS : Infection Prevention and Control (IPC)</v>
      </c>
      <c r="F2862" s="5" t="str">
        <f>_xlfn.XLOOKUP(role_course_map[[#This Row],[course_id]],course_data[course_id],course_data[type],"")</f>
        <v>eLearning</v>
      </c>
      <c r="K2862" t="str">
        <f>role_course_map[[#This Row],[role_id]] &amp; "|" &amp; role_course_map[[#This Row],[course_id]]</f>
        <v>R0101|89160</v>
      </c>
      <c r="L2862" t="str">
        <f>IF(COUNTIF(role_course_map[mapping_key],role_course_map[[#This Row],[mapping_key]])&gt;1,"DUPLICATE","OK")</f>
        <v>OK</v>
      </c>
      <c r="M2862" t="str">
        <f>IF(COUNTIF(role_data[role_id],role_course_map[[#This Row],[role_id]])=0, "INVALID","VALID")</f>
        <v>VALID</v>
      </c>
      <c r="N2862" t="str">
        <f>IF(COUNTIF(course_data[course_id],role_course_map[[#This Row],[course_id]])=0, "INVALID","VALID")</f>
        <v>VALID</v>
      </c>
    </row>
    <row r="2863" spans="1:14" x14ac:dyDescent="0.35">
      <c r="A2863" t="s">
        <v>216</v>
      </c>
      <c r="B2863" s="5" t="str">
        <f>_xlfn.XLOOKUP(role_course_map[[#This Row],[role_id]], role_data[role_id], role_data[Role],"")</f>
        <v>CBRNe Instructor</v>
      </c>
      <c r="C2863">
        <v>89154</v>
      </c>
      <c r="D2863" s="5" t="str">
        <f>_xlfn.XLOOKUP(role_course_map[[#This Row],[course_id]],course_data[course_id],course_data[title],"")</f>
        <v>Safe disposal of waste</v>
      </c>
      <c r="E2863" s="5" t="str">
        <f>_xlfn.XLOOKUP(role_course_map[[#This Row],[course_id]],course_data[course_id],course_data[topic],"")</f>
        <v>SAS : Infection Prevention and Control (IPC)</v>
      </c>
      <c r="F2863" s="5" t="str">
        <f>_xlfn.XLOOKUP(role_course_map[[#This Row],[course_id]],course_data[course_id],course_data[type],"")</f>
        <v>eLearning</v>
      </c>
      <c r="K2863" t="str">
        <f>role_course_map[[#This Row],[role_id]] &amp; "|" &amp; role_course_map[[#This Row],[course_id]]</f>
        <v>R0101|89154</v>
      </c>
      <c r="L2863" t="str">
        <f>IF(COUNTIF(role_course_map[mapping_key],role_course_map[[#This Row],[mapping_key]])&gt;1,"DUPLICATE","OK")</f>
        <v>OK</v>
      </c>
      <c r="M2863" t="str">
        <f>IF(COUNTIF(role_data[role_id],role_course_map[[#This Row],[role_id]])=0, "INVALID","VALID")</f>
        <v>VALID</v>
      </c>
      <c r="N2863" t="str">
        <f>IF(COUNTIF(course_data[course_id],role_course_map[[#This Row],[course_id]])=0, "INVALID","VALID")</f>
        <v>VALID</v>
      </c>
    </row>
    <row r="2864" spans="1:14" x14ac:dyDescent="0.35">
      <c r="A2864" t="s">
        <v>216</v>
      </c>
      <c r="B2864" s="5" t="str">
        <f>_xlfn.XLOOKUP(role_course_map[[#This Row],[role_id]], role_data[role_id], role_data[Role],"")</f>
        <v>CBRNe Instructor</v>
      </c>
      <c r="C2864">
        <v>89155</v>
      </c>
      <c r="D2864" s="5" t="str">
        <f>_xlfn.XLOOKUP(role_course_map[[#This Row],[course_id]],course_data[course_id],course_data[title],"")</f>
        <v>Prevention &amp; management of occupational exposure</v>
      </c>
      <c r="E2864" s="5" t="str">
        <f>_xlfn.XLOOKUP(role_course_map[[#This Row],[course_id]],course_data[course_id],course_data[topic],"")</f>
        <v>SAS : Infection Prevention and Control (IPC)</v>
      </c>
      <c r="F2864" s="5" t="str">
        <f>_xlfn.XLOOKUP(role_course_map[[#This Row],[course_id]],course_data[course_id],course_data[type],"")</f>
        <v>eLearning</v>
      </c>
      <c r="K2864" t="str">
        <f>role_course_map[[#This Row],[role_id]] &amp; "|" &amp; role_course_map[[#This Row],[course_id]]</f>
        <v>R0101|89155</v>
      </c>
      <c r="L2864" t="str">
        <f>IF(COUNTIF(role_course_map[mapping_key],role_course_map[[#This Row],[mapping_key]])&gt;1,"DUPLICATE","OK")</f>
        <v>OK</v>
      </c>
      <c r="M2864" t="str">
        <f>IF(COUNTIF(role_data[role_id],role_course_map[[#This Row],[role_id]])=0, "INVALID","VALID")</f>
        <v>VALID</v>
      </c>
      <c r="N2864" t="str">
        <f>IF(COUNTIF(course_data[course_id],role_course_map[[#This Row],[course_id]])=0, "INVALID","VALID")</f>
        <v>VALID</v>
      </c>
    </row>
    <row r="2865" spans="1:14" x14ac:dyDescent="0.35">
      <c r="A2865" t="s">
        <v>216</v>
      </c>
      <c r="B2865" s="5" t="str">
        <f>_xlfn.XLOOKUP(role_course_map[[#This Row],[role_id]], role_data[role_id], role_data[Role],"")</f>
        <v>CBRNe Instructor</v>
      </c>
      <c r="C2865">
        <v>999064</v>
      </c>
      <c r="D2865" s="5" t="str">
        <f>_xlfn.XLOOKUP(role_course_map[[#This Row],[course_id]],course_data[course_id],course_data[title],"")</f>
        <v>Infection prevention and control: Clostridioides difficile infection</v>
      </c>
      <c r="E2865" s="5" t="str">
        <f>_xlfn.XLOOKUP(role_course_map[[#This Row],[course_id]],course_data[course_id],course_data[topic],"")</f>
        <v>SAS : Infection Prevention and Control (IPC)</v>
      </c>
      <c r="F2865" s="5" t="str">
        <f>_xlfn.XLOOKUP(role_course_map[[#This Row],[course_id]],course_data[course_id],course_data[type],"")</f>
        <v>eLearning</v>
      </c>
      <c r="K2865" t="str">
        <f>role_course_map[[#This Row],[role_id]] &amp; "|" &amp; role_course_map[[#This Row],[course_id]]</f>
        <v>R0101|999064</v>
      </c>
      <c r="L2865" t="str">
        <f>IF(COUNTIF(role_course_map[mapping_key],role_course_map[[#This Row],[mapping_key]])&gt;1,"DUPLICATE","OK")</f>
        <v>OK</v>
      </c>
      <c r="M2865" t="str">
        <f>IF(COUNTIF(role_data[role_id],role_course_map[[#This Row],[role_id]])=0, "INVALID","VALID")</f>
        <v>VALID</v>
      </c>
      <c r="N2865" t="str">
        <f>IF(COUNTIF(course_data[course_id],role_course_map[[#This Row],[course_id]])=0, "INVALID","VALID")</f>
        <v>VALID</v>
      </c>
    </row>
    <row r="2866" spans="1:14" x14ac:dyDescent="0.35">
      <c r="A2866" t="s">
        <v>216</v>
      </c>
      <c r="B2866" s="5" t="str">
        <f>_xlfn.XLOOKUP(role_course_map[[#This Row],[role_id]], role_data[role_id], role_data[Role],"")</f>
        <v>CBRNe Instructor</v>
      </c>
      <c r="C2866">
        <v>3588</v>
      </c>
      <c r="D2866" s="5" t="str">
        <f>_xlfn.XLOOKUP(role_course_map[[#This Row],[course_id]],course_data[course_id],course_data[title],"")</f>
        <v>Antibiotic management</v>
      </c>
      <c r="E2866" s="5" t="str">
        <f>_xlfn.XLOOKUP(role_course_map[[#This Row],[course_id]],course_data[course_id],course_data[topic],"")</f>
        <v>SAS : Clinical Practice</v>
      </c>
      <c r="F2866" s="5" t="str">
        <f>_xlfn.XLOOKUP(role_course_map[[#This Row],[course_id]],course_data[course_id],course_data[type],"")</f>
        <v>Page</v>
      </c>
      <c r="K2866" t="str">
        <f>role_course_map[[#This Row],[role_id]] &amp; "|" &amp; role_course_map[[#This Row],[course_id]]</f>
        <v>R0101|3588</v>
      </c>
      <c r="L2866" t="str">
        <f>IF(COUNTIF(role_course_map[mapping_key],role_course_map[[#This Row],[mapping_key]])&gt;1,"DUPLICATE","OK")</f>
        <v>OK</v>
      </c>
      <c r="M2866" t="str">
        <f>IF(COUNTIF(role_data[role_id],role_course_map[[#This Row],[role_id]])=0, "INVALID","VALID")</f>
        <v>VALID</v>
      </c>
      <c r="N2866" t="str">
        <f>IF(COUNTIF(course_data[course_id],role_course_map[[#This Row],[course_id]])=0, "INVALID","VALID")</f>
        <v>VALID</v>
      </c>
    </row>
    <row r="2867" spans="1:14" x14ac:dyDescent="0.35">
      <c r="A2867" t="s">
        <v>216</v>
      </c>
      <c r="B2867" s="5" t="str">
        <f>_xlfn.XLOOKUP(role_course_map[[#This Row],[role_id]], role_data[role_id], role_data[Role],"")</f>
        <v>CBRNe Instructor</v>
      </c>
      <c r="C2867">
        <v>82383</v>
      </c>
      <c r="D2867" s="5" t="str">
        <f>_xlfn.XLOOKUP(role_course_map[[#This Row],[course_id]],course_data[course_id],course_data[title],"")</f>
        <v>Aseptic technique</v>
      </c>
      <c r="E2867" s="5" t="str">
        <f>_xlfn.XLOOKUP(role_course_map[[#This Row],[course_id]],course_data[course_id],course_data[topic],"")</f>
        <v>SAS : Infection Prevention and Control (IPC)</v>
      </c>
      <c r="F2867" s="5" t="str">
        <f>_xlfn.XLOOKUP(role_course_map[[#This Row],[course_id]],course_data[course_id],course_data[type],"")</f>
        <v>eLearning</v>
      </c>
      <c r="K2867" t="str">
        <f>role_course_map[[#This Row],[role_id]] &amp; "|" &amp; role_course_map[[#This Row],[course_id]]</f>
        <v>R0101|82383</v>
      </c>
      <c r="L2867" t="str">
        <f>IF(COUNTIF(role_course_map[mapping_key],role_course_map[[#This Row],[mapping_key]])&gt;1,"DUPLICATE","OK")</f>
        <v>OK</v>
      </c>
      <c r="M2867" t="str">
        <f>IF(COUNTIF(role_data[role_id],role_course_map[[#This Row],[role_id]])=0, "INVALID","VALID")</f>
        <v>VALID</v>
      </c>
      <c r="N2867" t="str">
        <f>IF(COUNTIF(course_data[course_id],role_course_map[[#This Row],[course_id]])=0, "INVALID","VALID")</f>
        <v>VALID</v>
      </c>
    </row>
    <row r="2868" spans="1:14" x14ac:dyDescent="0.35">
      <c r="A2868" t="s">
        <v>216</v>
      </c>
      <c r="B2868" s="5" t="str">
        <f>_xlfn.XLOOKUP(role_course_map[[#This Row],[role_id]], role_data[role_id], role_data[Role],"")</f>
        <v>CBRNe Instructor</v>
      </c>
      <c r="C2868">
        <v>3886</v>
      </c>
      <c r="D2868" s="5" t="str">
        <f>_xlfn.XLOOKUP(role_course_map[[#This Row],[course_id]],course_data[course_id],course_data[title],"")</f>
        <v>Prevention and management of pressure ulcers</v>
      </c>
      <c r="E2868" s="5" t="str">
        <f>_xlfn.XLOOKUP(role_course_map[[#This Row],[course_id]],course_data[course_id],course_data[topic],"")</f>
        <v>SAS : Clinical Practice</v>
      </c>
      <c r="F2868" s="5" t="str">
        <f>_xlfn.XLOOKUP(role_course_map[[#This Row],[course_id]],course_data[course_id],course_data[type],"")</f>
        <v>Page</v>
      </c>
      <c r="K2868" t="str">
        <f>role_course_map[[#This Row],[role_id]] &amp; "|" &amp; role_course_map[[#This Row],[course_id]]</f>
        <v>R0101|3886</v>
      </c>
      <c r="L2868" t="str">
        <f>IF(COUNTIF(role_course_map[mapping_key],role_course_map[[#This Row],[mapping_key]])&gt;1,"DUPLICATE","OK")</f>
        <v>OK</v>
      </c>
      <c r="M2868" t="str">
        <f>IF(COUNTIF(role_data[role_id],role_course_map[[#This Row],[role_id]])=0, "INVALID","VALID")</f>
        <v>VALID</v>
      </c>
      <c r="N2868" t="str">
        <f>IF(COUNTIF(course_data[course_id],role_course_map[[#This Row],[course_id]])=0, "INVALID","VALID")</f>
        <v>VALID</v>
      </c>
    </row>
    <row r="2869" spans="1:14" x14ac:dyDescent="0.35">
      <c r="A2869" t="s">
        <v>216</v>
      </c>
      <c r="B2869" s="5" t="str">
        <f>_xlfn.XLOOKUP(role_course_map[[#This Row],[role_id]], role_data[role_id], role_data[Role],"")</f>
        <v>CBRNe Instructor</v>
      </c>
      <c r="C2869">
        <v>999092</v>
      </c>
      <c r="D2869" s="5" t="str">
        <f>_xlfn.XLOOKUP(role_course_map[[#This Row],[course_id]],course_data[course_id],course_data[title],"")</f>
        <v>Health &amp; Wellbeing Awareness for Managers</v>
      </c>
      <c r="E2869" s="5" t="str">
        <f>_xlfn.XLOOKUP(role_course_map[[#This Row],[course_id]],course_data[course_id],course_data[topic],"")</f>
        <v>SAS: Staff development and experience</v>
      </c>
      <c r="F2869" s="5" t="str">
        <f>_xlfn.XLOOKUP(role_course_map[[#This Row],[course_id]],course_data[course_id],course_data[type],"")</f>
        <v>eLearning</v>
      </c>
      <c r="K2869" t="str">
        <f>role_course_map[[#This Row],[role_id]] &amp; "|" &amp; role_course_map[[#This Row],[course_id]]</f>
        <v>R0101|999092</v>
      </c>
      <c r="L2869" t="str">
        <f>IF(COUNTIF(role_course_map[mapping_key],role_course_map[[#This Row],[mapping_key]])&gt;1,"DUPLICATE","OK")</f>
        <v>OK</v>
      </c>
      <c r="M2869" t="str">
        <f>IF(COUNTIF(role_data[role_id],role_course_map[[#This Row],[role_id]])=0, "INVALID","VALID")</f>
        <v>VALID</v>
      </c>
      <c r="N2869" t="str">
        <f>IF(COUNTIF(course_data[course_id],role_course_map[[#This Row],[course_id]])=0, "INVALID","VALID")</f>
        <v>VALID</v>
      </c>
    </row>
    <row r="2870" spans="1:14" x14ac:dyDescent="0.35">
      <c r="A2870" t="s">
        <v>216</v>
      </c>
      <c r="B2870" s="5" t="str">
        <f>_xlfn.XLOOKUP(role_course_map[[#This Row],[role_id]], role_data[role_id], role_data[Role],"")</f>
        <v>CBRNe Instructor</v>
      </c>
      <c r="C2870">
        <v>999093</v>
      </c>
      <c r="D2870" s="5" t="str">
        <f>_xlfn.XLOOKUP(role_course_map[[#This Row],[course_id]],course_data[course_id],course_data[title],"")</f>
        <v>Managing Wellbeing Refresher for Managers</v>
      </c>
      <c r="E2870" s="5" t="str">
        <f>_xlfn.XLOOKUP(role_course_map[[#This Row],[course_id]],course_data[course_id],course_data[topic],"")</f>
        <v>SAS: Staff development and experience</v>
      </c>
      <c r="F2870" s="5" t="str">
        <f>_xlfn.XLOOKUP(role_course_map[[#This Row],[course_id]],course_data[course_id],course_data[type],"")</f>
        <v>eLearning</v>
      </c>
      <c r="K2870" t="str">
        <f>role_course_map[[#This Row],[role_id]] &amp; "|" &amp; role_course_map[[#This Row],[course_id]]</f>
        <v>R0101|999093</v>
      </c>
      <c r="L2870" t="str">
        <f>IF(COUNTIF(role_course_map[mapping_key],role_course_map[[#This Row],[mapping_key]])&gt;1,"DUPLICATE","OK")</f>
        <v>OK</v>
      </c>
      <c r="M2870" t="str">
        <f>IF(COUNTIF(role_data[role_id],role_course_map[[#This Row],[role_id]])=0, "INVALID","VALID")</f>
        <v>VALID</v>
      </c>
      <c r="N2870" t="str">
        <f>IF(COUNTIF(course_data[course_id],role_course_map[[#This Row],[course_id]])=0, "INVALID","VALID")</f>
        <v>VALID</v>
      </c>
    </row>
    <row r="2871" spans="1:14" x14ac:dyDescent="0.35">
      <c r="A2871" t="s">
        <v>216</v>
      </c>
      <c r="B2871" s="5" t="str">
        <f>_xlfn.XLOOKUP(role_course_map[[#This Row],[role_id]], role_data[role_id], role_data[Role],"")</f>
        <v>CBRNe Instructor</v>
      </c>
      <c r="C2871">
        <v>999094</v>
      </c>
      <c r="D2871" s="5" t="str">
        <f>_xlfn.XLOOKUP(role_course_map[[#This Row],[course_id]],course_data[course_id],course_data[title],"")</f>
        <v>Being well, Mind, Body &amp; Workplace</v>
      </c>
      <c r="E2871" s="5" t="str">
        <f>_xlfn.XLOOKUP(role_course_map[[#This Row],[course_id]],course_data[course_id],course_data[topic],"")</f>
        <v>SAS: Staff development and experience</v>
      </c>
      <c r="F2871" s="5" t="str">
        <f>_xlfn.XLOOKUP(role_course_map[[#This Row],[course_id]],course_data[course_id],course_data[type],"")</f>
        <v>eLearning</v>
      </c>
      <c r="K2871" t="str">
        <f>role_course_map[[#This Row],[role_id]] &amp; "|" &amp; role_course_map[[#This Row],[course_id]]</f>
        <v>R0101|999094</v>
      </c>
      <c r="L2871" t="str">
        <f>IF(COUNTIF(role_course_map[mapping_key],role_course_map[[#This Row],[mapping_key]])&gt;1,"DUPLICATE","OK")</f>
        <v>OK</v>
      </c>
      <c r="M2871" t="str">
        <f>IF(COUNTIF(role_data[role_id],role_course_map[[#This Row],[role_id]])=0, "INVALID","VALID")</f>
        <v>VALID</v>
      </c>
      <c r="N2871" t="str">
        <f>IF(COUNTIF(course_data[course_id],role_course_map[[#This Row],[course_id]])=0, "INVALID","VALID")</f>
        <v>VALID</v>
      </c>
    </row>
    <row r="2872" spans="1:14" x14ac:dyDescent="0.35">
      <c r="A2872" t="s">
        <v>216</v>
      </c>
      <c r="B2872" s="5" t="str">
        <f>_xlfn.XLOOKUP(role_course_map[[#This Row],[role_id]], role_data[role_id], role_data[Role],"")</f>
        <v>CBRNe Instructor</v>
      </c>
      <c r="D2872" s="5" t="s">
        <v>1062</v>
      </c>
      <c r="E2872" s="5" t="str">
        <f>_xlfn.XLOOKUP(role_course_map[[#This Row],[course_id]],course_data[course_id],course_data[topic],"")</f>
        <v/>
      </c>
      <c r="F2872" s="5" t="str">
        <f>_xlfn.XLOOKUP(role_course_map[[#This Row],[course_id]],course_data[course_id],course_data[type],"")</f>
        <v/>
      </c>
      <c r="K2872" t="str">
        <f>role_course_map[[#This Row],[role_id]] &amp; "|" &amp; role_course_map[[#This Row],[course_id]]</f>
        <v>R0101|</v>
      </c>
      <c r="L2872" t="str">
        <f>IF(COUNTIF(role_course_map[mapping_key],role_course_map[[#This Row],[mapping_key]])&gt;1,"DUPLICATE","OK")</f>
        <v>OK</v>
      </c>
      <c r="M2872" t="str">
        <f>IF(COUNTIF(role_data[role_id],role_course_map[[#This Row],[role_id]])=0, "INVALID","VALID")</f>
        <v>VALID</v>
      </c>
      <c r="N2872" t="str">
        <f>IF(COUNTIF(course_data[course_id],role_course_map[[#This Row],[course_id]])=0, "INVALID","VALID")</f>
        <v>INVALID</v>
      </c>
    </row>
    <row r="2873" spans="1:14" x14ac:dyDescent="0.35">
      <c r="A2873" t="s">
        <v>216</v>
      </c>
      <c r="B2873" s="5" t="str">
        <f>_xlfn.XLOOKUP(role_course_map[[#This Row],[role_id]], role_data[role_id], role_data[Role],"")</f>
        <v>CBRNe Instructor</v>
      </c>
      <c r="C2873">
        <v>82211</v>
      </c>
      <c r="D2873" s="5" t="str">
        <f>_xlfn.XLOOKUP(role_course_map[[#This Row],[course_id]],course_data[course_id],course_data[title],"")</f>
        <v>MTA Command &amp; Control</v>
      </c>
      <c r="E2873" s="5" t="str">
        <f>_xlfn.XLOOKUP(role_course_map[[#This Row],[course_id]],course_data[course_id],course_data[topic],"")</f>
        <v>SAS : National Risk and Resilience Department (NRRD)</v>
      </c>
      <c r="F2873" s="5" t="str">
        <f>_xlfn.XLOOKUP(role_course_map[[#This Row],[course_id]],course_data[course_id],course_data[type],"")</f>
        <v>eLearning</v>
      </c>
      <c r="K2873" t="str">
        <f>role_course_map[[#This Row],[role_id]] &amp; "|" &amp; role_course_map[[#This Row],[course_id]]</f>
        <v>R0101|82211</v>
      </c>
      <c r="L2873" t="str">
        <f>IF(COUNTIF(role_course_map[mapping_key],role_course_map[[#This Row],[mapping_key]])&gt;1,"DUPLICATE","OK")</f>
        <v>OK</v>
      </c>
      <c r="M2873" t="str">
        <f>IF(COUNTIF(role_data[role_id],role_course_map[[#This Row],[role_id]])=0, "INVALID","VALID")</f>
        <v>VALID</v>
      </c>
      <c r="N2873" t="str">
        <f>IF(COUNTIF(course_data[course_id],role_course_map[[#This Row],[course_id]])=0, "INVALID","VALID")</f>
        <v>VALID</v>
      </c>
    </row>
    <row r="2874" spans="1:14" x14ac:dyDescent="0.35">
      <c r="A2874" t="s">
        <v>216</v>
      </c>
      <c r="B2874" s="5" t="str">
        <f>_xlfn.XLOOKUP(role_course_map[[#This Row],[role_id]], role_data[role_id], role_data[Role],"")</f>
        <v>CBRNe Instructor</v>
      </c>
      <c r="C2874">
        <v>999067</v>
      </c>
      <c r="D2874" s="5" t="str">
        <f>_xlfn.XLOOKUP(role_course_map[[#This Row],[course_id]],course_data[course_id],course_data[title],"")</f>
        <v>Major incident awareness - Course overview</v>
      </c>
      <c r="E2874" s="5" t="str">
        <f>_xlfn.XLOOKUP(role_course_map[[#This Row],[course_id]],course_data[course_id],course_data[topic],"")</f>
        <v>SAS : National Risk and Resilience Department (NRRD)</v>
      </c>
      <c r="F2874" s="5" t="str">
        <f>_xlfn.XLOOKUP(role_course_map[[#This Row],[course_id]],course_data[course_id],course_data[type],"")</f>
        <v>eLearning</v>
      </c>
      <c r="K2874" t="str">
        <f>role_course_map[[#This Row],[role_id]] &amp; "|" &amp; role_course_map[[#This Row],[course_id]]</f>
        <v>R0101|999067</v>
      </c>
      <c r="L2874" t="str">
        <f>IF(COUNTIF(role_course_map[mapping_key],role_course_map[[#This Row],[mapping_key]])&gt;1,"DUPLICATE","OK")</f>
        <v>OK</v>
      </c>
      <c r="M2874" t="str">
        <f>IF(COUNTIF(role_data[role_id],role_course_map[[#This Row],[role_id]])=0, "INVALID","VALID")</f>
        <v>VALID</v>
      </c>
      <c r="N2874" t="str">
        <f>IF(COUNTIF(course_data[course_id],role_course_map[[#This Row],[course_id]])=0, "INVALID","VALID")</f>
        <v>VALID</v>
      </c>
    </row>
    <row r="2875" spans="1:14" x14ac:dyDescent="0.35">
      <c r="A2875" t="s">
        <v>216</v>
      </c>
      <c r="B2875" s="5" t="str">
        <f>_xlfn.XLOOKUP(role_course_map[[#This Row],[role_id]], role_data[role_id], role_data[Role],"")</f>
        <v>CBRNe Instructor</v>
      </c>
      <c r="C2875">
        <v>999068</v>
      </c>
      <c r="D2875" s="5" t="str">
        <f>_xlfn.XLOOKUP(role_course_map[[#This Row],[course_id]],course_data[course_id],course_data[title],"")</f>
        <v xml:space="preserve">Major incident awareness for responders </v>
      </c>
      <c r="E2875" s="5" t="str">
        <f>_xlfn.XLOOKUP(role_course_map[[#This Row],[course_id]],course_data[course_id],course_data[topic],"")</f>
        <v>SAS : National Risk and Resilience Department (NRRD)</v>
      </c>
      <c r="F2875" s="5" t="str">
        <f>_xlfn.XLOOKUP(role_course_map[[#This Row],[course_id]],course_data[course_id],course_data[type],"")</f>
        <v>eLearning</v>
      </c>
      <c r="K2875" t="str">
        <f>role_course_map[[#This Row],[role_id]] &amp; "|" &amp; role_course_map[[#This Row],[course_id]]</f>
        <v>R0101|999068</v>
      </c>
      <c r="L2875" t="str">
        <f>IF(COUNTIF(role_course_map[mapping_key],role_course_map[[#This Row],[mapping_key]])&gt;1,"DUPLICATE","OK")</f>
        <v>OK</v>
      </c>
      <c r="M2875" t="str">
        <f>IF(COUNTIF(role_data[role_id],role_course_map[[#This Row],[role_id]])=0, "INVALID","VALID")</f>
        <v>VALID</v>
      </c>
      <c r="N2875" t="str">
        <f>IF(COUNTIF(course_data[course_id],role_course_map[[#This Row],[course_id]])=0, "INVALID","VALID")</f>
        <v>VALID</v>
      </c>
    </row>
    <row r="2876" spans="1:14" x14ac:dyDescent="0.35">
      <c r="A2876" t="s">
        <v>216</v>
      </c>
      <c r="B2876" s="5" t="str">
        <f>_xlfn.XLOOKUP(role_course_map[[#This Row],[role_id]], role_data[role_id], role_data[Role],"")</f>
        <v>CBRNe Instructor</v>
      </c>
      <c r="C2876">
        <v>999069</v>
      </c>
      <c r="D2876" s="5" t="str">
        <f>_xlfn.XLOOKUP(role_course_map[[#This Row],[course_id]],course_data[course_id],course_data[title],"")</f>
        <v>Non-specialist MTFA response (JOPS3)</v>
      </c>
      <c r="E2876" s="5" t="str">
        <f>_xlfn.XLOOKUP(role_course_map[[#This Row],[course_id]],course_data[course_id],course_data[topic],"")</f>
        <v>SAS : National Risk and Resilience Department (NRRD)</v>
      </c>
      <c r="F2876" s="5" t="str">
        <f>_xlfn.XLOOKUP(role_course_map[[#This Row],[course_id]],course_data[course_id],course_data[type],"")</f>
        <v>eLearning</v>
      </c>
      <c r="K2876" t="str">
        <f>role_course_map[[#This Row],[role_id]] &amp; "|" &amp; role_course_map[[#This Row],[course_id]]</f>
        <v>R0101|999069</v>
      </c>
      <c r="L2876" t="str">
        <f>IF(COUNTIF(role_course_map[mapping_key],role_course_map[[#This Row],[mapping_key]])&gt;1,"DUPLICATE","OK")</f>
        <v>OK</v>
      </c>
      <c r="M2876" t="str">
        <f>IF(COUNTIF(role_data[role_id],role_course_map[[#This Row],[role_id]])=0, "INVALID","VALID")</f>
        <v>VALID</v>
      </c>
      <c r="N2876" t="str">
        <f>IF(COUNTIF(course_data[course_id],role_course_map[[#This Row],[course_id]])=0, "INVALID","VALID")</f>
        <v>VALID</v>
      </c>
    </row>
    <row r="2877" spans="1:14" x14ac:dyDescent="0.35">
      <c r="A2877" t="s">
        <v>216</v>
      </c>
      <c r="B2877" s="5" t="str">
        <f>_xlfn.XLOOKUP(role_course_map[[#This Row],[role_id]], role_data[role_id], role_data[Role],"")</f>
        <v>CBRNe Instructor</v>
      </c>
      <c r="C2877">
        <v>999070</v>
      </c>
      <c r="D2877" s="5" t="str">
        <f>_xlfn.XLOOKUP(role_course_map[[#This Row],[course_id]],course_data[course_id],course_data[title],"")</f>
        <v xml:space="preserve">SAS: JESIP (NEW) </v>
      </c>
      <c r="E2877" s="5" t="str">
        <f>_xlfn.XLOOKUP(role_course_map[[#This Row],[course_id]],course_data[course_id],course_data[topic],"")</f>
        <v>SAS : National Risk and Resilience Department (NRRD)</v>
      </c>
      <c r="F2877" s="5" t="str">
        <f>_xlfn.XLOOKUP(role_course_map[[#This Row],[course_id]],course_data[course_id],course_data[type],"")</f>
        <v>eLearning</v>
      </c>
      <c r="K2877" t="str">
        <f>role_course_map[[#This Row],[role_id]] &amp; "|" &amp; role_course_map[[#This Row],[course_id]]</f>
        <v>R0101|999070</v>
      </c>
      <c r="L2877" t="str">
        <f>IF(COUNTIF(role_course_map[mapping_key],role_course_map[[#This Row],[mapping_key]])&gt;1,"DUPLICATE","OK")</f>
        <v>OK</v>
      </c>
      <c r="M2877" t="str">
        <f>IF(COUNTIF(role_data[role_id],role_course_map[[#This Row],[role_id]])=0, "INVALID","VALID")</f>
        <v>VALID</v>
      </c>
      <c r="N2877" t="str">
        <f>IF(COUNTIF(course_data[course_id],role_course_map[[#This Row],[course_id]])=0, "INVALID","VALID")</f>
        <v>VALID</v>
      </c>
    </row>
    <row r="2878" spans="1:14" x14ac:dyDescent="0.35">
      <c r="A2878" t="s">
        <v>215</v>
      </c>
      <c r="B2878" s="5" t="str">
        <f>_xlfn.XLOOKUP(role_course_map[[#This Row],[role_id]], role_data[role_id], role_data[Role],"")</f>
        <v>Business Support Manager</v>
      </c>
      <c r="C2878">
        <v>999056</v>
      </c>
      <c r="D2878" s="5" t="str">
        <f>_xlfn.XLOOKUP(role_course_map[[#This Row],[course_id]],course_data[course_id],course_data[title],"")</f>
        <v>Driver Assessment &amp; Training</v>
      </c>
      <c r="E2878" s="5" t="str">
        <f>_xlfn.XLOOKUP(role_course_map[[#This Row],[course_id]],course_data[course_id],course_data[topic],"")</f>
        <v>SAS : Health and Safety</v>
      </c>
      <c r="F2878" s="5" t="str">
        <f>_xlfn.XLOOKUP(role_course_map[[#This Row],[course_id]],course_data[course_id],course_data[type],"")</f>
        <v>eLearning</v>
      </c>
      <c r="K2878" t="str">
        <f>role_course_map[[#This Row],[role_id]] &amp; "|" &amp; role_course_map[[#This Row],[course_id]]</f>
        <v>R0100|999056</v>
      </c>
      <c r="L2878" t="str">
        <f>IF(COUNTIF(role_course_map[mapping_key],role_course_map[[#This Row],[mapping_key]])&gt;1,"DUPLICATE","OK")</f>
        <v>OK</v>
      </c>
      <c r="M2878" t="str">
        <f>IF(COUNTIF(role_data[role_id],role_course_map[[#This Row],[role_id]])=0, "INVALID","VALID")</f>
        <v>VALID</v>
      </c>
      <c r="N2878" t="str">
        <f>IF(COUNTIF(course_data[course_id],role_course_map[[#This Row],[course_id]])=0, "INVALID","VALID")</f>
        <v>VALID</v>
      </c>
    </row>
    <row r="2879" spans="1:14" x14ac:dyDescent="0.35">
      <c r="A2879" t="s">
        <v>215</v>
      </c>
      <c r="B2879" s="5" t="str">
        <f>_xlfn.XLOOKUP(role_course_map[[#This Row],[role_id]], role_data[role_id], role_data[Role],"")</f>
        <v>Business Support Manager</v>
      </c>
      <c r="C2879">
        <v>999057</v>
      </c>
      <c r="D2879" s="5" t="str">
        <f>_xlfn.XLOOKUP(role_course_map[[#This Row],[course_id]],course_data[course_id],course_data[title],"")</f>
        <v>Fatigue Awareness</v>
      </c>
      <c r="E2879" s="5" t="str">
        <f>_xlfn.XLOOKUP(role_course_map[[#This Row],[course_id]],course_data[course_id],course_data[topic],"")</f>
        <v>SAS : Health and Safety</v>
      </c>
      <c r="F2879" s="5" t="str">
        <f>_xlfn.XLOOKUP(role_course_map[[#This Row],[course_id]],course_data[course_id],course_data[type],"")</f>
        <v>eLearning</v>
      </c>
      <c r="K2879" t="str">
        <f>role_course_map[[#This Row],[role_id]] &amp; "|" &amp; role_course_map[[#This Row],[course_id]]</f>
        <v>R0100|999057</v>
      </c>
      <c r="L2879" t="str">
        <f>IF(COUNTIF(role_course_map[mapping_key],role_course_map[[#This Row],[mapping_key]])&gt;1,"DUPLICATE","OK")</f>
        <v>OK</v>
      </c>
      <c r="M2879" t="str">
        <f>IF(COUNTIF(role_data[role_id],role_course_map[[#This Row],[role_id]])=0, "INVALID","VALID")</f>
        <v>VALID</v>
      </c>
      <c r="N2879" t="str">
        <f>IF(COUNTIF(course_data[course_id],role_course_map[[#This Row],[course_id]])=0, "INVALID","VALID")</f>
        <v>VALID</v>
      </c>
    </row>
    <row r="2880" spans="1:14" x14ac:dyDescent="0.35">
      <c r="A2880" t="s">
        <v>215</v>
      </c>
      <c r="B2880" s="5" t="str">
        <f>_xlfn.XLOOKUP(role_course_map[[#This Row],[role_id]], role_data[role_id], role_data[Role],"")</f>
        <v>Business Support Manager</v>
      </c>
      <c r="C2880">
        <v>999058</v>
      </c>
      <c r="D2880" s="5" t="str">
        <f>_xlfn.XLOOKUP(role_course_map[[#This Row],[course_id]],course_data[course_id],course_data[title],"")</f>
        <v>Stress Identification &amp; Stress Management</v>
      </c>
      <c r="E2880" s="5" t="str">
        <f>_xlfn.XLOOKUP(role_course_map[[#This Row],[course_id]],course_data[course_id],course_data[topic],"")</f>
        <v>SAS : Health and Safety</v>
      </c>
      <c r="F2880" s="5" t="str">
        <f>_xlfn.XLOOKUP(role_course_map[[#This Row],[course_id]],course_data[course_id],course_data[type],"")</f>
        <v>eLearning</v>
      </c>
      <c r="K2880" t="str">
        <f>role_course_map[[#This Row],[role_id]] &amp; "|" &amp; role_course_map[[#This Row],[course_id]]</f>
        <v>R0100|999058</v>
      </c>
      <c r="L2880" t="str">
        <f>IF(COUNTIF(role_course_map[mapping_key],role_course_map[[#This Row],[mapping_key]])&gt;1,"DUPLICATE","OK")</f>
        <v>OK</v>
      </c>
      <c r="M2880" t="str">
        <f>IF(COUNTIF(role_data[role_id],role_course_map[[#This Row],[role_id]])=0, "INVALID","VALID")</f>
        <v>VALID</v>
      </c>
      <c r="N2880" t="str">
        <f>IF(COUNTIF(course_data[course_id],role_course_map[[#This Row],[course_id]])=0, "INVALID","VALID")</f>
        <v>VALID</v>
      </c>
    </row>
    <row r="2881" spans="1:14" x14ac:dyDescent="0.35">
      <c r="A2881" t="s">
        <v>215</v>
      </c>
      <c r="B2881" s="5" t="str">
        <f>_xlfn.XLOOKUP(role_course_map[[#This Row],[role_id]], role_data[role_id], role_data[Role],"")</f>
        <v>Business Support Manager</v>
      </c>
      <c r="C2881">
        <v>999061</v>
      </c>
      <c r="D2881" s="5" t="str">
        <f>_xlfn.XLOOKUP(role_course_map[[#This Row],[course_id]],course_data[course_id],course_data[title],"")</f>
        <v>Skin Awareness</v>
      </c>
      <c r="E2881" s="5" t="str">
        <f>_xlfn.XLOOKUP(role_course_map[[#This Row],[course_id]],course_data[course_id],course_data[topic],"")</f>
        <v>SAS : Health and Safety</v>
      </c>
      <c r="F2881" s="5" t="str">
        <f>_xlfn.XLOOKUP(role_course_map[[#This Row],[course_id]],course_data[course_id],course_data[type],"")</f>
        <v>eLearning</v>
      </c>
      <c r="K2881" t="str">
        <f>role_course_map[[#This Row],[role_id]] &amp; "|" &amp; role_course_map[[#This Row],[course_id]]</f>
        <v>R0100|999061</v>
      </c>
      <c r="L2881" t="str">
        <f>IF(COUNTIF(role_course_map[mapping_key],role_course_map[[#This Row],[mapping_key]])&gt;1,"DUPLICATE","OK")</f>
        <v>OK</v>
      </c>
      <c r="M2881" t="str">
        <f>IF(COUNTIF(role_data[role_id],role_course_map[[#This Row],[role_id]])=0, "INVALID","VALID")</f>
        <v>VALID</v>
      </c>
      <c r="N2881" t="str">
        <f>IF(COUNTIF(course_data[course_id],role_course_map[[#This Row],[course_id]])=0, "INVALID","VALID")</f>
        <v>VALID</v>
      </c>
    </row>
    <row r="2882" spans="1:14" x14ac:dyDescent="0.35">
      <c r="A2882" t="s">
        <v>215</v>
      </c>
      <c r="B2882" s="5" t="str">
        <f>_xlfn.XLOOKUP(role_course_map[[#This Row],[role_id]], role_data[role_id], role_data[Role],"")</f>
        <v>Business Support Manager</v>
      </c>
      <c r="C2882">
        <v>999092</v>
      </c>
      <c r="D2882" s="5" t="str">
        <f>_xlfn.XLOOKUP(role_course_map[[#This Row],[course_id]],course_data[course_id],course_data[title],"")</f>
        <v>Health &amp; Wellbeing Awareness for Managers</v>
      </c>
      <c r="E2882" s="5" t="str">
        <f>_xlfn.XLOOKUP(role_course_map[[#This Row],[course_id]],course_data[course_id],course_data[topic],"")</f>
        <v>SAS: Staff development and experience</v>
      </c>
      <c r="F2882" s="5" t="str">
        <f>_xlfn.XLOOKUP(role_course_map[[#This Row],[course_id]],course_data[course_id],course_data[type],"")</f>
        <v>eLearning</v>
      </c>
      <c r="K2882" t="str">
        <f>role_course_map[[#This Row],[role_id]] &amp; "|" &amp; role_course_map[[#This Row],[course_id]]</f>
        <v>R0100|999092</v>
      </c>
      <c r="L2882" t="str">
        <f>IF(COUNTIF(role_course_map[mapping_key],role_course_map[[#This Row],[mapping_key]])&gt;1,"DUPLICATE","OK")</f>
        <v>OK</v>
      </c>
      <c r="M2882" t="str">
        <f>IF(COUNTIF(role_data[role_id],role_course_map[[#This Row],[role_id]])=0, "INVALID","VALID")</f>
        <v>VALID</v>
      </c>
      <c r="N2882" t="str">
        <f>IF(COUNTIF(course_data[course_id],role_course_map[[#This Row],[course_id]])=0, "INVALID","VALID")</f>
        <v>VALID</v>
      </c>
    </row>
    <row r="2883" spans="1:14" x14ac:dyDescent="0.35">
      <c r="A2883" t="s">
        <v>215</v>
      </c>
      <c r="B2883" s="5" t="str">
        <f>_xlfn.XLOOKUP(role_course_map[[#This Row],[role_id]], role_data[role_id], role_data[Role],"")</f>
        <v>Business Support Manager</v>
      </c>
      <c r="C2883">
        <v>999093</v>
      </c>
      <c r="D2883" s="5" t="str">
        <f>_xlfn.XLOOKUP(role_course_map[[#This Row],[course_id]],course_data[course_id],course_data[title],"")</f>
        <v>Managing Wellbeing Refresher for Managers</v>
      </c>
      <c r="E2883" s="5" t="str">
        <f>_xlfn.XLOOKUP(role_course_map[[#This Row],[course_id]],course_data[course_id],course_data[topic],"")</f>
        <v>SAS: Staff development and experience</v>
      </c>
      <c r="F2883" s="5" t="str">
        <f>_xlfn.XLOOKUP(role_course_map[[#This Row],[course_id]],course_data[course_id],course_data[type],"")</f>
        <v>eLearning</v>
      </c>
      <c r="K2883" t="str">
        <f>role_course_map[[#This Row],[role_id]] &amp; "|" &amp; role_course_map[[#This Row],[course_id]]</f>
        <v>R0100|999093</v>
      </c>
      <c r="L2883" t="str">
        <f>IF(COUNTIF(role_course_map[mapping_key],role_course_map[[#This Row],[mapping_key]])&gt;1,"DUPLICATE","OK")</f>
        <v>OK</v>
      </c>
      <c r="M2883" t="str">
        <f>IF(COUNTIF(role_data[role_id],role_course_map[[#This Row],[role_id]])=0, "INVALID","VALID")</f>
        <v>VALID</v>
      </c>
      <c r="N2883" t="str">
        <f>IF(COUNTIF(course_data[course_id],role_course_map[[#This Row],[course_id]])=0, "INVALID","VALID")</f>
        <v>VALID</v>
      </c>
    </row>
    <row r="2884" spans="1:14" x14ac:dyDescent="0.35">
      <c r="A2884" t="s">
        <v>215</v>
      </c>
      <c r="B2884" s="5" t="str">
        <f>_xlfn.XLOOKUP(role_course_map[[#This Row],[role_id]], role_data[role_id], role_data[Role],"")</f>
        <v>Business Support Manager</v>
      </c>
      <c r="C2884">
        <v>999094</v>
      </c>
      <c r="D2884" s="5" t="str">
        <f>_xlfn.XLOOKUP(role_course_map[[#This Row],[course_id]],course_data[course_id],course_data[title],"")</f>
        <v>Being well, Mind, Body &amp; Workplace</v>
      </c>
      <c r="E2884" s="5" t="str">
        <f>_xlfn.XLOOKUP(role_course_map[[#This Row],[course_id]],course_data[course_id],course_data[topic],"")</f>
        <v>SAS: Staff development and experience</v>
      </c>
      <c r="F2884" s="5" t="str">
        <f>_xlfn.XLOOKUP(role_course_map[[#This Row],[course_id]],course_data[course_id],course_data[type],"")</f>
        <v>eLearning</v>
      </c>
      <c r="K2884" t="str">
        <f>role_course_map[[#This Row],[role_id]] &amp; "|" &amp; role_course_map[[#This Row],[course_id]]</f>
        <v>R0100|999094</v>
      </c>
      <c r="L2884" t="str">
        <f>IF(COUNTIF(role_course_map[mapping_key],role_course_map[[#This Row],[mapping_key]])&gt;1,"DUPLICATE","OK")</f>
        <v>OK</v>
      </c>
      <c r="M2884" t="str">
        <f>IF(COUNTIF(role_data[role_id],role_course_map[[#This Row],[role_id]])=0, "INVALID","VALID")</f>
        <v>VALID</v>
      </c>
      <c r="N2884" t="str">
        <f>IF(COUNTIF(course_data[course_id],role_course_map[[#This Row],[course_id]])=0, "INVALID","VALID")</f>
        <v>VALID</v>
      </c>
    </row>
    <row r="2885" spans="1:14" x14ac:dyDescent="0.35">
      <c r="A2885" t="s">
        <v>215</v>
      </c>
      <c r="B2885" s="5" t="str">
        <f>_xlfn.XLOOKUP(role_course_map[[#This Row],[role_id]], role_data[role_id], role_data[Role],"")</f>
        <v>Business Support Manager</v>
      </c>
      <c r="D2885" s="5" t="s">
        <v>1062</v>
      </c>
      <c r="E2885" s="5" t="str">
        <f>_xlfn.XLOOKUP(role_course_map[[#This Row],[course_id]],course_data[course_id],course_data[topic],"")</f>
        <v/>
      </c>
      <c r="F2885" s="5" t="str">
        <f>_xlfn.XLOOKUP(role_course_map[[#This Row],[course_id]],course_data[course_id],course_data[type],"")</f>
        <v/>
      </c>
      <c r="K2885" t="str">
        <f>role_course_map[[#This Row],[role_id]] &amp; "|" &amp; role_course_map[[#This Row],[course_id]]</f>
        <v>R0100|</v>
      </c>
      <c r="L2885" t="str">
        <f>IF(COUNTIF(role_course_map[mapping_key],role_course_map[[#This Row],[mapping_key]])&gt;1,"DUPLICATE","OK")</f>
        <v>OK</v>
      </c>
      <c r="M2885" t="str">
        <f>IF(COUNTIF(role_data[role_id],role_course_map[[#This Row],[role_id]])=0, "INVALID","VALID")</f>
        <v>VALID</v>
      </c>
      <c r="N2885" t="str">
        <f>IF(COUNTIF(course_data[course_id],role_course_map[[#This Row],[course_id]])=0, "INVALID","VALID")</f>
        <v>INVALID</v>
      </c>
    </row>
    <row r="2886" spans="1:14" x14ac:dyDescent="0.35">
      <c r="A2886" t="s">
        <v>215</v>
      </c>
      <c r="B2886" s="5" t="str">
        <f>_xlfn.XLOOKUP(role_course_map[[#This Row],[role_id]], role_data[role_id], role_data[Role],"")</f>
        <v>Business Support Manager</v>
      </c>
      <c r="C2886">
        <v>999067</v>
      </c>
      <c r="D2886" s="5" t="str">
        <f>_xlfn.XLOOKUP(role_course_map[[#This Row],[course_id]],course_data[course_id],course_data[title],"")</f>
        <v>Major incident awareness - Course overview</v>
      </c>
      <c r="E2886" s="5" t="str">
        <f>_xlfn.XLOOKUP(role_course_map[[#This Row],[course_id]],course_data[course_id],course_data[topic],"")</f>
        <v>SAS : National Risk and Resilience Department (NRRD)</v>
      </c>
      <c r="F2886" s="5" t="str">
        <f>_xlfn.XLOOKUP(role_course_map[[#This Row],[course_id]],course_data[course_id],course_data[type],"")</f>
        <v>eLearning</v>
      </c>
      <c r="K2886" t="str">
        <f>role_course_map[[#This Row],[role_id]] &amp; "|" &amp; role_course_map[[#This Row],[course_id]]</f>
        <v>R0100|999067</v>
      </c>
      <c r="L2886" t="str">
        <f>IF(COUNTIF(role_course_map[mapping_key],role_course_map[[#This Row],[mapping_key]])&gt;1,"DUPLICATE","OK")</f>
        <v>OK</v>
      </c>
      <c r="M2886" t="str">
        <f>IF(COUNTIF(role_data[role_id],role_course_map[[#This Row],[role_id]])=0, "INVALID","VALID")</f>
        <v>VALID</v>
      </c>
      <c r="N2886" t="str">
        <f>IF(COUNTIF(course_data[course_id],role_course_map[[#This Row],[course_id]])=0, "INVALID","VALID")</f>
        <v>VALID</v>
      </c>
    </row>
    <row r="2887" spans="1:14" x14ac:dyDescent="0.35">
      <c r="A2887" t="s">
        <v>215</v>
      </c>
      <c r="B2887" s="5" t="str">
        <f>_xlfn.XLOOKUP(role_course_map[[#This Row],[role_id]], role_data[role_id], role_data[Role],"")</f>
        <v>Business Support Manager</v>
      </c>
      <c r="C2887">
        <v>999070</v>
      </c>
      <c r="D2887" s="5" t="str">
        <f>_xlfn.XLOOKUP(role_course_map[[#This Row],[course_id]],course_data[course_id],course_data[title],"")</f>
        <v xml:space="preserve">SAS: JESIP (NEW) </v>
      </c>
      <c r="E2887" s="5" t="str">
        <f>_xlfn.XLOOKUP(role_course_map[[#This Row],[course_id]],course_data[course_id],course_data[topic],"")</f>
        <v>SAS : National Risk and Resilience Department (NRRD)</v>
      </c>
      <c r="F2887" s="5" t="str">
        <f>_xlfn.XLOOKUP(role_course_map[[#This Row],[course_id]],course_data[course_id],course_data[type],"")</f>
        <v>eLearning</v>
      </c>
      <c r="K2887" t="str">
        <f>role_course_map[[#This Row],[role_id]] &amp; "|" &amp; role_course_map[[#This Row],[course_id]]</f>
        <v>R0100|999070</v>
      </c>
      <c r="L2887" t="str">
        <f>IF(COUNTIF(role_course_map[mapping_key],role_course_map[[#This Row],[mapping_key]])&gt;1,"DUPLICATE","OK")</f>
        <v>OK</v>
      </c>
      <c r="M2887" t="str">
        <f>IF(COUNTIF(role_data[role_id],role_course_map[[#This Row],[role_id]])=0, "INVALID","VALID")</f>
        <v>VALID</v>
      </c>
      <c r="N2887" t="str">
        <f>IF(COUNTIF(course_data[course_id],role_course_map[[#This Row],[course_id]])=0, "INVALID","VALID")</f>
        <v>VALID</v>
      </c>
    </row>
    <row r="2888" spans="1:14" x14ac:dyDescent="0.35">
      <c r="A2888" t="s">
        <v>242</v>
      </c>
      <c r="B2888" s="5" t="str">
        <f>_xlfn.XLOOKUP(role_course_map[[#This Row],[role_id]], role_data[role_id], role_data[Role],"")</f>
        <v>Risk and Resilience Administrator</v>
      </c>
      <c r="C2888">
        <v>999056</v>
      </c>
      <c r="D2888" s="5" t="str">
        <f>_xlfn.XLOOKUP(role_course_map[[#This Row],[course_id]],course_data[course_id],course_data[title],"")</f>
        <v>Driver Assessment &amp; Training</v>
      </c>
      <c r="E2888" s="5" t="str">
        <f>_xlfn.XLOOKUP(role_course_map[[#This Row],[course_id]],course_data[course_id],course_data[topic],"")</f>
        <v>SAS : Health and Safety</v>
      </c>
      <c r="F2888" s="5" t="str">
        <f>_xlfn.XLOOKUP(role_course_map[[#This Row],[course_id]],course_data[course_id],course_data[type],"")</f>
        <v>eLearning</v>
      </c>
      <c r="K2888" t="str">
        <f>role_course_map[[#This Row],[role_id]] &amp; "|" &amp; role_course_map[[#This Row],[course_id]]</f>
        <v>R0114|999056</v>
      </c>
      <c r="L2888" t="str">
        <f>IF(COUNTIF(role_course_map[mapping_key],role_course_map[[#This Row],[mapping_key]])&gt;1,"DUPLICATE","OK")</f>
        <v>DUPLICATE</v>
      </c>
      <c r="M2888" t="str">
        <f>IF(COUNTIF(role_data[role_id],role_course_map[[#This Row],[role_id]])=0, "INVALID","VALID")</f>
        <v>VALID</v>
      </c>
      <c r="N2888" t="str">
        <f>IF(COUNTIF(course_data[course_id],role_course_map[[#This Row],[course_id]])=0, "INVALID","VALID")</f>
        <v>VALID</v>
      </c>
    </row>
    <row r="2889" spans="1:14" x14ac:dyDescent="0.35">
      <c r="A2889" t="s">
        <v>242</v>
      </c>
      <c r="B2889" s="5" t="str">
        <f>_xlfn.XLOOKUP(role_course_map[[#This Row],[role_id]], role_data[role_id], role_data[Role],"")</f>
        <v>Risk and Resilience Administrator</v>
      </c>
      <c r="C2889">
        <v>999057</v>
      </c>
      <c r="D2889" s="5" t="str">
        <f>_xlfn.XLOOKUP(role_course_map[[#This Row],[course_id]],course_data[course_id],course_data[title],"")</f>
        <v>Fatigue Awareness</v>
      </c>
      <c r="E2889" s="5" t="str">
        <f>_xlfn.XLOOKUP(role_course_map[[#This Row],[course_id]],course_data[course_id],course_data[topic],"")</f>
        <v>SAS : Health and Safety</v>
      </c>
      <c r="F2889" s="5" t="str">
        <f>_xlfn.XLOOKUP(role_course_map[[#This Row],[course_id]],course_data[course_id],course_data[type],"")</f>
        <v>eLearning</v>
      </c>
      <c r="K2889" t="str">
        <f>role_course_map[[#This Row],[role_id]] &amp; "|" &amp; role_course_map[[#This Row],[course_id]]</f>
        <v>R0114|999057</v>
      </c>
      <c r="L2889" t="str">
        <f>IF(COUNTIF(role_course_map[mapping_key],role_course_map[[#This Row],[mapping_key]])&gt;1,"DUPLICATE","OK")</f>
        <v>DUPLICATE</v>
      </c>
      <c r="M2889" t="str">
        <f>IF(COUNTIF(role_data[role_id],role_course_map[[#This Row],[role_id]])=0, "INVALID","VALID")</f>
        <v>VALID</v>
      </c>
      <c r="N2889" t="str">
        <f>IF(COUNTIF(course_data[course_id],role_course_map[[#This Row],[course_id]])=0, "INVALID","VALID")</f>
        <v>VALID</v>
      </c>
    </row>
    <row r="2890" spans="1:14" x14ac:dyDescent="0.35">
      <c r="A2890" t="s">
        <v>242</v>
      </c>
      <c r="B2890" s="5" t="str">
        <f>_xlfn.XLOOKUP(role_course_map[[#This Row],[role_id]], role_data[role_id], role_data[Role],"")</f>
        <v>Risk and Resilience Administrator</v>
      </c>
      <c r="C2890">
        <v>999058</v>
      </c>
      <c r="D2890" s="5" t="str">
        <f>_xlfn.XLOOKUP(role_course_map[[#This Row],[course_id]],course_data[course_id],course_data[title],"")</f>
        <v>Stress Identification &amp; Stress Management</v>
      </c>
      <c r="E2890" s="5" t="str">
        <f>_xlfn.XLOOKUP(role_course_map[[#This Row],[course_id]],course_data[course_id],course_data[topic],"")</f>
        <v>SAS : Health and Safety</v>
      </c>
      <c r="F2890" s="5" t="str">
        <f>_xlfn.XLOOKUP(role_course_map[[#This Row],[course_id]],course_data[course_id],course_data[type],"")</f>
        <v>eLearning</v>
      </c>
      <c r="K2890" t="str">
        <f>role_course_map[[#This Row],[role_id]] &amp; "|" &amp; role_course_map[[#This Row],[course_id]]</f>
        <v>R0114|999058</v>
      </c>
      <c r="L2890" t="str">
        <f>IF(COUNTIF(role_course_map[mapping_key],role_course_map[[#This Row],[mapping_key]])&gt;1,"DUPLICATE","OK")</f>
        <v>DUPLICATE</v>
      </c>
      <c r="M2890" t="str">
        <f>IF(COUNTIF(role_data[role_id],role_course_map[[#This Row],[role_id]])=0, "INVALID","VALID")</f>
        <v>VALID</v>
      </c>
      <c r="N2890" t="str">
        <f>IF(COUNTIF(course_data[course_id],role_course_map[[#This Row],[course_id]])=0, "INVALID","VALID")</f>
        <v>VALID</v>
      </c>
    </row>
    <row r="2891" spans="1:14" x14ac:dyDescent="0.35">
      <c r="A2891" t="s">
        <v>242</v>
      </c>
      <c r="B2891" s="5" t="str">
        <f>_xlfn.XLOOKUP(role_course_map[[#This Row],[role_id]], role_data[role_id], role_data[Role],"")</f>
        <v>Risk and Resilience Administrator</v>
      </c>
      <c r="C2891">
        <v>999061</v>
      </c>
      <c r="D2891" s="5" t="str">
        <f>_xlfn.XLOOKUP(role_course_map[[#This Row],[course_id]],course_data[course_id],course_data[title],"")</f>
        <v>Skin Awareness</v>
      </c>
      <c r="E2891" s="5" t="str">
        <f>_xlfn.XLOOKUP(role_course_map[[#This Row],[course_id]],course_data[course_id],course_data[topic],"")</f>
        <v>SAS : Health and Safety</v>
      </c>
      <c r="F2891" s="5" t="str">
        <f>_xlfn.XLOOKUP(role_course_map[[#This Row],[course_id]],course_data[course_id],course_data[type],"")</f>
        <v>eLearning</v>
      </c>
      <c r="K2891" t="str">
        <f>role_course_map[[#This Row],[role_id]] &amp; "|" &amp; role_course_map[[#This Row],[course_id]]</f>
        <v>R0114|999061</v>
      </c>
      <c r="L2891" t="str">
        <f>IF(COUNTIF(role_course_map[mapping_key],role_course_map[[#This Row],[mapping_key]])&gt;1,"DUPLICATE","OK")</f>
        <v>DUPLICATE</v>
      </c>
      <c r="M2891" t="str">
        <f>IF(COUNTIF(role_data[role_id],role_course_map[[#This Row],[role_id]])=0, "INVALID","VALID")</f>
        <v>VALID</v>
      </c>
      <c r="N2891" t="str">
        <f>IF(COUNTIF(course_data[course_id],role_course_map[[#This Row],[course_id]])=0, "INVALID","VALID")</f>
        <v>VALID</v>
      </c>
    </row>
    <row r="2892" spans="1:14" x14ac:dyDescent="0.35">
      <c r="A2892" t="s">
        <v>242</v>
      </c>
      <c r="B2892" s="5" t="str">
        <f>_xlfn.XLOOKUP(role_course_map[[#This Row],[role_id]], role_data[role_id], role_data[Role],"")</f>
        <v>Risk and Resilience Administrator</v>
      </c>
      <c r="C2892">
        <v>999094</v>
      </c>
      <c r="D2892" s="5" t="str">
        <f>_xlfn.XLOOKUP(role_course_map[[#This Row],[course_id]],course_data[course_id],course_data[title],"")</f>
        <v>Being well, Mind, Body &amp; Workplace</v>
      </c>
      <c r="E2892" s="5" t="str">
        <f>_xlfn.XLOOKUP(role_course_map[[#This Row],[course_id]],course_data[course_id],course_data[topic],"")</f>
        <v>SAS: Staff development and experience</v>
      </c>
      <c r="F2892" s="5" t="str">
        <f>_xlfn.XLOOKUP(role_course_map[[#This Row],[course_id]],course_data[course_id],course_data[type],"")</f>
        <v>eLearning</v>
      </c>
      <c r="K2892" t="str">
        <f>role_course_map[[#This Row],[role_id]] &amp; "|" &amp; role_course_map[[#This Row],[course_id]]</f>
        <v>R0114|999094</v>
      </c>
      <c r="L2892" t="str">
        <f>IF(COUNTIF(role_course_map[mapping_key],role_course_map[[#This Row],[mapping_key]])&gt;1,"DUPLICATE","OK")</f>
        <v>DUPLICATE</v>
      </c>
      <c r="M2892" t="str">
        <f>IF(COUNTIF(role_data[role_id],role_course_map[[#This Row],[role_id]])=0, "INVALID","VALID")</f>
        <v>VALID</v>
      </c>
      <c r="N2892" t="str">
        <f>IF(COUNTIF(course_data[course_id],role_course_map[[#This Row],[course_id]])=0, "INVALID","VALID")</f>
        <v>VALID</v>
      </c>
    </row>
    <row r="2893" spans="1:14" x14ac:dyDescent="0.35">
      <c r="A2893" t="s">
        <v>242</v>
      </c>
      <c r="B2893" s="5" t="str">
        <f>_xlfn.XLOOKUP(role_course_map[[#This Row],[role_id]], role_data[role_id], role_data[Role],"")</f>
        <v>Risk and Resilience Administrator</v>
      </c>
      <c r="D2893" s="5" t="s">
        <v>1062</v>
      </c>
      <c r="E2893" s="5" t="str">
        <f>_xlfn.XLOOKUP(role_course_map[[#This Row],[course_id]],course_data[course_id],course_data[topic],"")</f>
        <v/>
      </c>
      <c r="F2893" s="5" t="str">
        <f>_xlfn.XLOOKUP(role_course_map[[#This Row],[course_id]],course_data[course_id],course_data[type],"")</f>
        <v/>
      </c>
      <c r="K2893" t="str">
        <f>role_course_map[[#This Row],[role_id]] &amp; "|" &amp; role_course_map[[#This Row],[course_id]]</f>
        <v>R0114|</v>
      </c>
      <c r="L2893" t="str">
        <f>IF(COUNTIF(role_course_map[mapping_key],role_course_map[[#This Row],[mapping_key]])&gt;1,"DUPLICATE","OK")</f>
        <v>OK</v>
      </c>
      <c r="M2893" t="str">
        <f>IF(COUNTIF(role_data[role_id],role_course_map[[#This Row],[role_id]])=0, "INVALID","VALID")</f>
        <v>VALID</v>
      </c>
      <c r="N2893" t="str">
        <f>IF(COUNTIF(course_data[course_id],role_course_map[[#This Row],[course_id]])=0, "INVALID","VALID")</f>
        <v>INVALID</v>
      </c>
    </row>
    <row r="2894" spans="1:14" x14ac:dyDescent="0.35">
      <c r="A2894" t="s">
        <v>242</v>
      </c>
      <c r="B2894" s="5" t="str">
        <f>_xlfn.XLOOKUP(role_course_map[[#This Row],[role_id]], role_data[role_id], role_data[Role],"")</f>
        <v>Risk and Resilience Administrator</v>
      </c>
      <c r="C2894">
        <v>999067</v>
      </c>
      <c r="D2894" s="5" t="str">
        <f>_xlfn.XLOOKUP(role_course_map[[#This Row],[course_id]],course_data[course_id],course_data[title],"")</f>
        <v>Major incident awareness - Course overview</v>
      </c>
      <c r="E2894" s="5" t="str">
        <f>_xlfn.XLOOKUP(role_course_map[[#This Row],[course_id]],course_data[course_id],course_data[topic],"")</f>
        <v>SAS : National Risk and Resilience Department (NRRD)</v>
      </c>
      <c r="F2894" s="5" t="str">
        <f>_xlfn.XLOOKUP(role_course_map[[#This Row],[course_id]],course_data[course_id],course_data[type],"")</f>
        <v>eLearning</v>
      </c>
      <c r="K2894" t="str">
        <f>role_course_map[[#This Row],[role_id]] &amp; "|" &amp; role_course_map[[#This Row],[course_id]]</f>
        <v>R0114|999067</v>
      </c>
      <c r="L2894" t="str">
        <f>IF(COUNTIF(role_course_map[mapping_key],role_course_map[[#This Row],[mapping_key]])&gt;1,"DUPLICATE","OK")</f>
        <v>OK</v>
      </c>
      <c r="M2894" t="str">
        <f>IF(COUNTIF(role_data[role_id],role_course_map[[#This Row],[role_id]])=0, "INVALID","VALID")</f>
        <v>VALID</v>
      </c>
      <c r="N2894" t="str">
        <f>IF(COUNTIF(course_data[course_id],role_course_map[[#This Row],[course_id]])=0, "INVALID","VALID")</f>
        <v>VALID</v>
      </c>
    </row>
    <row r="2895" spans="1:14" x14ac:dyDescent="0.35">
      <c r="A2895" t="s">
        <v>242</v>
      </c>
      <c r="B2895" s="5" t="str">
        <f>_xlfn.XLOOKUP(role_course_map[[#This Row],[role_id]], role_data[role_id], role_data[Role],"")</f>
        <v>Risk and Resilience Administrator</v>
      </c>
      <c r="C2895">
        <v>999070</v>
      </c>
      <c r="D2895" s="5" t="str">
        <f>_xlfn.XLOOKUP(role_course_map[[#This Row],[course_id]],course_data[course_id],course_data[title],"")</f>
        <v xml:space="preserve">SAS: JESIP (NEW) </v>
      </c>
      <c r="E2895" s="5" t="str">
        <f>_xlfn.XLOOKUP(role_course_map[[#This Row],[course_id]],course_data[course_id],course_data[topic],"")</f>
        <v>SAS : National Risk and Resilience Department (NRRD)</v>
      </c>
      <c r="F2895" s="5" t="str">
        <f>_xlfn.XLOOKUP(role_course_map[[#This Row],[course_id]],course_data[course_id],course_data[type],"")</f>
        <v>eLearning</v>
      </c>
      <c r="K2895" t="str">
        <f>role_course_map[[#This Row],[role_id]] &amp; "|" &amp; role_course_map[[#This Row],[course_id]]</f>
        <v>R0114|999070</v>
      </c>
      <c r="L2895" t="str">
        <f>IF(COUNTIF(role_course_map[mapping_key],role_course_map[[#This Row],[mapping_key]])&gt;1,"DUPLICATE","OK")</f>
        <v>OK</v>
      </c>
      <c r="M2895" t="str">
        <f>IF(COUNTIF(role_data[role_id],role_course_map[[#This Row],[role_id]])=0, "INVALID","VALID")</f>
        <v>VALID</v>
      </c>
      <c r="N2895" t="str">
        <f>IF(COUNTIF(course_data[course_id],role_course_map[[#This Row],[course_id]])=0, "INVALID","VALID")</f>
        <v>VALID</v>
      </c>
    </row>
    <row r="2896" spans="1:14" x14ac:dyDescent="0.35">
      <c r="A2896" t="s">
        <v>226</v>
      </c>
      <c r="B2896" s="5" t="str">
        <f>_xlfn.XLOOKUP(role_course_map[[#This Row],[role_id]], role_data[role_id], role_data[Role],"")</f>
        <v>Education and Training Business Administrator</v>
      </c>
      <c r="C2896">
        <v>999094</v>
      </c>
      <c r="D2896" s="5" t="str">
        <f>_xlfn.XLOOKUP(role_course_map[[#This Row],[course_id]],course_data[course_id],course_data[title],"")</f>
        <v>Being well, Mind, Body &amp; Workplace</v>
      </c>
      <c r="E2896" s="5" t="str">
        <f>_xlfn.XLOOKUP(role_course_map[[#This Row],[course_id]],course_data[course_id],course_data[topic],"")</f>
        <v>SAS: Staff development and experience</v>
      </c>
      <c r="F2896" s="5" t="str">
        <f>_xlfn.XLOOKUP(role_course_map[[#This Row],[course_id]],course_data[course_id],course_data[type],"")</f>
        <v>eLearning</v>
      </c>
      <c r="K2896" t="str">
        <f>role_course_map[[#This Row],[role_id]] &amp; "|" &amp; role_course_map[[#This Row],[course_id]]</f>
        <v>R0106|999094</v>
      </c>
      <c r="L2896" t="str">
        <f>IF(COUNTIF(role_course_map[mapping_key],role_course_map[[#This Row],[mapping_key]])&gt;1,"DUPLICATE","OK")</f>
        <v>DUPLICATE</v>
      </c>
      <c r="M2896" t="str">
        <f>IF(COUNTIF(role_data[role_id],role_course_map[[#This Row],[role_id]])=0, "INVALID","VALID")</f>
        <v>VALID</v>
      </c>
      <c r="N2896" t="str">
        <f>IF(COUNTIF(course_data[course_id],role_course_map[[#This Row],[course_id]])=0, "INVALID","VALID")</f>
        <v>VALID</v>
      </c>
    </row>
    <row r="2897" spans="1:14" x14ac:dyDescent="0.35">
      <c r="A2897" t="s">
        <v>226</v>
      </c>
      <c r="B2897" s="5" t="str">
        <f>_xlfn.XLOOKUP(role_course_map[[#This Row],[role_id]], role_data[role_id], role_data[Role],"")</f>
        <v>Education and Training Business Administrator</v>
      </c>
      <c r="C2897">
        <v>999056</v>
      </c>
      <c r="D2897" s="5" t="str">
        <f>_xlfn.XLOOKUP(role_course_map[[#This Row],[course_id]],course_data[course_id],course_data[title],"")</f>
        <v>Driver Assessment &amp; Training</v>
      </c>
      <c r="E2897" s="5" t="str">
        <f>_xlfn.XLOOKUP(role_course_map[[#This Row],[course_id]],course_data[course_id],course_data[topic],"")</f>
        <v>SAS : Health and Safety</v>
      </c>
      <c r="F2897" s="5" t="str">
        <f>_xlfn.XLOOKUP(role_course_map[[#This Row],[course_id]],course_data[course_id],course_data[type],"")</f>
        <v>eLearning</v>
      </c>
      <c r="K2897" t="str">
        <f>role_course_map[[#This Row],[role_id]] &amp; "|" &amp; role_course_map[[#This Row],[course_id]]</f>
        <v>R0106|999056</v>
      </c>
      <c r="L2897" t="str">
        <f>IF(COUNTIF(role_course_map[mapping_key],role_course_map[[#This Row],[mapping_key]])&gt;1,"DUPLICATE","OK")</f>
        <v>DUPLICATE</v>
      </c>
      <c r="M2897" t="str">
        <f>IF(COUNTIF(role_data[role_id],role_course_map[[#This Row],[role_id]])=0, "INVALID","VALID")</f>
        <v>VALID</v>
      </c>
      <c r="N2897" t="str">
        <f>IF(COUNTIF(course_data[course_id],role_course_map[[#This Row],[course_id]])=0, "INVALID","VALID")</f>
        <v>VALID</v>
      </c>
    </row>
    <row r="2898" spans="1:14" x14ac:dyDescent="0.35">
      <c r="A2898" t="s">
        <v>226</v>
      </c>
      <c r="B2898" s="5" t="str">
        <f>_xlfn.XLOOKUP(role_course_map[[#This Row],[role_id]], role_data[role_id], role_data[Role],"")</f>
        <v>Education and Training Business Administrator</v>
      </c>
      <c r="C2898">
        <v>999057</v>
      </c>
      <c r="D2898" s="5" t="str">
        <f>_xlfn.XLOOKUP(role_course_map[[#This Row],[course_id]],course_data[course_id],course_data[title],"")</f>
        <v>Fatigue Awareness</v>
      </c>
      <c r="E2898" s="5" t="str">
        <f>_xlfn.XLOOKUP(role_course_map[[#This Row],[course_id]],course_data[course_id],course_data[topic],"")</f>
        <v>SAS : Health and Safety</v>
      </c>
      <c r="F2898" s="5" t="str">
        <f>_xlfn.XLOOKUP(role_course_map[[#This Row],[course_id]],course_data[course_id],course_data[type],"")</f>
        <v>eLearning</v>
      </c>
      <c r="K2898" t="str">
        <f>role_course_map[[#This Row],[role_id]] &amp; "|" &amp; role_course_map[[#This Row],[course_id]]</f>
        <v>R0106|999057</v>
      </c>
      <c r="L2898" t="str">
        <f>IF(COUNTIF(role_course_map[mapping_key],role_course_map[[#This Row],[mapping_key]])&gt;1,"DUPLICATE","OK")</f>
        <v>DUPLICATE</v>
      </c>
      <c r="M2898" t="str">
        <f>IF(COUNTIF(role_data[role_id],role_course_map[[#This Row],[role_id]])=0, "INVALID","VALID")</f>
        <v>VALID</v>
      </c>
      <c r="N2898" t="str">
        <f>IF(COUNTIF(course_data[course_id],role_course_map[[#This Row],[course_id]])=0, "INVALID","VALID")</f>
        <v>VALID</v>
      </c>
    </row>
    <row r="2899" spans="1:14" x14ac:dyDescent="0.35">
      <c r="A2899" t="s">
        <v>226</v>
      </c>
      <c r="B2899" s="5" t="str">
        <f>_xlfn.XLOOKUP(role_course_map[[#This Row],[role_id]], role_data[role_id], role_data[Role],"")</f>
        <v>Education and Training Business Administrator</v>
      </c>
      <c r="C2899">
        <v>999058</v>
      </c>
      <c r="D2899" s="5" t="str">
        <f>_xlfn.XLOOKUP(role_course_map[[#This Row],[course_id]],course_data[course_id],course_data[title],"")</f>
        <v>Stress Identification &amp; Stress Management</v>
      </c>
      <c r="E2899" s="5" t="str">
        <f>_xlfn.XLOOKUP(role_course_map[[#This Row],[course_id]],course_data[course_id],course_data[topic],"")</f>
        <v>SAS : Health and Safety</v>
      </c>
      <c r="F2899" s="5" t="str">
        <f>_xlfn.XLOOKUP(role_course_map[[#This Row],[course_id]],course_data[course_id],course_data[type],"")</f>
        <v>eLearning</v>
      </c>
      <c r="K2899" t="str">
        <f>role_course_map[[#This Row],[role_id]] &amp; "|" &amp; role_course_map[[#This Row],[course_id]]</f>
        <v>R0106|999058</v>
      </c>
      <c r="L2899" t="str">
        <f>IF(COUNTIF(role_course_map[mapping_key],role_course_map[[#This Row],[mapping_key]])&gt;1,"DUPLICATE","OK")</f>
        <v>DUPLICATE</v>
      </c>
      <c r="M2899" t="str">
        <f>IF(COUNTIF(role_data[role_id],role_course_map[[#This Row],[role_id]])=0, "INVALID","VALID")</f>
        <v>VALID</v>
      </c>
      <c r="N2899" t="str">
        <f>IF(COUNTIF(course_data[course_id],role_course_map[[#This Row],[course_id]])=0, "INVALID","VALID")</f>
        <v>VALID</v>
      </c>
    </row>
    <row r="2900" spans="1:14" x14ac:dyDescent="0.35">
      <c r="A2900" t="s">
        <v>226</v>
      </c>
      <c r="B2900" s="5" t="str">
        <f>_xlfn.XLOOKUP(role_course_map[[#This Row],[role_id]], role_data[role_id], role_data[Role],"")</f>
        <v>Education and Training Business Administrator</v>
      </c>
      <c r="C2900">
        <v>999061</v>
      </c>
      <c r="D2900" s="5" t="str">
        <f>_xlfn.XLOOKUP(role_course_map[[#This Row],[course_id]],course_data[course_id],course_data[title],"")</f>
        <v>Skin Awareness</v>
      </c>
      <c r="E2900" s="5" t="str">
        <f>_xlfn.XLOOKUP(role_course_map[[#This Row],[course_id]],course_data[course_id],course_data[topic],"")</f>
        <v>SAS : Health and Safety</v>
      </c>
      <c r="F2900" s="5" t="str">
        <f>_xlfn.XLOOKUP(role_course_map[[#This Row],[course_id]],course_data[course_id],course_data[type],"")</f>
        <v>eLearning</v>
      </c>
      <c r="K2900" t="str">
        <f>role_course_map[[#This Row],[role_id]] &amp; "|" &amp; role_course_map[[#This Row],[course_id]]</f>
        <v>R0106|999061</v>
      </c>
      <c r="L2900" t="str">
        <f>IF(COUNTIF(role_course_map[mapping_key],role_course_map[[#This Row],[mapping_key]])&gt;1,"DUPLICATE","OK")</f>
        <v>DUPLICATE</v>
      </c>
      <c r="M2900" t="str">
        <f>IF(COUNTIF(role_data[role_id],role_course_map[[#This Row],[role_id]])=0, "INVALID","VALID")</f>
        <v>VALID</v>
      </c>
      <c r="N2900" t="str">
        <f>IF(COUNTIF(course_data[course_id],role_course_map[[#This Row],[course_id]])=0, "INVALID","VALID")</f>
        <v>VALID</v>
      </c>
    </row>
    <row r="2901" spans="1:14" x14ac:dyDescent="0.35">
      <c r="A2901" t="s">
        <v>226</v>
      </c>
      <c r="B2901" s="5" t="str">
        <f>_xlfn.XLOOKUP(role_course_map[[#This Row],[role_id]], role_data[role_id], role_data[Role],"")</f>
        <v>Education and Training Business Administrator</v>
      </c>
      <c r="D2901" s="5" t="s">
        <v>1062</v>
      </c>
      <c r="E2901" s="5" t="str">
        <f>_xlfn.XLOOKUP(role_course_map[[#This Row],[course_id]],course_data[course_id],course_data[topic],"")</f>
        <v/>
      </c>
      <c r="F2901" s="5" t="str">
        <f>_xlfn.XLOOKUP(role_course_map[[#This Row],[course_id]],course_data[course_id],course_data[type],"")</f>
        <v/>
      </c>
      <c r="K2901" t="str">
        <f>role_course_map[[#This Row],[role_id]] &amp; "|" &amp; role_course_map[[#This Row],[course_id]]</f>
        <v>R0106|</v>
      </c>
      <c r="L2901" t="str">
        <f>IF(COUNTIF(role_course_map[mapping_key],role_course_map[[#This Row],[mapping_key]])&gt;1,"DUPLICATE","OK")</f>
        <v>OK</v>
      </c>
      <c r="M2901" t="str">
        <f>IF(COUNTIF(role_data[role_id],role_course_map[[#This Row],[role_id]])=0, "INVALID","VALID")</f>
        <v>VALID</v>
      </c>
      <c r="N2901" t="str">
        <f>IF(COUNTIF(course_data[course_id],role_course_map[[#This Row],[course_id]])=0, "INVALID","VALID")</f>
        <v>INVALID</v>
      </c>
    </row>
    <row r="2902" spans="1:14" x14ac:dyDescent="0.35">
      <c r="A2902" t="s">
        <v>226</v>
      </c>
      <c r="B2902" s="5" t="str">
        <f>_xlfn.XLOOKUP(role_course_map[[#This Row],[role_id]], role_data[role_id], role_data[Role],"")</f>
        <v>Education and Training Business Administrator</v>
      </c>
      <c r="C2902">
        <v>999067</v>
      </c>
      <c r="D2902" s="5" t="str">
        <f>_xlfn.XLOOKUP(role_course_map[[#This Row],[course_id]],course_data[course_id],course_data[title],"")</f>
        <v>Major incident awareness - Course overview</v>
      </c>
      <c r="E2902" s="5" t="str">
        <f>_xlfn.XLOOKUP(role_course_map[[#This Row],[course_id]],course_data[course_id],course_data[topic],"")</f>
        <v>SAS : National Risk and Resilience Department (NRRD)</v>
      </c>
      <c r="F2902" s="5" t="str">
        <f>_xlfn.XLOOKUP(role_course_map[[#This Row],[course_id]],course_data[course_id],course_data[type],"")</f>
        <v>eLearning</v>
      </c>
      <c r="K2902" t="str">
        <f>role_course_map[[#This Row],[role_id]] &amp; "|" &amp; role_course_map[[#This Row],[course_id]]</f>
        <v>R0106|999067</v>
      </c>
      <c r="L2902" t="str">
        <f>IF(COUNTIF(role_course_map[mapping_key],role_course_map[[#This Row],[mapping_key]])&gt;1,"DUPLICATE","OK")</f>
        <v>OK</v>
      </c>
      <c r="M2902" t="str">
        <f>IF(COUNTIF(role_data[role_id],role_course_map[[#This Row],[role_id]])=0, "INVALID","VALID")</f>
        <v>VALID</v>
      </c>
      <c r="N2902" t="str">
        <f>IF(COUNTIF(course_data[course_id],role_course_map[[#This Row],[course_id]])=0, "INVALID","VALID")</f>
        <v>VALID</v>
      </c>
    </row>
    <row r="2903" spans="1:14" x14ac:dyDescent="0.35">
      <c r="A2903" t="s">
        <v>226</v>
      </c>
      <c r="B2903" s="5" t="str">
        <f>_xlfn.XLOOKUP(role_course_map[[#This Row],[role_id]], role_data[role_id], role_data[Role],"")</f>
        <v>Education and Training Business Administrator</v>
      </c>
      <c r="C2903">
        <v>999070</v>
      </c>
      <c r="D2903" s="5" t="str">
        <f>_xlfn.XLOOKUP(role_course_map[[#This Row],[course_id]],course_data[course_id],course_data[title],"")</f>
        <v xml:space="preserve">SAS: JESIP (NEW) </v>
      </c>
      <c r="E2903" s="5" t="str">
        <f>_xlfn.XLOOKUP(role_course_map[[#This Row],[course_id]],course_data[course_id],course_data[topic],"")</f>
        <v>SAS : National Risk and Resilience Department (NRRD)</v>
      </c>
      <c r="F2903" s="5" t="str">
        <f>_xlfn.XLOOKUP(role_course_map[[#This Row],[course_id]],course_data[course_id],course_data[type],"")</f>
        <v>eLearning</v>
      </c>
      <c r="K2903" t="str">
        <f>role_course_map[[#This Row],[role_id]] &amp; "|" &amp; role_course_map[[#This Row],[course_id]]</f>
        <v>R0106|999070</v>
      </c>
      <c r="L2903" t="str">
        <f>IF(COUNTIF(role_course_map[mapping_key],role_course_map[[#This Row],[mapping_key]])&gt;1,"DUPLICATE","OK")</f>
        <v>OK</v>
      </c>
      <c r="M2903" t="str">
        <f>IF(COUNTIF(role_data[role_id],role_course_map[[#This Row],[role_id]])=0, "INVALID","VALID")</f>
        <v>VALID</v>
      </c>
      <c r="N2903" t="str">
        <f>IF(COUNTIF(course_data[course_id],role_course_map[[#This Row],[course_id]])=0, "INVALID","VALID")</f>
        <v>VALID</v>
      </c>
    </row>
    <row r="2904" spans="1:14" x14ac:dyDescent="0.35">
      <c r="A2904" t="s">
        <v>258</v>
      </c>
      <c r="B2904" s="5" t="str">
        <f>_xlfn.XLOOKUP(role_course_map[[#This Row],[role_id]], role_data[role_id], role_data[Role],"")</f>
        <v>Training Administrator</v>
      </c>
      <c r="C2904">
        <v>999094</v>
      </c>
      <c r="D2904" s="5" t="str">
        <f>_xlfn.XLOOKUP(role_course_map[[#This Row],[course_id]],course_data[course_id],course_data[title],"")</f>
        <v>Being well, Mind, Body &amp; Workplace</v>
      </c>
      <c r="E2904" s="5" t="str">
        <f>_xlfn.XLOOKUP(role_course_map[[#This Row],[course_id]],course_data[course_id],course_data[topic],"")</f>
        <v>SAS: Staff development and experience</v>
      </c>
      <c r="F2904" s="5" t="str">
        <f>_xlfn.XLOOKUP(role_course_map[[#This Row],[course_id]],course_data[course_id],course_data[type],"")</f>
        <v>eLearning</v>
      </c>
      <c r="K2904" t="str">
        <f>role_course_map[[#This Row],[role_id]] &amp; "|" &amp; role_course_map[[#This Row],[course_id]]</f>
        <v>R0123|999094</v>
      </c>
      <c r="L2904" t="str">
        <f>IF(COUNTIF(role_course_map[mapping_key],role_course_map[[#This Row],[mapping_key]])&gt;1,"DUPLICATE","OK")</f>
        <v>OK</v>
      </c>
      <c r="M2904" t="str">
        <f>IF(COUNTIF(role_data[role_id],role_course_map[[#This Row],[role_id]])=0, "INVALID","VALID")</f>
        <v>VALID</v>
      </c>
      <c r="N2904" t="str">
        <f>IF(COUNTIF(course_data[course_id],role_course_map[[#This Row],[course_id]])=0, "INVALID","VALID")</f>
        <v>VALID</v>
      </c>
    </row>
    <row r="2905" spans="1:14" x14ac:dyDescent="0.35">
      <c r="A2905" t="s">
        <v>258</v>
      </c>
      <c r="B2905" s="5" t="str">
        <f>_xlfn.XLOOKUP(role_course_map[[#This Row],[role_id]], role_data[role_id], role_data[Role],"")</f>
        <v>Training Administrator</v>
      </c>
      <c r="C2905">
        <v>999056</v>
      </c>
      <c r="D2905" s="5" t="str">
        <f>_xlfn.XLOOKUP(role_course_map[[#This Row],[course_id]],course_data[course_id],course_data[title],"")</f>
        <v>Driver Assessment &amp; Training</v>
      </c>
      <c r="E2905" s="5" t="str">
        <f>_xlfn.XLOOKUP(role_course_map[[#This Row],[course_id]],course_data[course_id],course_data[topic],"")</f>
        <v>SAS : Health and Safety</v>
      </c>
      <c r="F2905" s="5" t="str">
        <f>_xlfn.XLOOKUP(role_course_map[[#This Row],[course_id]],course_data[course_id],course_data[type],"")</f>
        <v>eLearning</v>
      </c>
      <c r="K2905" t="str">
        <f>role_course_map[[#This Row],[role_id]] &amp; "|" &amp; role_course_map[[#This Row],[course_id]]</f>
        <v>R0123|999056</v>
      </c>
      <c r="L2905" t="str">
        <f>IF(COUNTIF(role_course_map[mapping_key],role_course_map[[#This Row],[mapping_key]])&gt;1,"DUPLICATE","OK")</f>
        <v>OK</v>
      </c>
      <c r="M2905" t="str">
        <f>IF(COUNTIF(role_data[role_id],role_course_map[[#This Row],[role_id]])=0, "INVALID","VALID")</f>
        <v>VALID</v>
      </c>
      <c r="N2905" t="str">
        <f>IF(COUNTIF(course_data[course_id],role_course_map[[#This Row],[course_id]])=0, "INVALID","VALID")</f>
        <v>VALID</v>
      </c>
    </row>
    <row r="2906" spans="1:14" x14ac:dyDescent="0.35">
      <c r="A2906" t="s">
        <v>258</v>
      </c>
      <c r="B2906" s="5" t="str">
        <f>_xlfn.XLOOKUP(role_course_map[[#This Row],[role_id]], role_data[role_id], role_data[Role],"")</f>
        <v>Training Administrator</v>
      </c>
      <c r="C2906">
        <v>999057</v>
      </c>
      <c r="D2906" s="5" t="str">
        <f>_xlfn.XLOOKUP(role_course_map[[#This Row],[course_id]],course_data[course_id],course_data[title],"")</f>
        <v>Fatigue Awareness</v>
      </c>
      <c r="E2906" s="5" t="str">
        <f>_xlfn.XLOOKUP(role_course_map[[#This Row],[course_id]],course_data[course_id],course_data[topic],"")</f>
        <v>SAS : Health and Safety</v>
      </c>
      <c r="F2906" s="5" t="str">
        <f>_xlfn.XLOOKUP(role_course_map[[#This Row],[course_id]],course_data[course_id],course_data[type],"")</f>
        <v>eLearning</v>
      </c>
      <c r="K2906" t="str">
        <f>role_course_map[[#This Row],[role_id]] &amp; "|" &amp; role_course_map[[#This Row],[course_id]]</f>
        <v>R0123|999057</v>
      </c>
      <c r="L2906" t="str">
        <f>IF(COUNTIF(role_course_map[mapping_key],role_course_map[[#This Row],[mapping_key]])&gt;1,"DUPLICATE","OK")</f>
        <v>OK</v>
      </c>
      <c r="M2906" t="str">
        <f>IF(COUNTIF(role_data[role_id],role_course_map[[#This Row],[role_id]])=0, "INVALID","VALID")</f>
        <v>VALID</v>
      </c>
      <c r="N2906" t="str">
        <f>IF(COUNTIF(course_data[course_id],role_course_map[[#This Row],[course_id]])=0, "INVALID","VALID")</f>
        <v>VALID</v>
      </c>
    </row>
    <row r="2907" spans="1:14" x14ac:dyDescent="0.35">
      <c r="A2907" t="s">
        <v>258</v>
      </c>
      <c r="B2907" s="5" t="str">
        <f>_xlfn.XLOOKUP(role_course_map[[#This Row],[role_id]], role_data[role_id], role_data[Role],"")</f>
        <v>Training Administrator</v>
      </c>
      <c r="C2907">
        <v>999058</v>
      </c>
      <c r="D2907" s="5" t="str">
        <f>_xlfn.XLOOKUP(role_course_map[[#This Row],[course_id]],course_data[course_id],course_data[title],"")</f>
        <v>Stress Identification &amp; Stress Management</v>
      </c>
      <c r="E2907" s="5" t="str">
        <f>_xlfn.XLOOKUP(role_course_map[[#This Row],[course_id]],course_data[course_id],course_data[topic],"")</f>
        <v>SAS : Health and Safety</v>
      </c>
      <c r="F2907" s="5" t="str">
        <f>_xlfn.XLOOKUP(role_course_map[[#This Row],[course_id]],course_data[course_id],course_data[type],"")</f>
        <v>eLearning</v>
      </c>
      <c r="K2907" t="str">
        <f>role_course_map[[#This Row],[role_id]] &amp; "|" &amp; role_course_map[[#This Row],[course_id]]</f>
        <v>R0123|999058</v>
      </c>
      <c r="L2907" t="str">
        <f>IF(COUNTIF(role_course_map[mapping_key],role_course_map[[#This Row],[mapping_key]])&gt;1,"DUPLICATE","OK")</f>
        <v>OK</v>
      </c>
      <c r="M2907" t="str">
        <f>IF(COUNTIF(role_data[role_id],role_course_map[[#This Row],[role_id]])=0, "INVALID","VALID")</f>
        <v>VALID</v>
      </c>
      <c r="N2907" t="str">
        <f>IF(COUNTIF(course_data[course_id],role_course_map[[#This Row],[course_id]])=0, "INVALID","VALID")</f>
        <v>VALID</v>
      </c>
    </row>
    <row r="2908" spans="1:14" x14ac:dyDescent="0.35">
      <c r="A2908" t="s">
        <v>258</v>
      </c>
      <c r="B2908" s="5" t="str">
        <f>_xlfn.XLOOKUP(role_course_map[[#This Row],[role_id]], role_data[role_id], role_data[Role],"")</f>
        <v>Training Administrator</v>
      </c>
      <c r="C2908">
        <v>999061</v>
      </c>
      <c r="D2908" s="5" t="str">
        <f>_xlfn.XLOOKUP(role_course_map[[#This Row],[course_id]],course_data[course_id],course_data[title],"")</f>
        <v>Skin Awareness</v>
      </c>
      <c r="E2908" s="5" t="str">
        <f>_xlfn.XLOOKUP(role_course_map[[#This Row],[course_id]],course_data[course_id],course_data[topic],"")</f>
        <v>SAS : Health and Safety</v>
      </c>
      <c r="F2908" s="5" t="str">
        <f>_xlfn.XLOOKUP(role_course_map[[#This Row],[course_id]],course_data[course_id],course_data[type],"")</f>
        <v>eLearning</v>
      </c>
      <c r="K2908" t="str">
        <f>role_course_map[[#This Row],[role_id]] &amp; "|" &amp; role_course_map[[#This Row],[course_id]]</f>
        <v>R0123|999061</v>
      </c>
      <c r="L2908" t="str">
        <f>IF(COUNTIF(role_course_map[mapping_key],role_course_map[[#This Row],[mapping_key]])&gt;1,"DUPLICATE","OK")</f>
        <v>OK</v>
      </c>
      <c r="M2908" t="str">
        <f>IF(COUNTIF(role_data[role_id],role_course_map[[#This Row],[role_id]])=0, "INVALID","VALID")</f>
        <v>VALID</v>
      </c>
      <c r="N2908" t="str">
        <f>IF(COUNTIF(course_data[course_id],role_course_map[[#This Row],[course_id]])=0, "INVALID","VALID")</f>
        <v>VALID</v>
      </c>
    </row>
    <row r="2909" spans="1:14" x14ac:dyDescent="0.35">
      <c r="A2909" t="s">
        <v>226</v>
      </c>
      <c r="B2909" s="5" t="str">
        <f>_xlfn.XLOOKUP(role_course_map[[#This Row],[role_id]], role_data[role_id], role_data[Role],"")</f>
        <v>Education and Training Business Administrator</v>
      </c>
      <c r="C2909">
        <v>999056</v>
      </c>
      <c r="D2909" s="5" t="str">
        <f>_xlfn.XLOOKUP(role_course_map[[#This Row],[course_id]],course_data[course_id],course_data[title],"")</f>
        <v>Driver Assessment &amp; Training</v>
      </c>
      <c r="E2909" s="5" t="str">
        <f>_xlfn.XLOOKUP(role_course_map[[#This Row],[course_id]],course_data[course_id],course_data[topic],"")</f>
        <v>SAS : Health and Safety</v>
      </c>
      <c r="F2909" s="5" t="str">
        <f>_xlfn.XLOOKUP(role_course_map[[#This Row],[course_id]],course_data[course_id],course_data[type],"")</f>
        <v>eLearning</v>
      </c>
      <c r="K2909" t="str">
        <f>role_course_map[[#This Row],[role_id]] &amp; "|" &amp; role_course_map[[#This Row],[course_id]]</f>
        <v>R0106|999056</v>
      </c>
      <c r="L2909" t="str">
        <f>IF(COUNTIF(role_course_map[mapping_key],role_course_map[[#This Row],[mapping_key]])&gt;1,"DUPLICATE","OK")</f>
        <v>DUPLICATE</v>
      </c>
      <c r="M2909" t="str">
        <f>IF(COUNTIF(role_data[role_id],role_course_map[[#This Row],[role_id]])=0, "INVALID","VALID")</f>
        <v>VALID</v>
      </c>
      <c r="N2909" t="str">
        <f>IF(COUNTIF(course_data[course_id],role_course_map[[#This Row],[course_id]])=0, "INVALID","VALID")</f>
        <v>VALID</v>
      </c>
    </row>
    <row r="2910" spans="1:14" x14ac:dyDescent="0.35">
      <c r="A2910" t="s">
        <v>226</v>
      </c>
      <c r="B2910" s="5" t="str">
        <f>_xlfn.XLOOKUP(role_course_map[[#This Row],[role_id]], role_data[role_id], role_data[Role],"")</f>
        <v>Education and Training Business Administrator</v>
      </c>
      <c r="C2910">
        <v>999057</v>
      </c>
      <c r="D2910" s="5" t="str">
        <f>_xlfn.XLOOKUP(role_course_map[[#This Row],[course_id]],course_data[course_id],course_data[title],"")</f>
        <v>Fatigue Awareness</v>
      </c>
      <c r="E2910" s="5" t="str">
        <f>_xlfn.XLOOKUP(role_course_map[[#This Row],[course_id]],course_data[course_id],course_data[topic],"")</f>
        <v>SAS : Health and Safety</v>
      </c>
      <c r="F2910" s="5" t="str">
        <f>_xlfn.XLOOKUP(role_course_map[[#This Row],[course_id]],course_data[course_id],course_data[type],"")</f>
        <v>eLearning</v>
      </c>
      <c r="K2910" t="str">
        <f>role_course_map[[#This Row],[role_id]] &amp; "|" &amp; role_course_map[[#This Row],[course_id]]</f>
        <v>R0106|999057</v>
      </c>
      <c r="L2910" t="str">
        <f>IF(COUNTIF(role_course_map[mapping_key],role_course_map[[#This Row],[mapping_key]])&gt;1,"DUPLICATE","OK")</f>
        <v>DUPLICATE</v>
      </c>
      <c r="M2910" t="str">
        <f>IF(COUNTIF(role_data[role_id],role_course_map[[#This Row],[role_id]])=0, "INVALID","VALID")</f>
        <v>VALID</v>
      </c>
      <c r="N2910" t="str">
        <f>IF(COUNTIF(course_data[course_id],role_course_map[[#This Row],[course_id]])=0, "INVALID","VALID")</f>
        <v>VALID</v>
      </c>
    </row>
    <row r="2911" spans="1:14" x14ac:dyDescent="0.35">
      <c r="A2911" t="s">
        <v>226</v>
      </c>
      <c r="B2911" s="5" t="str">
        <f>_xlfn.XLOOKUP(role_course_map[[#This Row],[role_id]], role_data[role_id], role_data[Role],"")</f>
        <v>Education and Training Business Administrator</v>
      </c>
      <c r="C2911">
        <v>999058</v>
      </c>
      <c r="D2911" s="5" t="str">
        <f>_xlfn.XLOOKUP(role_course_map[[#This Row],[course_id]],course_data[course_id],course_data[title],"")</f>
        <v>Stress Identification &amp; Stress Management</v>
      </c>
      <c r="E2911" s="5" t="str">
        <f>_xlfn.XLOOKUP(role_course_map[[#This Row],[course_id]],course_data[course_id],course_data[topic],"")</f>
        <v>SAS : Health and Safety</v>
      </c>
      <c r="F2911" s="5" t="str">
        <f>_xlfn.XLOOKUP(role_course_map[[#This Row],[course_id]],course_data[course_id],course_data[type],"")</f>
        <v>eLearning</v>
      </c>
      <c r="K2911" t="str">
        <f>role_course_map[[#This Row],[role_id]] &amp; "|" &amp; role_course_map[[#This Row],[course_id]]</f>
        <v>R0106|999058</v>
      </c>
      <c r="L2911" t="str">
        <f>IF(COUNTIF(role_course_map[mapping_key],role_course_map[[#This Row],[mapping_key]])&gt;1,"DUPLICATE","OK")</f>
        <v>DUPLICATE</v>
      </c>
      <c r="M2911" t="str">
        <f>IF(COUNTIF(role_data[role_id],role_course_map[[#This Row],[role_id]])=0, "INVALID","VALID")</f>
        <v>VALID</v>
      </c>
      <c r="N2911" t="str">
        <f>IF(COUNTIF(course_data[course_id],role_course_map[[#This Row],[course_id]])=0, "INVALID","VALID")</f>
        <v>VALID</v>
      </c>
    </row>
    <row r="2912" spans="1:14" x14ac:dyDescent="0.35">
      <c r="A2912" t="s">
        <v>226</v>
      </c>
      <c r="B2912" s="5" t="str">
        <f>_xlfn.XLOOKUP(role_course_map[[#This Row],[role_id]], role_data[role_id], role_data[Role],"")</f>
        <v>Education and Training Business Administrator</v>
      </c>
      <c r="C2912">
        <v>999061</v>
      </c>
      <c r="D2912" s="5" t="str">
        <f>_xlfn.XLOOKUP(role_course_map[[#This Row],[course_id]],course_data[course_id],course_data[title],"")</f>
        <v>Skin Awareness</v>
      </c>
      <c r="E2912" s="5" t="str">
        <f>_xlfn.XLOOKUP(role_course_map[[#This Row],[course_id]],course_data[course_id],course_data[topic],"")</f>
        <v>SAS : Health and Safety</v>
      </c>
      <c r="F2912" s="5" t="str">
        <f>_xlfn.XLOOKUP(role_course_map[[#This Row],[course_id]],course_data[course_id],course_data[type],"")</f>
        <v>eLearning</v>
      </c>
      <c r="K2912" t="str">
        <f>role_course_map[[#This Row],[role_id]] &amp; "|" &amp; role_course_map[[#This Row],[course_id]]</f>
        <v>R0106|999061</v>
      </c>
      <c r="L2912" t="str">
        <f>IF(COUNTIF(role_course_map[mapping_key],role_course_map[[#This Row],[mapping_key]])&gt;1,"DUPLICATE","OK")</f>
        <v>DUPLICATE</v>
      </c>
      <c r="M2912" t="str">
        <f>IF(COUNTIF(role_data[role_id],role_course_map[[#This Row],[role_id]])=0, "INVALID","VALID")</f>
        <v>VALID</v>
      </c>
      <c r="N2912" t="str">
        <f>IF(COUNTIF(course_data[course_id],role_course_map[[#This Row],[course_id]])=0, "INVALID","VALID")</f>
        <v>VALID</v>
      </c>
    </row>
    <row r="2913" spans="1:14" x14ac:dyDescent="0.35">
      <c r="A2913" t="s">
        <v>226</v>
      </c>
      <c r="B2913" s="5" t="str">
        <f>_xlfn.XLOOKUP(role_course_map[[#This Row],[role_id]], role_data[role_id], role_data[Role],"")</f>
        <v>Education and Training Business Administrator</v>
      </c>
      <c r="C2913">
        <v>999094</v>
      </c>
      <c r="D2913" s="5" t="str">
        <f>_xlfn.XLOOKUP(role_course_map[[#This Row],[course_id]],course_data[course_id],course_data[title],"")</f>
        <v>Being well, Mind, Body &amp; Workplace</v>
      </c>
      <c r="E2913" s="5" t="str">
        <f>_xlfn.XLOOKUP(role_course_map[[#This Row],[course_id]],course_data[course_id],course_data[topic],"")</f>
        <v>SAS: Staff development and experience</v>
      </c>
      <c r="F2913" s="5" t="str">
        <f>_xlfn.XLOOKUP(role_course_map[[#This Row],[course_id]],course_data[course_id],course_data[type],"")</f>
        <v>eLearning</v>
      </c>
      <c r="K2913" t="str">
        <f>role_course_map[[#This Row],[role_id]] &amp; "|" &amp; role_course_map[[#This Row],[course_id]]</f>
        <v>R0106|999094</v>
      </c>
      <c r="L2913" t="str">
        <f>IF(COUNTIF(role_course_map[mapping_key],role_course_map[[#This Row],[mapping_key]])&gt;1,"DUPLICATE","OK")</f>
        <v>DUPLICATE</v>
      </c>
      <c r="M2913" t="str">
        <f>IF(COUNTIF(role_data[role_id],role_course_map[[#This Row],[role_id]])=0, "INVALID","VALID")</f>
        <v>VALID</v>
      </c>
      <c r="N2913" t="str">
        <f>IF(COUNTIF(course_data[course_id],role_course_map[[#This Row],[course_id]])=0, "INVALID","VALID")</f>
        <v>VALID</v>
      </c>
    </row>
    <row r="2914" spans="1:14" x14ac:dyDescent="0.35">
      <c r="A2914" t="s">
        <v>242</v>
      </c>
      <c r="B2914" s="5" t="str">
        <f>_xlfn.XLOOKUP(role_course_map[[#This Row],[role_id]], role_data[role_id], role_data[Role],"")</f>
        <v>Risk and Resilience Administrator</v>
      </c>
      <c r="C2914">
        <v>999056</v>
      </c>
      <c r="D2914" s="5" t="str">
        <f>_xlfn.XLOOKUP(role_course_map[[#This Row],[course_id]],course_data[course_id],course_data[title],"")</f>
        <v>Driver Assessment &amp; Training</v>
      </c>
      <c r="E2914" s="5" t="str">
        <f>_xlfn.XLOOKUP(role_course_map[[#This Row],[course_id]],course_data[course_id],course_data[topic],"")</f>
        <v>SAS : Health and Safety</v>
      </c>
      <c r="F2914" s="5" t="str">
        <f>_xlfn.XLOOKUP(role_course_map[[#This Row],[course_id]],course_data[course_id],course_data[type],"")</f>
        <v>eLearning</v>
      </c>
      <c r="K2914" t="str">
        <f>role_course_map[[#This Row],[role_id]] &amp; "|" &amp; role_course_map[[#This Row],[course_id]]</f>
        <v>R0114|999056</v>
      </c>
      <c r="L2914" t="str">
        <f>IF(COUNTIF(role_course_map[mapping_key],role_course_map[[#This Row],[mapping_key]])&gt;1,"DUPLICATE","OK")</f>
        <v>DUPLICATE</v>
      </c>
      <c r="M2914" t="str">
        <f>IF(COUNTIF(role_data[role_id],role_course_map[[#This Row],[role_id]])=0, "INVALID","VALID")</f>
        <v>VALID</v>
      </c>
      <c r="N2914" t="str">
        <f>IF(COUNTIF(course_data[course_id],role_course_map[[#This Row],[course_id]])=0, "INVALID","VALID")</f>
        <v>VALID</v>
      </c>
    </row>
    <row r="2915" spans="1:14" x14ac:dyDescent="0.35">
      <c r="A2915" t="s">
        <v>242</v>
      </c>
      <c r="B2915" s="5" t="str">
        <f>_xlfn.XLOOKUP(role_course_map[[#This Row],[role_id]], role_data[role_id], role_data[Role],"")</f>
        <v>Risk and Resilience Administrator</v>
      </c>
      <c r="C2915">
        <v>999057</v>
      </c>
      <c r="D2915" s="5" t="str">
        <f>_xlfn.XLOOKUP(role_course_map[[#This Row],[course_id]],course_data[course_id],course_data[title],"")</f>
        <v>Fatigue Awareness</v>
      </c>
      <c r="E2915" s="5" t="str">
        <f>_xlfn.XLOOKUP(role_course_map[[#This Row],[course_id]],course_data[course_id],course_data[topic],"")</f>
        <v>SAS : Health and Safety</v>
      </c>
      <c r="F2915" s="5" t="str">
        <f>_xlfn.XLOOKUP(role_course_map[[#This Row],[course_id]],course_data[course_id],course_data[type],"")</f>
        <v>eLearning</v>
      </c>
      <c r="K2915" t="str">
        <f>role_course_map[[#This Row],[role_id]] &amp; "|" &amp; role_course_map[[#This Row],[course_id]]</f>
        <v>R0114|999057</v>
      </c>
      <c r="L2915" t="str">
        <f>IF(COUNTIF(role_course_map[mapping_key],role_course_map[[#This Row],[mapping_key]])&gt;1,"DUPLICATE","OK")</f>
        <v>DUPLICATE</v>
      </c>
      <c r="M2915" t="str">
        <f>IF(COUNTIF(role_data[role_id],role_course_map[[#This Row],[role_id]])=0, "INVALID","VALID")</f>
        <v>VALID</v>
      </c>
      <c r="N2915" t="str">
        <f>IF(COUNTIF(course_data[course_id],role_course_map[[#This Row],[course_id]])=0, "INVALID","VALID")</f>
        <v>VALID</v>
      </c>
    </row>
    <row r="2916" spans="1:14" x14ac:dyDescent="0.35">
      <c r="A2916" t="s">
        <v>242</v>
      </c>
      <c r="B2916" s="5" t="str">
        <f>_xlfn.XLOOKUP(role_course_map[[#This Row],[role_id]], role_data[role_id], role_data[Role],"")</f>
        <v>Risk and Resilience Administrator</v>
      </c>
      <c r="C2916">
        <v>999058</v>
      </c>
      <c r="D2916" s="5" t="str">
        <f>_xlfn.XLOOKUP(role_course_map[[#This Row],[course_id]],course_data[course_id],course_data[title],"")</f>
        <v>Stress Identification &amp; Stress Management</v>
      </c>
      <c r="E2916" s="5" t="str">
        <f>_xlfn.XLOOKUP(role_course_map[[#This Row],[course_id]],course_data[course_id],course_data[topic],"")</f>
        <v>SAS : Health and Safety</v>
      </c>
      <c r="F2916" s="5" t="str">
        <f>_xlfn.XLOOKUP(role_course_map[[#This Row],[course_id]],course_data[course_id],course_data[type],"")</f>
        <v>eLearning</v>
      </c>
      <c r="K2916" t="str">
        <f>role_course_map[[#This Row],[role_id]] &amp; "|" &amp; role_course_map[[#This Row],[course_id]]</f>
        <v>R0114|999058</v>
      </c>
      <c r="L2916" t="str">
        <f>IF(COUNTIF(role_course_map[mapping_key],role_course_map[[#This Row],[mapping_key]])&gt;1,"DUPLICATE","OK")</f>
        <v>DUPLICATE</v>
      </c>
      <c r="M2916" t="str">
        <f>IF(COUNTIF(role_data[role_id],role_course_map[[#This Row],[role_id]])=0, "INVALID","VALID")</f>
        <v>VALID</v>
      </c>
      <c r="N2916" t="str">
        <f>IF(COUNTIF(course_data[course_id],role_course_map[[#This Row],[course_id]])=0, "INVALID","VALID")</f>
        <v>VALID</v>
      </c>
    </row>
    <row r="2917" spans="1:14" x14ac:dyDescent="0.35">
      <c r="A2917" t="s">
        <v>242</v>
      </c>
      <c r="B2917" s="5" t="str">
        <f>_xlfn.XLOOKUP(role_course_map[[#This Row],[role_id]], role_data[role_id], role_data[Role],"")</f>
        <v>Risk and Resilience Administrator</v>
      </c>
      <c r="C2917">
        <v>999061</v>
      </c>
      <c r="D2917" s="5" t="str">
        <f>_xlfn.XLOOKUP(role_course_map[[#This Row],[course_id]],course_data[course_id],course_data[title],"")</f>
        <v>Skin Awareness</v>
      </c>
      <c r="E2917" s="5" t="str">
        <f>_xlfn.XLOOKUP(role_course_map[[#This Row],[course_id]],course_data[course_id],course_data[topic],"")</f>
        <v>SAS : Health and Safety</v>
      </c>
      <c r="F2917" s="5" t="str">
        <f>_xlfn.XLOOKUP(role_course_map[[#This Row],[course_id]],course_data[course_id],course_data[type],"")</f>
        <v>eLearning</v>
      </c>
      <c r="K2917" t="str">
        <f>role_course_map[[#This Row],[role_id]] &amp; "|" &amp; role_course_map[[#This Row],[course_id]]</f>
        <v>R0114|999061</v>
      </c>
      <c r="L2917" t="str">
        <f>IF(COUNTIF(role_course_map[mapping_key],role_course_map[[#This Row],[mapping_key]])&gt;1,"DUPLICATE","OK")</f>
        <v>DUPLICATE</v>
      </c>
      <c r="M2917" t="str">
        <f>IF(COUNTIF(role_data[role_id],role_course_map[[#This Row],[role_id]])=0, "INVALID","VALID")</f>
        <v>VALID</v>
      </c>
      <c r="N2917" t="str">
        <f>IF(COUNTIF(course_data[course_id],role_course_map[[#This Row],[course_id]])=0, "INVALID","VALID")</f>
        <v>VALID</v>
      </c>
    </row>
    <row r="2918" spans="1:14" x14ac:dyDescent="0.35">
      <c r="A2918" t="s">
        <v>242</v>
      </c>
      <c r="B2918" s="5" t="str">
        <f>_xlfn.XLOOKUP(role_course_map[[#This Row],[role_id]], role_data[role_id], role_data[Role],"")</f>
        <v>Risk and Resilience Administrator</v>
      </c>
      <c r="C2918">
        <v>999094</v>
      </c>
      <c r="D2918" s="5" t="str">
        <f>_xlfn.XLOOKUP(role_course_map[[#This Row],[course_id]],course_data[course_id],course_data[title],"")</f>
        <v>Being well, Mind, Body &amp; Workplace</v>
      </c>
      <c r="E2918" s="5" t="str">
        <f>_xlfn.XLOOKUP(role_course_map[[#This Row],[course_id]],course_data[course_id],course_data[topic],"")</f>
        <v>SAS: Staff development and experience</v>
      </c>
      <c r="F2918" s="5" t="str">
        <f>_xlfn.XLOOKUP(role_course_map[[#This Row],[course_id]],course_data[course_id],course_data[type],"")</f>
        <v>eLearning</v>
      </c>
      <c r="K2918" t="str">
        <f>role_course_map[[#This Row],[role_id]] &amp; "|" &amp; role_course_map[[#This Row],[course_id]]</f>
        <v>R0114|999094</v>
      </c>
      <c r="L2918" t="str">
        <f>IF(COUNTIF(role_course_map[mapping_key],role_course_map[[#This Row],[mapping_key]])&gt;1,"DUPLICATE","OK")</f>
        <v>DUPLICATE</v>
      </c>
      <c r="M2918" t="str">
        <f>IF(COUNTIF(role_data[role_id],role_course_map[[#This Row],[role_id]])=0, "INVALID","VALID")</f>
        <v>VALID</v>
      </c>
      <c r="N2918" t="str">
        <f>IF(COUNTIF(course_data[course_id],role_course_map[[#This Row],[course_id]])=0, "INVALID","VALID")</f>
        <v>VALID</v>
      </c>
    </row>
    <row r="2919" spans="1:14" x14ac:dyDescent="0.35">
      <c r="A2919" t="s">
        <v>212</v>
      </c>
      <c r="B2919" s="5" t="str">
        <f>_xlfn.XLOOKUP(role_course_map[[#This Row],[role_id]], role_data[role_id], role_data[Role],"")</f>
        <v>Assistant Strategic Operations Manager</v>
      </c>
      <c r="C2919">
        <v>999056</v>
      </c>
      <c r="D2919" s="5" t="str">
        <f>_xlfn.XLOOKUP(role_course_map[[#This Row],[course_id]],course_data[course_id],course_data[title],"")</f>
        <v>Driver Assessment &amp; Training</v>
      </c>
      <c r="E2919" s="5" t="str">
        <f>_xlfn.XLOOKUP(role_course_map[[#This Row],[course_id]],course_data[course_id],course_data[topic],"")</f>
        <v>SAS : Health and Safety</v>
      </c>
      <c r="F2919" s="5" t="str">
        <f>_xlfn.XLOOKUP(role_course_map[[#This Row],[course_id]],course_data[course_id],course_data[type],"")</f>
        <v>eLearning</v>
      </c>
      <c r="K2919" t="str">
        <f>role_course_map[[#This Row],[role_id]] &amp; "|" &amp; role_course_map[[#This Row],[course_id]]</f>
        <v>R0099|999056</v>
      </c>
      <c r="L2919" t="str">
        <f>IF(COUNTIF(role_course_map[mapping_key],role_course_map[[#This Row],[mapping_key]])&gt;1,"DUPLICATE","OK")</f>
        <v>OK</v>
      </c>
      <c r="M2919" t="str">
        <f>IF(COUNTIF(role_data[role_id],role_course_map[[#This Row],[role_id]])=0, "INVALID","VALID")</f>
        <v>VALID</v>
      </c>
      <c r="N2919" t="str">
        <f>IF(COUNTIF(course_data[course_id],role_course_map[[#This Row],[course_id]])=0, "INVALID","VALID")</f>
        <v>VALID</v>
      </c>
    </row>
    <row r="2920" spans="1:14" x14ac:dyDescent="0.35">
      <c r="A2920" t="s">
        <v>212</v>
      </c>
      <c r="B2920" s="5" t="str">
        <f>_xlfn.XLOOKUP(role_course_map[[#This Row],[role_id]], role_data[role_id], role_data[Role],"")</f>
        <v>Assistant Strategic Operations Manager</v>
      </c>
      <c r="C2920">
        <v>999057</v>
      </c>
      <c r="D2920" s="5" t="str">
        <f>_xlfn.XLOOKUP(role_course_map[[#This Row],[course_id]],course_data[course_id],course_data[title],"")</f>
        <v>Fatigue Awareness</v>
      </c>
      <c r="E2920" s="5" t="str">
        <f>_xlfn.XLOOKUP(role_course_map[[#This Row],[course_id]],course_data[course_id],course_data[topic],"")</f>
        <v>SAS : Health and Safety</v>
      </c>
      <c r="F2920" s="5" t="str">
        <f>_xlfn.XLOOKUP(role_course_map[[#This Row],[course_id]],course_data[course_id],course_data[type],"")</f>
        <v>eLearning</v>
      </c>
      <c r="K2920" t="str">
        <f>role_course_map[[#This Row],[role_id]] &amp; "|" &amp; role_course_map[[#This Row],[course_id]]</f>
        <v>R0099|999057</v>
      </c>
      <c r="L2920" t="str">
        <f>IF(COUNTIF(role_course_map[mapping_key],role_course_map[[#This Row],[mapping_key]])&gt;1,"DUPLICATE","OK")</f>
        <v>OK</v>
      </c>
      <c r="M2920" t="str">
        <f>IF(COUNTIF(role_data[role_id],role_course_map[[#This Row],[role_id]])=0, "INVALID","VALID")</f>
        <v>VALID</v>
      </c>
      <c r="N2920" t="str">
        <f>IF(COUNTIF(course_data[course_id],role_course_map[[#This Row],[course_id]])=0, "INVALID","VALID")</f>
        <v>VALID</v>
      </c>
    </row>
    <row r="2921" spans="1:14" x14ac:dyDescent="0.35">
      <c r="A2921" t="s">
        <v>212</v>
      </c>
      <c r="B2921" s="5" t="str">
        <f>_xlfn.XLOOKUP(role_course_map[[#This Row],[role_id]], role_data[role_id], role_data[Role],"")</f>
        <v>Assistant Strategic Operations Manager</v>
      </c>
      <c r="C2921">
        <v>999058</v>
      </c>
      <c r="D2921" s="5" t="str">
        <f>_xlfn.XLOOKUP(role_course_map[[#This Row],[course_id]],course_data[course_id],course_data[title],"")</f>
        <v>Stress Identification &amp; Stress Management</v>
      </c>
      <c r="E2921" s="5" t="str">
        <f>_xlfn.XLOOKUP(role_course_map[[#This Row],[course_id]],course_data[course_id],course_data[topic],"")</f>
        <v>SAS : Health and Safety</v>
      </c>
      <c r="F2921" s="5" t="str">
        <f>_xlfn.XLOOKUP(role_course_map[[#This Row],[course_id]],course_data[course_id],course_data[type],"")</f>
        <v>eLearning</v>
      </c>
      <c r="K2921" t="str">
        <f>role_course_map[[#This Row],[role_id]] &amp; "|" &amp; role_course_map[[#This Row],[course_id]]</f>
        <v>R0099|999058</v>
      </c>
      <c r="L2921" t="str">
        <f>IF(COUNTIF(role_course_map[mapping_key],role_course_map[[#This Row],[mapping_key]])&gt;1,"DUPLICATE","OK")</f>
        <v>OK</v>
      </c>
      <c r="M2921" t="str">
        <f>IF(COUNTIF(role_data[role_id],role_course_map[[#This Row],[role_id]])=0, "INVALID","VALID")</f>
        <v>VALID</v>
      </c>
      <c r="N2921" t="str">
        <f>IF(COUNTIF(course_data[course_id],role_course_map[[#This Row],[course_id]])=0, "INVALID","VALID")</f>
        <v>VALID</v>
      </c>
    </row>
    <row r="2922" spans="1:14" x14ac:dyDescent="0.35">
      <c r="A2922" t="s">
        <v>212</v>
      </c>
      <c r="B2922" s="5" t="str">
        <f>_xlfn.XLOOKUP(role_course_map[[#This Row],[role_id]], role_data[role_id], role_data[Role],"")</f>
        <v>Assistant Strategic Operations Manager</v>
      </c>
      <c r="C2922">
        <v>999061</v>
      </c>
      <c r="D2922" s="5" t="str">
        <f>_xlfn.XLOOKUP(role_course_map[[#This Row],[course_id]],course_data[course_id],course_data[title],"")</f>
        <v>Skin Awareness</v>
      </c>
      <c r="E2922" s="5" t="str">
        <f>_xlfn.XLOOKUP(role_course_map[[#This Row],[course_id]],course_data[course_id],course_data[topic],"")</f>
        <v>SAS : Health and Safety</v>
      </c>
      <c r="F2922" s="5" t="str">
        <f>_xlfn.XLOOKUP(role_course_map[[#This Row],[course_id]],course_data[course_id],course_data[type],"")</f>
        <v>eLearning</v>
      </c>
      <c r="K2922" t="str">
        <f>role_course_map[[#This Row],[role_id]] &amp; "|" &amp; role_course_map[[#This Row],[course_id]]</f>
        <v>R0099|999061</v>
      </c>
      <c r="L2922" t="str">
        <f>IF(COUNTIF(role_course_map[mapping_key],role_course_map[[#This Row],[mapping_key]])&gt;1,"DUPLICATE","OK")</f>
        <v>OK</v>
      </c>
      <c r="M2922" t="str">
        <f>IF(COUNTIF(role_data[role_id],role_course_map[[#This Row],[role_id]])=0, "INVALID","VALID")</f>
        <v>VALID</v>
      </c>
      <c r="N2922" t="str">
        <f>IF(COUNTIF(course_data[course_id],role_course_map[[#This Row],[course_id]])=0, "INVALID","VALID")</f>
        <v>VALID</v>
      </c>
    </row>
    <row r="2923" spans="1:14" x14ac:dyDescent="0.35">
      <c r="A2923" t="s">
        <v>212</v>
      </c>
      <c r="B2923" s="5" t="str">
        <f>_xlfn.XLOOKUP(role_course_map[[#This Row],[role_id]], role_data[role_id], role_data[Role],"")</f>
        <v>Assistant Strategic Operations Manager</v>
      </c>
      <c r="C2923">
        <v>999094</v>
      </c>
      <c r="D2923" s="5" t="str">
        <f>_xlfn.XLOOKUP(role_course_map[[#This Row],[course_id]],course_data[course_id],course_data[title],"")</f>
        <v>Being well, Mind, Body &amp; Workplace</v>
      </c>
      <c r="E2923" s="5" t="str">
        <f>_xlfn.XLOOKUP(role_course_map[[#This Row],[course_id]],course_data[course_id],course_data[topic],"")</f>
        <v>SAS: Staff development and experience</v>
      </c>
      <c r="F2923" s="5" t="str">
        <f>_xlfn.XLOOKUP(role_course_map[[#This Row],[course_id]],course_data[course_id],course_data[type],"")</f>
        <v>eLearning</v>
      </c>
      <c r="K2923" t="str">
        <f>role_course_map[[#This Row],[role_id]] &amp; "|" &amp; role_course_map[[#This Row],[course_id]]</f>
        <v>R0099|999094</v>
      </c>
      <c r="L2923" t="str">
        <f>IF(COUNTIF(role_course_map[mapping_key],role_course_map[[#This Row],[mapping_key]])&gt;1,"DUPLICATE","OK")</f>
        <v>OK</v>
      </c>
      <c r="M2923" t="str">
        <f>IF(COUNTIF(role_data[role_id],role_course_map[[#This Row],[role_id]])=0, "INVALID","VALID")</f>
        <v>VALID</v>
      </c>
      <c r="N2923" t="str">
        <f>IF(COUNTIF(course_data[course_id],role_course_map[[#This Row],[course_id]])=0, "INVALID","VALID")</f>
        <v>VALID</v>
      </c>
    </row>
    <row r="2924" spans="1:14" x14ac:dyDescent="0.35">
      <c r="A2924" t="s">
        <v>248</v>
      </c>
      <c r="B2924" s="5" t="str">
        <f>_xlfn.XLOOKUP(role_course_map[[#This Row],[role_id]], role_data[role_id], role_data[Role],"")</f>
        <v>Risk Manager</v>
      </c>
      <c r="C2924">
        <v>999056</v>
      </c>
      <c r="D2924" s="5" t="str">
        <f>_xlfn.XLOOKUP(role_course_map[[#This Row],[course_id]],course_data[course_id],course_data[title],"")</f>
        <v>Driver Assessment &amp; Training</v>
      </c>
      <c r="E2924" s="5" t="str">
        <f>_xlfn.XLOOKUP(role_course_map[[#This Row],[course_id]],course_data[course_id],course_data[topic],"")</f>
        <v>SAS : Health and Safety</v>
      </c>
      <c r="F2924" s="5" t="str">
        <f>_xlfn.XLOOKUP(role_course_map[[#This Row],[course_id]],course_data[course_id],course_data[type],"")</f>
        <v>eLearning</v>
      </c>
      <c r="K2924" t="str">
        <f>role_course_map[[#This Row],[role_id]] &amp; "|" &amp; role_course_map[[#This Row],[course_id]]</f>
        <v>R0118|999056</v>
      </c>
      <c r="L2924" t="str">
        <f>IF(COUNTIF(role_course_map[mapping_key],role_course_map[[#This Row],[mapping_key]])&gt;1,"DUPLICATE","OK")</f>
        <v>OK</v>
      </c>
      <c r="M2924" t="str">
        <f>IF(COUNTIF(role_data[role_id],role_course_map[[#This Row],[role_id]])=0, "INVALID","VALID")</f>
        <v>VALID</v>
      </c>
      <c r="N2924" t="str">
        <f>IF(COUNTIF(course_data[course_id],role_course_map[[#This Row],[course_id]])=0, "INVALID","VALID")</f>
        <v>VALID</v>
      </c>
    </row>
    <row r="2925" spans="1:14" x14ac:dyDescent="0.35">
      <c r="A2925" t="s">
        <v>248</v>
      </c>
      <c r="B2925" s="5" t="str">
        <f>_xlfn.XLOOKUP(role_course_map[[#This Row],[role_id]], role_data[role_id], role_data[Role],"")</f>
        <v>Risk Manager</v>
      </c>
      <c r="C2925">
        <v>999057</v>
      </c>
      <c r="D2925" s="5" t="str">
        <f>_xlfn.XLOOKUP(role_course_map[[#This Row],[course_id]],course_data[course_id],course_data[title],"")</f>
        <v>Fatigue Awareness</v>
      </c>
      <c r="E2925" s="5" t="str">
        <f>_xlfn.XLOOKUP(role_course_map[[#This Row],[course_id]],course_data[course_id],course_data[topic],"")</f>
        <v>SAS : Health and Safety</v>
      </c>
      <c r="F2925" s="5" t="str">
        <f>_xlfn.XLOOKUP(role_course_map[[#This Row],[course_id]],course_data[course_id],course_data[type],"")</f>
        <v>eLearning</v>
      </c>
      <c r="K2925" t="str">
        <f>role_course_map[[#This Row],[role_id]] &amp; "|" &amp; role_course_map[[#This Row],[course_id]]</f>
        <v>R0118|999057</v>
      </c>
      <c r="L2925" t="str">
        <f>IF(COUNTIF(role_course_map[mapping_key],role_course_map[[#This Row],[mapping_key]])&gt;1,"DUPLICATE","OK")</f>
        <v>OK</v>
      </c>
      <c r="M2925" t="str">
        <f>IF(COUNTIF(role_data[role_id],role_course_map[[#This Row],[role_id]])=0, "INVALID","VALID")</f>
        <v>VALID</v>
      </c>
      <c r="N2925" t="str">
        <f>IF(COUNTIF(course_data[course_id],role_course_map[[#This Row],[course_id]])=0, "INVALID","VALID")</f>
        <v>VALID</v>
      </c>
    </row>
    <row r="2926" spans="1:14" x14ac:dyDescent="0.35">
      <c r="A2926" t="s">
        <v>248</v>
      </c>
      <c r="B2926" s="5" t="str">
        <f>_xlfn.XLOOKUP(role_course_map[[#This Row],[role_id]], role_data[role_id], role_data[Role],"")</f>
        <v>Risk Manager</v>
      </c>
      <c r="C2926">
        <v>999058</v>
      </c>
      <c r="D2926" s="5" t="str">
        <f>_xlfn.XLOOKUP(role_course_map[[#This Row],[course_id]],course_data[course_id],course_data[title],"")</f>
        <v>Stress Identification &amp; Stress Management</v>
      </c>
      <c r="E2926" s="5" t="str">
        <f>_xlfn.XLOOKUP(role_course_map[[#This Row],[course_id]],course_data[course_id],course_data[topic],"")</f>
        <v>SAS : Health and Safety</v>
      </c>
      <c r="F2926" s="5" t="str">
        <f>_xlfn.XLOOKUP(role_course_map[[#This Row],[course_id]],course_data[course_id],course_data[type],"")</f>
        <v>eLearning</v>
      </c>
      <c r="K2926" t="str">
        <f>role_course_map[[#This Row],[role_id]] &amp; "|" &amp; role_course_map[[#This Row],[course_id]]</f>
        <v>R0118|999058</v>
      </c>
      <c r="L2926" t="str">
        <f>IF(COUNTIF(role_course_map[mapping_key],role_course_map[[#This Row],[mapping_key]])&gt;1,"DUPLICATE","OK")</f>
        <v>OK</v>
      </c>
      <c r="M2926" t="str">
        <f>IF(COUNTIF(role_data[role_id],role_course_map[[#This Row],[role_id]])=0, "INVALID","VALID")</f>
        <v>VALID</v>
      </c>
      <c r="N2926" t="str">
        <f>IF(COUNTIF(course_data[course_id],role_course_map[[#This Row],[course_id]])=0, "INVALID","VALID")</f>
        <v>VALID</v>
      </c>
    </row>
    <row r="2927" spans="1:14" x14ac:dyDescent="0.35">
      <c r="A2927" t="s">
        <v>248</v>
      </c>
      <c r="B2927" s="5" t="str">
        <f>_xlfn.XLOOKUP(role_course_map[[#This Row],[role_id]], role_data[role_id], role_data[Role],"")</f>
        <v>Risk Manager</v>
      </c>
      <c r="C2927">
        <v>999061</v>
      </c>
      <c r="D2927" s="5" t="str">
        <f>_xlfn.XLOOKUP(role_course_map[[#This Row],[course_id]],course_data[course_id],course_data[title],"")</f>
        <v>Skin Awareness</v>
      </c>
      <c r="E2927" s="5" t="str">
        <f>_xlfn.XLOOKUP(role_course_map[[#This Row],[course_id]],course_data[course_id],course_data[topic],"")</f>
        <v>SAS : Health and Safety</v>
      </c>
      <c r="F2927" s="5" t="str">
        <f>_xlfn.XLOOKUP(role_course_map[[#This Row],[course_id]],course_data[course_id],course_data[type],"")</f>
        <v>eLearning</v>
      </c>
      <c r="K2927" t="str">
        <f>role_course_map[[#This Row],[role_id]] &amp; "|" &amp; role_course_map[[#This Row],[course_id]]</f>
        <v>R0118|999061</v>
      </c>
      <c r="L2927" t="str">
        <f>IF(COUNTIF(role_course_map[mapping_key],role_course_map[[#This Row],[mapping_key]])&gt;1,"DUPLICATE","OK")</f>
        <v>OK</v>
      </c>
      <c r="M2927" t="str">
        <f>IF(COUNTIF(role_data[role_id],role_course_map[[#This Row],[role_id]])=0, "INVALID","VALID")</f>
        <v>VALID</v>
      </c>
      <c r="N2927" t="str">
        <f>IF(COUNTIF(course_data[course_id],role_course_map[[#This Row],[course_id]])=0, "INVALID","VALID")</f>
        <v>VALID</v>
      </c>
    </row>
    <row r="2928" spans="1:14" x14ac:dyDescent="0.35">
      <c r="A2928" t="s">
        <v>248</v>
      </c>
      <c r="B2928" s="5" t="str">
        <f>_xlfn.XLOOKUP(role_course_map[[#This Row],[role_id]], role_data[role_id], role_data[Role],"")</f>
        <v>Risk Manager</v>
      </c>
      <c r="C2928">
        <v>999094</v>
      </c>
      <c r="D2928" s="5" t="str">
        <f>_xlfn.XLOOKUP(role_course_map[[#This Row],[course_id]],course_data[course_id],course_data[title],"")</f>
        <v>Being well, Mind, Body &amp; Workplace</v>
      </c>
      <c r="E2928" s="5" t="str">
        <f>_xlfn.XLOOKUP(role_course_map[[#This Row],[course_id]],course_data[course_id],course_data[topic],"")</f>
        <v>SAS: Staff development and experience</v>
      </c>
      <c r="F2928" s="5" t="str">
        <f>_xlfn.XLOOKUP(role_course_map[[#This Row],[course_id]],course_data[course_id],course_data[type],"")</f>
        <v>eLearning</v>
      </c>
      <c r="K2928" t="str">
        <f>role_course_map[[#This Row],[role_id]] &amp; "|" &amp; role_course_map[[#This Row],[course_id]]</f>
        <v>R0118|999094</v>
      </c>
      <c r="L2928" t="str">
        <f>IF(COUNTIF(role_course_map[mapping_key],role_course_map[[#This Row],[mapping_key]])&gt;1,"DUPLICATE","OK")</f>
        <v>OK</v>
      </c>
      <c r="M2928" t="str">
        <f>IF(COUNTIF(role_data[role_id],role_course_map[[#This Row],[role_id]])=0, "INVALID","VALID")</f>
        <v>VALID</v>
      </c>
      <c r="N2928" t="str">
        <f>IF(COUNTIF(course_data[course_id],role_course_map[[#This Row],[course_id]])=0, "INVALID","VALID")</f>
        <v>VALID</v>
      </c>
    </row>
    <row r="2929" spans="1:14" x14ac:dyDescent="0.35">
      <c r="A2929" t="s">
        <v>248</v>
      </c>
      <c r="B2929" s="5" t="str">
        <f>_xlfn.XLOOKUP(role_course_map[[#This Row],[role_id]], role_data[role_id], role_data[Role],"")</f>
        <v>Risk Manager</v>
      </c>
      <c r="C2929">
        <v>999062</v>
      </c>
      <c r="D2929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2929" s="5" t="str">
        <f>_xlfn.XLOOKUP(role_course_map[[#This Row],[course_id]],course_data[course_id],course_data[topic],"")</f>
        <v>SAS : Health and Safety</v>
      </c>
      <c r="F2929" s="5" t="str">
        <f>_xlfn.XLOOKUP(role_course_map[[#This Row],[course_id]],course_data[course_id],course_data[type],"")</f>
        <v>Course</v>
      </c>
      <c r="K2929" t="str">
        <f>role_course_map[[#This Row],[role_id]] &amp; "|" &amp; role_course_map[[#This Row],[course_id]]</f>
        <v>R0118|999062</v>
      </c>
      <c r="L2929" t="str">
        <f>IF(COUNTIF(role_course_map[mapping_key],role_course_map[[#This Row],[mapping_key]])&gt;1,"DUPLICATE","OK")</f>
        <v>OK</v>
      </c>
      <c r="M2929" t="str">
        <f>IF(COUNTIF(role_data[role_id],role_course_map[[#This Row],[role_id]])=0, "INVALID","VALID")</f>
        <v>VALID</v>
      </c>
      <c r="N2929" t="str">
        <f>IF(COUNTIF(course_data[course_id],role_course_map[[#This Row],[course_id]])=0, "INVALID","VALID")</f>
        <v>VALID</v>
      </c>
    </row>
    <row r="2930" spans="1:14" x14ac:dyDescent="0.35">
      <c r="A2930" t="s">
        <v>222</v>
      </c>
      <c r="B2930" s="5" t="str">
        <f>_xlfn.XLOOKUP(role_course_map[[#This Row],[role_id]], role_data[role_id], role_data[Role],"")</f>
        <v>Community Resilience Facilitator</v>
      </c>
      <c r="C2930">
        <v>999058</v>
      </c>
      <c r="D2930" s="5" t="str">
        <f>_xlfn.XLOOKUP(role_course_map[[#This Row],[course_id]],course_data[course_id],course_data[title],"")</f>
        <v>Stress Identification &amp; Stress Management</v>
      </c>
      <c r="E2930" s="5" t="str">
        <f>_xlfn.XLOOKUP(role_course_map[[#This Row],[course_id]],course_data[course_id],course_data[topic],"")</f>
        <v>SAS : Health and Safety</v>
      </c>
      <c r="F2930" s="5" t="str">
        <f>_xlfn.XLOOKUP(role_course_map[[#This Row],[course_id]],course_data[course_id],course_data[type],"")</f>
        <v>eLearning</v>
      </c>
      <c r="K2930" t="str">
        <f>role_course_map[[#This Row],[role_id]] &amp; "|" &amp; role_course_map[[#This Row],[course_id]]</f>
        <v>R0104|999058</v>
      </c>
      <c r="L2930" t="str">
        <f>IF(COUNTIF(role_course_map[mapping_key],role_course_map[[#This Row],[mapping_key]])&gt;1,"DUPLICATE","OK")</f>
        <v>OK</v>
      </c>
      <c r="M2930" t="str">
        <f>IF(COUNTIF(role_data[role_id],role_course_map[[#This Row],[role_id]])=0, "INVALID","VALID")</f>
        <v>VALID</v>
      </c>
      <c r="N2930" t="str">
        <f>IF(COUNTIF(course_data[course_id],role_course_map[[#This Row],[course_id]])=0, "INVALID","VALID")</f>
        <v>VALID</v>
      </c>
    </row>
    <row r="2931" spans="1:14" x14ac:dyDescent="0.35">
      <c r="A2931" t="s">
        <v>222</v>
      </c>
      <c r="B2931" s="5" t="str">
        <f>_xlfn.XLOOKUP(role_course_map[[#This Row],[role_id]], role_data[role_id], role_data[Role],"")</f>
        <v>Community Resilience Facilitator</v>
      </c>
      <c r="C2931">
        <v>999056</v>
      </c>
      <c r="D2931" s="5" t="str">
        <f>_xlfn.XLOOKUP(role_course_map[[#This Row],[course_id]],course_data[course_id],course_data[title],"")</f>
        <v>Driver Assessment &amp; Training</v>
      </c>
      <c r="E2931" s="5" t="str">
        <f>_xlfn.XLOOKUP(role_course_map[[#This Row],[course_id]],course_data[course_id],course_data[topic],"")</f>
        <v>SAS : Health and Safety</v>
      </c>
      <c r="F2931" s="5" t="str">
        <f>_xlfn.XLOOKUP(role_course_map[[#This Row],[course_id]],course_data[course_id],course_data[type],"")</f>
        <v>eLearning</v>
      </c>
      <c r="K2931" t="str">
        <f>role_course_map[[#This Row],[role_id]] &amp; "|" &amp; role_course_map[[#This Row],[course_id]]</f>
        <v>R0104|999056</v>
      </c>
      <c r="L2931" t="str">
        <f>IF(COUNTIF(role_course_map[mapping_key],role_course_map[[#This Row],[mapping_key]])&gt;1,"DUPLICATE","OK")</f>
        <v>OK</v>
      </c>
      <c r="M2931" t="str">
        <f>IF(COUNTIF(role_data[role_id],role_course_map[[#This Row],[role_id]])=0, "INVALID","VALID")</f>
        <v>VALID</v>
      </c>
      <c r="N2931" t="str">
        <f>IF(COUNTIF(course_data[course_id],role_course_map[[#This Row],[course_id]])=0, "INVALID","VALID")</f>
        <v>VALID</v>
      </c>
    </row>
    <row r="2932" spans="1:14" x14ac:dyDescent="0.35">
      <c r="A2932" t="s">
        <v>222</v>
      </c>
      <c r="B2932" s="5" t="str">
        <f>_xlfn.XLOOKUP(role_course_map[[#This Row],[role_id]], role_data[role_id], role_data[Role],"")</f>
        <v>Community Resilience Facilitator</v>
      </c>
      <c r="C2932">
        <v>999057</v>
      </c>
      <c r="D2932" s="5" t="str">
        <f>_xlfn.XLOOKUP(role_course_map[[#This Row],[course_id]],course_data[course_id],course_data[title],"")</f>
        <v>Fatigue Awareness</v>
      </c>
      <c r="E2932" s="5" t="str">
        <f>_xlfn.XLOOKUP(role_course_map[[#This Row],[course_id]],course_data[course_id],course_data[topic],"")</f>
        <v>SAS : Health and Safety</v>
      </c>
      <c r="F2932" s="5" t="str">
        <f>_xlfn.XLOOKUP(role_course_map[[#This Row],[course_id]],course_data[course_id],course_data[type],"")</f>
        <v>eLearning</v>
      </c>
      <c r="K2932" t="str">
        <f>role_course_map[[#This Row],[role_id]] &amp; "|" &amp; role_course_map[[#This Row],[course_id]]</f>
        <v>R0104|999057</v>
      </c>
      <c r="L2932" t="str">
        <f>IF(COUNTIF(role_course_map[mapping_key],role_course_map[[#This Row],[mapping_key]])&gt;1,"DUPLICATE","OK")</f>
        <v>OK</v>
      </c>
      <c r="M2932" t="str">
        <f>IF(COUNTIF(role_data[role_id],role_course_map[[#This Row],[role_id]])=0, "INVALID","VALID")</f>
        <v>VALID</v>
      </c>
      <c r="N2932" t="str">
        <f>IF(COUNTIF(course_data[course_id],role_course_map[[#This Row],[course_id]])=0, "INVALID","VALID")</f>
        <v>VALID</v>
      </c>
    </row>
    <row r="2933" spans="1:14" x14ac:dyDescent="0.35">
      <c r="A2933" t="s">
        <v>222</v>
      </c>
      <c r="B2933" s="5" t="str">
        <f>_xlfn.XLOOKUP(role_course_map[[#This Row],[role_id]], role_data[role_id], role_data[Role],"")</f>
        <v>Community Resilience Facilitator</v>
      </c>
      <c r="C2933">
        <v>999061</v>
      </c>
      <c r="D2933" s="5" t="str">
        <f>_xlfn.XLOOKUP(role_course_map[[#This Row],[course_id]],course_data[course_id],course_data[title],"")</f>
        <v>Skin Awareness</v>
      </c>
      <c r="E2933" s="5" t="str">
        <f>_xlfn.XLOOKUP(role_course_map[[#This Row],[course_id]],course_data[course_id],course_data[topic],"")</f>
        <v>SAS : Health and Safety</v>
      </c>
      <c r="F2933" s="5" t="str">
        <f>_xlfn.XLOOKUP(role_course_map[[#This Row],[course_id]],course_data[course_id],course_data[type],"")</f>
        <v>eLearning</v>
      </c>
      <c r="K2933" t="str">
        <f>role_course_map[[#This Row],[role_id]] &amp; "|" &amp; role_course_map[[#This Row],[course_id]]</f>
        <v>R0104|999061</v>
      </c>
      <c r="L2933" t="str">
        <f>IF(COUNTIF(role_course_map[mapping_key],role_course_map[[#This Row],[mapping_key]])&gt;1,"DUPLICATE","OK")</f>
        <v>OK</v>
      </c>
      <c r="M2933" t="str">
        <f>IF(COUNTIF(role_data[role_id],role_course_map[[#This Row],[role_id]])=0, "INVALID","VALID")</f>
        <v>VALID</v>
      </c>
      <c r="N2933" t="str">
        <f>IF(COUNTIF(course_data[course_id],role_course_map[[#This Row],[course_id]])=0, "INVALID","VALID")</f>
        <v>VALID</v>
      </c>
    </row>
    <row r="2934" spans="1:14" x14ac:dyDescent="0.35">
      <c r="A2934" t="s">
        <v>222</v>
      </c>
      <c r="B2934" s="5" t="str">
        <f>_xlfn.XLOOKUP(role_course_map[[#This Row],[role_id]], role_data[role_id], role_data[Role],"")</f>
        <v>Community Resilience Facilitator</v>
      </c>
      <c r="C2934">
        <v>999094</v>
      </c>
      <c r="D2934" s="5" t="str">
        <f>_xlfn.XLOOKUP(role_course_map[[#This Row],[course_id]],course_data[course_id],course_data[title],"")</f>
        <v>Being well, Mind, Body &amp; Workplace</v>
      </c>
      <c r="E2934" s="5" t="str">
        <f>_xlfn.XLOOKUP(role_course_map[[#This Row],[course_id]],course_data[course_id],course_data[topic],"")</f>
        <v>SAS: Staff development and experience</v>
      </c>
      <c r="F2934" s="5" t="str">
        <f>_xlfn.XLOOKUP(role_course_map[[#This Row],[course_id]],course_data[course_id],course_data[type],"")</f>
        <v>eLearning</v>
      </c>
      <c r="K2934" t="str">
        <f>role_course_map[[#This Row],[role_id]] &amp; "|" &amp; role_course_map[[#This Row],[course_id]]</f>
        <v>R0104|999094</v>
      </c>
      <c r="L2934" t="str">
        <f>IF(COUNTIF(role_course_map[mapping_key],role_course_map[[#This Row],[mapping_key]])&gt;1,"DUPLICATE","OK")</f>
        <v>OK</v>
      </c>
      <c r="M2934" t="str">
        <f>IF(COUNTIF(role_data[role_id],role_course_map[[#This Row],[role_id]])=0, "INVALID","VALID")</f>
        <v>VALID</v>
      </c>
      <c r="N2934" t="str">
        <f>IF(COUNTIF(course_data[course_id],role_course_map[[#This Row],[course_id]])=0, "INVALID","VALID")</f>
        <v>VALID</v>
      </c>
    </row>
    <row r="2935" spans="1:14" x14ac:dyDescent="0.35">
      <c r="A2935" t="s">
        <v>222</v>
      </c>
      <c r="B2935" s="5" t="str">
        <f>_xlfn.XLOOKUP(role_course_map[[#This Row],[role_id]], role_data[role_id], role_data[Role],"")</f>
        <v>Community Resilience Facilitator</v>
      </c>
      <c r="D2935" s="5" t="s">
        <v>1062</v>
      </c>
      <c r="E2935" s="5" t="str">
        <f>_xlfn.XLOOKUP(role_course_map[[#This Row],[course_id]],course_data[course_id],course_data[topic],"")</f>
        <v/>
      </c>
      <c r="F2935" s="5" t="str">
        <f>_xlfn.XLOOKUP(role_course_map[[#This Row],[course_id]],course_data[course_id],course_data[type],"")</f>
        <v/>
      </c>
      <c r="K2935" t="str">
        <f>role_course_map[[#This Row],[role_id]] &amp; "|" &amp; role_course_map[[#This Row],[course_id]]</f>
        <v>R0104|</v>
      </c>
      <c r="L2935" t="str">
        <f>IF(COUNTIF(role_course_map[mapping_key],role_course_map[[#This Row],[mapping_key]])&gt;1,"DUPLICATE","OK")</f>
        <v>OK</v>
      </c>
      <c r="M2935" t="str">
        <f>IF(COUNTIF(role_data[role_id],role_course_map[[#This Row],[role_id]])=0, "INVALID","VALID")</f>
        <v>VALID</v>
      </c>
      <c r="N2935" t="str">
        <f>IF(COUNTIF(course_data[course_id],role_course_map[[#This Row],[course_id]])=0, "INVALID","VALID")</f>
        <v>INVALID</v>
      </c>
    </row>
    <row r="2936" spans="1:14" x14ac:dyDescent="0.35">
      <c r="A2936" t="s">
        <v>222</v>
      </c>
      <c r="B2936" s="5" t="str">
        <f>_xlfn.XLOOKUP(role_course_map[[#This Row],[role_id]], role_data[role_id], role_data[Role],"")</f>
        <v>Community Resilience Facilitator</v>
      </c>
      <c r="C2936">
        <v>999067</v>
      </c>
      <c r="D2936" s="5" t="str">
        <f>_xlfn.XLOOKUP(role_course_map[[#This Row],[course_id]],course_data[course_id],course_data[title],"")</f>
        <v>Major incident awareness - Course overview</v>
      </c>
      <c r="E2936" s="5" t="str">
        <f>_xlfn.XLOOKUP(role_course_map[[#This Row],[course_id]],course_data[course_id],course_data[topic],"")</f>
        <v>SAS : National Risk and Resilience Department (NRRD)</v>
      </c>
      <c r="F2936" s="5" t="str">
        <f>_xlfn.XLOOKUP(role_course_map[[#This Row],[course_id]],course_data[course_id],course_data[type],"")</f>
        <v>eLearning</v>
      </c>
      <c r="K2936" t="str">
        <f>role_course_map[[#This Row],[role_id]] &amp; "|" &amp; role_course_map[[#This Row],[course_id]]</f>
        <v>R0104|999067</v>
      </c>
      <c r="L2936" t="str">
        <f>IF(COUNTIF(role_course_map[mapping_key],role_course_map[[#This Row],[mapping_key]])&gt;1,"DUPLICATE","OK")</f>
        <v>OK</v>
      </c>
      <c r="M2936" t="str">
        <f>IF(COUNTIF(role_data[role_id],role_course_map[[#This Row],[role_id]])=0, "INVALID","VALID")</f>
        <v>VALID</v>
      </c>
      <c r="N2936" t="str">
        <f>IF(COUNTIF(course_data[course_id],role_course_map[[#This Row],[course_id]])=0, "INVALID","VALID")</f>
        <v>VALID</v>
      </c>
    </row>
    <row r="2937" spans="1:14" x14ac:dyDescent="0.35">
      <c r="A2937" t="s">
        <v>222</v>
      </c>
      <c r="B2937" s="5" t="str">
        <f>_xlfn.XLOOKUP(role_course_map[[#This Row],[role_id]], role_data[role_id], role_data[Role],"")</f>
        <v>Community Resilience Facilitator</v>
      </c>
      <c r="C2937">
        <v>999068</v>
      </c>
      <c r="D2937" s="5" t="str">
        <f>_xlfn.XLOOKUP(role_course_map[[#This Row],[course_id]],course_data[course_id],course_data[title],"")</f>
        <v xml:space="preserve">Major incident awareness for responders </v>
      </c>
      <c r="E2937" s="5" t="str">
        <f>_xlfn.XLOOKUP(role_course_map[[#This Row],[course_id]],course_data[course_id],course_data[topic],"")</f>
        <v>SAS : National Risk and Resilience Department (NRRD)</v>
      </c>
      <c r="F2937" s="5" t="str">
        <f>_xlfn.XLOOKUP(role_course_map[[#This Row],[course_id]],course_data[course_id],course_data[type],"")</f>
        <v>eLearning</v>
      </c>
      <c r="K2937" t="str">
        <f>role_course_map[[#This Row],[role_id]] &amp; "|" &amp; role_course_map[[#This Row],[course_id]]</f>
        <v>R0104|999068</v>
      </c>
      <c r="L2937" t="str">
        <f>IF(COUNTIF(role_course_map[mapping_key],role_course_map[[#This Row],[mapping_key]])&gt;1,"DUPLICATE","OK")</f>
        <v>OK</v>
      </c>
      <c r="M2937" t="str">
        <f>IF(COUNTIF(role_data[role_id],role_course_map[[#This Row],[role_id]])=0, "INVALID","VALID")</f>
        <v>VALID</v>
      </c>
      <c r="N2937" t="str">
        <f>IF(COUNTIF(course_data[course_id],role_course_map[[#This Row],[course_id]])=0, "INVALID","VALID")</f>
        <v>VALID</v>
      </c>
    </row>
    <row r="2938" spans="1:14" x14ac:dyDescent="0.35">
      <c r="A2938" t="s">
        <v>222</v>
      </c>
      <c r="B2938" s="5" t="str">
        <f>_xlfn.XLOOKUP(role_course_map[[#This Row],[role_id]], role_data[role_id], role_data[Role],"")</f>
        <v>Community Resilience Facilitator</v>
      </c>
      <c r="C2938">
        <v>999069</v>
      </c>
      <c r="D2938" s="5" t="str">
        <f>_xlfn.XLOOKUP(role_course_map[[#This Row],[course_id]],course_data[course_id],course_data[title],"")</f>
        <v>Non-specialist MTFA response (JOPS3)</v>
      </c>
      <c r="E2938" s="5" t="str">
        <f>_xlfn.XLOOKUP(role_course_map[[#This Row],[course_id]],course_data[course_id],course_data[topic],"")</f>
        <v>SAS : National Risk and Resilience Department (NRRD)</v>
      </c>
      <c r="F2938" s="5" t="str">
        <f>_xlfn.XLOOKUP(role_course_map[[#This Row],[course_id]],course_data[course_id],course_data[type],"")</f>
        <v>eLearning</v>
      </c>
      <c r="K2938" t="str">
        <f>role_course_map[[#This Row],[role_id]] &amp; "|" &amp; role_course_map[[#This Row],[course_id]]</f>
        <v>R0104|999069</v>
      </c>
      <c r="L2938" t="str">
        <f>IF(COUNTIF(role_course_map[mapping_key],role_course_map[[#This Row],[mapping_key]])&gt;1,"DUPLICATE","OK")</f>
        <v>OK</v>
      </c>
      <c r="M2938" t="str">
        <f>IF(COUNTIF(role_data[role_id],role_course_map[[#This Row],[role_id]])=0, "INVALID","VALID")</f>
        <v>VALID</v>
      </c>
      <c r="N2938" t="str">
        <f>IF(COUNTIF(course_data[course_id],role_course_map[[#This Row],[course_id]])=0, "INVALID","VALID")</f>
        <v>VALID</v>
      </c>
    </row>
    <row r="2939" spans="1:14" x14ac:dyDescent="0.35">
      <c r="A2939" t="s">
        <v>222</v>
      </c>
      <c r="B2939" s="5" t="str">
        <f>_xlfn.XLOOKUP(role_course_map[[#This Row],[role_id]], role_data[role_id], role_data[Role],"")</f>
        <v>Community Resilience Facilitator</v>
      </c>
      <c r="C2939">
        <v>999070</v>
      </c>
      <c r="D2939" s="5" t="str">
        <f>_xlfn.XLOOKUP(role_course_map[[#This Row],[course_id]],course_data[course_id],course_data[title],"")</f>
        <v xml:space="preserve">SAS: JESIP (NEW) </v>
      </c>
      <c r="E2939" s="5" t="str">
        <f>_xlfn.XLOOKUP(role_course_map[[#This Row],[course_id]],course_data[course_id],course_data[topic],"")</f>
        <v>SAS : National Risk and Resilience Department (NRRD)</v>
      </c>
      <c r="F2939" s="5" t="str">
        <f>_xlfn.XLOOKUP(role_course_map[[#This Row],[course_id]],course_data[course_id],course_data[type],"")</f>
        <v>eLearning</v>
      </c>
      <c r="K2939" t="str">
        <f>role_course_map[[#This Row],[role_id]] &amp; "|" &amp; role_course_map[[#This Row],[course_id]]</f>
        <v>R0104|999070</v>
      </c>
      <c r="L2939" t="str">
        <f>IF(COUNTIF(role_course_map[mapping_key],role_course_map[[#This Row],[mapping_key]])&gt;1,"DUPLICATE","OK")</f>
        <v>OK</v>
      </c>
      <c r="M2939" t="str">
        <f>IF(COUNTIF(role_data[role_id],role_course_map[[#This Row],[role_id]])=0, "INVALID","VALID")</f>
        <v>VALID</v>
      </c>
      <c r="N2939" t="str">
        <f>IF(COUNTIF(course_data[course_id],role_course_map[[#This Row],[course_id]])=0, "INVALID","VALID")</f>
        <v>VALID</v>
      </c>
    </row>
    <row r="2940" spans="1:14" x14ac:dyDescent="0.35">
      <c r="A2940" t="s">
        <v>228</v>
      </c>
      <c r="B2940" s="5" t="str">
        <f>_xlfn.XLOOKUP(role_course_map[[#This Row],[role_id]], role_data[role_id], role_data[Role],"")</f>
        <v>Events Service Delivery Manager</v>
      </c>
      <c r="C2940">
        <v>999091</v>
      </c>
      <c r="D2940" s="5" t="str">
        <f>_xlfn.XLOOKUP(role_course_map[[#This Row],[course_id]],course_data[course_id],course_data[title],"")</f>
        <v>Intermediate Leadership Development Programme</v>
      </c>
      <c r="E2940" s="5" t="str">
        <f>_xlfn.XLOOKUP(role_course_map[[#This Row],[course_id]],course_data[course_id],course_data[topic],"")</f>
        <v>SAS: Staff development and experience</v>
      </c>
      <c r="F2940" s="5">
        <f>_xlfn.XLOOKUP(role_course_map[[#This Row],[course_id]],course_data[course_id],course_data[type],"")</f>
        <v>0</v>
      </c>
      <c r="K2940" t="str">
        <f>role_course_map[[#This Row],[role_id]] &amp; "|" &amp; role_course_map[[#This Row],[course_id]]</f>
        <v>R0107|999091</v>
      </c>
      <c r="L2940" t="str">
        <f>IF(COUNTIF(role_course_map[mapping_key],role_course_map[[#This Row],[mapping_key]])&gt;1,"DUPLICATE","OK")</f>
        <v>OK</v>
      </c>
      <c r="M2940" t="str">
        <f>IF(COUNTIF(role_data[role_id],role_course_map[[#This Row],[role_id]])=0, "INVALID","VALID")</f>
        <v>VALID</v>
      </c>
      <c r="N2940" t="str">
        <f>IF(COUNTIF(course_data[course_id],role_course_map[[#This Row],[course_id]])=0, "INVALID","VALID")</f>
        <v>VALID</v>
      </c>
    </row>
    <row r="2941" spans="1:14" x14ac:dyDescent="0.35">
      <c r="A2941" t="s">
        <v>228</v>
      </c>
      <c r="B2941" s="5" t="str">
        <f>_xlfn.XLOOKUP(role_course_map[[#This Row],[role_id]], role_data[role_id], role_data[Role],"")</f>
        <v>Events Service Delivery Manager</v>
      </c>
      <c r="C2941">
        <v>999062</v>
      </c>
      <c r="D2941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2941" s="5" t="str">
        <f>_xlfn.XLOOKUP(role_course_map[[#This Row],[course_id]],course_data[course_id],course_data[topic],"")</f>
        <v>SAS : Health and Safety</v>
      </c>
      <c r="F2941" s="5" t="str">
        <f>_xlfn.XLOOKUP(role_course_map[[#This Row],[course_id]],course_data[course_id],course_data[type],"")</f>
        <v>Course</v>
      </c>
      <c r="K2941" t="str">
        <f>role_course_map[[#This Row],[role_id]] &amp; "|" &amp; role_course_map[[#This Row],[course_id]]</f>
        <v>R0107|999062</v>
      </c>
      <c r="L2941" t="str">
        <f>IF(COUNTIF(role_course_map[mapping_key],role_course_map[[#This Row],[mapping_key]])&gt;1,"DUPLICATE","OK")</f>
        <v>OK</v>
      </c>
      <c r="M2941" t="str">
        <f>IF(COUNTIF(role_data[role_id],role_course_map[[#This Row],[role_id]])=0, "INVALID","VALID")</f>
        <v>VALID</v>
      </c>
      <c r="N2941" t="str">
        <f>IF(COUNTIF(course_data[course_id],role_course_map[[#This Row],[course_id]])=0, "INVALID","VALID")</f>
        <v>VALID</v>
      </c>
    </row>
    <row r="2942" spans="1:14" x14ac:dyDescent="0.35">
      <c r="A2942" t="s">
        <v>228</v>
      </c>
      <c r="B2942" s="5" t="str">
        <f>_xlfn.XLOOKUP(role_course_map[[#This Row],[role_id]], role_data[role_id], role_data[Role],"")</f>
        <v>Events Service Delivery Manager</v>
      </c>
      <c r="C2942">
        <v>999058</v>
      </c>
      <c r="D2942" s="5" t="str">
        <f>_xlfn.XLOOKUP(role_course_map[[#This Row],[course_id]],course_data[course_id],course_data[title],"")</f>
        <v>Stress Identification &amp; Stress Management</v>
      </c>
      <c r="E2942" s="5" t="str">
        <f>_xlfn.XLOOKUP(role_course_map[[#This Row],[course_id]],course_data[course_id],course_data[topic],"")</f>
        <v>SAS : Health and Safety</v>
      </c>
      <c r="F2942" s="5" t="str">
        <f>_xlfn.XLOOKUP(role_course_map[[#This Row],[course_id]],course_data[course_id],course_data[type],"")</f>
        <v>eLearning</v>
      </c>
      <c r="K2942" t="str">
        <f>role_course_map[[#This Row],[role_id]] &amp; "|" &amp; role_course_map[[#This Row],[course_id]]</f>
        <v>R0107|999058</v>
      </c>
      <c r="L2942" t="str">
        <f>IF(COUNTIF(role_course_map[mapping_key],role_course_map[[#This Row],[mapping_key]])&gt;1,"DUPLICATE","OK")</f>
        <v>OK</v>
      </c>
      <c r="M2942" t="str">
        <f>IF(COUNTIF(role_data[role_id],role_course_map[[#This Row],[role_id]])=0, "INVALID","VALID")</f>
        <v>VALID</v>
      </c>
      <c r="N2942" t="str">
        <f>IF(COUNTIF(course_data[course_id],role_course_map[[#This Row],[course_id]])=0, "INVALID","VALID")</f>
        <v>VALID</v>
      </c>
    </row>
    <row r="2943" spans="1:14" x14ac:dyDescent="0.35">
      <c r="A2943" t="s">
        <v>228</v>
      </c>
      <c r="B2943" s="5" t="str">
        <f>_xlfn.XLOOKUP(role_course_map[[#This Row],[role_id]], role_data[role_id], role_data[Role],"")</f>
        <v>Events Service Delivery Manager</v>
      </c>
      <c r="C2943">
        <v>999056</v>
      </c>
      <c r="D2943" s="5" t="str">
        <f>_xlfn.XLOOKUP(role_course_map[[#This Row],[course_id]],course_data[course_id],course_data[title],"")</f>
        <v>Driver Assessment &amp; Training</v>
      </c>
      <c r="E2943" s="5" t="str">
        <f>_xlfn.XLOOKUP(role_course_map[[#This Row],[course_id]],course_data[course_id],course_data[topic],"")</f>
        <v>SAS : Health and Safety</v>
      </c>
      <c r="F2943" s="5" t="str">
        <f>_xlfn.XLOOKUP(role_course_map[[#This Row],[course_id]],course_data[course_id],course_data[type],"")</f>
        <v>eLearning</v>
      </c>
      <c r="K2943" t="str">
        <f>role_course_map[[#This Row],[role_id]] &amp; "|" &amp; role_course_map[[#This Row],[course_id]]</f>
        <v>R0107|999056</v>
      </c>
      <c r="L2943" t="str">
        <f>IF(COUNTIF(role_course_map[mapping_key],role_course_map[[#This Row],[mapping_key]])&gt;1,"DUPLICATE","OK")</f>
        <v>OK</v>
      </c>
      <c r="M2943" t="str">
        <f>IF(COUNTIF(role_data[role_id],role_course_map[[#This Row],[role_id]])=0, "INVALID","VALID")</f>
        <v>VALID</v>
      </c>
      <c r="N2943" t="str">
        <f>IF(COUNTIF(course_data[course_id],role_course_map[[#This Row],[course_id]])=0, "INVALID","VALID")</f>
        <v>VALID</v>
      </c>
    </row>
    <row r="2944" spans="1:14" x14ac:dyDescent="0.35">
      <c r="A2944" t="s">
        <v>228</v>
      </c>
      <c r="B2944" s="5" t="str">
        <f>_xlfn.XLOOKUP(role_course_map[[#This Row],[role_id]], role_data[role_id], role_data[Role],"")</f>
        <v>Events Service Delivery Manager</v>
      </c>
      <c r="C2944">
        <v>999057</v>
      </c>
      <c r="D2944" s="5" t="str">
        <f>_xlfn.XLOOKUP(role_course_map[[#This Row],[course_id]],course_data[course_id],course_data[title],"")</f>
        <v>Fatigue Awareness</v>
      </c>
      <c r="E2944" s="5" t="str">
        <f>_xlfn.XLOOKUP(role_course_map[[#This Row],[course_id]],course_data[course_id],course_data[topic],"")</f>
        <v>SAS : Health and Safety</v>
      </c>
      <c r="F2944" s="5" t="str">
        <f>_xlfn.XLOOKUP(role_course_map[[#This Row],[course_id]],course_data[course_id],course_data[type],"")</f>
        <v>eLearning</v>
      </c>
      <c r="K2944" t="str">
        <f>role_course_map[[#This Row],[role_id]] &amp; "|" &amp; role_course_map[[#This Row],[course_id]]</f>
        <v>R0107|999057</v>
      </c>
      <c r="L2944" t="str">
        <f>IF(COUNTIF(role_course_map[mapping_key],role_course_map[[#This Row],[mapping_key]])&gt;1,"DUPLICATE","OK")</f>
        <v>OK</v>
      </c>
      <c r="M2944" t="str">
        <f>IF(COUNTIF(role_data[role_id],role_course_map[[#This Row],[role_id]])=0, "INVALID","VALID")</f>
        <v>VALID</v>
      </c>
      <c r="N2944" t="str">
        <f>IF(COUNTIF(course_data[course_id],role_course_map[[#This Row],[course_id]])=0, "INVALID","VALID")</f>
        <v>VALID</v>
      </c>
    </row>
    <row r="2945" spans="1:14" x14ac:dyDescent="0.35">
      <c r="A2945" t="s">
        <v>228</v>
      </c>
      <c r="B2945" s="5" t="str">
        <f>_xlfn.XLOOKUP(role_course_map[[#This Row],[role_id]], role_data[role_id], role_data[Role],"")</f>
        <v>Events Service Delivery Manager</v>
      </c>
      <c r="C2945">
        <v>999061</v>
      </c>
      <c r="D2945" s="5" t="str">
        <f>_xlfn.XLOOKUP(role_course_map[[#This Row],[course_id]],course_data[course_id],course_data[title],"")</f>
        <v>Skin Awareness</v>
      </c>
      <c r="E2945" s="5" t="str">
        <f>_xlfn.XLOOKUP(role_course_map[[#This Row],[course_id]],course_data[course_id],course_data[topic],"")</f>
        <v>SAS : Health and Safety</v>
      </c>
      <c r="F2945" s="5" t="str">
        <f>_xlfn.XLOOKUP(role_course_map[[#This Row],[course_id]],course_data[course_id],course_data[type],"")</f>
        <v>eLearning</v>
      </c>
      <c r="K2945" t="str">
        <f>role_course_map[[#This Row],[role_id]] &amp; "|" &amp; role_course_map[[#This Row],[course_id]]</f>
        <v>R0107|999061</v>
      </c>
      <c r="L2945" t="str">
        <f>IF(COUNTIF(role_course_map[mapping_key],role_course_map[[#This Row],[mapping_key]])&gt;1,"DUPLICATE","OK")</f>
        <v>OK</v>
      </c>
      <c r="M2945" t="str">
        <f>IF(COUNTIF(role_data[role_id],role_course_map[[#This Row],[role_id]])=0, "INVALID","VALID")</f>
        <v>VALID</v>
      </c>
      <c r="N2945" t="str">
        <f>IF(COUNTIF(course_data[course_id],role_course_map[[#This Row],[course_id]])=0, "INVALID","VALID")</f>
        <v>VALID</v>
      </c>
    </row>
    <row r="2946" spans="1:14" x14ac:dyDescent="0.35">
      <c r="A2946" t="s">
        <v>228</v>
      </c>
      <c r="B2946" s="5" t="str">
        <f>_xlfn.XLOOKUP(role_course_map[[#This Row],[role_id]], role_data[role_id], role_data[Role],"")</f>
        <v>Events Service Delivery Manager</v>
      </c>
      <c r="C2946">
        <v>999092</v>
      </c>
      <c r="D2946" s="5" t="str">
        <f>_xlfn.XLOOKUP(role_course_map[[#This Row],[course_id]],course_data[course_id],course_data[title],"")</f>
        <v>Health &amp; Wellbeing Awareness for Managers</v>
      </c>
      <c r="E2946" s="5" t="str">
        <f>_xlfn.XLOOKUP(role_course_map[[#This Row],[course_id]],course_data[course_id],course_data[topic],"")</f>
        <v>SAS: Staff development and experience</v>
      </c>
      <c r="F2946" s="5" t="str">
        <f>_xlfn.XLOOKUP(role_course_map[[#This Row],[course_id]],course_data[course_id],course_data[type],"")</f>
        <v>eLearning</v>
      </c>
      <c r="K2946" t="str">
        <f>role_course_map[[#This Row],[role_id]] &amp; "|" &amp; role_course_map[[#This Row],[course_id]]</f>
        <v>R0107|999092</v>
      </c>
      <c r="L2946" t="str">
        <f>IF(COUNTIF(role_course_map[mapping_key],role_course_map[[#This Row],[mapping_key]])&gt;1,"DUPLICATE","OK")</f>
        <v>OK</v>
      </c>
      <c r="M2946" t="str">
        <f>IF(COUNTIF(role_data[role_id],role_course_map[[#This Row],[role_id]])=0, "INVALID","VALID")</f>
        <v>VALID</v>
      </c>
      <c r="N2946" t="str">
        <f>IF(COUNTIF(course_data[course_id],role_course_map[[#This Row],[course_id]])=0, "INVALID","VALID")</f>
        <v>VALID</v>
      </c>
    </row>
    <row r="2947" spans="1:14" x14ac:dyDescent="0.35">
      <c r="A2947" t="s">
        <v>228</v>
      </c>
      <c r="B2947" s="5" t="str">
        <f>_xlfn.XLOOKUP(role_course_map[[#This Row],[role_id]], role_data[role_id], role_data[Role],"")</f>
        <v>Events Service Delivery Manager</v>
      </c>
      <c r="C2947">
        <v>999093</v>
      </c>
      <c r="D2947" s="5" t="str">
        <f>_xlfn.XLOOKUP(role_course_map[[#This Row],[course_id]],course_data[course_id],course_data[title],"")</f>
        <v>Managing Wellbeing Refresher for Managers</v>
      </c>
      <c r="E2947" s="5" t="str">
        <f>_xlfn.XLOOKUP(role_course_map[[#This Row],[course_id]],course_data[course_id],course_data[topic],"")</f>
        <v>SAS: Staff development and experience</v>
      </c>
      <c r="F2947" s="5" t="str">
        <f>_xlfn.XLOOKUP(role_course_map[[#This Row],[course_id]],course_data[course_id],course_data[type],"")</f>
        <v>eLearning</v>
      </c>
      <c r="K2947" t="str">
        <f>role_course_map[[#This Row],[role_id]] &amp; "|" &amp; role_course_map[[#This Row],[course_id]]</f>
        <v>R0107|999093</v>
      </c>
      <c r="L2947" t="str">
        <f>IF(COUNTIF(role_course_map[mapping_key],role_course_map[[#This Row],[mapping_key]])&gt;1,"DUPLICATE","OK")</f>
        <v>OK</v>
      </c>
      <c r="M2947" t="str">
        <f>IF(COUNTIF(role_data[role_id],role_course_map[[#This Row],[role_id]])=0, "INVALID","VALID")</f>
        <v>VALID</v>
      </c>
      <c r="N2947" t="str">
        <f>IF(COUNTIF(course_data[course_id],role_course_map[[#This Row],[course_id]])=0, "INVALID","VALID")</f>
        <v>VALID</v>
      </c>
    </row>
    <row r="2948" spans="1:14" x14ac:dyDescent="0.35">
      <c r="A2948" t="s">
        <v>228</v>
      </c>
      <c r="B2948" s="5" t="str">
        <f>_xlfn.XLOOKUP(role_course_map[[#This Row],[role_id]], role_data[role_id], role_data[Role],"")</f>
        <v>Events Service Delivery Manager</v>
      </c>
      <c r="C2948">
        <v>999094</v>
      </c>
      <c r="D2948" s="5" t="str">
        <f>_xlfn.XLOOKUP(role_course_map[[#This Row],[course_id]],course_data[course_id],course_data[title],"")</f>
        <v>Being well, Mind, Body &amp; Workplace</v>
      </c>
      <c r="E2948" s="5" t="str">
        <f>_xlfn.XLOOKUP(role_course_map[[#This Row],[course_id]],course_data[course_id],course_data[topic],"")</f>
        <v>SAS: Staff development and experience</v>
      </c>
      <c r="F2948" s="5" t="str">
        <f>_xlfn.XLOOKUP(role_course_map[[#This Row],[course_id]],course_data[course_id],course_data[type],"")</f>
        <v>eLearning</v>
      </c>
      <c r="K2948" t="str">
        <f>role_course_map[[#This Row],[role_id]] &amp; "|" &amp; role_course_map[[#This Row],[course_id]]</f>
        <v>R0107|999094</v>
      </c>
      <c r="L2948" t="str">
        <f>IF(COUNTIF(role_course_map[mapping_key],role_course_map[[#This Row],[mapping_key]])&gt;1,"DUPLICATE","OK")</f>
        <v>OK</v>
      </c>
      <c r="M2948" t="str">
        <f>IF(COUNTIF(role_data[role_id],role_course_map[[#This Row],[role_id]])=0, "INVALID","VALID")</f>
        <v>VALID</v>
      </c>
      <c r="N2948" t="str">
        <f>IF(COUNTIF(course_data[course_id],role_course_map[[#This Row],[course_id]])=0, "INVALID","VALID")</f>
        <v>VALID</v>
      </c>
    </row>
    <row r="2949" spans="1:14" x14ac:dyDescent="0.35">
      <c r="A2949" t="s">
        <v>228</v>
      </c>
      <c r="B2949" s="5" t="str">
        <f>_xlfn.XLOOKUP(role_course_map[[#This Row],[role_id]], role_data[role_id], role_data[Role],"")</f>
        <v>Events Service Delivery Manager</v>
      </c>
      <c r="D2949" s="5" t="s">
        <v>1062</v>
      </c>
      <c r="E2949" s="5" t="str">
        <f>_xlfn.XLOOKUP(role_course_map[[#This Row],[course_id]],course_data[course_id],course_data[topic],"")</f>
        <v/>
      </c>
      <c r="F2949" s="5" t="str">
        <f>_xlfn.XLOOKUP(role_course_map[[#This Row],[course_id]],course_data[course_id],course_data[type],"")</f>
        <v/>
      </c>
      <c r="K2949" t="str">
        <f>role_course_map[[#This Row],[role_id]] &amp; "|" &amp; role_course_map[[#This Row],[course_id]]</f>
        <v>R0107|</v>
      </c>
      <c r="L2949" t="str">
        <f>IF(COUNTIF(role_course_map[mapping_key],role_course_map[[#This Row],[mapping_key]])&gt;1,"DUPLICATE","OK")</f>
        <v>OK</v>
      </c>
      <c r="M2949" t="str">
        <f>IF(COUNTIF(role_data[role_id],role_course_map[[#This Row],[role_id]])=0, "INVALID","VALID")</f>
        <v>VALID</v>
      </c>
      <c r="N2949" t="str">
        <f>IF(COUNTIF(course_data[course_id],role_course_map[[#This Row],[course_id]])=0, "INVALID","VALID")</f>
        <v>INVALID</v>
      </c>
    </row>
    <row r="2950" spans="1:14" x14ac:dyDescent="0.35">
      <c r="A2950" t="s">
        <v>228</v>
      </c>
      <c r="B2950" s="5" t="str">
        <f>_xlfn.XLOOKUP(role_course_map[[#This Row],[role_id]], role_data[role_id], role_data[Role],"")</f>
        <v>Events Service Delivery Manager</v>
      </c>
      <c r="C2950">
        <v>999067</v>
      </c>
      <c r="D2950" s="5" t="str">
        <f>_xlfn.XLOOKUP(role_course_map[[#This Row],[course_id]],course_data[course_id],course_data[title],"")</f>
        <v>Major incident awareness - Course overview</v>
      </c>
      <c r="E2950" s="5" t="str">
        <f>_xlfn.XLOOKUP(role_course_map[[#This Row],[course_id]],course_data[course_id],course_data[topic],"")</f>
        <v>SAS : National Risk and Resilience Department (NRRD)</v>
      </c>
      <c r="F2950" s="5" t="str">
        <f>_xlfn.XLOOKUP(role_course_map[[#This Row],[course_id]],course_data[course_id],course_data[type],"")</f>
        <v>eLearning</v>
      </c>
      <c r="K2950" t="str">
        <f>role_course_map[[#This Row],[role_id]] &amp; "|" &amp; role_course_map[[#This Row],[course_id]]</f>
        <v>R0107|999067</v>
      </c>
      <c r="L2950" t="str">
        <f>IF(COUNTIF(role_course_map[mapping_key],role_course_map[[#This Row],[mapping_key]])&gt;1,"DUPLICATE","OK")</f>
        <v>OK</v>
      </c>
      <c r="M2950" t="str">
        <f>IF(COUNTIF(role_data[role_id],role_course_map[[#This Row],[role_id]])=0, "INVALID","VALID")</f>
        <v>VALID</v>
      </c>
      <c r="N2950" t="str">
        <f>IF(COUNTIF(course_data[course_id],role_course_map[[#This Row],[course_id]])=0, "INVALID","VALID")</f>
        <v>VALID</v>
      </c>
    </row>
    <row r="2951" spans="1:14" x14ac:dyDescent="0.35">
      <c r="A2951" t="s">
        <v>228</v>
      </c>
      <c r="B2951" s="5" t="str">
        <f>_xlfn.XLOOKUP(role_course_map[[#This Row],[role_id]], role_data[role_id], role_data[Role],"")</f>
        <v>Events Service Delivery Manager</v>
      </c>
      <c r="C2951">
        <v>999070</v>
      </c>
      <c r="D2951" s="5" t="str">
        <f>_xlfn.XLOOKUP(role_course_map[[#This Row],[course_id]],course_data[course_id],course_data[title],"")</f>
        <v xml:space="preserve">SAS: JESIP (NEW) </v>
      </c>
      <c r="E2951" s="5" t="str">
        <f>_xlfn.XLOOKUP(role_course_map[[#This Row],[course_id]],course_data[course_id],course_data[topic],"")</f>
        <v>SAS : National Risk and Resilience Department (NRRD)</v>
      </c>
      <c r="F2951" s="5" t="str">
        <f>_xlfn.XLOOKUP(role_course_map[[#This Row],[course_id]],course_data[course_id],course_data[type],"")</f>
        <v>eLearning</v>
      </c>
      <c r="K2951" t="str">
        <f>role_course_map[[#This Row],[role_id]] &amp; "|" &amp; role_course_map[[#This Row],[course_id]]</f>
        <v>R0107|999070</v>
      </c>
      <c r="L2951" t="str">
        <f>IF(COUNTIF(role_course_map[mapping_key],role_course_map[[#This Row],[mapping_key]])&gt;1,"DUPLICATE","OK")</f>
        <v>OK</v>
      </c>
      <c r="M2951" t="str">
        <f>IF(COUNTIF(role_data[role_id],role_course_map[[#This Row],[role_id]])=0, "INVALID","VALID")</f>
        <v>VALID</v>
      </c>
      <c r="N2951" t="str">
        <f>IF(COUNTIF(course_data[course_id],role_course_map[[#This Row],[course_id]])=0, "INVALID","VALID")</f>
        <v>VALID</v>
      </c>
    </row>
    <row r="2952" spans="1:14" x14ac:dyDescent="0.35">
      <c r="A2952" t="s">
        <v>232</v>
      </c>
      <c r="B2952" s="5" t="str">
        <f>_xlfn.XLOOKUP(role_course_map[[#This Row],[role_id]], role_data[role_id], role_data[Role],"")</f>
        <v>Logistics Operative</v>
      </c>
      <c r="C2952">
        <v>999058</v>
      </c>
      <c r="D2952" s="5" t="str">
        <f>_xlfn.XLOOKUP(role_course_map[[#This Row],[course_id]],course_data[course_id],course_data[title],"")</f>
        <v>Stress Identification &amp; Stress Management</v>
      </c>
      <c r="E2952" s="5" t="str">
        <f>_xlfn.XLOOKUP(role_course_map[[#This Row],[course_id]],course_data[course_id],course_data[topic],"")</f>
        <v>SAS : Health and Safety</v>
      </c>
      <c r="F2952" s="5" t="str">
        <f>_xlfn.XLOOKUP(role_course_map[[#This Row],[course_id]],course_data[course_id],course_data[type],"")</f>
        <v>eLearning</v>
      </c>
      <c r="K2952" t="str">
        <f>role_course_map[[#This Row],[role_id]] &amp; "|" &amp; role_course_map[[#This Row],[course_id]]</f>
        <v>R0109|999058</v>
      </c>
      <c r="L2952" t="str">
        <f>IF(COUNTIF(role_course_map[mapping_key],role_course_map[[#This Row],[mapping_key]])&gt;1,"DUPLICATE","OK")</f>
        <v>OK</v>
      </c>
      <c r="M2952" t="str">
        <f>IF(COUNTIF(role_data[role_id],role_course_map[[#This Row],[role_id]])=0, "INVALID","VALID")</f>
        <v>VALID</v>
      </c>
      <c r="N2952" t="str">
        <f>IF(COUNTIF(course_data[course_id],role_course_map[[#This Row],[course_id]])=0, "INVALID","VALID")</f>
        <v>VALID</v>
      </c>
    </row>
    <row r="2953" spans="1:14" x14ac:dyDescent="0.35">
      <c r="A2953" t="s">
        <v>232</v>
      </c>
      <c r="B2953" s="5" t="str">
        <f>_xlfn.XLOOKUP(role_course_map[[#This Row],[role_id]], role_data[role_id], role_data[Role],"")</f>
        <v>Logistics Operative</v>
      </c>
      <c r="C2953">
        <v>999056</v>
      </c>
      <c r="D2953" s="5" t="str">
        <f>_xlfn.XLOOKUP(role_course_map[[#This Row],[course_id]],course_data[course_id],course_data[title],"")</f>
        <v>Driver Assessment &amp; Training</v>
      </c>
      <c r="E2953" s="5" t="str">
        <f>_xlfn.XLOOKUP(role_course_map[[#This Row],[course_id]],course_data[course_id],course_data[topic],"")</f>
        <v>SAS : Health and Safety</v>
      </c>
      <c r="F2953" s="5" t="str">
        <f>_xlfn.XLOOKUP(role_course_map[[#This Row],[course_id]],course_data[course_id],course_data[type],"")</f>
        <v>eLearning</v>
      </c>
      <c r="K2953" t="str">
        <f>role_course_map[[#This Row],[role_id]] &amp; "|" &amp; role_course_map[[#This Row],[course_id]]</f>
        <v>R0109|999056</v>
      </c>
      <c r="L2953" t="str">
        <f>IF(COUNTIF(role_course_map[mapping_key],role_course_map[[#This Row],[mapping_key]])&gt;1,"DUPLICATE","OK")</f>
        <v>OK</v>
      </c>
      <c r="M2953" t="str">
        <f>IF(COUNTIF(role_data[role_id],role_course_map[[#This Row],[role_id]])=0, "INVALID","VALID")</f>
        <v>VALID</v>
      </c>
      <c r="N2953" t="str">
        <f>IF(COUNTIF(course_data[course_id],role_course_map[[#This Row],[course_id]])=0, "INVALID","VALID")</f>
        <v>VALID</v>
      </c>
    </row>
    <row r="2954" spans="1:14" x14ac:dyDescent="0.35">
      <c r="A2954" t="s">
        <v>232</v>
      </c>
      <c r="B2954" s="5" t="str">
        <f>_xlfn.XLOOKUP(role_course_map[[#This Row],[role_id]], role_data[role_id], role_data[Role],"")</f>
        <v>Logistics Operative</v>
      </c>
      <c r="C2954">
        <v>999057</v>
      </c>
      <c r="D2954" s="5" t="str">
        <f>_xlfn.XLOOKUP(role_course_map[[#This Row],[course_id]],course_data[course_id],course_data[title],"")</f>
        <v>Fatigue Awareness</v>
      </c>
      <c r="E2954" s="5" t="str">
        <f>_xlfn.XLOOKUP(role_course_map[[#This Row],[course_id]],course_data[course_id],course_data[topic],"")</f>
        <v>SAS : Health and Safety</v>
      </c>
      <c r="F2954" s="5" t="str">
        <f>_xlfn.XLOOKUP(role_course_map[[#This Row],[course_id]],course_data[course_id],course_data[type],"")</f>
        <v>eLearning</v>
      </c>
      <c r="K2954" t="str">
        <f>role_course_map[[#This Row],[role_id]] &amp; "|" &amp; role_course_map[[#This Row],[course_id]]</f>
        <v>R0109|999057</v>
      </c>
      <c r="L2954" t="str">
        <f>IF(COUNTIF(role_course_map[mapping_key],role_course_map[[#This Row],[mapping_key]])&gt;1,"DUPLICATE","OK")</f>
        <v>OK</v>
      </c>
      <c r="M2954" t="str">
        <f>IF(COUNTIF(role_data[role_id],role_course_map[[#This Row],[role_id]])=0, "INVALID","VALID")</f>
        <v>VALID</v>
      </c>
      <c r="N2954" t="str">
        <f>IF(COUNTIF(course_data[course_id],role_course_map[[#This Row],[course_id]])=0, "INVALID","VALID")</f>
        <v>VALID</v>
      </c>
    </row>
    <row r="2955" spans="1:14" x14ac:dyDescent="0.35">
      <c r="A2955" t="s">
        <v>232</v>
      </c>
      <c r="B2955" s="5" t="str">
        <f>_xlfn.XLOOKUP(role_course_map[[#This Row],[role_id]], role_data[role_id], role_data[Role],"")</f>
        <v>Logistics Operative</v>
      </c>
      <c r="C2955">
        <v>999061</v>
      </c>
      <c r="D2955" s="5" t="str">
        <f>_xlfn.XLOOKUP(role_course_map[[#This Row],[course_id]],course_data[course_id],course_data[title],"")</f>
        <v>Skin Awareness</v>
      </c>
      <c r="E2955" s="5" t="str">
        <f>_xlfn.XLOOKUP(role_course_map[[#This Row],[course_id]],course_data[course_id],course_data[topic],"")</f>
        <v>SAS : Health and Safety</v>
      </c>
      <c r="F2955" s="5" t="str">
        <f>_xlfn.XLOOKUP(role_course_map[[#This Row],[course_id]],course_data[course_id],course_data[type],"")</f>
        <v>eLearning</v>
      </c>
      <c r="K2955" t="str">
        <f>role_course_map[[#This Row],[role_id]] &amp; "|" &amp; role_course_map[[#This Row],[course_id]]</f>
        <v>R0109|999061</v>
      </c>
      <c r="L2955" t="str">
        <f>IF(COUNTIF(role_course_map[mapping_key],role_course_map[[#This Row],[mapping_key]])&gt;1,"DUPLICATE","OK")</f>
        <v>OK</v>
      </c>
      <c r="M2955" t="str">
        <f>IF(COUNTIF(role_data[role_id],role_course_map[[#This Row],[role_id]])=0, "INVALID","VALID")</f>
        <v>VALID</v>
      </c>
      <c r="N2955" t="str">
        <f>IF(COUNTIF(course_data[course_id],role_course_map[[#This Row],[course_id]])=0, "INVALID","VALID")</f>
        <v>VALID</v>
      </c>
    </row>
    <row r="2956" spans="1:14" x14ac:dyDescent="0.35">
      <c r="A2956" t="s">
        <v>232</v>
      </c>
      <c r="B2956" s="5" t="str">
        <f>_xlfn.XLOOKUP(role_course_map[[#This Row],[role_id]], role_data[role_id], role_data[Role],"")</f>
        <v>Logistics Operative</v>
      </c>
      <c r="C2956">
        <v>999094</v>
      </c>
      <c r="D2956" s="5" t="str">
        <f>_xlfn.XLOOKUP(role_course_map[[#This Row],[course_id]],course_data[course_id],course_data[title],"")</f>
        <v>Being well, Mind, Body &amp; Workplace</v>
      </c>
      <c r="E2956" s="5" t="str">
        <f>_xlfn.XLOOKUP(role_course_map[[#This Row],[course_id]],course_data[course_id],course_data[topic],"")</f>
        <v>SAS: Staff development and experience</v>
      </c>
      <c r="F2956" s="5" t="str">
        <f>_xlfn.XLOOKUP(role_course_map[[#This Row],[course_id]],course_data[course_id],course_data[type],"")</f>
        <v>eLearning</v>
      </c>
      <c r="K2956" t="str">
        <f>role_course_map[[#This Row],[role_id]] &amp; "|" &amp; role_course_map[[#This Row],[course_id]]</f>
        <v>R0109|999094</v>
      </c>
      <c r="L2956" t="str">
        <f>IF(COUNTIF(role_course_map[mapping_key],role_course_map[[#This Row],[mapping_key]])&gt;1,"DUPLICATE","OK")</f>
        <v>OK</v>
      </c>
      <c r="M2956" t="str">
        <f>IF(COUNTIF(role_data[role_id],role_course_map[[#This Row],[role_id]])=0, "INVALID","VALID")</f>
        <v>VALID</v>
      </c>
      <c r="N2956" t="str">
        <f>IF(COUNTIF(course_data[course_id],role_course_map[[#This Row],[course_id]])=0, "INVALID","VALID")</f>
        <v>VALID</v>
      </c>
    </row>
    <row r="2957" spans="1:14" x14ac:dyDescent="0.35">
      <c r="A2957" t="s">
        <v>234</v>
      </c>
      <c r="B2957" s="5" t="str">
        <f>_xlfn.XLOOKUP(role_course_map[[#This Row],[role_id]], role_data[role_id], role_data[Role],"")</f>
        <v>Logistics Team Leader</v>
      </c>
      <c r="C2957">
        <v>999058</v>
      </c>
      <c r="D2957" s="5" t="str">
        <f>_xlfn.XLOOKUP(role_course_map[[#This Row],[course_id]],course_data[course_id],course_data[title],"")</f>
        <v>Stress Identification &amp; Stress Management</v>
      </c>
      <c r="E2957" s="5" t="str">
        <f>_xlfn.XLOOKUP(role_course_map[[#This Row],[course_id]],course_data[course_id],course_data[topic],"")</f>
        <v>SAS : Health and Safety</v>
      </c>
      <c r="F2957" s="5" t="str">
        <f>_xlfn.XLOOKUP(role_course_map[[#This Row],[course_id]],course_data[course_id],course_data[type],"")</f>
        <v>eLearning</v>
      </c>
      <c r="K2957" t="str">
        <f>role_course_map[[#This Row],[role_id]] &amp; "|" &amp; role_course_map[[#This Row],[course_id]]</f>
        <v>R0110|999058</v>
      </c>
      <c r="L2957" t="str">
        <f>IF(COUNTIF(role_course_map[mapping_key],role_course_map[[#This Row],[mapping_key]])&gt;1,"DUPLICATE","OK")</f>
        <v>OK</v>
      </c>
      <c r="M2957" t="str">
        <f>IF(COUNTIF(role_data[role_id],role_course_map[[#This Row],[role_id]])=0, "INVALID","VALID")</f>
        <v>VALID</v>
      </c>
      <c r="N2957" t="str">
        <f>IF(COUNTIF(course_data[course_id],role_course_map[[#This Row],[course_id]])=0, "INVALID","VALID")</f>
        <v>VALID</v>
      </c>
    </row>
    <row r="2958" spans="1:14" x14ac:dyDescent="0.35">
      <c r="A2958" t="s">
        <v>234</v>
      </c>
      <c r="B2958" s="5" t="str">
        <f>_xlfn.XLOOKUP(role_course_map[[#This Row],[role_id]], role_data[role_id], role_data[Role],"")</f>
        <v>Logistics Team Leader</v>
      </c>
      <c r="C2958">
        <v>999056</v>
      </c>
      <c r="D2958" s="5" t="str">
        <f>_xlfn.XLOOKUP(role_course_map[[#This Row],[course_id]],course_data[course_id],course_data[title],"")</f>
        <v>Driver Assessment &amp; Training</v>
      </c>
      <c r="E2958" s="5" t="str">
        <f>_xlfn.XLOOKUP(role_course_map[[#This Row],[course_id]],course_data[course_id],course_data[topic],"")</f>
        <v>SAS : Health and Safety</v>
      </c>
      <c r="F2958" s="5" t="str">
        <f>_xlfn.XLOOKUP(role_course_map[[#This Row],[course_id]],course_data[course_id],course_data[type],"")</f>
        <v>eLearning</v>
      </c>
      <c r="K2958" t="str">
        <f>role_course_map[[#This Row],[role_id]] &amp; "|" &amp; role_course_map[[#This Row],[course_id]]</f>
        <v>R0110|999056</v>
      </c>
      <c r="L2958" t="str">
        <f>IF(COUNTIF(role_course_map[mapping_key],role_course_map[[#This Row],[mapping_key]])&gt;1,"DUPLICATE","OK")</f>
        <v>OK</v>
      </c>
      <c r="M2958" t="str">
        <f>IF(COUNTIF(role_data[role_id],role_course_map[[#This Row],[role_id]])=0, "INVALID","VALID")</f>
        <v>VALID</v>
      </c>
      <c r="N2958" t="str">
        <f>IF(COUNTIF(course_data[course_id],role_course_map[[#This Row],[course_id]])=0, "INVALID","VALID")</f>
        <v>VALID</v>
      </c>
    </row>
    <row r="2959" spans="1:14" x14ac:dyDescent="0.35">
      <c r="A2959" t="s">
        <v>234</v>
      </c>
      <c r="B2959" s="5" t="str">
        <f>_xlfn.XLOOKUP(role_course_map[[#This Row],[role_id]], role_data[role_id], role_data[Role],"")</f>
        <v>Logistics Team Leader</v>
      </c>
      <c r="C2959">
        <v>999057</v>
      </c>
      <c r="D2959" s="5" t="str">
        <f>_xlfn.XLOOKUP(role_course_map[[#This Row],[course_id]],course_data[course_id],course_data[title],"")</f>
        <v>Fatigue Awareness</v>
      </c>
      <c r="E2959" s="5" t="str">
        <f>_xlfn.XLOOKUP(role_course_map[[#This Row],[course_id]],course_data[course_id],course_data[topic],"")</f>
        <v>SAS : Health and Safety</v>
      </c>
      <c r="F2959" s="5" t="str">
        <f>_xlfn.XLOOKUP(role_course_map[[#This Row],[course_id]],course_data[course_id],course_data[type],"")</f>
        <v>eLearning</v>
      </c>
      <c r="K2959" t="str">
        <f>role_course_map[[#This Row],[role_id]] &amp; "|" &amp; role_course_map[[#This Row],[course_id]]</f>
        <v>R0110|999057</v>
      </c>
      <c r="L2959" t="str">
        <f>IF(COUNTIF(role_course_map[mapping_key],role_course_map[[#This Row],[mapping_key]])&gt;1,"DUPLICATE","OK")</f>
        <v>OK</v>
      </c>
      <c r="M2959" t="str">
        <f>IF(COUNTIF(role_data[role_id],role_course_map[[#This Row],[role_id]])=0, "INVALID","VALID")</f>
        <v>VALID</v>
      </c>
      <c r="N2959" t="str">
        <f>IF(COUNTIF(course_data[course_id],role_course_map[[#This Row],[course_id]])=0, "INVALID","VALID")</f>
        <v>VALID</v>
      </c>
    </row>
    <row r="2960" spans="1:14" x14ac:dyDescent="0.35">
      <c r="A2960" t="s">
        <v>234</v>
      </c>
      <c r="B2960" s="5" t="str">
        <f>_xlfn.XLOOKUP(role_course_map[[#This Row],[role_id]], role_data[role_id], role_data[Role],"")</f>
        <v>Logistics Team Leader</v>
      </c>
      <c r="C2960">
        <v>999061</v>
      </c>
      <c r="D2960" s="5" t="str">
        <f>_xlfn.XLOOKUP(role_course_map[[#This Row],[course_id]],course_data[course_id],course_data[title],"")</f>
        <v>Skin Awareness</v>
      </c>
      <c r="E2960" s="5" t="str">
        <f>_xlfn.XLOOKUP(role_course_map[[#This Row],[course_id]],course_data[course_id],course_data[topic],"")</f>
        <v>SAS : Health and Safety</v>
      </c>
      <c r="F2960" s="5" t="str">
        <f>_xlfn.XLOOKUP(role_course_map[[#This Row],[course_id]],course_data[course_id],course_data[type],"")</f>
        <v>eLearning</v>
      </c>
      <c r="K2960" t="str">
        <f>role_course_map[[#This Row],[role_id]] &amp; "|" &amp; role_course_map[[#This Row],[course_id]]</f>
        <v>R0110|999061</v>
      </c>
      <c r="L2960" t="str">
        <f>IF(COUNTIF(role_course_map[mapping_key],role_course_map[[#This Row],[mapping_key]])&gt;1,"DUPLICATE","OK")</f>
        <v>OK</v>
      </c>
      <c r="M2960" t="str">
        <f>IF(COUNTIF(role_data[role_id],role_course_map[[#This Row],[role_id]])=0, "INVALID","VALID")</f>
        <v>VALID</v>
      </c>
      <c r="N2960" t="str">
        <f>IF(COUNTIF(course_data[course_id],role_course_map[[#This Row],[course_id]])=0, "INVALID","VALID")</f>
        <v>VALID</v>
      </c>
    </row>
    <row r="2961" spans="1:14" x14ac:dyDescent="0.35">
      <c r="A2961" t="s">
        <v>234</v>
      </c>
      <c r="B2961" s="5" t="str">
        <f>_xlfn.XLOOKUP(role_course_map[[#This Row],[role_id]], role_data[role_id], role_data[Role],"")</f>
        <v>Logistics Team Leader</v>
      </c>
      <c r="C2961">
        <v>999092</v>
      </c>
      <c r="D2961" s="5" t="str">
        <f>_xlfn.XLOOKUP(role_course_map[[#This Row],[course_id]],course_data[course_id],course_data[title],"")</f>
        <v>Health &amp; Wellbeing Awareness for Managers</v>
      </c>
      <c r="E2961" s="5" t="str">
        <f>_xlfn.XLOOKUP(role_course_map[[#This Row],[course_id]],course_data[course_id],course_data[topic],"")</f>
        <v>SAS: Staff development and experience</v>
      </c>
      <c r="F2961" s="5" t="str">
        <f>_xlfn.XLOOKUP(role_course_map[[#This Row],[course_id]],course_data[course_id],course_data[type],"")</f>
        <v>eLearning</v>
      </c>
      <c r="K2961" t="str">
        <f>role_course_map[[#This Row],[role_id]] &amp; "|" &amp; role_course_map[[#This Row],[course_id]]</f>
        <v>R0110|999092</v>
      </c>
      <c r="L2961" t="str">
        <f>IF(COUNTIF(role_course_map[mapping_key],role_course_map[[#This Row],[mapping_key]])&gt;1,"DUPLICATE","OK")</f>
        <v>OK</v>
      </c>
      <c r="M2961" t="str">
        <f>IF(COUNTIF(role_data[role_id],role_course_map[[#This Row],[role_id]])=0, "INVALID","VALID")</f>
        <v>VALID</v>
      </c>
      <c r="N2961" t="str">
        <f>IF(COUNTIF(course_data[course_id],role_course_map[[#This Row],[course_id]])=0, "INVALID","VALID")</f>
        <v>VALID</v>
      </c>
    </row>
    <row r="2962" spans="1:14" x14ac:dyDescent="0.35">
      <c r="A2962" t="s">
        <v>234</v>
      </c>
      <c r="B2962" s="5" t="str">
        <f>_xlfn.XLOOKUP(role_course_map[[#This Row],[role_id]], role_data[role_id], role_data[Role],"")</f>
        <v>Logistics Team Leader</v>
      </c>
      <c r="C2962">
        <v>999093</v>
      </c>
      <c r="D2962" s="5" t="str">
        <f>_xlfn.XLOOKUP(role_course_map[[#This Row],[course_id]],course_data[course_id],course_data[title],"")</f>
        <v>Managing Wellbeing Refresher for Managers</v>
      </c>
      <c r="E2962" s="5" t="str">
        <f>_xlfn.XLOOKUP(role_course_map[[#This Row],[course_id]],course_data[course_id],course_data[topic],"")</f>
        <v>SAS: Staff development and experience</v>
      </c>
      <c r="F2962" s="5" t="str">
        <f>_xlfn.XLOOKUP(role_course_map[[#This Row],[course_id]],course_data[course_id],course_data[type],"")</f>
        <v>eLearning</v>
      </c>
      <c r="K2962" t="str">
        <f>role_course_map[[#This Row],[role_id]] &amp; "|" &amp; role_course_map[[#This Row],[course_id]]</f>
        <v>R0110|999093</v>
      </c>
      <c r="L2962" t="str">
        <f>IF(COUNTIF(role_course_map[mapping_key],role_course_map[[#This Row],[mapping_key]])&gt;1,"DUPLICATE","OK")</f>
        <v>OK</v>
      </c>
      <c r="M2962" t="str">
        <f>IF(COUNTIF(role_data[role_id],role_course_map[[#This Row],[role_id]])=0, "INVALID","VALID")</f>
        <v>VALID</v>
      </c>
      <c r="N2962" t="str">
        <f>IF(COUNTIF(course_data[course_id],role_course_map[[#This Row],[course_id]])=0, "INVALID","VALID")</f>
        <v>VALID</v>
      </c>
    </row>
    <row r="2963" spans="1:14" x14ac:dyDescent="0.35">
      <c r="A2963" t="s">
        <v>234</v>
      </c>
      <c r="B2963" s="5" t="str">
        <f>_xlfn.XLOOKUP(role_course_map[[#This Row],[role_id]], role_data[role_id], role_data[Role],"")</f>
        <v>Logistics Team Leader</v>
      </c>
      <c r="C2963">
        <v>999094</v>
      </c>
      <c r="D2963" s="5" t="str">
        <f>_xlfn.XLOOKUP(role_course_map[[#This Row],[course_id]],course_data[course_id],course_data[title],"")</f>
        <v>Being well, Mind, Body &amp; Workplace</v>
      </c>
      <c r="E2963" s="5" t="str">
        <f>_xlfn.XLOOKUP(role_course_map[[#This Row],[course_id]],course_data[course_id],course_data[topic],"")</f>
        <v>SAS: Staff development and experience</v>
      </c>
      <c r="F2963" s="5" t="str">
        <f>_xlfn.XLOOKUP(role_course_map[[#This Row],[course_id]],course_data[course_id],course_data[type],"")</f>
        <v>eLearning</v>
      </c>
      <c r="K2963" t="str">
        <f>role_course_map[[#This Row],[role_id]] &amp; "|" &amp; role_course_map[[#This Row],[course_id]]</f>
        <v>R0110|999094</v>
      </c>
      <c r="L2963" t="str">
        <f>IF(COUNTIF(role_course_map[mapping_key],role_course_map[[#This Row],[mapping_key]])&gt;1,"DUPLICATE","OK")</f>
        <v>OK</v>
      </c>
      <c r="M2963" t="str">
        <f>IF(COUNTIF(role_data[role_id],role_course_map[[#This Row],[role_id]])=0, "INVALID","VALID")</f>
        <v>VALID</v>
      </c>
      <c r="N2963" t="str">
        <f>IF(COUNTIF(course_data[course_id],role_course_map[[#This Row],[course_id]])=0, "INVALID","VALID")</f>
        <v>VALID</v>
      </c>
    </row>
    <row r="2964" spans="1:14" x14ac:dyDescent="0.35">
      <c r="A2964" t="s">
        <v>238</v>
      </c>
      <c r="B2964" s="5" t="str">
        <f>_xlfn.XLOOKUP(role_course_map[[#This Row],[role_id]], role_data[role_id], role_data[Role],"")</f>
        <v>Resilience Advisor</v>
      </c>
      <c r="C2964">
        <v>999058</v>
      </c>
      <c r="D2964" s="5" t="str">
        <f>_xlfn.XLOOKUP(role_course_map[[#This Row],[course_id]],course_data[course_id],course_data[title],"")</f>
        <v>Stress Identification &amp; Stress Management</v>
      </c>
      <c r="E2964" s="5" t="str">
        <f>_xlfn.XLOOKUP(role_course_map[[#This Row],[course_id]],course_data[course_id],course_data[topic],"")</f>
        <v>SAS : Health and Safety</v>
      </c>
      <c r="F2964" s="5" t="str">
        <f>_xlfn.XLOOKUP(role_course_map[[#This Row],[course_id]],course_data[course_id],course_data[type],"")</f>
        <v>eLearning</v>
      </c>
      <c r="K2964" t="str">
        <f>role_course_map[[#This Row],[role_id]] &amp; "|" &amp; role_course_map[[#This Row],[course_id]]</f>
        <v>R0112|999058</v>
      </c>
      <c r="L2964" t="str">
        <f>IF(COUNTIF(role_course_map[mapping_key],role_course_map[[#This Row],[mapping_key]])&gt;1,"DUPLICATE","OK")</f>
        <v>OK</v>
      </c>
      <c r="M2964" t="str">
        <f>IF(COUNTIF(role_data[role_id],role_course_map[[#This Row],[role_id]])=0, "INVALID","VALID")</f>
        <v>VALID</v>
      </c>
      <c r="N2964" t="str">
        <f>IF(COUNTIF(course_data[course_id],role_course_map[[#This Row],[course_id]])=0, "INVALID","VALID")</f>
        <v>VALID</v>
      </c>
    </row>
    <row r="2965" spans="1:14" x14ac:dyDescent="0.35">
      <c r="A2965" t="s">
        <v>238</v>
      </c>
      <c r="B2965" s="5" t="str">
        <f>_xlfn.XLOOKUP(role_course_map[[#This Row],[role_id]], role_data[role_id], role_data[Role],"")</f>
        <v>Resilience Advisor</v>
      </c>
      <c r="C2965">
        <v>999056</v>
      </c>
      <c r="D2965" s="5" t="str">
        <f>_xlfn.XLOOKUP(role_course_map[[#This Row],[course_id]],course_data[course_id],course_data[title],"")</f>
        <v>Driver Assessment &amp; Training</v>
      </c>
      <c r="E2965" s="5" t="str">
        <f>_xlfn.XLOOKUP(role_course_map[[#This Row],[course_id]],course_data[course_id],course_data[topic],"")</f>
        <v>SAS : Health and Safety</v>
      </c>
      <c r="F2965" s="5" t="str">
        <f>_xlfn.XLOOKUP(role_course_map[[#This Row],[course_id]],course_data[course_id],course_data[type],"")</f>
        <v>eLearning</v>
      </c>
      <c r="K2965" t="str">
        <f>role_course_map[[#This Row],[role_id]] &amp; "|" &amp; role_course_map[[#This Row],[course_id]]</f>
        <v>R0112|999056</v>
      </c>
      <c r="L2965" t="str">
        <f>IF(COUNTIF(role_course_map[mapping_key],role_course_map[[#This Row],[mapping_key]])&gt;1,"DUPLICATE","OK")</f>
        <v>OK</v>
      </c>
      <c r="M2965" t="str">
        <f>IF(COUNTIF(role_data[role_id],role_course_map[[#This Row],[role_id]])=0, "INVALID","VALID")</f>
        <v>VALID</v>
      </c>
      <c r="N2965" t="str">
        <f>IF(COUNTIF(course_data[course_id],role_course_map[[#This Row],[course_id]])=0, "INVALID","VALID")</f>
        <v>VALID</v>
      </c>
    </row>
    <row r="2966" spans="1:14" x14ac:dyDescent="0.35">
      <c r="A2966" t="s">
        <v>238</v>
      </c>
      <c r="B2966" s="5" t="str">
        <f>_xlfn.XLOOKUP(role_course_map[[#This Row],[role_id]], role_data[role_id], role_data[Role],"")</f>
        <v>Resilience Advisor</v>
      </c>
      <c r="C2966">
        <v>999057</v>
      </c>
      <c r="D2966" s="5" t="str">
        <f>_xlfn.XLOOKUP(role_course_map[[#This Row],[course_id]],course_data[course_id],course_data[title],"")</f>
        <v>Fatigue Awareness</v>
      </c>
      <c r="E2966" s="5" t="str">
        <f>_xlfn.XLOOKUP(role_course_map[[#This Row],[course_id]],course_data[course_id],course_data[topic],"")</f>
        <v>SAS : Health and Safety</v>
      </c>
      <c r="F2966" s="5" t="str">
        <f>_xlfn.XLOOKUP(role_course_map[[#This Row],[course_id]],course_data[course_id],course_data[type],"")</f>
        <v>eLearning</v>
      </c>
      <c r="K2966" t="str">
        <f>role_course_map[[#This Row],[role_id]] &amp; "|" &amp; role_course_map[[#This Row],[course_id]]</f>
        <v>R0112|999057</v>
      </c>
      <c r="L2966" t="str">
        <f>IF(COUNTIF(role_course_map[mapping_key],role_course_map[[#This Row],[mapping_key]])&gt;1,"DUPLICATE","OK")</f>
        <v>OK</v>
      </c>
      <c r="M2966" t="str">
        <f>IF(COUNTIF(role_data[role_id],role_course_map[[#This Row],[role_id]])=0, "INVALID","VALID")</f>
        <v>VALID</v>
      </c>
      <c r="N2966" t="str">
        <f>IF(COUNTIF(course_data[course_id],role_course_map[[#This Row],[course_id]])=0, "INVALID","VALID")</f>
        <v>VALID</v>
      </c>
    </row>
    <row r="2967" spans="1:14" x14ac:dyDescent="0.35">
      <c r="A2967" t="s">
        <v>238</v>
      </c>
      <c r="B2967" s="5" t="str">
        <f>_xlfn.XLOOKUP(role_course_map[[#This Row],[role_id]], role_data[role_id], role_data[Role],"")</f>
        <v>Resilience Advisor</v>
      </c>
      <c r="C2967">
        <v>999061</v>
      </c>
      <c r="D2967" s="5" t="str">
        <f>_xlfn.XLOOKUP(role_course_map[[#This Row],[course_id]],course_data[course_id],course_data[title],"")</f>
        <v>Skin Awareness</v>
      </c>
      <c r="E2967" s="5" t="str">
        <f>_xlfn.XLOOKUP(role_course_map[[#This Row],[course_id]],course_data[course_id],course_data[topic],"")</f>
        <v>SAS : Health and Safety</v>
      </c>
      <c r="F2967" s="5" t="str">
        <f>_xlfn.XLOOKUP(role_course_map[[#This Row],[course_id]],course_data[course_id],course_data[type],"")</f>
        <v>eLearning</v>
      </c>
      <c r="K2967" t="str">
        <f>role_course_map[[#This Row],[role_id]] &amp; "|" &amp; role_course_map[[#This Row],[course_id]]</f>
        <v>R0112|999061</v>
      </c>
      <c r="L2967" t="str">
        <f>IF(COUNTIF(role_course_map[mapping_key],role_course_map[[#This Row],[mapping_key]])&gt;1,"DUPLICATE","OK")</f>
        <v>OK</v>
      </c>
      <c r="M2967" t="str">
        <f>IF(COUNTIF(role_data[role_id],role_course_map[[#This Row],[role_id]])=0, "INVALID","VALID")</f>
        <v>VALID</v>
      </c>
      <c r="N2967" t="str">
        <f>IF(COUNTIF(course_data[course_id],role_course_map[[#This Row],[course_id]])=0, "INVALID","VALID")</f>
        <v>VALID</v>
      </c>
    </row>
    <row r="2968" spans="1:14" x14ac:dyDescent="0.35">
      <c r="A2968" t="s">
        <v>238</v>
      </c>
      <c r="B2968" s="5" t="str">
        <f>_xlfn.XLOOKUP(role_course_map[[#This Row],[role_id]], role_data[role_id], role_data[Role],"")</f>
        <v>Resilience Advisor</v>
      </c>
      <c r="C2968">
        <v>999094</v>
      </c>
      <c r="D2968" s="5" t="str">
        <f>_xlfn.XLOOKUP(role_course_map[[#This Row],[course_id]],course_data[course_id],course_data[title],"")</f>
        <v>Being well, Mind, Body &amp; Workplace</v>
      </c>
      <c r="E2968" s="5" t="str">
        <f>_xlfn.XLOOKUP(role_course_map[[#This Row],[course_id]],course_data[course_id],course_data[topic],"")</f>
        <v>SAS: Staff development and experience</v>
      </c>
      <c r="F2968" s="5" t="str">
        <f>_xlfn.XLOOKUP(role_course_map[[#This Row],[course_id]],course_data[course_id],course_data[type],"")</f>
        <v>eLearning</v>
      </c>
      <c r="K2968" t="str">
        <f>role_course_map[[#This Row],[role_id]] &amp; "|" &amp; role_course_map[[#This Row],[course_id]]</f>
        <v>R0112|999094</v>
      </c>
      <c r="L2968" t="str">
        <f>IF(COUNTIF(role_course_map[mapping_key],role_course_map[[#This Row],[mapping_key]])&gt;1,"DUPLICATE","OK")</f>
        <v>OK</v>
      </c>
      <c r="M2968" t="str">
        <f>IF(COUNTIF(role_data[role_id],role_course_map[[#This Row],[role_id]])=0, "INVALID","VALID")</f>
        <v>VALID</v>
      </c>
      <c r="N2968" t="str">
        <f>IF(COUNTIF(course_data[course_id],role_course_map[[#This Row],[course_id]])=0, "INVALID","VALID")</f>
        <v>VALID</v>
      </c>
    </row>
    <row r="2969" spans="1:14" x14ac:dyDescent="0.35">
      <c r="A2969" t="s">
        <v>238</v>
      </c>
      <c r="B2969" s="5" t="str">
        <f>_xlfn.XLOOKUP(role_course_map[[#This Row],[role_id]], role_data[role_id], role_data[Role],"")</f>
        <v>Resilience Advisor</v>
      </c>
      <c r="D2969" s="5" t="s">
        <v>1062</v>
      </c>
      <c r="E2969" s="5" t="str">
        <f>_xlfn.XLOOKUP(role_course_map[[#This Row],[course_id]],course_data[course_id],course_data[topic],"")</f>
        <v/>
      </c>
      <c r="F2969" s="5" t="str">
        <f>_xlfn.XLOOKUP(role_course_map[[#This Row],[course_id]],course_data[course_id],course_data[type],"")</f>
        <v/>
      </c>
      <c r="K2969" t="str">
        <f>role_course_map[[#This Row],[role_id]] &amp; "|" &amp; role_course_map[[#This Row],[course_id]]</f>
        <v>R0112|</v>
      </c>
      <c r="L2969" t="str">
        <f>IF(COUNTIF(role_course_map[mapping_key],role_course_map[[#This Row],[mapping_key]])&gt;1,"DUPLICATE","OK")</f>
        <v>OK</v>
      </c>
      <c r="M2969" t="str">
        <f>IF(COUNTIF(role_data[role_id],role_course_map[[#This Row],[role_id]])=0, "INVALID","VALID")</f>
        <v>VALID</v>
      </c>
      <c r="N2969" t="str">
        <f>IF(COUNTIF(course_data[course_id],role_course_map[[#This Row],[course_id]])=0, "INVALID","VALID")</f>
        <v>INVALID</v>
      </c>
    </row>
    <row r="2970" spans="1:14" x14ac:dyDescent="0.35">
      <c r="A2970" t="s">
        <v>238</v>
      </c>
      <c r="B2970" s="5" t="str">
        <f>_xlfn.XLOOKUP(role_course_map[[#This Row],[role_id]], role_data[role_id], role_data[Role],"")</f>
        <v>Resilience Advisor</v>
      </c>
      <c r="C2970">
        <v>999067</v>
      </c>
      <c r="D2970" s="5" t="str">
        <f>_xlfn.XLOOKUP(role_course_map[[#This Row],[course_id]],course_data[course_id],course_data[title],"")</f>
        <v>Major incident awareness - Course overview</v>
      </c>
      <c r="E2970" s="5" t="str">
        <f>_xlfn.XLOOKUP(role_course_map[[#This Row],[course_id]],course_data[course_id],course_data[topic],"")</f>
        <v>SAS : National Risk and Resilience Department (NRRD)</v>
      </c>
      <c r="F2970" s="5" t="str">
        <f>_xlfn.XLOOKUP(role_course_map[[#This Row],[course_id]],course_data[course_id],course_data[type],"")</f>
        <v>eLearning</v>
      </c>
      <c r="K2970" t="str">
        <f>role_course_map[[#This Row],[role_id]] &amp; "|" &amp; role_course_map[[#This Row],[course_id]]</f>
        <v>R0112|999067</v>
      </c>
      <c r="L2970" t="str">
        <f>IF(COUNTIF(role_course_map[mapping_key],role_course_map[[#This Row],[mapping_key]])&gt;1,"DUPLICATE","OK")</f>
        <v>OK</v>
      </c>
      <c r="M2970" t="str">
        <f>IF(COUNTIF(role_data[role_id],role_course_map[[#This Row],[role_id]])=0, "INVALID","VALID")</f>
        <v>VALID</v>
      </c>
      <c r="N2970" t="str">
        <f>IF(COUNTIF(course_data[course_id],role_course_map[[#This Row],[course_id]])=0, "INVALID","VALID")</f>
        <v>VALID</v>
      </c>
    </row>
    <row r="2971" spans="1:14" x14ac:dyDescent="0.35">
      <c r="A2971" t="s">
        <v>238</v>
      </c>
      <c r="B2971" s="5" t="str">
        <f>_xlfn.XLOOKUP(role_course_map[[#This Row],[role_id]], role_data[role_id], role_data[Role],"")</f>
        <v>Resilience Advisor</v>
      </c>
      <c r="C2971">
        <v>999068</v>
      </c>
      <c r="D2971" s="5" t="str">
        <f>_xlfn.XLOOKUP(role_course_map[[#This Row],[course_id]],course_data[course_id],course_data[title],"")</f>
        <v xml:space="preserve">Major incident awareness for responders </v>
      </c>
      <c r="E2971" s="5" t="str">
        <f>_xlfn.XLOOKUP(role_course_map[[#This Row],[course_id]],course_data[course_id],course_data[topic],"")</f>
        <v>SAS : National Risk and Resilience Department (NRRD)</v>
      </c>
      <c r="F2971" s="5" t="str">
        <f>_xlfn.XLOOKUP(role_course_map[[#This Row],[course_id]],course_data[course_id],course_data[type],"")</f>
        <v>eLearning</v>
      </c>
      <c r="K2971" t="str">
        <f>role_course_map[[#This Row],[role_id]] &amp; "|" &amp; role_course_map[[#This Row],[course_id]]</f>
        <v>R0112|999068</v>
      </c>
      <c r="L2971" t="str">
        <f>IF(COUNTIF(role_course_map[mapping_key],role_course_map[[#This Row],[mapping_key]])&gt;1,"DUPLICATE","OK")</f>
        <v>OK</v>
      </c>
      <c r="M2971" t="str">
        <f>IF(COUNTIF(role_data[role_id],role_course_map[[#This Row],[role_id]])=0, "INVALID","VALID")</f>
        <v>VALID</v>
      </c>
      <c r="N2971" t="str">
        <f>IF(COUNTIF(course_data[course_id],role_course_map[[#This Row],[course_id]])=0, "INVALID","VALID")</f>
        <v>VALID</v>
      </c>
    </row>
    <row r="2972" spans="1:14" x14ac:dyDescent="0.35">
      <c r="A2972" t="s">
        <v>238</v>
      </c>
      <c r="B2972" s="5" t="str">
        <f>_xlfn.XLOOKUP(role_course_map[[#This Row],[role_id]], role_data[role_id], role_data[Role],"")</f>
        <v>Resilience Advisor</v>
      </c>
      <c r="C2972">
        <v>999069</v>
      </c>
      <c r="D2972" s="5" t="str">
        <f>_xlfn.XLOOKUP(role_course_map[[#This Row],[course_id]],course_data[course_id],course_data[title],"")</f>
        <v>Non-specialist MTFA response (JOPS3)</v>
      </c>
      <c r="E2972" s="5" t="str">
        <f>_xlfn.XLOOKUP(role_course_map[[#This Row],[course_id]],course_data[course_id],course_data[topic],"")</f>
        <v>SAS : National Risk and Resilience Department (NRRD)</v>
      </c>
      <c r="F2972" s="5" t="str">
        <f>_xlfn.XLOOKUP(role_course_map[[#This Row],[course_id]],course_data[course_id],course_data[type],"")</f>
        <v>eLearning</v>
      </c>
      <c r="K2972" t="str">
        <f>role_course_map[[#This Row],[role_id]] &amp; "|" &amp; role_course_map[[#This Row],[course_id]]</f>
        <v>R0112|999069</v>
      </c>
      <c r="L2972" t="str">
        <f>IF(COUNTIF(role_course_map[mapping_key],role_course_map[[#This Row],[mapping_key]])&gt;1,"DUPLICATE","OK")</f>
        <v>OK</v>
      </c>
      <c r="M2972" t="str">
        <f>IF(COUNTIF(role_data[role_id],role_course_map[[#This Row],[role_id]])=0, "INVALID","VALID")</f>
        <v>VALID</v>
      </c>
      <c r="N2972" t="str">
        <f>IF(COUNTIF(course_data[course_id],role_course_map[[#This Row],[course_id]])=0, "INVALID","VALID")</f>
        <v>VALID</v>
      </c>
    </row>
    <row r="2973" spans="1:14" x14ac:dyDescent="0.35">
      <c r="A2973" t="s">
        <v>238</v>
      </c>
      <c r="B2973" s="5" t="str">
        <f>_xlfn.XLOOKUP(role_course_map[[#This Row],[role_id]], role_data[role_id], role_data[Role],"")</f>
        <v>Resilience Advisor</v>
      </c>
      <c r="C2973">
        <v>999070</v>
      </c>
      <c r="D2973" s="5" t="str">
        <f>_xlfn.XLOOKUP(role_course_map[[#This Row],[course_id]],course_data[course_id],course_data[title],"")</f>
        <v xml:space="preserve">SAS: JESIP (NEW) </v>
      </c>
      <c r="E2973" s="5" t="str">
        <f>_xlfn.XLOOKUP(role_course_map[[#This Row],[course_id]],course_data[course_id],course_data[topic],"")</f>
        <v>SAS : National Risk and Resilience Department (NRRD)</v>
      </c>
      <c r="F2973" s="5" t="str">
        <f>_xlfn.XLOOKUP(role_course_map[[#This Row],[course_id]],course_data[course_id],course_data[type],"")</f>
        <v>eLearning</v>
      </c>
      <c r="K2973" t="str">
        <f>role_course_map[[#This Row],[role_id]] &amp; "|" &amp; role_course_map[[#This Row],[course_id]]</f>
        <v>R0112|999070</v>
      </c>
      <c r="L2973" t="str">
        <f>IF(COUNTIF(role_course_map[mapping_key],role_course_map[[#This Row],[mapping_key]])&gt;1,"DUPLICATE","OK")</f>
        <v>OK</v>
      </c>
      <c r="M2973" t="str">
        <f>IF(COUNTIF(role_data[role_id],role_course_map[[#This Row],[role_id]])=0, "INVALID","VALID")</f>
        <v>VALID</v>
      </c>
      <c r="N2973" t="str">
        <f>IF(COUNTIF(course_data[course_id],role_course_map[[#This Row],[course_id]])=0, "INVALID","VALID")</f>
        <v>VALID</v>
      </c>
    </row>
    <row r="2974" spans="1:14" x14ac:dyDescent="0.35">
      <c r="A2974" t="s">
        <v>240</v>
      </c>
      <c r="B2974" s="5" t="str">
        <f>_xlfn.XLOOKUP(role_course_map[[#This Row],[role_id]], role_data[role_id], role_data[Role],"")</f>
        <v>Resilience Manager</v>
      </c>
      <c r="C2974">
        <v>999091</v>
      </c>
      <c r="D2974" s="5" t="str">
        <f>_xlfn.XLOOKUP(role_course_map[[#This Row],[course_id]],course_data[course_id],course_data[title],"")</f>
        <v>Intermediate Leadership Development Programme</v>
      </c>
      <c r="E2974" s="5" t="str">
        <f>_xlfn.XLOOKUP(role_course_map[[#This Row],[course_id]],course_data[course_id],course_data[topic],"")</f>
        <v>SAS: Staff development and experience</v>
      </c>
      <c r="F2974" s="5">
        <f>_xlfn.XLOOKUP(role_course_map[[#This Row],[course_id]],course_data[course_id],course_data[type],"")</f>
        <v>0</v>
      </c>
      <c r="K2974" t="str">
        <f>role_course_map[[#This Row],[role_id]] &amp; "|" &amp; role_course_map[[#This Row],[course_id]]</f>
        <v>R0113|999091</v>
      </c>
      <c r="L2974" t="str">
        <f>IF(COUNTIF(role_course_map[mapping_key],role_course_map[[#This Row],[mapping_key]])&gt;1,"DUPLICATE","OK")</f>
        <v>OK</v>
      </c>
      <c r="M2974" t="str">
        <f>IF(COUNTIF(role_data[role_id],role_course_map[[#This Row],[role_id]])=0, "INVALID","VALID")</f>
        <v>VALID</v>
      </c>
      <c r="N2974" t="str">
        <f>IF(COUNTIF(course_data[course_id],role_course_map[[#This Row],[course_id]])=0, "INVALID","VALID")</f>
        <v>VALID</v>
      </c>
    </row>
    <row r="2975" spans="1:14" x14ac:dyDescent="0.35">
      <c r="A2975" t="s">
        <v>240</v>
      </c>
      <c r="B2975" s="5" t="str">
        <f>_xlfn.XLOOKUP(role_course_map[[#This Row],[role_id]], role_data[role_id], role_data[Role],"")</f>
        <v>Resilience Manager</v>
      </c>
      <c r="C2975">
        <v>999062</v>
      </c>
      <c r="D2975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2975" s="5" t="str">
        <f>_xlfn.XLOOKUP(role_course_map[[#This Row],[course_id]],course_data[course_id],course_data[topic],"")</f>
        <v>SAS : Health and Safety</v>
      </c>
      <c r="F2975" s="5" t="str">
        <f>_xlfn.XLOOKUP(role_course_map[[#This Row],[course_id]],course_data[course_id],course_data[type],"")</f>
        <v>Course</v>
      </c>
      <c r="K2975" t="str">
        <f>role_course_map[[#This Row],[role_id]] &amp; "|" &amp; role_course_map[[#This Row],[course_id]]</f>
        <v>R0113|999062</v>
      </c>
      <c r="L2975" t="str">
        <f>IF(COUNTIF(role_course_map[mapping_key],role_course_map[[#This Row],[mapping_key]])&gt;1,"DUPLICATE","OK")</f>
        <v>OK</v>
      </c>
      <c r="M2975" t="str">
        <f>IF(COUNTIF(role_data[role_id],role_course_map[[#This Row],[role_id]])=0, "INVALID","VALID")</f>
        <v>VALID</v>
      </c>
      <c r="N2975" t="str">
        <f>IF(COUNTIF(course_data[course_id],role_course_map[[#This Row],[course_id]])=0, "INVALID","VALID")</f>
        <v>VALID</v>
      </c>
    </row>
    <row r="2976" spans="1:14" x14ac:dyDescent="0.35">
      <c r="A2976" t="s">
        <v>240</v>
      </c>
      <c r="B2976" s="5" t="str">
        <f>_xlfn.XLOOKUP(role_course_map[[#This Row],[role_id]], role_data[role_id], role_data[Role],"")</f>
        <v>Resilience Manager</v>
      </c>
      <c r="C2976">
        <v>999058</v>
      </c>
      <c r="D2976" s="5" t="str">
        <f>_xlfn.XLOOKUP(role_course_map[[#This Row],[course_id]],course_data[course_id],course_data[title],"")</f>
        <v>Stress Identification &amp; Stress Management</v>
      </c>
      <c r="E2976" s="5" t="str">
        <f>_xlfn.XLOOKUP(role_course_map[[#This Row],[course_id]],course_data[course_id],course_data[topic],"")</f>
        <v>SAS : Health and Safety</v>
      </c>
      <c r="F2976" s="5" t="str">
        <f>_xlfn.XLOOKUP(role_course_map[[#This Row],[course_id]],course_data[course_id],course_data[type],"")</f>
        <v>eLearning</v>
      </c>
      <c r="K2976" t="str">
        <f>role_course_map[[#This Row],[role_id]] &amp; "|" &amp; role_course_map[[#This Row],[course_id]]</f>
        <v>R0113|999058</v>
      </c>
      <c r="L2976" t="str">
        <f>IF(COUNTIF(role_course_map[mapping_key],role_course_map[[#This Row],[mapping_key]])&gt;1,"DUPLICATE","OK")</f>
        <v>OK</v>
      </c>
      <c r="M2976" t="str">
        <f>IF(COUNTIF(role_data[role_id],role_course_map[[#This Row],[role_id]])=0, "INVALID","VALID")</f>
        <v>VALID</v>
      </c>
      <c r="N2976" t="str">
        <f>IF(COUNTIF(course_data[course_id],role_course_map[[#This Row],[course_id]])=0, "INVALID","VALID")</f>
        <v>VALID</v>
      </c>
    </row>
    <row r="2977" spans="1:14" x14ac:dyDescent="0.35">
      <c r="A2977" t="s">
        <v>240</v>
      </c>
      <c r="B2977" s="5" t="str">
        <f>_xlfn.XLOOKUP(role_course_map[[#This Row],[role_id]], role_data[role_id], role_data[Role],"")</f>
        <v>Resilience Manager</v>
      </c>
      <c r="C2977">
        <v>999056</v>
      </c>
      <c r="D2977" s="5" t="str">
        <f>_xlfn.XLOOKUP(role_course_map[[#This Row],[course_id]],course_data[course_id],course_data[title],"")</f>
        <v>Driver Assessment &amp; Training</v>
      </c>
      <c r="E2977" s="5" t="str">
        <f>_xlfn.XLOOKUP(role_course_map[[#This Row],[course_id]],course_data[course_id],course_data[topic],"")</f>
        <v>SAS : Health and Safety</v>
      </c>
      <c r="F2977" s="5" t="str">
        <f>_xlfn.XLOOKUP(role_course_map[[#This Row],[course_id]],course_data[course_id],course_data[type],"")</f>
        <v>eLearning</v>
      </c>
      <c r="K2977" t="str">
        <f>role_course_map[[#This Row],[role_id]] &amp; "|" &amp; role_course_map[[#This Row],[course_id]]</f>
        <v>R0113|999056</v>
      </c>
      <c r="L2977" t="str">
        <f>IF(COUNTIF(role_course_map[mapping_key],role_course_map[[#This Row],[mapping_key]])&gt;1,"DUPLICATE","OK")</f>
        <v>OK</v>
      </c>
      <c r="M2977" t="str">
        <f>IF(COUNTIF(role_data[role_id],role_course_map[[#This Row],[role_id]])=0, "INVALID","VALID")</f>
        <v>VALID</v>
      </c>
      <c r="N2977" t="str">
        <f>IF(COUNTIF(course_data[course_id],role_course_map[[#This Row],[course_id]])=0, "INVALID","VALID")</f>
        <v>VALID</v>
      </c>
    </row>
    <row r="2978" spans="1:14" x14ac:dyDescent="0.35">
      <c r="A2978" t="s">
        <v>240</v>
      </c>
      <c r="B2978" s="5" t="str">
        <f>_xlfn.XLOOKUP(role_course_map[[#This Row],[role_id]], role_data[role_id], role_data[Role],"")</f>
        <v>Resilience Manager</v>
      </c>
      <c r="C2978">
        <v>999057</v>
      </c>
      <c r="D2978" s="5" t="str">
        <f>_xlfn.XLOOKUP(role_course_map[[#This Row],[course_id]],course_data[course_id],course_data[title],"")</f>
        <v>Fatigue Awareness</v>
      </c>
      <c r="E2978" s="5" t="str">
        <f>_xlfn.XLOOKUP(role_course_map[[#This Row],[course_id]],course_data[course_id],course_data[topic],"")</f>
        <v>SAS : Health and Safety</v>
      </c>
      <c r="F2978" s="5" t="str">
        <f>_xlfn.XLOOKUP(role_course_map[[#This Row],[course_id]],course_data[course_id],course_data[type],"")</f>
        <v>eLearning</v>
      </c>
      <c r="K2978" t="str">
        <f>role_course_map[[#This Row],[role_id]] &amp; "|" &amp; role_course_map[[#This Row],[course_id]]</f>
        <v>R0113|999057</v>
      </c>
      <c r="L2978" t="str">
        <f>IF(COUNTIF(role_course_map[mapping_key],role_course_map[[#This Row],[mapping_key]])&gt;1,"DUPLICATE","OK")</f>
        <v>OK</v>
      </c>
      <c r="M2978" t="str">
        <f>IF(COUNTIF(role_data[role_id],role_course_map[[#This Row],[role_id]])=0, "INVALID","VALID")</f>
        <v>VALID</v>
      </c>
      <c r="N2978" t="str">
        <f>IF(COUNTIF(course_data[course_id],role_course_map[[#This Row],[course_id]])=0, "INVALID","VALID")</f>
        <v>VALID</v>
      </c>
    </row>
    <row r="2979" spans="1:14" x14ac:dyDescent="0.35">
      <c r="A2979" t="s">
        <v>240</v>
      </c>
      <c r="B2979" s="5" t="str">
        <f>_xlfn.XLOOKUP(role_course_map[[#This Row],[role_id]], role_data[role_id], role_data[Role],"")</f>
        <v>Resilience Manager</v>
      </c>
      <c r="C2979">
        <v>999061</v>
      </c>
      <c r="D2979" s="5" t="str">
        <f>_xlfn.XLOOKUP(role_course_map[[#This Row],[course_id]],course_data[course_id],course_data[title],"")</f>
        <v>Skin Awareness</v>
      </c>
      <c r="E2979" s="5" t="str">
        <f>_xlfn.XLOOKUP(role_course_map[[#This Row],[course_id]],course_data[course_id],course_data[topic],"")</f>
        <v>SAS : Health and Safety</v>
      </c>
      <c r="F2979" s="5" t="str">
        <f>_xlfn.XLOOKUP(role_course_map[[#This Row],[course_id]],course_data[course_id],course_data[type],"")</f>
        <v>eLearning</v>
      </c>
      <c r="K2979" t="str">
        <f>role_course_map[[#This Row],[role_id]] &amp; "|" &amp; role_course_map[[#This Row],[course_id]]</f>
        <v>R0113|999061</v>
      </c>
      <c r="L2979" t="str">
        <f>IF(COUNTIF(role_course_map[mapping_key],role_course_map[[#This Row],[mapping_key]])&gt;1,"DUPLICATE","OK")</f>
        <v>OK</v>
      </c>
      <c r="M2979" t="str">
        <f>IF(COUNTIF(role_data[role_id],role_course_map[[#This Row],[role_id]])=0, "INVALID","VALID")</f>
        <v>VALID</v>
      </c>
      <c r="N2979" t="str">
        <f>IF(COUNTIF(course_data[course_id],role_course_map[[#This Row],[course_id]])=0, "INVALID","VALID")</f>
        <v>VALID</v>
      </c>
    </row>
    <row r="2980" spans="1:14" x14ac:dyDescent="0.35">
      <c r="A2980" t="s">
        <v>240</v>
      </c>
      <c r="B2980" s="5" t="str">
        <f>_xlfn.XLOOKUP(role_course_map[[#This Row],[role_id]], role_data[role_id], role_data[Role],"")</f>
        <v>Resilience Manager</v>
      </c>
      <c r="C2980">
        <v>999092</v>
      </c>
      <c r="D2980" s="5" t="str">
        <f>_xlfn.XLOOKUP(role_course_map[[#This Row],[course_id]],course_data[course_id],course_data[title],"")</f>
        <v>Health &amp; Wellbeing Awareness for Managers</v>
      </c>
      <c r="E2980" s="5" t="str">
        <f>_xlfn.XLOOKUP(role_course_map[[#This Row],[course_id]],course_data[course_id],course_data[topic],"")</f>
        <v>SAS: Staff development and experience</v>
      </c>
      <c r="F2980" s="5" t="str">
        <f>_xlfn.XLOOKUP(role_course_map[[#This Row],[course_id]],course_data[course_id],course_data[type],"")</f>
        <v>eLearning</v>
      </c>
      <c r="K2980" t="str">
        <f>role_course_map[[#This Row],[role_id]] &amp; "|" &amp; role_course_map[[#This Row],[course_id]]</f>
        <v>R0113|999092</v>
      </c>
      <c r="L2980" t="str">
        <f>IF(COUNTIF(role_course_map[mapping_key],role_course_map[[#This Row],[mapping_key]])&gt;1,"DUPLICATE","OK")</f>
        <v>OK</v>
      </c>
      <c r="M2980" t="str">
        <f>IF(COUNTIF(role_data[role_id],role_course_map[[#This Row],[role_id]])=0, "INVALID","VALID")</f>
        <v>VALID</v>
      </c>
      <c r="N2980" t="str">
        <f>IF(COUNTIF(course_data[course_id],role_course_map[[#This Row],[course_id]])=0, "INVALID","VALID")</f>
        <v>VALID</v>
      </c>
    </row>
    <row r="2981" spans="1:14" x14ac:dyDescent="0.35">
      <c r="A2981" t="s">
        <v>240</v>
      </c>
      <c r="B2981" s="5" t="str">
        <f>_xlfn.XLOOKUP(role_course_map[[#This Row],[role_id]], role_data[role_id], role_data[Role],"")</f>
        <v>Resilience Manager</v>
      </c>
      <c r="C2981">
        <v>999093</v>
      </c>
      <c r="D2981" s="5" t="str">
        <f>_xlfn.XLOOKUP(role_course_map[[#This Row],[course_id]],course_data[course_id],course_data[title],"")</f>
        <v>Managing Wellbeing Refresher for Managers</v>
      </c>
      <c r="E2981" s="5" t="str">
        <f>_xlfn.XLOOKUP(role_course_map[[#This Row],[course_id]],course_data[course_id],course_data[topic],"")</f>
        <v>SAS: Staff development and experience</v>
      </c>
      <c r="F2981" s="5" t="str">
        <f>_xlfn.XLOOKUP(role_course_map[[#This Row],[course_id]],course_data[course_id],course_data[type],"")</f>
        <v>eLearning</v>
      </c>
      <c r="K2981" t="str">
        <f>role_course_map[[#This Row],[role_id]] &amp; "|" &amp; role_course_map[[#This Row],[course_id]]</f>
        <v>R0113|999093</v>
      </c>
      <c r="L2981" t="str">
        <f>IF(COUNTIF(role_course_map[mapping_key],role_course_map[[#This Row],[mapping_key]])&gt;1,"DUPLICATE","OK")</f>
        <v>OK</v>
      </c>
      <c r="M2981" t="str">
        <f>IF(COUNTIF(role_data[role_id],role_course_map[[#This Row],[role_id]])=0, "INVALID","VALID")</f>
        <v>VALID</v>
      </c>
      <c r="N2981" t="str">
        <f>IF(COUNTIF(course_data[course_id],role_course_map[[#This Row],[course_id]])=0, "INVALID","VALID")</f>
        <v>VALID</v>
      </c>
    </row>
    <row r="2982" spans="1:14" x14ac:dyDescent="0.35">
      <c r="A2982" t="s">
        <v>240</v>
      </c>
      <c r="B2982" s="5" t="str">
        <f>_xlfn.XLOOKUP(role_course_map[[#This Row],[role_id]], role_data[role_id], role_data[Role],"")</f>
        <v>Resilience Manager</v>
      </c>
      <c r="C2982">
        <v>999094</v>
      </c>
      <c r="D2982" s="5" t="str">
        <f>_xlfn.XLOOKUP(role_course_map[[#This Row],[course_id]],course_data[course_id],course_data[title],"")</f>
        <v>Being well, Mind, Body &amp; Workplace</v>
      </c>
      <c r="E2982" s="5" t="str">
        <f>_xlfn.XLOOKUP(role_course_map[[#This Row],[course_id]],course_data[course_id],course_data[topic],"")</f>
        <v>SAS: Staff development and experience</v>
      </c>
      <c r="F2982" s="5" t="str">
        <f>_xlfn.XLOOKUP(role_course_map[[#This Row],[course_id]],course_data[course_id],course_data[type],"")</f>
        <v>eLearning</v>
      </c>
      <c r="K2982" t="str">
        <f>role_course_map[[#This Row],[role_id]] &amp; "|" &amp; role_course_map[[#This Row],[course_id]]</f>
        <v>R0113|999094</v>
      </c>
      <c r="L2982" t="str">
        <f>IF(COUNTIF(role_course_map[mapping_key],role_course_map[[#This Row],[mapping_key]])&gt;1,"DUPLICATE","OK")</f>
        <v>OK</v>
      </c>
      <c r="M2982" t="str">
        <f>IF(COUNTIF(role_data[role_id],role_course_map[[#This Row],[role_id]])=0, "INVALID","VALID")</f>
        <v>VALID</v>
      </c>
      <c r="N2982" t="str">
        <f>IF(COUNTIF(course_data[course_id],role_course_map[[#This Row],[course_id]])=0, "INVALID","VALID")</f>
        <v>VALID</v>
      </c>
    </row>
    <row r="2983" spans="1:14" x14ac:dyDescent="0.35">
      <c r="A2983" t="s">
        <v>240</v>
      </c>
      <c r="B2983" s="5" t="str">
        <f>_xlfn.XLOOKUP(role_course_map[[#This Row],[role_id]], role_data[role_id], role_data[Role],"")</f>
        <v>Resilience Manager</v>
      </c>
      <c r="D2983" s="5" t="s">
        <v>1070</v>
      </c>
      <c r="E2983" s="5" t="str">
        <f>_xlfn.XLOOKUP(role_course_map[[#This Row],[course_id]],course_data[course_id],course_data[topic],"")</f>
        <v/>
      </c>
      <c r="F2983" s="5" t="str">
        <f>_xlfn.XLOOKUP(role_course_map[[#This Row],[course_id]],course_data[course_id],course_data[type],"")</f>
        <v/>
      </c>
      <c r="K2983" t="str">
        <f>role_course_map[[#This Row],[role_id]] &amp; "|" &amp; role_course_map[[#This Row],[course_id]]</f>
        <v>R0113|</v>
      </c>
      <c r="L2983" t="str">
        <f>IF(COUNTIF(role_course_map[mapping_key],role_course_map[[#This Row],[mapping_key]])&gt;1,"DUPLICATE","OK")</f>
        <v>OK</v>
      </c>
      <c r="M2983" t="str">
        <f>IF(COUNTIF(role_data[role_id],role_course_map[[#This Row],[role_id]])=0, "INVALID","VALID")</f>
        <v>VALID</v>
      </c>
      <c r="N2983" t="str">
        <f>IF(COUNTIF(course_data[course_id],role_course_map[[#This Row],[course_id]])=0, "INVALID","VALID")</f>
        <v>INVALID</v>
      </c>
    </row>
    <row r="2984" spans="1:14" x14ac:dyDescent="0.35">
      <c r="A2984" t="s">
        <v>240</v>
      </c>
      <c r="B2984" s="5" t="str">
        <f>_xlfn.XLOOKUP(role_course_map[[#This Row],[role_id]], role_data[role_id], role_data[Role],"")</f>
        <v>Resilience Manager</v>
      </c>
      <c r="C2984">
        <v>82211</v>
      </c>
      <c r="D2984" s="5" t="str">
        <f>_xlfn.XLOOKUP(role_course_map[[#This Row],[course_id]],course_data[course_id],course_data[title],"")</f>
        <v>MTA Command &amp; Control</v>
      </c>
      <c r="E2984" s="5" t="str">
        <f>_xlfn.XLOOKUP(role_course_map[[#This Row],[course_id]],course_data[course_id],course_data[topic],"")</f>
        <v>SAS : National Risk and Resilience Department (NRRD)</v>
      </c>
      <c r="F2984" s="5" t="str">
        <f>_xlfn.XLOOKUP(role_course_map[[#This Row],[course_id]],course_data[course_id],course_data[type],"")</f>
        <v>eLearning</v>
      </c>
      <c r="K2984" t="str">
        <f>role_course_map[[#This Row],[role_id]] &amp; "|" &amp; role_course_map[[#This Row],[course_id]]</f>
        <v>R0113|82211</v>
      </c>
      <c r="L2984" t="str">
        <f>IF(COUNTIF(role_course_map[mapping_key],role_course_map[[#This Row],[mapping_key]])&gt;1,"DUPLICATE","OK")</f>
        <v>OK</v>
      </c>
      <c r="M2984" t="str">
        <f>IF(COUNTIF(role_data[role_id],role_course_map[[#This Row],[role_id]])=0, "INVALID","VALID")</f>
        <v>VALID</v>
      </c>
      <c r="N2984" t="str">
        <f>IF(COUNTIF(course_data[course_id],role_course_map[[#This Row],[course_id]])=0, "INVALID","VALID")</f>
        <v>VALID</v>
      </c>
    </row>
    <row r="2985" spans="1:14" x14ac:dyDescent="0.35">
      <c r="A2985" t="s">
        <v>240</v>
      </c>
      <c r="B2985" s="5" t="str">
        <f>_xlfn.XLOOKUP(role_course_map[[#This Row],[role_id]], role_data[role_id], role_data[Role],"")</f>
        <v>Resilience Manager</v>
      </c>
      <c r="C2985">
        <v>999067</v>
      </c>
      <c r="D2985" s="5" t="str">
        <f>_xlfn.XLOOKUP(role_course_map[[#This Row],[course_id]],course_data[course_id],course_data[title],"")</f>
        <v>Major incident awareness - Course overview</v>
      </c>
      <c r="E2985" s="5" t="str">
        <f>_xlfn.XLOOKUP(role_course_map[[#This Row],[course_id]],course_data[course_id],course_data[topic],"")</f>
        <v>SAS : National Risk and Resilience Department (NRRD)</v>
      </c>
      <c r="F2985" s="5" t="str">
        <f>_xlfn.XLOOKUP(role_course_map[[#This Row],[course_id]],course_data[course_id],course_data[type],"")</f>
        <v>eLearning</v>
      </c>
      <c r="K2985" t="str">
        <f>role_course_map[[#This Row],[role_id]] &amp; "|" &amp; role_course_map[[#This Row],[course_id]]</f>
        <v>R0113|999067</v>
      </c>
      <c r="L2985" t="str">
        <f>IF(COUNTIF(role_course_map[mapping_key],role_course_map[[#This Row],[mapping_key]])&gt;1,"DUPLICATE","OK")</f>
        <v>OK</v>
      </c>
      <c r="M2985" t="str">
        <f>IF(COUNTIF(role_data[role_id],role_course_map[[#This Row],[role_id]])=0, "INVALID","VALID")</f>
        <v>VALID</v>
      </c>
      <c r="N2985" t="str">
        <f>IF(COUNTIF(course_data[course_id],role_course_map[[#This Row],[course_id]])=0, "INVALID","VALID")</f>
        <v>VALID</v>
      </c>
    </row>
    <row r="2986" spans="1:14" x14ac:dyDescent="0.35">
      <c r="A2986" t="s">
        <v>240</v>
      </c>
      <c r="B2986" s="5" t="str">
        <f>_xlfn.XLOOKUP(role_course_map[[#This Row],[role_id]], role_data[role_id], role_data[Role],"")</f>
        <v>Resilience Manager</v>
      </c>
      <c r="C2986">
        <v>999068</v>
      </c>
      <c r="D2986" s="5" t="str">
        <f>_xlfn.XLOOKUP(role_course_map[[#This Row],[course_id]],course_data[course_id],course_data[title],"")</f>
        <v xml:space="preserve">Major incident awareness for responders </v>
      </c>
      <c r="E2986" s="5" t="str">
        <f>_xlfn.XLOOKUP(role_course_map[[#This Row],[course_id]],course_data[course_id],course_data[topic],"")</f>
        <v>SAS : National Risk and Resilience Department (NRRD)</v>
      </c>
      <c r="F2986" s="5" t="str">
        <f>_xlfn.XLOOKUP(role_course_map[[#This Row],[course_id]],course_data[course_id],course_data[type],"")</f>
        <v>eLearning</v>
      </c>
      <c r="K2986" t="str">
        <f>role_course_map[[#This Row],[role_id]] &amp; "|" &amp; role_course_map[[#This Row],[course_id]]</f>
        <v>R0113|999068</v>
      </c>
      <c r="L2986" t="str">
        <f>IF(COUNTIF(role_course_map[mapping_key],role_course_map[[#This Row],[mapping_key]])&gt;1,"DUPLICATE","OK")</f>
        <v>OK</v>
      </c>
      <c r="M2986" t="str">
        <f>IF(COUNTIF(role_data[role_id],role_course_map[[#This Row],[role_id]])=0, "INVALID","VALID")</f>
        <v>VALID</v>
      </c>
      <c r="N2986" t="str">
        <f>IF(COUNTIF(course_data[course_id],role_course_map[[#This Row],[course_id]])=0, "INVALID","VALID")</f>
        <v>VALID</v>
      </c>
    </row>
    <row r="2987" spans="1:14" x14ac:dyDescent="0.35">
      <c r="A2987" t="s">
        <v>240</v>
      </c>
      <c r="B2987" s="5" t="str">
        <f>_xlfn.XLOOKUP(role_course_map[[#This Row],[role_id]], role_data[role_id], role_data[Role],"")</f>
        <v>Resilience Manager</v>
      </c>
      <c r="C2987">
        <v>999069</v>
      </c>
      <c r="D2987" s="5" t="str">
        <f>_xlfn.XLOOKUP(role_course_map[[#This Row],[course_id]],course_data[course_id],course_data[title],"")</f>
        <v>Non-specialist MTFA response (JOPS3)</v>
      </c>
      <c r="E2987" s="5" t="str">
        <f>_xlfn.XLOOKUP(role_course_map[[#This Row],[course_id]],course_data[course_id],course_data[topic],"")</f>
        <v>SAS : National Risk and Resilience Department (NRRD)</v>
      </c>
      <c r="F2987" s="5" t="str">
        <f>_xlfn.XLOOKUP(role_course_map[[#This Row],[course_id]],course_data[course_id],course_data[type],"")</f>
        <v>eLearning</v>
      </c>
      <c r="K2987" t="str">
        <f>role_course_map[[#This Row],[role_id]] &amp; "|" &amp; role_course_map[[#This Row],[course_id]]</f>
        <v>R0113|999069</v>
      </c>
      <c r="L2987" t="str">
        <f>IF(COUNTIF(role_course_map[mapping_key],role_course_map[[#This Row],[mapping_key]])&gt;1,"DUPLICATE","OK")</f>
        <v>OK</v>
      </c>
      <c r="M2987" t="str">
        <f>IF(COUNTIF(role_data[role_id],role_course_map[[#This Row],[role_id]])=0, "INVALID","VALID")</f>
        <v>VALID</v>
      </c>
      <c r="N2987" t="str">
        <f>IF(COUNTIF(course_data[course_id],role_course_map[[#This Row],[course_id]])=0, "INVALID","VALID")</f>
        <v>VALID</v>
      </c>
    </row>
    <row r="2988" spans="1:14" x14ac:dyDescent="0.35">
      <c r="A2988" t="s">
        <v>240</v>
      </c>
      <c r="B2988" s="5" t="str">
        <f>_xlfn.XLOOKUP(role_course_map[[#This Row],[role_id]], role_data[role_id], role_data[Role],"")</f>
        <v>Resilience Manager</v>
      </c>
      <c r="C2988">
        <v>999070</v>
      </c>
      <c r="D2988" s="5" t="str">
        <f>_xlfn.XLOOKUP(role_course_map[[#This Row],[course_id]],course_data[course_id],course_data[title],"")</f>
        <v xml:space="preserve">SAS: JESIP (NEW) </v>
      </c>
      <c r="E2988" s="5" t="str">
        <f>_xlfn.XLOOKUP(role_course_map[[#This Row],[course_id]],course_data[course_id],course_data[topic],"")</f>
        <v>SAS : National Risk and Resilience Department (NRRD)</v>
      </c>
      <c r="F2988" s="5" t="str">
        <f>_xlfn.XLOOKUP(role_course_map[[#This Row],[course_id]],course_data[course_id],course_data[type],"")</f>
        <v>eLearning</v>
      </c>
      <c r="K2988" t="str">
        <f>role_course_map[[#This Row],[role_id]] &amp; "|" &amp; role_course_map[[#This Row],[course_id]]</f>
        <v>R0113|999070</v>
      </c>
      <c r="L2988" t="str">
        <f>IF(COUNTIF(role_course_map[mapping_key],role_course_map[[#This Row],[mapping_key]])&gt;1,"DUPLICATE","OK")</f>
        <v>OK</v>
      </c>
      <c r="M2988" t="str">
        <f>IF(COUNTIF(role_data[role_id],role_course_map[[#This Row],[role_id]])=0, "INVALID","VALID")</f>
        <v>VALID</v>
      </c>
      <c r="N2988" t="str">
        <f>IF(COUNTIF(course_data[course_id],role_course_map[[#This Row],[course_id]])=0, "INVALID","VALID")</f>
        <v>VALID</v>
      </c>
    </row>
    <row r="2989" spans="1:14" x14ac:dyDescent="0.35">
      <c r="A2989" t="s">
        <v>240</v>
      </c>
      <c r="B2989" s="5" t="str">
        <f>_xlfn.XLOOKUP(role_course_map[[#This Row],[role_id]], role_data[role_id], role_data[Role],"")</f>
        <v>Resilience Manager</v>
      </c>
      <c r="C2989">
        <v>89568</v>
      </c>
      <c r="D2989" s="5" t="str">
        <f>_xlfn.XLOOKUP(role_course_map[[#This Row],[course_id]],course_data[course_id],course_data[title],"")</f>
        <v>C3 for SOMs</v>
      </c>
      <c r="E2989" s="5" t="str">
        <f>_xlfn.XLOOKUP(role_course_map[[#This Row],[course_id]],course_data[course_id],course_data[topic],"")</f>
        <v>SAS: Systems Training</v>
      </c>
      <c r="F2989" s="5" t="str">
        <f>_xlfn.XLOOKUP(role_course_map[[#This Row],[course_id]],course_data[course_id],course_data[type],"")</f>
        <v>Course</v>
      </c>
      <c r="K2989" t="str">
        <f>role_course_map[[#This Row],[role_id]] &amp; "|" &amp; role_course_map[[#This Row],[course_id]]</f>
        <v>R0113|89568</v>
      </c>
      <c r="L2989" t="str">
        <f>IF(COUNTIF(role_course_map[mapping_key],role_course_map[[#This Row],[mapping_key]])&gt;1,"DUPLICATE","OK")</f>
        <v>OK</v>
      </c>
      <c r="M2989" t="str">
        <f>IF(COUNTIF(role_data[role_id],role_course_map[[#This Row],[role_id]])=0, "INVALID","VALID")</f>
        <v>VALID</v>
      </c>
      <c r="N2989" t="str">
        <f>IF(COUNTIF(course_data[course_id],role_course_map[[#This Row],[course_id]])=0, "INVALID","VALID")</f>
        <v>VALID</v>
      </c>
    </row>
    <row r="2990" spans="1:14" x14ac:dyDescent="0.35">
      <c r="A2990" t="s">
        <v>245</v>
      </c>
      <c r="B2990" s="5" t="str">
        <f>_xlfn.XLOOKUP(role_course_map[[#This Row],[role_id]], role_data[role_id], role_data[Role],"")</f>
        <v>Risk Management Administrator</v>
      </c>
      <c r="C2990">
        <v>999058</v>
      </c>
      <c r="D2990" s="5" t="str">
        <f>_xlfn.XLOOKUP(role_course_map[[#This Row],[course_id]],course_data[course_id],course_data[title],"")</f>
        <v>Stress Identification &amp; Stress Management</v>
      </c>
      <c r="E2990" s="5" t="str">
        <f>_xlfn.XLOOKUP(role_course_map[[#This Row],[course_id]],course_data[course_id],course_data[topic],"")</f>
        <v>SAS : Health and Safety</v>
      </c>
      <c r="F2990" s="5" t="str">
        <f>_xlfn.XLOOKUP(role_course_map[[#This Row],[course_id]],course_data[course_id],course_data[type],"")</f>
        <v>eLearning</v>
      </c>
      <c r="K2990" t="str">
        <f>role_course_map[[#This Row],[role_id]] &amp; "|" &amp; role_course_map[[#This Row],[course_id]]</f>
        <v>R0116|999058</v>
      </c>
      <c r="L2990" t="str">
        <f>IF(COUNTIF(role_course_map[mapping_key],role_course_map[[#This Row],[mapping_key]])&gt;1,"DUPLICATE","OK")</f>
        <v>OK</v>
      </c>
      <c r="M2990" t="str">
        <f>IF(COUNTIF(role_data[role_id],role_course_map[[#This Row],[role_id]])=0, "INVALID","VALID")</f>
        <v>VALID</v>
      </c>
      <c r="N2990" t="str">
        <f>IF(COUNTIF(course_data[course_id],role_course_map[[#This Row],[course_id]])=0, "INVALID","VALID")</f>
        <v>VALID</v>
      </c>
    </row>
    <row r="2991" spans="1:14" x14ac:dyDescent="0.35">
      <c r="A2991" t="s">
        <v>245</v>
      </c>
      <c r="B2991" s="5" t="str">
        <f>_xlfn.XLOOKUP(role_course_map[[#This Row],[role_id]], role_data[role_id], role_data[Role],"")</f>
        <v>Risk Management Administrator</v>
      </c>
      <c r="C2991">
        <v>999056</v>
      </c>
      <c r="D2991" s="5" t="str">
        <f>_xlfn.XLOOKUP(role_course_map[[#This Row],[course_id]],course_data[course_id],course_data[title],"")</f>
        <v>Driver Assessment &amp; Training</v>
      </c>
      <c r="E2991" s="5" t="str">
        <f>_xlfn.XLOOKUP(role_course_map[[#This Row],[course_id]],course_data[course_id],course_data[topic],"")</f>
        <v>SAS : Health and Safety</v>
      </c>
      <c r="F2991" s="5" t="str">
        <f>_xlfn.XLOOKUP(role_course_map[[#This Row],[course_id]],course_data[course_id],course_data[type],"")</f>
        <v>eLearning</v>
      </c>
      <c r="K2991" t="str">
        <f>role_course_map[[#This Row],[role_id]] &amp; "|" &amp; role_course_map[[#This Row],[course_id]]</f>
        <v>R0116|999056</v>
      </c>
      <c r="L2991" t="str">
        <f>IF(COUNTIF(role_course_map[mapping_key],role_course_map[[#This Row],[mapping_key]])&gt;1,"DUPLICATE","OK")</f>
        <v>OK</v>
      </c>
      <c r="M2991" t="str">
        <f>IF(COUNTIF(role_data[role_id],role_course_map[[#This Row],[role_id]])=0, "INVALID","VALID")</f>
        <v>VALID</v>
      </c>
      <c r="N2991" t="str">
        <f>IF(COUNTIF(course_data[course_id],role_course_map[[#This Row],[course_id]])=0, "INVALID","VALID")</f>
        <v>VALID</v>
      </c>
    </row>
    <row r="2992" spans="1:14" x14ac:dyDescent="0.35">
      <c r="A2992" t="s">
        <v>245</v>
      </c>
      <c r="B2992" s="5" t="str">
        <f>_xlfn.XLOOKUP(role_course_map[[#This Row],[role_id]], role_data[role_id], role_data[Role],"")</f>
        <v>Risk Management Administrator</v>
      </c>
      <c r="C2992">
        <v>999057</v>
      </c>
      <c r="D2992" s="5" t="str">
        <f>_xlfn.XLOOKUP(role_course_map[[#This Row],[course_id]],course_data[course_id],course_data[title],"")</f>
        <v>Fatigue Awareness</v>
      </c>
      <c r="E2992" s="5" t="str">
        <f>_xlfn.XLOOKUP(role_course_map[[#This Row],[course_id]],course_data[course_id],course_data[topic],"")</f>
        <v>SAS : Health and Safety</v>
      </c>
      <c r="F2992" s="5" t="str">
        <f>_xlfn.XLOOKUP(role_course_map[[#This Row],[course_id]],course_data[course_id],course_data[type],"")</f>
        <v>eLearning</v>
      </c>
      <c r="K2992" t="str">
        <f>role_course_map[[#This Row],[role_id]] &amp; "|" &amp; role_course_map[[#This Row],[course_id]]</f>
        <v>R0116|999057</v>
      </c>
      <c r="L2992" t="str">
        <f>IF(COUNTIF(role_course_map[mapping_key],role_course_map[[#This Row],[mapping_key]])&gt;1,"DUPLICATE","OK")</f>
        <v>OK</v>
      </c>
      <c r="M2992" t="str">
        <f>IF(COUNTIF(role_data[role_id],role_course_map[[#This Row],[role_id]])=0, "INVALID","VALID")</f>
        <v>VALID</v>
      </c>
      <c r="N2992" t="str">
        <f>IF(COUNTIF(course_data[course_id],role_course_map[[#This Row],[course_id]])=0, "INVALID","VALID")</f>
        <v>VALID</v>
      </c>
    </row>
    <row r="2993" spans="1:14" x14ac:dyDescent="0.35">
      <c r="A2993" t="s">
        <v>245</v>
      </c>
      <c r="B2993" s="5" t="str">
        <f>_xlfn.XLOOKUP(role_course_map[[#This Row],[role_id]], role_data[role_id], role_data[Role],"")</f>
        <v>Risk Management Administrator</v>
      </c>
      <c r="C2993">
        <v>999061</v>
      </c>
      <c r="D2993" s="5" t="str">
        <f>_xlfn.XLOOKUP(role_course_map[[#This Row],[course_id]],course_data[course_id],course_data[title],"")</f>
        <v>Skin Awareness</v>
      </c>
      <c r="E2993" s="5" t="str">
        <f>_xlfn.XLOOKUP(role_course_map[[#This Row],[course_id]],course_data[course_id],course_data[topic],"")</f>
        <v>SAS : Health and Safety</v>
      </c>
      <c r="F2993" s="5" t="str">
        <f>_xlfn.XLOOKUP(role_course_map[[#This Row],[course_id]],course_data[course_id],course_data[type],"")</f>
        <v>eLearning</v>
      </c>
      <c r="K2993" t="str">
        <f>role_course_map[[#This Row],[role_id]] &amp; "|" &amp; role_course_map[[#This Row],[course_id]]</f>
        <v>R0116|999061</v>
      </c>
      <c r="L2993" t="str">
        <f>IF(COUNTIF(role_course_map[mapping_key],role_course_map[[#This Row],[mapping_key]])&gt;1,"DUPLICATE","OK")</f>
        <v>OK</v>
      </c>
      <c r="M2993" t="str">
        <f>IF(COUNTIF(role_data[role_id],role_course_map[[#This Row],[role_id]])=0, "INVALID","VALID")</f>
        <v>VALID</v>
      </c>
      <c r="N2993" t="str">
        <f>IF(COUNTIF(course_data[course_id],role_course_map[[#This Row],[course_id]])=0, "INVALID","VALID")</f>
        <v>VALID</v>
      </c>
    </row>
    <row r="2994" spans="1:14" x14ac:dyDescent="0.35">
      <c r="A2994" t="s">
        <v>245</v>
      </c>
      <c r="B2994" s="5" t="str">
        <f>_xlfn.XLOOKUP(role_course_map[[#This Row],[role_id]], role_data[role_id], role_data[Role],"")</f>
        <v>Risk Management Administrator</v>
      </c>
      <c r="C2994">
        <v>999094</v>
      </c>
      <c r="D2994" s="5" t="str">
        <f>_xlfn.XLOOKUP(role_course_map[[#This Row],[course_id]],course_data[course_id],course_data[title],"")</f>
        <v>Being well, Mind, Body &amp; Workplace</v>
      </c>
      <c r="E2994" s="5" t="str">
        <f>_xlfn.XLOOKUP(role_course_map[[#This Row],[course_id]],course_data[course_id],course_data[topic],"")</f>
        <v>SAS: Staff development and experience</v>
      </c>
      <c r="F2994" s="5" t="str">
        <f>_xlfn.XLOOKUP(role_course_map[[#This Row],[course_id]],course_data[course_id],course_data[type],"")</f>
        <v>eLearning</v>
      </c>
      <c r="K2994" t="str">
        <f>role_course_map[[#This Row],[role_id]] &amp; "|" &amp; role_course_map[[#This Row],[course_id]]</f>
        <v>R0116|999094</v>
      </c>
      <c r="L2994" t="str">
        <f>IF(COUNTIF(role_course_map[mapping_key],role_course_map[[#This Row],[mapping_key]])&gt;1,"DUPLICATE","OK")</f>
        <v>OK</v>
      </c>
      <c r="M2994" t="str">
        <f>IF(COUNTIF(role_data[role_id],role_course_map[[#This Row],[role_id]])=0, "INVALID","VALID")</f>
        <v>VALID</v>
      </c>
      <c r="N2994" t="str">
        <f>IF(COUNTIF(course_data[course_id],role_course_map[[#This Row],[course_id]])=0, "INVALID","VALID")</f>
        <v>VALID</v>
      </c>
    </row>
    <row r="2995" spans="1:14" x14ac:dyDescent="0.35">
      <c r="A2995" t="s">
        <v>245</v>
      </c>
      <c r="B2995" s="5" t="str">
        <f>_xlfn.XLOOKUP(role_course_map[[#This Row],[role_id]], role_data[role_id], role_data[Role],"")</f>
        <v>Risk Management Administrator</v>
      </c>
      <c r="D2995" s="5" t="s">
        <v>1062</v>
      </c>
      <c r="E2995" s="5" t="str">
        <f>_xlfn.XLOOKUP(role_course_map[[#This Row],[course_id]],course_data[course_id],course_data[topic],"")</f>
        <v/>
      </c>
      <c r="F2995" s="5" t="str">
        <f>_xlfn.XLOOKUP(role_course_map[[#This Row],[course_id]],course_data[course_id],course_data[type],"")</f>
        <v/>
      </c>
      <c r="K2995" t="str">
        <f>role_course_map[[#This Row],[role_id]] &amp; "|" &amp; role_course_map[[#This Row],[course_id]]</f>
        <v>R0116|</v>
      </c>
      <c r="L2995" t="str">
        <f>IF(COUNTIF(role_course_map[mapping_key],role_course_map[[#This Row],[mapping_key]])&gt;1,"DUPLICATE","OK")</f>
        <v>OK</v>
      </c>
      <c r="M2995" t="str">
        <f>IF(COUNTIF(role_data[role_id],role_course_map[[#This Row],[role_id]])=0, "INVALID","VALID")</f>
        <v>VALID</v>
      </c>
      <c r="N2995" t="str">
        <f>IF(COUNTIF(course_data[course_id],role_course_map[[#This Row],[course_id]])=0, "INVALID","VALID")</f>
        <v>INVALID</v>
      </c>
    </row>
    <row r="2996" spans="1:14" x14ac:dyDescent="0.35">
      <c r="A2996" t="s">
        <v>245</v>
      </c>
      <c r="B2996" s="5" t="str">
        <f>_xlfn.XLOOKUP(role_course_map[[#This Row],[role_id]], role_data[role_id], role_data[Role],"")</f>
        <v>Risk Management Administrator</v>
      </c>
      <c r="C2996">
        <v>999067</v>
      </c>
      <c r="D2996" s="5" t="str">
        <f>_xlfn.XLOOKUP(role_course_map[[#This Row],[course_id]],course_data[course_id],course_data[title],"")</f>
        <v>Major incident awareness - Course overview</v>
      </c>
      <c r="E2996" s="5" t="str">
        <f>_xlfn.XLOOKUP(role_course_map[[#This Row],[course_id]],course_data[course_id],course_data[topic],"")</f>
        <v>SAS : National Risk and Resilience Department (NRRD)</v>
      </c>
      <c r="F2996" s="5" t="str">
        <f>_xlfn.XLOOKUP(role_course_map[[#This Row],[course_id]],course_data[course_id],course_data[type],"")</f>
        <v>eLearning</v>
      </c>
      <c r="K2996" t="str">
        <f>role_course_map[[#This Row],[role_id]] &amp; "|" &amp; role_course_map[[#This Row],[course_id]]</f>
        <v>R0116|999067</v>
      </c>
      <c r="L2996" t="str">
        <f>IF(COUNTIF(role_course_map[mapping_key],role_course_map[[#This Row],[mapping_key]])&gt;1,"DUPLICATE","OK")</f>
        <v>OK</v>
      </c>
      <c r="M2996" t="str">
        <f>IF(COUNTIF(role_data[role_id],role_course_map[[#This Row],[role_id]])=0, "INVALID","VALID")</f>
        <v>VALID</v>
      </c>
      <c r="N2996" t="str">
        <f>IF(COUNTIF(course_data[course_id],role_course_map[[#This Row],[course_id]])=0, "INVALID","VALID")</f>
        <v>VALID</v>
      </c>
    </row>
    <row r="2997" spans="1:14" x14ac:dyDescent="0.35">
      <c r="A2997" t="s">
        <v>245</v>
      </c>
      <c r="B2997" s="5" t="str">
        <f>_xlfn.XLOOKUP(role_course_map[[#This Row],[role_id]], role_data[role_id], role_data[Role],"")</f>
        <v>Risk Management Administrator</v>
      </c>
      <c r="C2997">
        <v>999070</v>
      </c>
      <c r="D2997" s="5" t="str">
        <f>_xlfn.XLOOKUP(role_course_map[[#This Row],[course_id]],course_data[course_id],course_data[title],"")</f>
        <v xml:space="preserve">SAS: JESIP (NEW) </v>
      </c>
      <c r="E2997" s="5" t="str">
        <f>_xlfn.XLOOKUP(role_course_map[[#This Row],[course_id]],course_data[course_id],course_data[topic],"")</f>
        <v>SAS : National Risk and Resilience Department (NRRD)</v>
      </c>
      <c r="F2997" s="5" t="str">
        <f>_xlfn.XLOOKUP(role_course_map[[#This Row],[course_id]],course_data[course_id],course_data[type],"")</f>
        <v>eLearning</v>
      </c>
      <c r="K2997" t="str">
        <f>role_course_map[[#This Row],[role_id]] &amp; "|" &amp; role_course_map[[#This Row],[course_id]]</f>
        <v>R0116|999070</v>
      </c>
      <c r="L2997" t="str">
        <f>IF(COUNTIF(role_course_map[mapping_key],role_course_map[[#This Row],[mapping_key]])&gt;1,"DUPLICATE","OK")</f>
        <v>OK</v>
      </c>
      <c r="M2997" t="str">
        <f>IF(COUNTIF(role_data[role_id],role_course_map[[#This Row],[role_id]])=0, "INVALID","VALID")</f>
        <v>VALID</v>
      </c>
      <c r="N2997" t="str">
        <f>IF(COUNTIF(course_data[course_id],role_course_map[[#This Row],[course_id]])=0, "INVALID","VALID")</f>
        <v>VALID</v>
      </c>
    </row>
    <row r="2998" spans="1:14" x14ac:dyDescent="0.35">
      <c r="A2998" t="s">
        <v>236</v>
      </c>
      <c r="B2998" s="5" t="str">
        <f>_xlfn.XLOOKUP(role_course_map[[#This Row],[role_id]], role_data[role_id], role_data[Role],"")</f>
        <v>Operational Support Manager</v>
      </c>
      <c r="C2998">
        <v>79218</v>
      </c>
      <c r="D2998" s="5" t="str">
        <f>_xlfn.XLOOKUP(role_course_map[[#This Row],[course_id]],course_data[course_id],course_data[title],"")</f>
        <v>Life support</v>
      </c>
      <c r="E2998" s="5" t="str">
        <f>_xlfn.XLOOKUP(role_course_map[[#This Row],[course_id]],course_data[course_id],course_data[topic],"")</f>
        <v>SAS : Clinical Practice</v>
      </c>
      <c r="F2998" s="5" t="str">
        <f>_xlfn.XLOOKUP(role_course_map[[#This Row],[course_id]],course_data[course_id],course_data[type],"")</f>
        <v>Page</v>
      </c>
      <c r="K2998" t="str">
        <f>role_course_map[[#This Row],[role_id]] &amp; "|" &amp; role_course_map[[#This Row],[course_id]]</f>
        <v>R0111|79218</v>
      </c>
      <c r="L2998" t="str">
        <f>IF(COUNTIF(role_course_map[mapping_key],role_course_map[[#This Row],[mapping_key]])&gt;1,"DUPLICATE","OK")</f>
        <v>OK</v>
      </c>
      <c r="M2998" t="str">
        <f>IF(COUNTIF(role_data[role_id],role_course_map[[#This Row],[role_id]])=0, "INVALID","VALID")</f>
        <v>VALID</v>
      </c>
      <c r="N2998" t="str">
        <f>IF(COUNTIF(course_data[course_id],role_course_map[[#This Row],[course_id]])=0, "INVALID","VALID")</f>
        <v>VALID</v>
      </c>
    </row>
    <row r="2999" spans="1:14" x14ac:dyDescent="0.35">
      <c r="A2999" t="s">
        <v>236</v>
      </c>
      <c r="B2999" s="5" t="str">
        <f>_xlfn.XLOOKUP(role_course_map[[#This Row],[role_id]], role_data[role_id], role_data[Role],"")</f>
        <v>Operational Support Manager</v>
      </c>
      <c r="C2999">
        <v>999009</v>
      </c>
      <c r="D2999" s="5" t="str">
        <f>_xlfn.XLOOKUP(role_course_map[[#This Row],[course_id]],course_data[course_id],course_data[title],"")</f>
        <v>Life Support</v>
      </c>
      <c r="E2999" s="5" t="str">
        <f>_xlfn.XLOOKUP(role_course_map[[#This Row],[course_id]],course_data[course_id],course_data[topic],"")</f>
        <v>SAS : Clinical Practice</v>
      </c>
      <c r="F2999" s="5" t="str">
        <f>_xlfn.XLOOKUP(role_course_map[[#This Row],[course_id]],course_data[course_id],course_data[type],"")</f>
        <v>Course</v>
      </c>
      <c r="K2999" t="str">
        <f>role_course_map[[#This Row],[role_id]] &amp; "|" &amp; role_course_map[[#This Row],[course_id]]</f>
        <v>R0111|999009</v>
      </c>
      <c r="L2999" t="str">
        <f>IF(COUNTIF(role_course_map[mapping_key],role_course_map[[#This Row],[mapping_key]])&gt;1,"DUPLICATE","OK")</f>
        <v>OK</v>
      </c>
      <c r="M2999" t="str">
        <f>IF(COUNTIF(role_data[role_id],role_course_map[[#This Row],[role_id]])=0, "INVALID","VALID")</f>
        <v>VALID</v>
      </c>
      <c r="N2999" t="str">
        <f>IF(COUNTIF(course_data[course_id],role_course_map[[#This Row],[course_id]])=0, "INVALID","VALID")</f>
        <v>VALID</v>
      </c>
    </row>
    <row r="3000" spans="1:14" x14ac:dyDescent="0.35">
      <c r="A3000" t="s">
        <v>236</v>
      </c>
      <c r="B3000" s="5" t="str">
        <f>_xlfn.XLOOKUP(role_course_map[[#This Row],[role_id]], role_data[role_id], role_data[Role],"")</f>
        <v>Operational Support Manager</v>
      </c>
      <c r="C3000">
        <v>999007</v>
      </c>
      <c r="D3000" s="5" t="str">
        <f>_xlfn.XLOOKUP(role_course_map[[#This Row],[course_id]],course_data[course_id],course_data[title],"")</f>
        <v>Obstetrics</v>
      </c>
      <c r="E3000" s="5" t="str">
        <f>_xlfn.XLOOKUP(role_course_map[[#This Row],[course_id]],course_data[course_id],course_data[topic],"")</f>
        <v>SAS : Clinical Practice</v>
      </c>
      <c r="F3000" s="5" t="str">
        <f>_xlfn.XLOOKUP(role_course_map[[#This Row],[course_id]],course_data[course_id],course_data[type],"")</f>
        <v>Course</v>
      </c>
      <c r="K3000" t="str">
        <f>role_course_map[[#This Row],[role_id]] &amp; "|" &amp; role_course_map[[#This Row],[course_id]]</f>
        <v>R0111|999007</v>
      </c>
      <c r="L3000" t="str">
        <f>IF(COUNTIF(role_course_map[mapping_key],role_course_map[[#This Row],[mapping_key]])&gt;1,"DUPLICATE","OK")</f>
        <v>OK</v>
      </c>
      <c r="M3000" t="str">
        <f>IF(COUNTIF(role_data[role_id],role_course_map[[#This Row],[role_id]])=0, "INVALID","VALID")</f>
        <v>VALID</v>
      </c>
      <c r="N3000" t="str">
        <f>IF(COUNTIF(course_data[course_id],role_course_map[[#This Row],[course_id]])=0, "INVALID","VALID")</f>
        <v>VALID</v>
      </c>
    </row>
    <row r="3001" spans="1:14" x14ac:dyDescent="0.35">
      <c r="A3001" t="s">
        <v>236</v>
      </c>
      <c r="B3001" s="5" t="str">
        <f>_xlfn.XLOOKUP(role_course_map[[#This Row],[role_id]], role_data[role_id], role_data[Role],"")</f>
        <v>Operational Support Manager</v>
      </c>
      <c r="C3001">
        <v>999008</v>
      </c>
      <c r="D3001" s="5" t="str">
        <f>_xlfn.XLOOKUP(role_course_map[[#This Row],[course_id]],course_data[course_id],course_data[title],"")</f>
        <v>Obstetrics</v>
      </c>
      <c r="E3001" s="5" t="str">
        <f>_xlfn.XLOOKUP(role_course_map[[#This Row],[course_id]],course_data[course_id],course_data[topic],"")</f>
        <v>SAS : Clinical Practice</v>
      </c>
      <c r="F3001" s="5" t="str">
        <f>_xlfn.XLOOKUP(role_course_map[[#This Row],[course_id]],course_data[course_id],course_data[type],"")</f>
        <v>eLearning</v>
      </c>
      <c r="K3001" t="str">
        <f>role_course_map[[#This Row],[role_id]] &amp; "|" &amp; role_course_map[[#This Row],[course_id]]</f>
        <v>R0111|999008</v>
      </c>
      <c r="L3001" t="str">
        <f>IF(COUNTIF(role_course_map[mapping_key],role_course_map[[#This Row],[mapping_key]])&gt;1,"DUPLICATE","OK")</f>
        <v>OK</v>
      </c>
      <c r="M3001" t="str">
        <f>IF(COUNTIF(role_data[role_id],role_course_map[[#This Row],[role_id]])=0, "INVALID","VALID")</f>
        <v>VALID</v>
      </c>
      <c r="N3001" t="str">
        <f>IF(COUNTIF(course_data[course_id],role_course_map[[#This Row],[course_id]])=0, "INVALID","VALID")</f>
        <v>VALID</v>
      </c>
    </row>
    <row r="3002" spans="1:14" x14ac:dyDescent="0.35">
      <c r="A3002" t="s">
        <v>236</v>
      </c>
      <c r="B3002" s="5" t="str">
        <f>_xlfn.XLOOKUP(role_course_map[[#This Row],[role_id]], role_data[role_id], role_data[Role],"")</f>
        <v>Operational Support Manager</v>
      </c>
      <c r="C3002">
        <v>999010</v>
      </c>
      <c r="D3002" s="5" t="str">
        <f>_xlfn.XLOOKUP(role_course_map[[#This Row],[course_id]],course_data[course_id],course_data[title],"")</f>
        <v>Paediatrics</v>
      </c>
      <c r="E3002" s="5" t="str">
        <f>_xlfn.XLOOKUP(role_course_map[[#This Row],[course_id]],course_data[course_id],course_data[topic],"")</f>
        <v>SAS : Clinical Practice</v>
      </c>
      <c r="F3002" s="5" t="str">
        <f>_xlfn.XLOOKUP(role_course_map[[#This Row],[course_id]],course_data[course_id],course_data[type],"")</f>
        <v>Course</v>
      </c>
      <c r="K3002" t="str">
        <f>role_course_map[[#This Row],[role_id]] &amp; "|" &amp; role_course_map[[#This Row],[course_id]]</f>
        <v>R0111|999010</v>
      </c>
      <c r="L3002" t="str">
        <f>IF(COUNTIF(role_course_map[mapping_key],role_course_map[[#This Row],[mapping_key]])&gt;1,"DUPLICATE","OK")</f>
        <v>OK</v>
      </c>
      <c r="M3002" t="str">
        <f>IF(COUNTIF(role_data[role_id],role_course_map[[#This Row],[role_id]])=0, "INVALID","VALID")</f>
        <v>VALID</v>
      </c>
      <c r="N3002" t="str">
        <f>IF(COUNTIF(course_data[course_id],role_course_map[[#This Row],[course_id]])=0, "INVALID","VALID")</f>
        <v>VALID</v>
      </c>
    </row>
    <row r="3003" spans="1:14" x14ac:dyDescent="0.35">
      <c r="A3003" t="s">
        <v>236</v>
      </c>
      <c r="B3003" s="5" t="str">
        <f>_xlfn.XLOOKUP(role_course_map[[#This Row],[role_id]], role_data[role_id], role_data[Role],"")</f>
        <v>Operational Support Manager</v>
      </c>
      <c r="C3003">
        <v>999011</v>
      </c>
      <c r="D3003" s="5" t="str">
        <f>_xlfn.XLOOKUP(role_course_map[[#This Row],[course_id]],course_data[course_id],course_data[title],"")</f>
        <v>Paediatrics</v>
      </c>
      <c r="E3003" s="5" t="str">
        <f>_xlfn.XLOOKUP(role_course_map[[#This Row],[course_id]],course_data[course_id],course_data[topic],"")</f>
        <v>SAS : Clinical Practice</v>
      </c>
      <c r="F3003" s="5" t="str">
        <f>_xlfn.XLOOKUP(role_course_map[[#This Row],[course_id]],course_data[course_id],course_data[type],"")</f>
        <v>eLearning</v>
      </c>
      <c r="K3003" t="str">
        <f>role_course_map[[#This Row],[role_id]] &amp; "|" &amp; role_course_map[[#This Row],[course_id]]</f>
        <v>R0111|999011</v>
      </c>
      <c r="L3003" t="str">
        <f>IF(COUNTIF(role_course_map[mapping_key],role_course_map[[#This Row],[mapping_key]])&gt;1,"DUPLICATE","OK")</f>
        <v>OK</v>
      </c>
      <c r="M3003" t="str">
        <f>IF(COUNTIF(role_data[role_id],role_course_map[[#This Row],[role_id]])=0, "INVALID","VALID")</f>
        <v>VALID</v>
      </c>
      <c r="N3003" t="str">
        <f>IF(COUNTIF(course_data[course_id],role_course_map[[#This Row],[course_id]])=0, "INVALID","VALID")</f>
        <v>VALID</v>
      </c>
    </row>
    <row r="3004" spans="1:14" x14ac:dyDescent="0.35">
      <c r="A3004" t="s">
        <v>236</v>
      </c>
      <c r="B3004" s="5" t="str">
        <f>_xlfn.XLOOKUP(role_course_map[[#This Row],[role_id]], role_data[role_id], role_data[Role],"")</f>
        <v>Operational Support Manager</v>
      </c>
      <c r="C3004">
        <v>999012</v>
      </c>
      <c r="D3004" s="5" t="str">
        <f>_xlfn.XLOOKUP(role_course_map[[#This Row],[course_id]],course_data[course_id],course_data[title],"")</f>
        <v>Trauma</v>
      </c>
      <c r="E3004" s="5" t="str">
        <f>_xlfn.XLOOKUP(role_course_map[[#This Row],[course_id]],course_data[course_id],course_data[topic],"")</f>
        <v>SAS : Clinical Practice</v>
      </c>
      <c r="F3004" s="5" t="str">
        <f>_xlfn.XLOOKUP(role_course_map[[#This Row],[course_id]],course_data[course_id],course_data[type],"")</f>
        <v>Course</v>
      </c>
      <c r="K3004" t="str">
        <f>role_course_map[[#This Row],[role_id]] &amp; "|" &amp; role_course_map[[#This Row],[course_id]]</f>
        <v>R0111|999012</v>
      </c>
      <c r="L3004" t="str">
        <f>IF(COUNTIF(role_course_map[mapping_key],role_course_map[[#This Row],[mapping_key]])&gt;1,"DUPLICATE","OK")</f>
        <v>OK</v>
      </c>
      <c r="M3004" t="str">
        <f>IF(COUNTIF(role_data[role_id],role_course_map[[#This Row],[role_id]])=0, "INVALID","VALID")</f>
        <v>VALID</v>
      </c>
      <c r="N3004" t="str">
        <f>IF(COUNTIF(course_data[course_id],role_course_map[[#This Row],[course_id]])=0, "INVALID","VALID")</f>
        <v>VALID</v>
      </c>
    </row>
    <row r="3005" spans="1:14" x14ac:dyDescent="0.35">
      <c r="A3005" t="s">
        <v>236</v>
      </c>
      <c r="B3005" s="5" t="str">
        <f>_xlfn.XLOOKUP(role_course_map[[#This Row],[role_id]], role_data[role_id], role_data[Role],"")</f>
        <v>Operational Support Manager</v>
      </c>
      <c r="C3005">
        <v>999013</v>
      </c>
      <c r="D3005" s="5" t="str">
        <f>_xlfn.XLOOKUP(role_course_map[[#This Row],[course_id]],course_data[course_id],course_data[title],"")</f>
        <v>Trauma</v>
      </c>
      <c r="E3005" s="5" t="str">
        <f>_xlfn.XLOOKUP(role_course_map[[#This Row],[course_id]],course_data[course_id],course_data[topic],"")</f>
        <v>SAS : Clinical Practice</v>
      </c>
      <c r="F3005" s="5" t="str">
        <f>_xlfn.XLOOKUP(role_course_map[[#This Row],[course_id]],course_data[course_id],course_data[type],"")</f>
        <v>eLearning</v>
      </c>
      <c r="K3005" t="str">
        <f>role_course_map[[#This Row],[role_id]] &amp; "|" &amp; role_course_map[[#This Row],[course_id]]</f>
        <v>R0111|999013</v>
      </c>
      <c r="L3005" t="str">
        <f>IF(COUNTIF(role_course_map[mapping_key],role_course_map[[#This Row],[mapping_key]])&gt;1,"DUPLICATE","OK")</f>
        <v>OK</v>
      </c>
      <c r="M3005" t="str">
        <f>IF(COUNTIF(role_data[role_id],role_course_map[[#This Row],[role_id]])=0, "INVALID","VALID")</f>
        <v>VALID</v>
      </c>
      <c r="N3005" t="str">
        <f>IF(COUNTIF(course_data[course_id],role_course_map[[#This Row],[course_id]])=0, "INVALID","VALID")</f>
        <v>VALID</v>
      </c>
    </row>
    <row r="3006" spans="1:14" x14ac:dyDescent="0.35">
      <c r="A3006" t="s">
        <v>236</v>
      </c>
      <c r="B3006" s="5" t="str">
        <f>_xlfn.XLOOKUP(role_course_map[[#This Row],[role_id]], role_data[role_id], role_data[Role],"")</f>
        <v>Operational Support Manager</v>
      </c>
      <c r="C3006">
        <v>999014</v>
      </c>
      <c r="D3006" s="5" t="str">
        <f>_xlfn.XLOOKUP(role_course_map[[#This Row],[course_id]],course_data[course_id],course_data[title],"")</f>
        <v>Patient Assessment</v>
      </c>
      <c r="E3006" s="5" t="str">
        <f>_xlfn.XLOOKUP(role_course_map[[#This Row],[course_id]],course_data[course_id],course_data[topic],"")</f>
        <v>SAS : Clinical Practice</v>
      </c>
      <c r="F3006" s="5" t="str">
        <f>_xlfn.XLOOKUP(role_course_map[[#This Row],[course_id]],course_data[course_id],course_data[type],"")</f>
        <v>Course</v>
      </c>
      <c r="K3006" t="str">
        <f>role_course_map[[#This Row],[role_id]] &amp; "|" &amp; role_course_map[[#This Row],[course_id]]</f>
        <v>R0111|999014</v>
      </c>
      <c r="L3006" t="str">
        <f>IF(COUNTIF(role_course_map[mapping_key],role_course_map[[#This Row],[mapping_key]])&gt;1,"DUPLICATE","OK")</f>
        <v>OK</v>
      </c>
      <c r="M3006" t="str">
        <f>IF(COUNTIF(role_data[role_id],role_course_map[[#This Row],[role_id]])=0, "INVALID","VALID")</f>
        <v>VALID</v>
      </c>
      <c r="N3006" t="str">
        <f>IF(COUNTIF(course_data[course_id],role_course_map[[#This Row],[course_id]])=0, "INVALID","VALID")</f>
        <v>VALID</v>
      </c>
    </row>
    <row r="3007" spans="1:14" x14ac:dyDescent="0.35">
      <c r="A3007" t="s">
        <v>236</v>
      </c>
      <c r="B3007" s="5" t="str">
        <f>_xlfn.XLOOKUP(role_course_map[[#This Row],[role_id]], role_data[role_id], role_data[Role],"")</f>
        <v>Operational Support Manager</v>
      </c>
      <c r="C3007">
        <v>999015</v>
      </c>
      <c r="D3007" s="5" t="str">
        <f>_xlfn.XLOOKUP(role_course_map[[#This Row],[course_id]],course_data[course_id],course_data[title],"")</f>
        <v>Patient Assessment</v>
      </c>
      <c r="E3007" s="5" t="str">
        <f>_xlfn.XLOOKUP(role_course_map[[#This Row],[course_id]],course_data[course_id],course_data[topic],"")</f>
        <v>SAS : Clinical Practice</v>
      </c>
      <c r="F3007" s="5" t="str">
        <f>_xlfn.XLOOKUP(role_course_map[[#This Row],[course_id]],course_data[course_id],course_data[type],"")</f>
        <v>eLearning</v>
      </c>
      <c r="K3007" t="str">
        <f>role_course_map[[#This Row],[role_id]] &amp; "|" &amp; role_course_map[[#This Row],[course_id]]</f>
        <v>R0111|999015</v>
      </c>
      <c r="L3007" t="str">
        <f>IF(COUNTIF(role_course_map[mapping_key],role_course_map[[#This Row],[mapping_key]])&gt;1,"DUPLICATE","OK")</f>
        <v>OK</v>
      </c>
      <c r="M3007" t="str">
        <f>IF(COUNTIF(role_data[role_id],role_course_map[[#This Row],[role_id]])=0, "INVALID","VALID")</f>
        <v>VALID</v>
      </c>
      <c r="N3007" t="str">
        <f>IF(COUNTIF(course_data[course_id],role_course_map[[#This Row],[course_id]])=0, "INVALID","VALID")</f>
        <v>VALID</v>
      </c>
    </row>
    <row r="3008" spans="1:14" x14ac:dyDescent="0.35">
      <c r="A3008" t="s">
        <v>236</v>
      </c>
      <c r="B3008" s="5" t="str">
        <f>_xlfn.XLOOKUP(role_course_map[[#This Row],[role_id]], role_data[role_id], role_data[Role],"")</f>
        <v>Operational Support Manager</v>
      </c>
      <c r="C3008">
        <v>999016</v>
      </c>
      <c r="D3008" s="5" t="str">
        <f>_xlfn.XLOOKUP(role_course_map[[#This Row],[course_id]],course_data[course_id],course_data[title],"")</f>
        <v>Clinical Skills</v>
      </c>
      <c r="E3008" s="5" t="str">
        <f>_xlfn.XLOOKUP(role_course_map[[#This Row],[course_id]],course_data[course_id],course_data[topic],"")</f>
        <v>SAS : Clinical Practice</v>
      </c>
      <c r="F3008" s="5" t="str">
        <f>_xlfn.XLOOKUP(role_course_map[[#This Row],[course_id]],course_data[course_id],course_data[type],"")</f>
        <v>Course</v>
      </c>
      <c r="K3008" t="str">
        <f>role_course_map[[#This Row],[role_id]] &amp; "|" &amp; role_course_map[[#This Row],[course_id]]</f>
        <v>R0111|999016</v>
      </c>
      <c r="L3008" t="str">
        <f>IF(COUNTIF(role_course_map[mapping_key],role_course_map[[#This Row],[mapping_key]])&gt;1,"DUPLICATE","OK")</f>
        <v>OK</v>
      </c>
      <c r="M3008" t="str">
        <f>IF(COUNTIF(role_data[role_id],role_course_map[[#This Row],[role_id]])=0, "INVALID","VALID")</f>
        <v>VALID</v>
      </c>
      <c r="N3008" t="str">
        <f>IF(COUNTIF(course_data[course_id],role_course_map[[#This Row],[course_id]])=0, "INVALID","VALID")</f>
        <v>VALID</v>
      </c>
    </row>
    <row r="3009" spans="1:14" x14ac:dyDescent="0.35">
      <c r="A3009" t="s">
        <v>236</v>
      </c>
      <c r="B3009" s="5" t="str">
        <f>_xlfn.XLOOKUP(role_course_map[[#This Row],[role_id]], role_data[role_id], role_data[Role],"")</f>
        <v>Operational Support Manager</v>
      </c>
      <c r="C3009">
        <v>999017</v>
      </c>
      <c r="D3009" s="5" t="str">
        <f>_xlfn.XLOOKUP(role_course_map[[#This Row],[course_id]],course_data[course_id],course_data[title],"")</f>
        <v>Clinical Skills</v>
      </c>
      <c r="E3009" s="5" t="str">
        <f>_xlfn.XLOOKUP(role_course_map[[#This Row],[course_id]],course_data[course_id],course_data[topic],"")</f>
        <v>SAS : Clinical Practice</v>
      </c>
      <c r="F3009" s="5" t="str">
        <f>_xlfn.XLOOKUP(role_course_map[[#This Row],[course_id]],course_data[course_id],course_data[type],"")</f>
        <v>eLearning</v>
      </c>
      <c r="K3009" t="str">
        <f>role_course_map[[#This Row],[role_id]] &amp; "|" &amp; role_course_map[[#This Row],[course_id]]</f>
        <v>R0111|999017</v>
      </c>
      <c r="L3009" t="str">
        <f>IF(COUNTIF(role_course_map[mapping_key],role_course_map[[#This Row],[mapping_key]])&gt;1,"DUPLICATE","OK")</f>
        <v>OK</v>
      </c>
      <c r="M3009" t="str">
        <f>IF(COUNTIF(role_data[role_id],role_course_map[[#This Row],[role_id]])=0, "INVALID","VALID")</f>
        <v>VALID</v>
      </c>
      <c r="N3009" t="str">
        <f>IF(COUNTIF(course_data[course_id],role_course_map[[#This Row],[course_id]])=0, "INVALID","VALID")</f>
        <v>VALID</v>
      </c>
    </row>
    <row r="3010" spans="1:14" x14ac:dyDescent="0.35">
      <c r="A3010" t="s">
        <v>236</v>
      </c>
      <c r="B3010" s="5" t="str">
        <f>_xlfn.XLOOKUP(role_course_map[[#This Row],[role_id]], role_data[role_id], role_data[Role],"")</f>
        <v>Operational Support Manager</v>
      </c>
      <c r="C3010">
        <v>999018</v>
      </c>
      <c r="D3010" s="5" t="str">
        <f>_xlfn.XLOOKUP(role_course_map[[#This Row],[course_id]],course_data[course_id],course_data[title],"")</f>
        <v>Learning from Events</v>
      </c>
      <c r="E3010" s="5" t="str">
        <f>_xlfn.XLOOKUP(role_course_map[[#This Row],[course_id]],course_data[course_id],course_data[topic],"")</f>
        <v>SAS : Clinical Practice</v>
      </c>
      <c r="F3010" s="5" t="str">
        <f>_xlfn.XLOOKUP(role_course_map[[#This Row],[course_id]],course_data[course_id],course_data[type],"")</f>
        <v>eLearning</v>
      </c>
      <c r="K3010" t="str">
        <f>role_course_map[[#This Row],[role_id]] &amp; "|" &amp; role_course_map[[#This Row],[course_id]]</f>
        <v>R0111|999018</v>
      </c>
      <c r="L3010" t="str">
        <f>IF(COUNTIF(role_course_map[mapping_key],role_course_map[[#This Row],[mapping_key]])&gt;1,"DUPLICATE","OK")</f>
        <v>OK</v>
      </c>
      <c r="M3010" t="str">
        <f>IF(COUNTIF(role_data[role_id],role_course_map[[#This Row],[role_id]])=0, "INVALID","VALID")</f>
        <v>VALID</v>
      </c>
      <c r="N3010" t="str">
        <f>IF(COUNTIF(course_data[course_id],role_course_map[[#This Row],[course_id]])=0, "INVALID","VALID")</f>
        <v>VALID</v>
      </c>
    </row>
    <row r="3011" spans="1:14" x14ac:dyDescent="0.35">
      <c r="A3011" t="s">
        <v>236</v>
      </c>
      <c r="B3011" s="5" t="str">
        <f>_xlfn.XLOOKUP(role_course_map[[#This Row],[role_id]], role_data[role_id], role_data[Role],"")</f>
        <v>Operational Support Manager</v>
      </c>
      <c r="C3011">
        <v>999019</v>
      </c>
      <c r="D3011" s="5" t="str">
        <f>_xlfn.XLOOKUP(role_course_map[[#This Row],[course_id]],course_data[course_id],course_data[title],"")</f>
        <v>Medicines Management</v>
      </c>
      <c r="E3011" s="5" t="str">
        <f>_xlfn.XLOOKUP(role_course_map[[#This Row],[course_id]],course_data[course_id],course_data[topic],"")</f>
        <v>SAS : Clinical Practice</v>
      </c>
      <c r="F3011" s="5" t="str">
        <f>_xlfn.XLOOKUP(role_course_map[[#This Row],[course_id]],course_data[course_id],course_data[type],"")</f>
        <v>eLearning</v>
      </c>
      <c r="K3011" t="str">
        <f>role_course_map[[#This Row],[role_id]] &amp; "|" &amp; role_course_map[[#This Row],[course_id]]</f>
        <v>R0111|999019</v>
      </c>
      <c r="L3011" t="str">
        <f>IF(COUNTIF(role_course_map[mapping_key],role_course_map[[#This Row],[mapping_key]])&gt;1,"DUPLICATE","OK")</f>
        <v>OK</v>
      </c>
      <c r="M3011" t="str">
        <f>IF(COUNTIF(role_data[role_id],role_course_map[[#This Row],[role_id]])=0, "INVALID","VALID")</f>
        <v>VALID</v>
      </c>
      <c r="N3011" t="str">
        <f>IF(COUNTIF(course_data[course_id],role_course_map[[#This Row],[course_id]])=0, "INVALID","VALID")</f>
        <v>VALID</v>
      </c>
    </row>
    <row r="3012" spans="1:14" x14ac:dyDescent="0.35">
      <c r="A3012" t="s">
        <v>236</v>
      </c>
      <c r="B3012" s="5" t="str">
        <f>_xlfn.XLOOKUP(role_course_map[[#This Row],[role_id]], role_data[role_id], role_data[Role],"")</f>
        <v>Operational Support Manager</v>
      </c>
      <c r="C3012">
        <v>999020</v>
      </c>
      <c r="D3012" s="5" t="str">
        <f>_xlfn.XLOOKUP(role_course_map[[#This Row],[course_id]],course_data[course_id],course_data[title],"")</f>
        <v>JRCALC Update</v>
      </c>
      <c r="E3012" s="5" t="str">
        <f>_xlfn.XLOOKUP(role_course_map[[#This Row],[course_id]],course_data[course_id],course_data[topic],"")</f>
        <v>SAS : Clinical Practice</v>
      </c>
      <c r="F3012" s="5" t="str">
        <f>_xlfn.XLOOKUP(role_course_map[[#This Row],[course_id]],course_data[course_id],course_data[type],"")</f>
        <v>eLearning</v>
      </c>
      <c r="K3012" t="str">
        <f>role_course_map[[#This Row],[role_id]] &amp; "|" &amp; role_course_map[[#This Row],[course_id]]</f>
        <v>R0111|999020</v>
      </c>
      <c r="L3012" t="str">
        <f>IF(COUNTIF(role_course_map[mapping_key],role_course_map[[#This Row],[mapping_key]])&gt;1,"DUPLICATE","OK")</f>
        <v>OK</v>
      </c>
      <c r="M3012" t="str">
        <f>IF(COUNTIF(role_data[role_id],role_course_map[[#This Row],[role_id]])=0, "INVALID","VALID")</f>
        <v>VALID</v>
      </c>
      <c r="N3012" t="str">
        <f>IF(COUNTIF(course_data[course_id],role_course_map[[#This Row],[course_id]])=0, "INVALID","VALID")</f>
        <v>VALID</v>
      </c>
    </row>
    <row r="3013" spans="1:14" x14ac:dyDescent="0.35">
      <c r="A3013" t="s">
        <v>236</v>
      </c>
      <c r="B3013" s="5" t="str">
        <f>_xlfn.XLOOKUP(role_course_map[[#This Row],[role_id]], role_data[role_id], role_data[Role],"")</f>
        <v>Operational Support Manager</v>
      </c>
      <c r="C3013">
        <v>999021</v>
      </c>
      <c r="D3013" s="5" t="str">
        <f>_xlfn.XLOOKUP(role_course_map[[#This Row],[course_id]],course_data[course_id],course_data[title],"")</f>
        <v>Mental Health</v>
      </c>
      <c r="E3013" s="5" t="str">
        <f>_xlfn.XLOOKUP(role_course_map[[#This Row],[course_id]],course_data[course_id],course_data[topic],"")</f>
        <v>SAS : Clinical Practice</v>
      </c>
      <c r="F3013" s="5" t="str">
        <f>_xlfn.XLOOKUP(role_course_map[[#This Row],[course_id]],course_data[course_id],course_data[type],"")</f>
        <v>eLearning</v>
      </c>
      <c r="K3013" t="str">
        <f>role_course_map[[#This Row],[role_id]] &amp; "|" &amp; role_course_map[[#This Row],[course_id]]</f>
        <v>R0111|999021</v>
      </c>
      <c r="L3013" t="str">
        <f>IF(COUNTIF(role_course_map[mapping_key],role_course_map[[#This Row],[mapping_key]])&gt;1,"DUPLICATE","OK")</f>
        <v>OK</v>
      </c>
      <c r="M3013" t="str">
        <f>IF(COUNTIF(role_data[role_id],role_course_map[[#This Row],[role_id]])=0, "INVALID","VALID")</f>
        <v>VALID</v>
      </c>
      <c r="N3013" t="str">
        <f>IF(COUNTIF(course_data[course_id],role_course_map[[#This Row],[course_id]])=0, "INVALID","VALID")</f>
        <v>VALID</v>
      </c>
    </row>
    <row r="3014" spans="1:14" x14ac:dyDescent="0.35">
      <c r="A3014" t="s">
        <v>236</v>
      </c>
      <c r="B3014" s="5" t="str">
        <f>_xlfn.XLOOKUP(role_course_map[[#This Row],[role_id]], role_data[role_id], role_data[Role],"")</f>
        <v>Operational Support Manager</v>
      </c>
      <c r="C3014">
        <v>999022</v>
      </c>
      <c r="D3014" s="5" t="str">
        <f>_xlfn.XLOOKUP(role_course_map[[#This Row],[course_id]],course_data[course_id],course_data[title],"")</f>
        <v>Learning Disabilities</v>
      </c>
      <c r="E3014" s="5" t="str">
        <f>_xlfn.XLOOKUP(role_course_map[[#This Row],[course_id]],course_data[course_id],course_data[topic],"")</f>
        <v>SAS : Clinical Practice</v>
      </c>
      <c r="F3014" s="5" t="str">
        <f>_xlfn.XLOOKUP(role_course_map[[#This Row],[course_id]],course_data[course_id],course_data[type],"")</f>
        <v>eLearning</v>
      </c>
      <c r="K3014" t="str">
        <f>role_course_map[[#This Row],[role_id]] &amp; "|" &amp; role_course_map[[#This Row],[course_id]]</f>
        <v>R0111|999022</v>
      </c>
      <c r="L3014" t="str">
        <f>IF(COUNTIF(role_course_map[mapping_key],role_course_map[[#This Row],[mapping_key]])&gt;1,"DUPLICATE","OK")</f>
        <v>OK</v>
      </c>
      <c r="M3014" t="str">
        <f>IF(COUNTIF(role_data[role_id],role_course_map[[#This Row],[role_id]])=0, "INVALID","VALID")</f>
        <v>VALID</v>
      </c>
      <c r="N3014" t="str">
        <f>IF(COUNTIF(course_data[course_id],role_course_map[[#This Row],[course_id]])=0, "INVALID","VALID")</f>
        <v>VALID</v>
      </c>
    </row>
    <row r="3015" spans="1:14" x14ac:dyDescent="0.35">
      <c r="A3015" t="s">
        <v>236</v>
      </c>
      <c r="B3015" s="5" t="str">
        <f>_xlfn.XLOOKUP(role_course_map[[#This Row],[role_id]], role_data[role_id], role_data[Role],"")</f>
        <v>Operational Support Manager</v>
      </c>
      <c r="C3015">
        <v>75202</v>
      </c>
      <c r="D3015" s="5" t="str">
        <f>_xlfn.XLOOKUP(role_course_map[[#This Row],[course_id]],course_data[course_id],course_data[title],"")</f>
        <v>SAS : Clinical Practice</v>
      </c>
      <c r="E3015" s="5" t="str">
        <f>_xlfn.XLOOKUP(role_course_map[[#This Row],[course_id]],course_data[course_id],course_data[topic],"")</f>
        <v>SAS : Clinical Practice</v>
      </c>
      <c r="F3015" s="5" t="str">
        <f>_xlfn.XLOOKUP(role_course_map[[#This Row],[course_id]],course_data[course_id],course_data[type],"")</f>
        <v>Page</v>
      </c>
      <c r="K3015" t="str">
        <f>role_course_map[[#This Row],[role_id]] &amp; "|" &amp; role_course_map[[#This Row],[course_id]]</f>
        <v>R0111|75202</v>
      </c>
      <c r="L3015" t="str">
        <f>IF(COUNTIF(role_course_map[mapping_key],role_course_map[[#This Row],[mapping_key]])&gt;1,"DUPLICATE","OK")</f>
        <v>OK</v>
      </c>
      <c r="M3015" t="str">
        <f>IF(COUNTIF(role_data[role_id],role_course_map[[#This Row],[role_id]])=0, "INVALID","VALID")</f>
        <v>VALID</v>
      </c>
      <c r="N3015" t="str">
        <f>IF(COUNTIF(course_data[course_id],role_course_map[[#This Row],[course_id]])=0, "INVALID","VALID")</f>
        <v>VALID</v>
      </c>
    </row>
    <row r="3016" spans="1:14" x14ac:dyDescent="0.35">
      <c r="A3016" t="s">
        <v>236</v>
      </c>
      <c r="B3016" s="5" t="str">
        <f>_xlfn.XLOOKUP(role_course_map[[#This Row],[role_id]], role_data[role_id], role_data[Role],"")</f>
        <v>Operational Support Manager</v>
      </c>
      <c r="C3016">
        <v>999023</v>
      </c>
      <c r="D3016" s="5" t="str">
        <f>_xlfn.XLOOKUP(role_course_map[[#This Row],[course_id]],course_data[course_id],course_data[title],"")</f>
        <v>Dementia</v>
      </c>
      <c r="E3016" s="5" t="str">
        <f>_xlfn.XLOOKUP(role_course_map[[#This Row],[course_id]],course_data[course_id],course_data[topic],"")</f>
        <v>SAS : Clinical Practice</v>
      </c>
      <c r="F3016" s="5" t="str">
        <f>_xlfn.XLOOKUP(role_course_map[[#This Row],[course_id]],course_data[course_id],course_data[type],"")</f>
        <v>eLearning</v>
      </c>
      <c r="K3016" t="str">
        <f>role_course_map[[#This Row],[role_id]] &amp; "|" &amp; role_course_map[[#This Row],[course_id]]</f>
        <v>R0111|999023</v>
      </c>
      <c r="L3016" t="str">
        <f>IF(COUNTIF(role_course_map[mapping_key],role_course_map[[#This Row],[mapping_key]])&gt;1,"DUPLICATE","OK")</f>
        <v>OK</v>
      </c>
      <c r="M3016" t="str">
        <f>IF(COUNTIF(role_data[role_id],role_course_map[[#This Row],[role_id]])=0, "INVALID","VALID")</f>
        <v>VALID</v>
      </c>
      <c r="N3016" t="str">
        <f>IF(COUNTIF(course_data[course_id],role_course_map[[#This Row],[course_id]])=0, "INVALID","VALID")</f>
        <v>VALID</v>
      </c>
    </row>
    <row r="3017" spans="1:14" x14ac:dyDescent="0.35">
      <c r="A3017" t="s">
        <v>236</v>
      </c>
      <c r="B3017" s="5" t="str">
        <f>_xlfn.XLOOKUP(role_course_map[[#This Row],[role_id]], role_data[role_id], role_data[Role],"")</f>
        <v>Operational Support Manager</v>
      </c>
      <c r="C3017">
        <v>999024</v>
      </c>
      <c r="D3017" s="5" t="str">
        <f>_xlfn.XLOOKUP(role_course_map[[#This Row],[course_id]],course_data[course_id],course_data[title],"")</f>
        <v>Conditions requiring specific hospital management. I.e. Parkinsons</v>
      </c>
      <c r="E3017" s="5" t="str">
        <f>_xlfn.XLOOKUP(role_course_map[[#This Row],[course_id]],course_data[course_id],course_data[topic],"")</f>
        <v>SAS : Clinical Practice</v>
      </c>
      <c r="F3017" s="5" t="str">
        <f>_xlfn.XLOOKUP(role_course_map[[#This Row],[course_id]],course_data[course_id],course_data[type],"")</f>
        <v>eLearning</v>
      </c>
      <c r="K3017" t="str">
        <f>role_course_map[[#This Row],[role_id]] &amp; "|" &amp; role_course_map[[#This Row],[course_id]]</f>
        <v>R0111|999024</v>
      </c>
      <c r="L3017" t="str">
        <f>IF(COUNTIF(role_course_map[mapping_key],role_course_map[[#This Row],[mapping_key]])&gt;1,"DUPLICATE","OK")</f>
        <v>OK</v>
      </c>
      <c r="M3017" t="str">
        <f>IF(COUNTIF(role_data[role_id],role_course_map[[#This Row],[role_id]])=0, "INVALID","VALID")</f>
        <v>VALID</v>
      </c>
      <c r="N3017" t="str">
        <f>IF(COUNTIF(course_data[course_id],role_course_map[[#This Row],[course_id]])=0, "INVALID","VALID")</f>
        <v>VALID</v>
      </c>
    </row>
    <row r="3018" spans="1:14" x14ac:dyDescent="0.35">
      <c r="A3018" t="s">
        <v>236</v>
      </c>
      <c r="B3018" s="5" t="str">
        <f>_xlfn.XLOOKUP(role_course_map[[#This Row],[role_id]], role_data[role_id], role_data[Role],"")</f>
        <v>Operational Support Manager</v>
      </c>
      <c r="C3018">
        <v>999095</v>
      </c>
      <c r="D3018" s="5" t="str">
        <f>_xlfn.XLOOKUP(role_course_map[[#This Row],[course_id]],course_data[course_id],course_data[title],"")</f>
        <v>Mentoring</v>
      </c>
      <c r="E3018" s="5" t="str">
        <f>_xlfn.XLOOKUP(role_course_map[[#This Row],[course_id]],course_data[course_id],course_data[topic],"")</f>
        <v>SAS: Staff development and experience</v>
      </c>
      <c r="F3018" s="5" t="str">
        <f>_xlfn.XLOOKUP(role_course_map[[#This Row],[course_id]],course_data[course_id],course_data[type],"")</f>
        <v>eLearning</v>
      </c>
      <c r="K3018" t="str">
        <f>role_course_map[[#This Row],[role_id]] &amp; "|" &amp; role_course_map[[#This Row],[course_id]]</f>
        <v>R0111|999095</v>
      </c>
      <c r="L3018" t="str">
        <f>IF(COUNTIF(role_course_map[mapping_key],role_course_map[[#This Row],[mapping_key]])&gt;1,"DUPLICATE","OK")</f>
        <v>OK</v>
      </c>
      <c r="M3018" t="str">
        <f>IF(COUNTIF(role_data[role_id],role_course_map[[#This Row],[role_id]])=0, "INVALID","VALID")</f>
        <v>VALID</v>
      </c>
      <c r="N3018" t="str">
        <f>IF(COUNTIF(course_data[course_id],role_course_map[[#This Row],[course_id]])=0, "INVALID","VALID")</f>
        <v>VALID</v>
      </c>
    </row>
    <row r="3019" spans="1:14" x14ac:dyDescent="0.35">
      <c r="A3019" t="s">
        <v>236</v>
      </c>
      <c r="B3019" s="5" t="str">
        <f>_xlfn.XLOOKUP(role_course_map[[#This Row],[role_id]], role_data[role_id], role_data[Role],"")</f>
        <v>Operational Support Manager</v>
      </c>
      <c r="C3019">
        <v>999096</v>
      </c>
      <c r="D3019" s="5" t="str">
        <f>_xlfn.XLOOKUP(role_course_map[[#This Row],[course_id]],course_data[course_id],course_data[title],"")</f>
        <v>Supporting others in practice (Supervision)</v>
      </c>
      <c r="E3019" s="5" t="str">
        <f>_xlfn.XLOOKUP(role_course_map[[#This Row],[course_id]],course_data[course_id],course_data[topic],"")</f>
        <v>SAS: Staff development and experience</v>
      </c>
      <c r="F3019" s="5" t="str">
        <f>_xlfn.XLOOKUP(role_course_map[[#This Row],[course_id]],course_data[course_id],course_data[type],"")</f>
        <v>Course</v>
      </c>
      <c r="K3019" t="str">
        <f>role_course_map[[#This Row],[role_id]] &amp; "|" &amp; role_course_map[[#This Row],[course_id]]</f>
        <v>R0111|999096</v>
      </c>
      <c r="L3019" t="str">
        <f>IF(COUNTIF(role_course_map[mapping_key],role_course_map[[#This Row],[mapping_key]])&gt;1,"DUPLICATE","OK")</f>
        <v>OK</v>
      </c>
      <c r="M3019" t="str">
        <f>IF(COUNTIF(role_data[role_id],role_course_map[[#This Row],[role_id]])=0, "INVALID","VALID")</f>
        <v>VALID</v>
      </c>
      <c r="N3019" t="str">
        <f>IF(COUNTIF(course_data[course_id],role_course_map[[#This Row],[course_id]])=0, "INVALID","VALID")</f>
        <v>VALID</v>
      </c>
    </row>
    <row r="3020" spans="1:14" x14ac:dyDescent="0.35">
      <c r="A3020" t="s">
        <v>236</v>
      </c>
      <c r="B3020" s="5" t="str">
        <f>_xlfn.XLOOKUP(role_course_map[[#This Row],[role_id]], role_data[role_id], role_data[Role],"")</f>
        <v>Operational Support Manager</v>
      </c>
      <c r="C3020">
        <v>999097</v>
      </c>
      <c r="D3020" s="5" t="str">
        <f>_xlfn.XLOOKUP(role_course_map[[#This Row],[course_id]],course_data[course_id],course_data[title],"")</f>
        <v>Personal Wellbeing</v>
      </c>
      <c r="E3020" s="5" t="str">
        <f>_xlfn.XLOOKUP(role_course_map[[#This Row],[course_id]],course_data[course_id],course_data[topic],"")</f>
        <v>SAS: Staff development and experience</v>
      </c>
      <c r="F3020" s="5" t="str">
        <f>_xlfn.XLOOKUP(role_course_map[[#This Row],[course_id]],course_data[course_id],course_data[type],"")</f>
        <v>eLearning</v>
      </c>
      <c r="K3020" t="str">
        <f>role_course_map[[#This Row],[role_id]] &amp; "|" &amp; role_course_map[[#This Row],[course_id]]</f>
        <v>R0111|999097</v>
      </c>
      <c r="L3020" t="str">
        <f>IF(COUNTIF(role_course_map[mapping_key],role_course_map[[#This Row],[mapping_key]])&gt;1,"DUPLICATE","OK")</f>
        <v>OK</v>
      </c>
      <c r="M3020" t="str">
        <f>IF(COUNTIF(role_data[role_id],role_course_map[[#This Row],[role_id]])=0, "INVALID","VALID")</f>
        <v>VALID</v>
      </c>
      <c r="N3020" t="str">
        <f>IF(COUNTIF(course_data[course_id],role_course_map[[#This Row],[course_id]])=0, "INVALID","VALID")</f>
        <v>VALID</v>
      </c>
    </row>
    <row r="3021" spans="1:14" x14ac:dyDescent="0.35">
      <c r="A3021" t="s">
        <v>236</v>
      </c>
      <c r="B3021" s="5" t="str">
        <f>_xlfn.XLOOKUP(role_course_map[[#This Row],[role_id]], role_data[role_id], role_data[Role],"")</f>
        <v>Operational Support Manager</v>
      </c>
      <c r="C3021">
        <v>79147</v>
      </c>
      <c r="D3021" s="5" t="str">
        <f>_xlfn.XLOOKUP(role_course_map[[#This Row],[course_id]],course_data[course_id],course_data[title],"")</f>
        <v>Driving risks at work</v>
      </c>
      <c r="E3021" s="5" t="str">
        <f>_xlfn.XLOOKUP(role_course_map[[#This Row],[course_id]],course_data[course_id],course_data[topic],"")</f>
        <v>SAS : Health and Safety</v>
      </c>
      <c r="F3021" s="5" t="str">
        <f>_xlfn.XLOOKUP(role_course_map[[#This Row],[course_id]],course_data[course_id],course_data[type],"")</f>
        <v>eLearning</v>
      </c>
      <c r="K3021" t="str">
        <f>role_course_map[[#This Row],[role_id]] &amp; "|" &amp; role_course_map[[#This Row],[course_id]]</f>
        <v>R0111|79147</v>
      </c>
      <c r="L3021" t="str">
        <f>IF(COUNTIF(role_course_map[mapping_key],role_course_map[[#This Row],[mapping_key]])&gt;1,"DUPLICATE","OK")</f>
        <v>OK</v>
      </c>
      <c r="M3021" t="str">
        <f>IF(COUNTIF(role_data[role_id],role_course_map[[#This Row],[role_id]])=0, "INVALID","VALID")</f>
        <v>VALID</v>
      </c>
      <c r="N3021" t="str">
        <f>IF(COUNTIF(course_data[course_id],role_course_map[[#This Row],[course_id]])=0, "INVALID","VALID")</f>
        <v>VALID</v>
      </c>
    </row>
    <row r="3022" spans="1:14" x14ac:dyDescent="0.35">
      <c r="A3022" t="s">
        <v>236</v>
      </c>
      <c r="B3022" s="5" t="str">
        <f>_xlfn.XLOOKUP(role_course_map[[#This Row],[role_id]], role_data[role_id], role_data[Role],"")</f>
        <v>Operational Support Manager</v>
      </c>
      <c r="C3022">
        <v>999060</v>
      </c>
      <c r="D3022" s="5" t="str">
        <f>_xlfn.XLOOKUP(role_course_map[[#This Row],[course_id]],course_data[course_id],course_data[title],"")</f>
        <v>COSHH</v>
      </c>
      <c r="E3022" s="5" t="str">
        <f>_xlfn.XLOOKUP(role_course_map[[#This Row],[course_id]],course_data[course_id],course_data[topic],"")</f>
        <v>SAS : Health and Safety</v>
      </c>
      <c r="F3022" s="5" t="str">
        <f>_xlfn.XLOOKUP(role_course_map[[#This Row],[course_id]],course_data[course_id],course_data[type],"")</f>
        <v>eLearning</v>
      </c>
      <c r="K3022" t="str">
        <f>role_course_map[[#This Row],[role_id]] &amp; "|" &amp; role_course_map[[#This Row],[course_id]]</f>
        <v>R0111|999060</v>
      </c>
      <c r="L3022" t="str">
        <f>IF(COUNTIF(role_course_map[mapping_key],role_course_map[[#This Row],[mapping_key]])&gt;1,"DUPLICATE","OK")</f>
        <v>OK</v>
      </c>
      <c r="M3022" t="str">
        <f>IF(COUNTIF(role_data[role_id],role_course_map[[#This Row],[role_id]])=0, "INVALID","VALID")</f>
        <v>VALID</v>
      </c>
      <c r="N3022" t="str">
        <f>IF(COUNTIF(course_data[course_id],role_course_map[[#This Row],[course_id]])=0, "INVALID","VALID")</f>
        <v>VALID</v>
      </c>
    </row>
    <row r="3023" spans="1:14" x14ac:dyDescent="0.35">
      <c r="A3023" t="s">
        <v>236</v>
      </c>
      <c r="B3023" s="5" t="str">
        <f>_xlfn.XLOOKUP(role_course_map[[#This Row],[role_id]], role_data[role_id], role_data[Role],"")</f>
        <v>Operational Support Manager</v>
      </c>
      <c r="C3023">
        <v>999066</v>
      </c>
      <c r="D3023" s="5" t="str">
        <f>_xlfn.XLOOKUP(role_course_map[[#This Row],[course_id]],course_data[course_id],course_data[title],"")</f>
        <v>NRRD Update i.e. Major Incidents/Methane/ Multiple Casualities</v>
      </c>
      <c r="E3023" s="5" t="str">
        <f>_xlfn.XLOOKUP(role_course_map[[#This Row],[course_id]],course_data[course_id],course_data[topic],"")</f>
        <v>SAS : National Risk and Resilience Department (NRRD)</v>
      </c>
      <c r="F3023" s="5" t="str">
        <f>_xlfn.XLOOKUP(role_course_map[[#This Row],[course_id]],course_data[course_id],course_data[type],"")</f>
        <v>eLearning</v>
      </c>
      <c r="K3023" t="str">
        <f>role_course_map[[#This Row],[role_id]] &amp; "|" &amp; role_course_map[[#This Row],[course_id]]</f>
        <v>R0111|999066</v>
      </c>
      <c r="L3023" t="str">
        <f>IF(COUNTIF(role_course_map[mapping_key],role_course_map[[#This Row],[mapping_key]])&gt;1,"DUPLICATE","OK")</f>
        <v>OK</v>
      </c>
      <c r="M3023" t="str">
        <f>IF(COUNTIF(role_data[role_id],role_course_map[[#This Row],[role_id]])=0, "INVALID","VALID")</f>
        <v>VALID</v>
      </c>
      <c r="N3023" t="str">
        <f>IF(COUNTIF(course_data[course_id],role_course_map[[#This Row],[course_id]])=0, "INVALID","VALID")</f>
        <v>VALID</v>
      </c>
    </row>
    <row r="3024" spans="1:14" x14ac:dyDescent="0.35">
      <c r="A3024" t="s">
        <v>236</v>
      </c>
      <c r="B3024" s="5" t="str">
        <f>_xlfn.XLOOKUP(role_course_map[[#This Row],[role_id]], role_data[role_id], role_data[Role],"")</f>
        <v>Operational Support Manager</v>
      </c>
      <c r="C3024">
        <v>999025</v>
      </c>
      <c r="D3024" s="5" t="str">
        <f>_xlfn.XLOOKUP(role_course_map[[#This Row],[course_id]],course_data[course_id],course_data[title],"")</f>
        <v>Professional Standards</v>
      </c>
      <c r="E3024" s="5" t="str">
        <f>_xlfn.XLOOKUP(role_course_map[[#This Row],[course_id]],course_data[course_id],course_data[topic],"")</f>
        <v>SAS : Clinical Practice</v>
      </c>
      <c r="F3024" s="5" t="str">
        <f>_xlfn.XLOOKUP(role_course_map[[#This Row],[course_id]],course_data[course_id],course_data[type],"")</f>
        <v>eLearning</v>
      </c>
      <c r="K3024" t="str">
        <f>role_course_map[[#This Row],[role_id]] &amp; "|" &amp; role_course_map[[#This Row],[course_id]]</f>
        <v>R0111|999025</v>
      </c>
      <c r="L3024" t="str">
        <f>IF(COUNTIF(role_course_map[mapping_key],role_course_map[[#This Row],[mapping_key]])&gt;1,"DUPLICATE","OK")</f>
        <v>OK</v>
      </c>
      <c r="M3024" t="str">
        <f>IF(COUNTIF(role_data[role_id],role_course_map[[#This Row],[role_id]])=0, "INVALID","VALID")</f>
        <v>VALID</v>
      </c>
      <c r="N3024" t="str">
        <f>IF(COUNTIF(course_data[course_id],role_course_map[[#This Row],[course_id]])=0, "INVALID","VALID")</f>
        <v>VALID</v>
      </c>
    </row>
    <row r="3025" spans="1:14" x14ac:dyDescent="0.35">
      <c r="A3025" t="s">
        <v>236</v>
      </c>
      <c r="B3025" s="5" t="str">
        <f>_xlfn.XLOOKUP(role_course_map[[#This Row],[role_id]], role_data[role_id], role_data[Role],"")</f>
        <v>Operational Support Manager</v>
      </c>
      <c r="C3025">
        <v>999026</v>
      </c>
      <c r="D3025" s="5" t="str">
        <f>_xlfn.XLOOKUP(role_course_map[[#This Row],[course_id]],course_data[course_id],course_data[title],"")</f>
        <v>Communication Standards</v>
      </c>
      <c r="E3025" s="5" t="str">
        <f>_xlfn.XLOOKUP(role_course_map[[#This Row],[course_id]],course_data[course_id],course_data[topic],"")</f>
        <v>SAS : Clinical Practice</v>
      </c>
      <c r="F3025" s="5" t="str">
        <f>_xlfn.XLOOKUP(role_course_map[[#This Row],[course_id]],course_data[course_id],course_data[type],"")</f>
        <v>eLearning</v>
      </c>
      <c r="K3025" t="str">
        <f>role_course_map[[#This Row],[role_id]] &amp; "|" &amp; role_course_map[[#This Row],[course_id]]</f>
        <v>R0111|999026</v>
      </c>
      <c r="L3025" t="str">
        <f>IF(COUNTIF(role_course_map[mapping_key],role_course_map[[#This Row],[mapping_key]])&gt;1,"DUPLICATE","OK")</f>
        <v>OK</v>
      </c>
      <c r="M3025" t="str">
        <f>IF(COUNTIF(role_data[role_id],role_course_map[[#This Row],[role_id]])=0, "INVALID","VALID")</f>
        <v>VALID</v>
      </c>
      <c r="N3025" t="str">
        <f>IF(COUNTIF(course_data[course_id],role_course_map[[#This Row],[course_id]])=0, "INVALID","VALID")</f>
        <v>VALID</v>
      </c>
    </row>
    <row r="3026" spans="1:14" x14ac:dyDescent="0.35">
      <c r="A3026" t="s">
        <v>236</v>
      </c>
      <c r="B3026" s="5" t="str">
        <f>_xlfn.XLOOKUP(role_course_map[[#This Row],[role_id]], role_data[role_id], role_data[Role],"")</f>
        <v>Operational Support Manager</v>
      </c>
      <c r="C3026">
        <v>999056</v>
      </c>
      <c r="D3026" s="5" t="str">
        <f>_xlfn.XLOOKUP(role_course_map[[#This Row],[course_id]],course_data[course_id],course_data[title],"")</f>
        <v>Driver Assessment &amp; Training</v>
      </c>
      <c r="E3026" s="5" t="str">
        <f>_xlfn.XLOOKUP(role_course_map[[#This Row],[course_id]],course_data[course_id],course_data[topic],"")</f>
        <v>SAS : Health and Safety</v>
      </c>
      <c r="F3026" s="5" t="str">
        <f>_xlfn.XLOOKUP(role_course_map[[#This Row],[course_id]],course_data[course_id],course_data[type],"")</f>
        <v>eLearning</v>
      </c>
      <c r="K3026" t="str">
        <f>role_course_map[[#This Row],[role_id]] &amp; "|" &amp; role_course_map[[#This Row],[course_id]]</f>
        <v>R0111|999056</v>
      </c>
      <c r="L3026" t="str">
        <f>IF(COUNTIF(role_course_map[mapping_key],role_course_map[[#This Row],[mapping_key]])&gt;1,"DUPLICATE","OK")</f>
        <v>OK</v>
      </c>
      <c r="M3026" t="str">
        <f>IF(COUNTIF(role_data[role_id],role_course_map[[#This Row],[role_id]])=0, "INVALID","VALID")</f>
        <v>VALID</v>
      </c>
      <c r="N3026" t="str">
        <f>IF(COUNTIF(course_data[course_id],role_course_map[[#This Row],[course_id]])=0, "INVALID","VALID")</f>
        <v>VALID</v>
      </c>
    </row>
    <row r="3027" spans="1:14" x14ac:dyDescent="0.35">
      <c r="A3027" t="s">
        <v>236</v>
      </c>
      <c r="B3027" s="5" t="str">
        <f>_xlfn.XLOOKUP(role_course_map[[#This Row],[role_id]], role_data[role_id], role_data[Role],"")</f>
        <v>Operational Support Manager</v>
      </c>
      <c r="C3027">
        <v>999057</v>
      </c>
      <c r="D3027" s="5" t="str">
        <f>_xlfn.XLOOKUP(role_course_map[[#This Row],[course_id]],course_data[course_id],course_data[title],"")</f>
        <v>Fatigue Awareness</v>
      </c>
      <c r="E3027" s="5" t="str">
        <f>_xlfn.XLOOKUP(role_course_map[[#This Row],[course_id]],course_data[course_id],course_data[topic],"")</f>
        <v>SAS : Health and Safety</v>
      </c>
      <c r="F3027" s="5" t="str">
        <f>_xlfn.XLOOKUP(role_course_map[[#This Row],[course_id]],course_data[course_id],course_data[type],"")</f>
        <v>eLearning</v>
      </c>
      <c r="K3027" t="str">
        <f>role_course_map[[#This Row],[role_id]] &amp; "|" &amp; role_course_map[[#This Row],[course_id]]</f>
        <v>R0111|999057</v>
      </c>
      <c r="L3027" t="str">
        <f>IF(COUNTIF(role_course_map[mapping_key],role_course_map[[#This Row],[mapping_key]])&gt;1,"DUPLICATE","OK")</f>
        <v>OK</v>
      </c>
      <c r="M3027" t="str">
        <f>IF(COUNTIF(role_data[role_id],role_course_map[[#This Row],[role_id]])=0, "INVALID","VALID")</f>
        <v>VALID</v>
      </c>
      <c r="N3027" t="str">
        <f>IF(COUNTIF(course_data[course_id],role_course_map[[#This Row],[course_id]])=0, "INVALID","VALID")</f>
        <v>VALID</v>
      </c>
    </row>
    <row r="3028" spans="1:14" x14ac:dyDescent="0.35">
      <c r="A3028" t="s">
        <v>236</v>
      </c>
      <c r="B3028" s="5" t="str">
        <f>_xlfn.XLOOKUP(role_course_map[[#This Row],[role_id]], role_data[role_id], role_data[Role],"")</f>
        <v>Operational Support Manager</v>
      </c>
      <c r="C3028">
        <v>999058</v>
      </c>
      <c r="D3028" s="5" t="str">
        <f>_xlfn.XLOOKUP(role_course_map[[#This Row],[course_id]],course_data[course_id],course_data[title],"")</f>
        <v>Stress Identification &amp; Stress Management</v>
      </c>
      <c r="E3028" s="5" t="str">
        <f>_xlfn.XLOOKUP(role_course_map[[#This Row],[course_id]],course_data[course_id],course_data[topic],"")</f>
        <v>SAS : Health and Safety</v>
      </c>
      <c r="F3028" s="5" t="str">
        <f>_xlfn.XLOOKUP(role_course_map[[#This Row],[course_id]],course_data[course_id],course_data[type],"")</f>
        <v>eLearning</v>
      </c>
      <c r="K3028" t="str">
        <f>role_course_map[[#This Row],[role_id]] &amp; "|" &amp; role_course_map[[#This Row],[course_id]]</f>
        <v>R0111|999058</v>
      </c>
      <c r="L3028" t="str">
        <f>IF(COUNTIF(role_course_map[mapping_key],role_course_map[[#This Row],[mapping_key]])&gt;1,"DUPLICATE","OK")</f>
        <v>OK</v>
      </c>
      <c r="M3028" t="str">
        <f>IF(COUNTIF(role_data[role_id],role_course_map[[#This Row],[role_id]])=0, "INVALID","VALID")</f>
        <v>VALID</v>
      </c>
      <c r="N3028" t="str">
        <f>IF(COUNTIF(course_data[course_id],role_course_map[[#This Row],[course_id]])=0, "INVALID","VALID")</f>
        <v>VALID</v>
      </c>
    </row>
    <row r="3029" spans="1:14" x14ac:dyDescent="0.35">
      <c r="A3029" t="s">
        <v>236</v>
      </c>
      <c r="B3029" s="5" t="str">
        <f>_xlfn.XLOOKUP(role_course_map[[#This Row],[role_id]], role_data[role_id], role_data[Role],"")</f>
        <v>Operational Support Manager</v>
      </c>
      <c r="C3029">
        <v>999061</v>
      </c>
      <c r="D3029" s="5" t="str">
        <f>_xlfn.XLOOKUP(role_course_map[[#This Row],[course_id]],course_data[course_id],course_data[title],"")</f>
        <v>Skin Awareness</v>
      </c>
      <c r="E3029" s="5" t="str">
        <f>_xlfn.XLOOKUP(role_course_map[[#This Row],[course_id]],course_data[course_id],course_data[topic],"")</f>
        <v>SAS : Health and Safety</v>
      </c>
      <c r="F3029" s="5" t="str">
        <f>_xlfn.XLOOKUP(role_course_map[[#This Row],[course_id]],course_data[course_id],course_data[type],"")</f>
        <v>eLearning</v>
      </c>
      <c r="K3029" t="str">
        <f>role_course_map[[#This Row],[role_id]] &amp; "|" &amp; role_course_map[[#This Row],[course_id]]</f>
        <v>R0111|999061</v>
      </c>
      <c r="L3029" t="str">
        <f>IF(COUNTIF(role_course_map[mapping_key],role_course_map[[#This Row],[mapping_key]])&gt;1,"DUPLICATE","OK")</f>
        <v>OK</v>
      </c>
      <c r="M3029" t="str">
        <f>IF(COUNTIF(role_data[role_id],role_course_map[[#This Row],[role_id]])=0, "INVALID","VALID")</f>
        <v>VALID</v>
      </c>
      <c r="N3029" t="str">
        <f>IF(COUNTIF(course_data[course_id],role_course_map[[#This Row],[course_id]])=0, "INVALID","VALID")</f>
        <v>VALID</v>
      </c>
    </row>
    <row r="3030" spans="1:14" x14ac:dyDescent="0.35">
      <c r="A3030" t="s">
        <v>236</v>
      </c>
      <c r="B3030" s="5" t="str">
        <f>_xlfn.XLOOKUP(role_course_map[[#This Row],[role_id]], role_data[role_id], role_data[Role],"")</f>
        <v>Operational Support Manager</v>
      </c>
      <c r="C3030">
        <v>999027</v>
      </c>
      <c r="D3030" s="5" t="str">
        <f>_xlfn.XLOOKUP(role_course_map[[#This Row],[course_id]],course_data[course_id],course_data[title],"")</f>
        <v>Manual and Patient Handling Foundation Training - Level 2</v>
      </c>
      <c r="E3030" s="5" t="str">
        <f>_xlfn.XLOOKUP(role_course_map[[#This Row],[course_id]],course_data[course_id],course_data[topic],"")</f>
        <v>SAS : Clinical Practice</v>
      </c>
      <c r="F3030" s="5" t="str">
        <f>_xlfn.XLOOKUP(role_course_map[[#This Row],[course_id]],course_data[course_id],course_data[type],"")</f>
        <v>Course</v>
      </c>
      <c r="K3030" t="str">
        <f>role_course_map[[#This Row],[role_id]] &amp; "|" &amp; role_course_map[[#This Row],[course_id]]</f>
        <v>R0111|999027</v>
      </c>
      <c r="L3030" t="str">
        <f>IF(COUNTIF(role_course_map[mapping_key],role_course_map[[#This Row],[mapping_key]])&gt;1,"DUPLICATE","OK")</f>
        <v>OK</v>
      </c>
      <c r="M3030" t="str">
        <f>IF(COUNTIF(role_data[role_id],role_course_map[[#This Row],[role_id]])=0, "INVALID","VALID")</f>
        <v>VALID</v>
      </c>
      <c r="N3030" t="str">
        <f>IF(COUNTIF(course_data[course_id],role_course_map[[#This Row],[course_id]])=0, "INVALID","VALID")</f>
        <v>VALID</v>
      </c>
    </row>
    <row r="3031" spans="1:14" x14ac:dyDescent="0.35">
      <c r="A3031" t="s">
        <v>236</v>
      </c>
      <c r="B3031" s="5" t="str">
        <f>_xlfn.XLOOKUP(role_course_map[[#This Row],[role_id]], role_data[role_id], role_data[Role],"")</f>
        <v>Operational Support Manager</v>
      </c>
      <c r="C3031">
        <v>999028</v>
      </c>
      <c r="D3031" s="5" t="str">
        <f>_xlfn.XLOOKUP(role_course_map[[#This Row],[course_id]],course_data[course_id],course_data[title],"")</f>
        <v>Manual and Patient Handling Competency Assessment - Level 3</v>
      </c>
      <c r="E3031" s="5" t="str">
        <f>_xlfn.XLOOKUP(role_course_map[[#This Row],[course_id]],course_data[course_id],course_data[topic],"")</f>
        <v>SAS : Clinical Practice</v>
      </c>
      <c r="F3031" s="5" t="str">
        <f>_xlfn.XLOOKUP(role_course_map[[#This Row],[course_id]],course_data[course_id],course_data[type],"")</f>
        <v>Course</v>
      </c>
      <c r="K3031" t="str">
        <f>role_course_map[[#This Row],[role_id]] &amp; "|" &amp; role_course_map[[#This Row],[course_id]]</f>
        <v>R0111|999028</v>
      </c>
      <c r="L3031" t="str">
        <f>IF(COUNTIF(role_course_map[mapping_key],role_course_map[[#This Row],[mapping_key]])&gt;1,"DUPLICATE","OK")</f>
        <v>OK</v>
      </c>
      <c r="M3031" t="str">
        <f>IF(COUNTIF(role_data[role_id],role_course_map[[#This Row],[role_id]])=0, "INVALID","VALID")</f>
        <v>VALID</v>
      </c>
      <c r="N3031" t="str">
        <f>IF(COUNTIF(course_data[course_id],role_course_map[[#This Row],[course_id]])=0, "INVALID","VALID")</f>
        <v>VALID</v>
      </c>
    </row>
    <row r="3032" spans="1:14" x14ac:dyDescent="0.35">
      <c r="A3032" t="s">
        <v>236</v>
      </c>
      <c r="B3032" s="5" t="str">
        <f>_xlfn.XLOOKUP(role_course_map[[#This Row],[role_id]], role_data[role_id], role_data[Role],"")</f>
        <v>Operational Support Manager</v>
      </c>
      <c r="C3032">
        <v>999029</v>
      </c>
      <c r="D3032" s="5" t="str">
        <f>_xlfn.XLOOKUP(role_course_map[[#This Row],[course_id]],course_data[course_id],course_data[title],"")</f>
        <v>Manual and Patient Handling Competency Assessment Theory - Level 3</v>
      </c>
      <c r="E3032" s="5" t="str">
        <f>_xlfn.XLOOKUP(role_course_map[[#This Row],[course_id]],course_data[course_id],course_data[topic],"")</f>
        <v>SAS : Clinical Practice</v>
      </c>
      <c r="F3032" s="5" t="str">
        <f>_xlfn.XLOOKUP(role_course_map[[#This Row],[course_id]],course_data[course_id],course_data[type],"")</f>
        <v>Course</v>
      </c>
      <c r="K3032" t="str">
        <f>role_course_map[[#This Row],[role_id]] &amp; "|" &amp; role_course_map[[#This Row],[course_id]]</f>
        <v>R0111|999029</v>
      </c>
      <c r="L3032" t="str">
        <f>IF(COUNTIF(role_course_map[mapping_key],role_course_map[[#This Row],[mapping_key]])&gt;1,"DUPLICATE","OK")</f>
        <v>OK</v>
      </c>
      <c r="M3032" t="str">
        <f>IF(COUNTIF(role_data[role_id],role_course_map[[#This Row],[role_id]])=0, "INVALID","VALID")</f>
        <v>VALID</v>
      </c>
      <c r="N3032" t="str">
        <f>IF(COUNTIF(course_data[course_id],role_course_map[[#This Row],[course_id]])=0, "INVALID","VALID")</f>
        <v>VALID</v>
      </c>
    </row>
    <row r="3033" spans="1:14" x14ac:dyDescent="0.35">
      <c r="A3033" t="s">
        <v>236</v>
      </c>
      <c r="B3033" s="5" t="str">
        <f>_xlfn.XLOOKUP(role_course_map[[#This Row],[role_id]], role_data[role_id], role_data[Role],"")</f>
        <v>Operational Support Manager</v>
      </c>
      <c r="C3033" t="s">
        <v>659</v>
      </c>
      <c r="D3033" s="5" t="str">
        <f>_xlfn.XLOOKUP(role_course_map[[#This Row],[course_id]],course_data[course_id],course_data[title],"")</f>
        <v>Prevention and Management of Violence and Aggression - Breakaway training Level 2 /Restrictive movement Level 3</v>
      </c>
      <c r="E3033" s="5" t="str">
        <f>_xlfn.XLOOKUP(role_course_map[[#This Row],[course_id]],course_data[course_id],course_data[topic],"")</f>
        <v>SAS : Health and Safety</v>
      </c>
      <c r="F3033" s="5" t="str">
        <f>_xlfn.XLOOKUP(role_course_map[[#This Row],[course_id]],course_data[course_id],course_data[type],"")</f>
        <v>Course</v>
      </c>
      <c r="K3033" t="str">
        <f>role_course_map[[#This Row],[role_id]] &amp; "|" &amp; role_course_map[[#This Row],[course_id]]</f>
        <v>R0111|2025-6 edition</v>
      </c>
      <c r="L3033" t="str">
        <f>IF(COUNTIF(role_course_map[mapping_key],role_course_map[[#This Row],[mapping_key]])&gt;1,"DUPLICATE","OK")</f>
        <v>OK</v>
      </c>
      <c r="M3033" t="str">
        <f>IF(COUNTIF(role_data[role_id],role_course_map[[#This Row],[role_id]])=0, "INVALID","VALID")</f>
        <v>VALID</v>
      </c>
      <c r="N3033" t="str">
        <f>IF(COUNTIF(course_data[course_id],role_course_map[[#This Row],[course_id]])=0, "INVALID","VALID")</f>
        <v>VALID</v>
      </c>
    </row>
    <row r="3034" spans="1:14" x14ac:dyDescent="0.35">
      <c r="A3034" t="s">
        <v>236</v>
      </c>
      <c r="B3034" s="5" t="str">
        <f>_xlfn.XLOOKUP(role_course_map[[#This Row],[role_id]], role_data[role_id], role_data[Role],"")</f>
        <v>Operational Support Manager</v>
      </c>
      <c r="C3034">
        <v>999055</v>
      </c>
      <c r="D3034" s="5" t="str">
        <f>_xlfn.XLOOKUP(role_course_map[[#This Row],[course_id]],course_data[course_id],course_data[title],"")</f>
        <v>Prevention and Management of Violence and Aggression - Refresher</v>
      </c>
      <c r="E3034" s="5" t="str">
        <f>_xlfn.XLOOKUP(role_course_map[[#This Row],[course_id]],course_data[course_id],course_data[topic],"")</f>
        <v>SAS : Health and Safety</v>
      </c>
      <c r="F3034" s="5" t="str">
        <f>_xlfn.XLOOKUP(role_course_map[[#This Row],[course_id]],course_data[course_id],course_data[type],"")</f>
        <v>Course</v>
      </c>
      <c r="K3034" t="str">
        <f>role_course_map[[#This Row],[role_id]] &amp; "|" &amp; role_course_map[[#This Row],[course_id]]</f>
        <v>R0111|999055</v>
      </c>
      <c r="L3034" t="str">
        <f>IF(COUNTIF(role_course_map[mapping_key],role_course_map[[#This Row],[mapping_key]])&gt;1,"DUPLICATE","OK")</f>
        <v>OK</v>
      </c>
      <c r="M3034" t="str">
        <f>IF(COUNTIF(role_data[role_id],role_course_map[[#This Row],[role_id]])=0, "INVALID","VALID")</f>
        <v>VALID</v>
      </c>
      <c r="N3034" t="str">
        <f>IF(COUNTIF(course_data[course_id],role_course_map[[#This Row],[course_id]])=0, "INVALID","VALID")</f>
        <v>VALID</v>
      </c>
    </row>
    <row r="3035" spans="1:14" x14ac:dyDescent="0.35">
      <c r="A3035" t="s">
        <v>236</v>
      </c>
      <c r="B3035" s="5" t="str">
        <f>_xlfn.XLOOKUP(role_course_map[[#This Row],[role_id]], role_data[role_id], role_data[Role],"")</f>
        <v>Operational Support Manager</v>
      </c>
      <c r="C3035">
        <v>64322</v>
      </c>
      <c r="D3035" s="5" t="str">
        <f>_xlfn.XLOOKUP(role_course_map[[#This Row],[course_id]],course_data[course_id],course_data[title],"")</f>
        <v>Adult support and protection: practice level 2 [skilled]</v>
      </c>
      <c r="E3035" s="5" t="str">
        <f>_xlfn.XLOOKUP(role_course_map[[#This Row],[course_id]],course_data[course_id],course_data[topic],"")</f>
        <v>SAS : Public Protection</v>
      </c>
      <c r="F3035" s="5" t="str">
        <f>_xlfn.XLOOKUP(role_course_map[[#This Row],[course_id]],course_data[course_id],course_data[type],"")</f>
        <v>eLearning</v>
      </c>
      <c r="K3035" t="str">
        <f>role_course_map[[#This Row],[role_id]] &amp; "|" &amp; role_course_map[[#This Row],[course_id]]</f>
        <v>R0111|64322</v>
      </c>
      <c r="L3035" t="str">
        <f>IF(COUNTIF(role_course_map[mapping_key],role_course_map[[#This Row],[mapping_key]])&gt;1,"DUPLICATE","OK")</f>
        <v>OK</v>
      </c>
      <c r="M3035" t="str">
        <f>IF(COUNTIF(role_data[role_id],role_course_map[[#This Row],[role_id]])=0, "INVALID","VALID")</f>
        <v>VALID</v>
      </c>
      <c r="N3035" t="str">
        <f>IF(COUNTIF(course_data[course_id],role_course_map[[#This Row],[course_id]])=0, "INVALID","VALID")</f>
        <v>VALID</v>
      </c>
    </row>
    <row r="3036" spans="1:14" x14ac:dyDescent="0.35">
      <c r="A3036" t="s">
        <v>236</v>
      </c>
      <c r="B3036" s="5" t="str">
        <f>_xlfn.XLOOKUP(role_course_map[[#This Row],[role_id]], role_data[role_id], role_data[Role],"")</f>
        <v>Operational Support Manager</v>
      </c>
      <c r="C3036">
        <v>64324</v>
      </c>
      <c r="D3036" s="5" t="str">
        <f>_xlfn.XLOOKUP(role_course_map[[#This Row],[course_id]],course_data[course_id],course_data[title],"")</f>
        <v>Child protection: practice level 2 [skilled]</v>
      </c>
      <c r="E3036" s="5" t="str">
        <f>_xlfn.XLOOKUP(role_course_map[[#This Row],[course_id]],course_data[course_id],course_data[topic],"")</f>
        <v>SAS : Public Protection</v>
      </c>
      <c r="F3036" s="5" t="str">
        <f>_xlfn.XLOOKUP(role_course_map[[#This Row],[course_id]],course_data[course_id],course_data[type],"")</f>
        <v>eLearning</v>
      </c>
      <c r="K3036" t="str">
        <f>role_course_map[[#This Row],[role_id]] &amp; "|" &amp; role_course_map[[#This Row],[course_id]]</f>
        <v>R0111|64324</v>
      </c>
      <c r="L3036" t="str">
        <f>IF(COUNTIF(role_course_map[mapping_key],role_course_map[[#This Row],[mapping_key]])&gt;1,"DUPLICATE","OK")</f>
        <v>OK</v>
      </c>
      <c r="M3036" t="str">
        <f>IF(COUNTIF(role_data[role_id],role_course_map[[#This Row],[role_id]])=0, "INVALID","VALID")</f>
        <v>VALID</v>
      </c>
      <c r="N3036" t="str">
        <f>IF(COUNTIF(course_data[course_id],role_course_map[[#This Row],[course_id]])=0, "INVALID","VALID")</f>
        <v>VALID</v>
      </c>
    </row>
    <row r="3037" spans="1:14" x14ac:dyDescent="0.35">
      <c r="A3037" t="s">
        <v>236</v>
      </c>
      <c r="B3037" s="5" t="str">
        <f>_xlfn.XLOOKUP(role_course_map[[#This Row],[role_id]], role_data[role_id], role_data[Role],"")</f>
        <v>Operational Support Manager</v>
      </c>
      <c r="C3037">
        <v>76716</v>
      </c>
      <c r="D3037" s="5" t="str">
        <f>_xlfn.XLOOKUP(role_course_map[[#This Row],[course_id]],course_data[course_id],course_data[title],"")</f>
        <v>Domestic abuse awareness training tool (DAART)</v>
      </c>
      <c r="E3037" s="5" t="str">
        <f>_xlfn.XLOOKUP(role_course_map[[#This Row],[course_id]],course_data[course_id],course_data[topic],"")</f>
        <v>SAS : Public Protection</v>
      </c>
      <c r="F3037" s="5" t="str">
        <f>_xlfn.XLOOKUP(role_course_map[[#This Row],[course_id]],course_data[course_id],course_data[type],"")</f>
        <v>eLearning</v>
      </c>
      <c r="K3037" t="str">
        <f>role_course_map[[#This Row],[role_id]] &amp; "|" &amp; role_course_map[[#This Row],[course_id]]</f>
        <v>R0111|76716</v>
      </c>
      <c r="L3037" t="str">
        <f>IF(COUNTIF(role_course_map[mapping_key],role_course_map[[#This Row],[mapping_key]])&gt;1,"DUPLICATE","OK")</f>
        <v>OK</v>
      </c>
      <c r="M3037" t="str">
        <f>IF(COUNTIF(role_data[role_id],role_course_map[[#This Row],[role_id]])=0, "INVALID","VALID")</f>
        <v>VALID</v>
      </c>
      <c r="N3037" t="str">
        <f>IF(COUNTIF(course_data[course_id],role_course_map[[#This Row],[course_id]])=0, "INVALID","VALID")</f>
        <v>VALID</v>
      </c>
    </row>
    <row r="3038" spans="1:14" x14ac:dyDescent="0.35">
      <c r="A3038" t="s">
        <v>236</v>
      </c>
      <c r="B3038" s="5" t="str">
        <f>_xlfn.XLOOKUP(role_course_map[[#This Row],[role_id]], role_data[role_id], role_data[Role],"")</f>
        <v>Operational Support Manager</v>
      </c>
      <c r="C3038">
        <v>79666</v>
      </c>
      <c r="D3038" s="5" t="str">
        <f>_xlfn.XLOOKUP(role_course_map[[#This Row],[course_id]],course_data[course_id],course_data[title],"")</f>
        <v>Getting it right for every child (GIRFEC): informed level</v>
      </c>
      <c r="E3038" s="5" t="str">
        <f>_xlfn.XLOOKUP(role_course_map[[#This Row],[course_id]],course_data[course_id],course_data[topic],"")</f>
        <v>SAS : Public Protection</v>
      </c>
      <c r="F3038" s="5" t="str">
        <f>_xlfn.XLOOKUP(role_course_map[[#This Row],[course_id]],course_data[course_id],course_data[type],"")</f>
        <v>eLearning</v>
      </c>
      <c r="K3038" t="str">
        <f>role_course_map[[#This Row],[role_id]] &amp; "|" &amp; role_course_map[[#This Row],[course_id]]</f>
        <v>R0111|79666</v>
      </c>
      <c r="L3038" t="str">
        <f>IF(COUNTIF(role_course_map[mapping_key],role_course_map[[#This Row],[mapping_key]])&gt;1,"DUPLICATE","OK")</f>
        <v>OK</v>
      </c>
      <c r="M3038" t="str">
        <f>IF(COUNTIF(role_data[role_id],role_course_map[[#This Row],[role_id]])=0, "INVALID","VALID")</f>
        <v>VALID</v>
      </c>
      <c r="N3038" t="str">
        <f>IF(COUNTIF(course_data[course_id],role_course_map[[#This Row],[course_id]])=0, "INVALID","VALID")</f>
        <v>VALID</v>
      </c>
    </row>
    <row r="3039" spans="1:14" x14ac:dyDescent="0.35">
      <c r="A3039" t="s">
        <v>236</v>
      </c>
      <c r="B3039" s="5" t="str">
        <f>_xlfn.XLOOKUP(role_course_map[[#This Row],[role_id]], role_data[role_id], role_data[Role],"")</f>
        <v>Operational Support Manager</v>
      </c>
      <c r="C3039">
        <v>999074</v>
      </c>
      <c r="D3039" s="5" t="str">
        <f>_xlfn.XLOOKUP(role_course_map[[#This Row],[course_id]],course_data[course_id],course_data[title],"")</f>
        <v>SAS-specific Children’s rights</v>
      </c>
      <c r="E3039" s="5" t="str">
        <f>_xlfn.XLOOKUP(role_course_map[[#This Row],[course_id]],course_data[course_id],course_data[topic],"")</f>
        <v>SAS : Public Protection</v>
      </c>
      <c r="F3039" s="5" t="str">
        <f>_xlfn.XLOOKUP(role_course_map[[#This Row],[course_id]],course_data[course_id],course_data[type],"")</f>
        <v>eLearning</v>
      </c>
      <c r="K3039" t="str">
        <f>role_course_map[[#This Row],[role_id]] &amp; "|" &amp; role_course_map[[#This Row],[course_id]]</f>
        <v>R0111|999074</v>
      </c>
      <c r="L3039" t="str">
        <f>IF(COUNTIF(role_course_map[mapping_key],role_course_map[[#This Row],[mapping_key]])&gt;1,"DUPLICATE","OK")</f>
        <v>OK</v>
      </c>
      <c r="M3039" t="str">
        <f>IF(COUNTIF(role_data[role_id],role_course_map[[#This Row],[role_id]])=0, "INVALID","VALID")</f>
        <v>VALID</v>
      </c>
      <c r="N3039" t="str">
        <f>IF(COUNTIF(course_data[course_id],role_course_map[[#This Row],[course_id]])=0, "INVALID","VALID")</f>
        <v>VALID</v>
      </c>
    </row>
    <row r="3040" spans="1:14" x14ac:dyDescent="0.35">
      <c r="A3040" t="s">
        <v>236</v>
      </c>
      <c r="B3040" s="5" t="str">
        <f>_xlfn.XLOOKUP(role_course_map[[#This Row],[role_id]], role_data[role_id], role_data[Role],"")</f>
        <v>Operational Support Manager</v>
      </c>
      <c r="C3040">
        <v>999075</v>
      </c>
      <c r="D3040" s="5" t="str">
        <f>_xlfn.XLOOKUP(role_course_map[[#This Row],[course_id]],course_data[course_id],course_data[title],"")</f>
        <v>Multiagency local or bespoke Level 3 delivery training</v>
      </c>
      <c r="E3040" s="5" t="str">
        <f>_xlfn.XLOOKUP(role_course_map[[#This Row],[course_id]],course_data[course_id],course_data[topic],"")</f>
        <v>SAS : Public Protection</v>
      </c>
      <c r="F3040" s="5" t="str">
        <f>_xlfn.XLOOKUP(role_course_map[[#This Row],[course_id]],course_data[course_id],course_data[type],"")</f>
        <v>eLearning</v>
      </c>
      <c r="K3040" t="str">
        <f>role_course_map[[#This Row],[role_id]] &amp; "|" &amp; role_course_map[[#This Row],[course_id]]</f>
        <v>R0111|999075</v>
      </c>
      <c r="L3040" t="str">
        <f>IF(COUNTIF(role_course_map[mapping_key],role_course_map[[#This Row],[mapping_key]])&gt;1,"DUPLICATE","OK")</f>
        <v>OK</v>
      </c>
      <c r="M3040" t="str">
        <f>IF(COUNTIF(role_data[role_id],role_course_map[[#This Row],[role_id]])=0, "INVALID","VALID")</f>
        <v>VALID</v>
      </c>
      <c r="N3040" t="str">
        <f>IF(COUNTIF(course_data[course_id],role_course_map[[#This Row],[course_id]])=0, "INVALID","VALID")</f>
        <v>VALID</v>
      </c>
    </row>
    <row r="3041" spans="1:14" x14ac:dyDescent="0.35">
      <c r="A3041" t="s">
        <v>236</v>
      </c>
      <c r="B3041" s="5" t="str">
        <f>_xlfn.XLOOKUP(role_course_map[[#This Row],[role_id]], role_data[role_id], role_data[Role],"")</f>
        <v>Operational Support Manager</v>
      </c>
      <c r="C3041">
        <v>15249</v>
      </c>
      <c r="D3041" s="5" t="str">
        <f>_xlfn.XLOOKUP(role_course_map[[#This Row],[course_id]],course_data[course_id],course_data[title],"")</f>
        <v>Human trafficking</v>
      </c>
      <c r="E3041" s="5" t="str">
        <f>_xlfn.XLOOKUP(role_course_map[[#This Row],[course_id]],course_data[course_id],course_data[topic],"")</f>
        <v>SAS : Public Protection</v>
      </c>
      <c r="F3041" s="5" t="str">
        <f>_xlfn.XLOOKUP(role_course_map[[#This Row],[course_id]],course_data[course_id],course_data[type],"")</f>
        <v>eLearning</v>
      </c>
      <c r="K3041" t="str">
        <f>role_course_map[[#This Row],[role_id]] &amp; "|" &amp; role_course_map[[#This Row],[course_id]]</f>
        <v>R0111|15249</v>
      </c>
      <c r="L3041" t="str">
        <f>IF(COUNTIF(role_course_map[mapping_key],role_course_map[[#This Row],[mapping_key]])&gt;1,"DUPLICATE","OK")</f>
        <v>OK</v>
      </c>
      <c r="M3041" t="str">
        <f>IF(COUNTIF(role_data[role_id],role_course_map[[#This Row],[role_id]])=0, "INVALID","VALID")</f>
        <v>VALID</v>
      </c>
      <c r="N3041" t="str">
        <f>IF(COUNTIF(course_data[course_id],role_course_map[[#This Row],[course_id]])=0, "INVALID","VALID")</f>
        <v>VALID</v>
      </c>
    </row>
    <row r="3042" spans="1:14" x14ac:dyDescent="0.35">
      <c r="A3042" t="s">
        <v>236</v>
      </c>
      <c r="B3042" s="5" t="str">
        <f>_xlfn.XLOOKUP(role_course_map[[#This Row],[role_id]], role_data[role_id], role_data[Role],"")</f>
        <v>Operational Support Manager</v>
      </c>
      <c r="C3042">
        <v>89161</v>
      </c>
      <c r="D3042" s="5" t="str">
        <f>_xlfn.XLOOKUP(role_course_map[[#This Row],[course_id]],course_data[course_id],course_data[title],"")</f>
        <v>Personal Protective Equipment</v>
      </c>
      <c r="E3042" s="5" t="str">
        <f>_xlfn.XLOOKUP(role_course_map[[#This Row],[course_id]],course_data[course_id],course_data[topic],"")</f>
        <v>SAS : Infection Prevention and Control (IPC)</v>
      </c>
      <c r="F3042" s="5" t="str">
        <f>_xlfn.XLOOKUP(role_course_map[[#This Row],[course_id]],course_data[course_id],course_data[type],"")</f>
        <v>eLearning</v>
      </c>
      <c r="K3042" t="str">
        <f>role_course_map[[#This Row],[role_id]] &amp; "|" &amp; role_course_map[[#This Row],[course_id]]</f>
        <v>R0111|89161</v>
      </c>
      <c r="L3042" t="str">
        <f>IF(COUNTIF(role_course_map[mapping_key],role_course_map[[#This Row],[mapping_key]])&gt;1,"DUPLICATE","OK")</f>
        <v>OK</v>
      </c>
      <c r="M3042" t="str">
        <f>IF(COUNTIF(role_data[role_id],role_course_map[[#This Row],[role_id]])=0, "INVALID","VALID")</f>
        <v>VALID</v>
      </c>
      <c r="N3042" t="str">
        <f>IF(COUNTIF(course_data[course_id],role_course_map[[#This Row],[course_id]])=0, "INVALID","VALID")</f>
        <v>VALID</v>
      </c>
    </row>
    <row r="3043" spans="1:14" x14ac:dyDescent="0.35">
      <c r="A3043" t="s">
        <v>236</v>
      </c>
      <c r="B3043" s="5" t="str">
        <f>_xlfn.XLOOKUP(role_course_map[[#This Row],[role_id]], role_data[role_id], role_data[Role],"")</f>
        <v>Operational Support Manager</v>
      </c>
      <c r="C3043">
        <v>89157</v>
      </c>
      <c r="D3043" s="5" t="str">
        <f>_xlfn.XLOOKUP(role_course_map[[#This Row],[course_id]],course_data[course_id],course_data[title],"")</f>
        <v>Safe Management of Care Equipment</v>
      </c>
      <c r="E3043" s="5" t="str">
        <f>_xlfn.XLOOKUP(role_course_map[[#This Row],[course_id]],course_data[course_id],course_data[topic],"")</f>
        <v>SAS : Infection Prevention and Control (IPC)</v>
      </c>
      <c r="F3043" s="5" t="str">
        <f>_xlfn.XLOOKUP(role_course_map[[#This Row],[course_id]],course_data[course_id],course_data[type],"")</f>
        <v>eLearning</v>
      </c>
      <c r="K3043" t="str">
        <f>role_course_map[[#This Row],[role_id]] &amp; "|" &amp; role_course_map[[#This Row],[course_id]]</f>
        <v>R0111|89157</v>
      </c>
      <c r="L3043" t="str">
        <f>IF(COUNTIF(role_course_map[mapping_key],role_course_map[[#This Row],[mapping_key]])&gt;1,"DUPLICATE","OK")</f>
        <v>OK</v>
      </c>
      <c r="M3043" t="str">
        <f>IF(COUNTIF(role_data[role_id],role_course_map[[#This Row],[role_id]])=0, "INVALID","VALID")</f>
        <v>VALID</v>
      </c>
      <c r="N3043" t="str">
        <f>IF(COUNTIF(course_data[course_id],role_course_map[[#This Row],[course_id]])=0, "INVALID","VALID")</f>
        <v>VALID</v>
      </c>
    </row>
    <row r="3044" spans="1:14" x14ac:dyDescent="0.35">
      <c r="A3044" t="s">
        <v>236</v>
      </c>
      <c r="B3044" s="5" t="str">
        <f>_xlfn.XLOOKUP(role_course_map[[#This Row],[role_id]], role_data[role_id], role_data[Role],"")</f>
        <v>Operational Support Manager</v>
      </c>
      <c r="C3044">
        <v>89158</v>
      </c>
      <c r="D3044" s="5" t="str">
        <f>_xlfn.XLOOKUP(role_course_map[[#This Row],[course_id]],course_data[course_id],course_data[title],"")</f>
        <v>Safe Management of Care Environment</v>
      </c>
      <c r="E3044" s="5" t="str">
        <f>_xlfn.XLOOKUP(role_course_map[[#This Row],[course_id]],course_data[course_id],course_data[topic],"")</f>
        <v>SAS : Infection Prevention and Control (IPC)</v>
      </c>
      <c r="F3044" s="5" t="str">
        <f>_xlfn.XLOOKUP(role_course_map[[#This Row],[course_id]],course_data[course_id],course_data[type],"")</f>
        <v>eLearning</v>
      </c>
      <c r="K3044" t="str">
        <f>role_course_map[[#This Row],[role_id]] &amp; "|" &amp; role_course_map[[#This Row],[course_id]]</f>
        <v>R0111|89158</v>
      </c>
      <c r="L3044" t="str">
        <f>IF(COUNTIF(role_course_map[mapping_key],role_course_map[[#This Row],[mapping_key]])&gt;1,"DUPLICATE","OK")</f>
        <v>OK</v>
      </c>
      <c r="M3044" t="str">
        <f>IF(COUNTIF(role_data[role_id],role_course_map[[#This Row],[role_id]])=0, "INVALID","VALID")</f>
        <v>VALID</v>
      </c>
      <c r="N3044" t="str">
        <f>IF(COUNTIF(course_data[course_id],role_course_map[[#This Row],[course_id]])=0, "INVALID","VALID")</f>
        <v>VALID</v>
      </c>
    </row>
    <row r="3045" spans="1:14" x14ac:dyDescent="0.35">
      <c r="A3045" t="s">
        <v>236</v>
      </c>
      <c r="B3045" s="5" t="str">
        <f>_xlfn.XLOOKUP(role_course_map[[#This Row],[role_id]], role_data[role_id], role_data[Role],"")</f>
        <v>Operational Support Manager</v>
      </c>
      <c r="C3045">
        <v>89159</v>
      </c>
      <c r="D3045" s="5" t="str">
        <f>_xlfn.XLOOKUP(role_course_map[[#This Row],[course_id]],course_data[course_id],course_data[title],"")</f>
        <v>Safe Management of Linen</v>
      </c>
      <c r="E3045" s="5" t="str">
        <f>_xlfn.XLOOKUP(role_course_map[[#This Row],[course_id]],course_data[course_id],course_data[topic],"")</f>
        <v>SAS : Infection Prevention and Control (IPC)</v>
      </c>
      <c r="F3045" s="5" t="str">
        <f>_xlfn.XLOOKUP(role_course_map[[#This Row],[course_id]],course_data[course_id],course_data[type],"")</f>
        <v>eLearning</v>
      </c>
      <c r="K3045" t="str">
        <f>role_course_map[[#This Row],[role_id]] &amp; "|" &amp; role_course_map[[#This Row],[course_id]]</f>
        <v>R0111|89159</v>
      </c>
      <c r="L3045" t="str">
        <f>IF(COUNTIF(role_course_map[mapping_key],role_course_map[[#This Row],[mapping_key]])&gt;1,"DUPLICATE","OK")</f>
        <v>OK</v>
      </c>
      <c r="M3045" t="str">
        <f>IF(COUNTIF(role_data[role_id],role_course_map[[#This Row],[role_id]])=0, "INVALID","VALID")</f>
        <v>VALID</v>
      </c>
      <c r="N3045" t="str">
        <f>IF(COUNTIF(course_data[course_id],role_course_map[[#This Row],[course_id]])=0, "INVALID","VALID")</f>
        <v>VALID</v>
      </c>
    </row>
    <row r="3046" spans="1:14" x14ac:dyDescent="0.35">
      <c r="A3046" t="s">
        <v>236</v>
      </c>
      <c r="B3046" s="5" t="str">
        <f>_xlfn.XLOOKUP(role_course_map[[#This Row],[role_id]], role_data[role_id], role_data[Role],"")</f>
        <v>Operational Support Manager</v>
      </c>
      <c r="C3046">
        <v>89160</v>
      </c>
      <c r="D3046" s="5" t="str">
        <f>_xlfn.XLOOKUP(role_course_map[[#This Row],[course_id]],course_data[course_id],course_data[title],"")</f>
        <v>Safe Management of blood and body fluids</v>
      </c>
      <c r="E3046" s="5" t="str">
        <f>_xlfn.XLOOKUP(role_course_map[[#This Row],[course_id]],course_data[course_id],course_data[topic],"")</f>
        <v>SAS : Infection Prevention and Control (IPC)</v>
      </c>
      <c r="F3046" s="5" t="str">
        <f>_xlfn.XLOOKUP(role_course_map[[#This Row],[course_id]],course_data[course_id],course_data[type],"")</f>
        <v>eLearning</v>
      </c>
      <c r="K3046" t="str">
        <f>role_course_map[[#This Row],[role_id]] &amp; "|" &amp; role_course_map[[#This Row],[course_id]]</f>
        <v>R0111|89160</v>
      </c>
      <c r="L3046" t="str">
        <f>IF(COUNTIF(role_course_map[mapping_key],role_course_map[[#This Row],[mapping_key]])&gt;1,"DUPLICATE","OK")</f>
        <v>OK</v>
      </c>
      <c r="M3046" t="str">
        <f>IF(COUNTIF(role_data[role_id],role_course_map[[#This Row],[role_id]])=0, "INVALID","VALID")</f>
        <v>VALID</v>
      </c>
      <c r="N3046" t="str">
        <f>IF(COUNTIF(course_data[course_id],role_course_map[[#This Row],[course_id]])=0, "INVALID","VALID")</f>
        <v>VALID</v>
      </c>
    </row>
    <row r="3047" spans="1:14" x14ac:dyDescent="0.35">
      <c r="A3047" t="s">
        <v>236</v>
      </c>
      <c r="B3047" s="5" t="str">
        <f>_xlfn.XLOOKUP(role_course_map[[#This Row],[role_id]], role_data[role_id], role_data[Role],"")</f>
        <v>Operational Support Manager</v>
      </c>
      <c r="C3047">
        <v>89154</v>
      </c>
      <c r="D3047" s="5" t="str">
        <f>_xlfn.XLOOKUP(role_course_map[[#This Row],[course_id]],course_data[course_id],course_data[title],"")</f>
        <v>Safe disposal of waste</v>
      </c>
      <c r="E3047" s="5" t="str">
        <f>_xlfn.XLOOKUP(role_course_map[[#This Row],[course_id]],course_data[course_id],course_data[topic],"")</f>
        <v>SAS : Infection Prevention and Control (IPC)</v>
      </c>
      <c r="F3047" s="5" t="str">
        <f>_xlfn.XLOOKUP(role_course_map[[#This Row],[course_id]],course_data[course_id],course_data[type],"")</f>
        <v>eLearning</v>
      </c>
      <c r="K3047" t="str">
        <f>role_course_map[[#This Row],[role_id]] &amp; "|" &amp; role_course_map[[#This Row],[course_id]]</f>
        <v>R0111|89154</v>
      </c>
      <c r="L3047" t="str">
        <f>IF(COUNTIF(role_course_map[mapping_key],role_course_map[[#This Row],[mapping_key]])&gt;1,"DUPLICATE","OK")</f>
        <v>OK</v>
      </c>
      <c r="M3047" t="str">
        <f>IF(COUNTIF(role_data[role_id],role_course_map[[#This Row],[role_id]])=0, "INVALID","VALID")</f>
        <v>VALID</v>
      </c>
      <c r="N3047" t="str">
        <f>IF(COUNTIF(course_data[course_id],role_course_map[[#This Row],[course_id]])=0, "INVALID","VALID")</f>
        <v>VALID</v>
      </c>
    </row>
    <row r="3048" spans="1:14" x14ac:dyDescent="0.35">
      <c r="A3048" t="s">
        <v>236</v>
      </c>
      <c r="B3048" s="5" t="str">
        <f>_xlfn.XLOOKUP(role_course_map[[#This Row],[role_id]], role_data[role_id], role_data[Role],"")</f>
        <v>Operational Support Manager</v>
      </c>
      <c r="C3048">
        <v>89155</v>
      </c>
      <c r="D3048" s="5" t="str">
        <f>_xlfn.XLOOKUP(role_course_map[[#This Row],[course_id]],course_data[course_id],course_data[title],"")</f>
        <v>Prevention &amp; management of occupational exposure</v>
      </c>
      <c r="E3048" s="5" t="str">
        <f>_xlfn.XLOOKUP(role_course_map[[#This Row],[course_id]],course_data[course_id],course_data[topic],"")</f>
        <v>SAS : Infection Prevention and Control (IPC)</v>
      </c>
      <c r="F3048" s="5" t="str">
        <f>_xlfn.XLOOKUP(role_course_map[[#This Row],[course_id]],course_data[course_id],course_data[type],"")</f>
        <v>eLearning</v>
      </c>
      <c r="K3048" t="str">
        <f>role_course_map[[#This Row],[role_id]] &amp; "|" &amp; role_course_map[[#This Row],[course_id]]</f>
        <v>R0111|89155</v>
      </c>
      <c r="L3048" t="str">
        <f>IF(COUNTIF(role_course_map[mapping_key],role_course_map[[#This Row],[mapping_key]])&gt;1,"DUPLICATE","OK")</f>
        <v>OK</v>
      </c>
      <c r="M3048" t="str">
        <f>IF(COUNTIF(role_data[role_id],role_course_map[[#This Row],[role_id]])=0, "INVALID","VALID")</f>
        <v>VALID</v>
      </c>
      <c r="N3048" t="str">
        <f>IF(COUNTIF(course_data[course_id],role_course_map[[#This Row],[course_id]])=0, "INVALID","VALID")</f>
        <v>VALID</v>
      </c>
    </row>
    <row r="3049" spans="1:14" x14ac:dyDescent="0.35">
      <c r="A3049" t="s">
        <v>236</v>
      </c>
      <c r="B3049" s="5" t="str">
        <f>_xlfn.XLOOKUP(role_course_map[[#This Row],[role_id]], role_data[role_id], role_data[Role],"")</f>
        <v>Operational Support Manager</v>
      </c>
      <c r="C3049">
        <v>999064</v>
      </c>
      <c r="D3049" s="5" t="str">
        <f>_xlfn.XLOOKUP(role_course_map[[#This Row],[course_id]],course_data[course_id],course_data[title],"")</f>
        <v>Infection prevention and control: Clostridioides difficile infection</v>
      </c>
      <c r="E3049" s="5" t="str">
        <f>_xlfn.XLOOKUP(role_course_map[[#This Row],[course_id]],course_data[course_id],course_data[topic],"")</f>
        <v>SAS : Infection Prevention and Control (IPC)</v>
      </c>
      <c r="F3049" s="5" t="str">
        <f>_xlfn.XLOOKUP(role_course_map[[#This Row],[course_id]],course_data[course_id],course_data[type],"")</f>
        <v>eLearning</v>
      </c>
      <c r="K3049" t="str">
        <f>role_course_map[[#This Row],[role_id]] &amp; "|" &amp; role_course_map[[#This Row],[course_id]]</f>
        <v>R0111|999064</v>
      </c>
      <c r="L3049" t="str">
        <f>IF(COUNTIF(role_course_map[mapping_key],role_course_map[[#This Row],[mapping_key]])&gt;1,"DUPLICATE","OK")</f>
        <v>OK</v>
      </c>
      <c r="M3049" t="str">
        <f>IF(COUNTIF(role_data[role_id],role_course_map[[#This Row],[role_id]])=0, "INVALID","VALID")</f>
        <v>VALID</v>
      </c>
      <c r="N3049" t="str">
        <f>IF(COUNTIF(course_data[course_id],role_course_map[[#This Row],[course_id]])=0, "INVALID","VALID")</f>
        <v>VALID</v>
      </c>
    </row>
    <row r="3050" spans="1:14" x14ac:dyDescent="0.35">
      <c r="A3050" t="s">
        <v>236</v>
      </c>
      <c r="B3050" s="5" t="str">
        <f>_xlfn.XLOOKUP(role_course_map[[#This Row],[role_id]], role_data[role_id], role_data[Role],"")</f>
        <v>Operational Support Manager</v>
      </c>
      <c r="C3050">
        <v>3588</v>
      </c>
      <c r="D3050" s="5" t="str">
        <f>_xlfn.XLOOKUP(role_course_map[[#This Row],[course_id]],course_data[course_id],course_data[title],"")</f>
        <v>Antibiotic management</v>
      </c>
      <c r="E3050" s="5" t="str">
        <f>_xlfn.XLOOKUP(role_course_map[[#This Row],[course_id]],course_data[course_id],course_data[topic],"")</f>
        <v>SAS : Clinical Practice</v>
      </c>
      <c r="F3050" s="5" t="str">
        <f>_xlfn.XLOOKUP(role_course_map[[#This Row],[course_id]],course_data[course_id],course_data[type],"")</f>
        <v>Page</v>
      </c>
      <c r="K3050" t="str">
        <f>role_course_map[[#This Row],[role_id]] &amp; "|" &amp; role_course_map[[#This Row],[course_id]]</f>
        <v>R0111|3588</v>
      </c>
      <c r="L3050" t="str">
        <f>IF(COUNTIF(role_course_map[mapping_key],role_course_map[[#This Row],[mapping_key]])&gt;1,"DUPLICATE","OK")</f>
        <v>OK</v>
      </c>
      <c r="M3050" t="str">
        <f>IF(COUNTIF(role_data[role_id],role_course_map[[#This Row],[role_id]])=0, "INVALID","VALID")</f>
        <v>VALID</v>
      </c>
      <c r="N3050" t="str">
        <f>IF(COUNTIF(course_data[course_id],role_course_map[[#This Row],[course_id]])=0, "INVALID","VALID")</f>
        <v>VALID</v>
      </c>
    </row>
    <row r="3051" spans="1:14" x14ac:dyDescent="0.35">
      <c r="A3051" t="s">
        <v>236</v>
      </c>
      <c r="B3051" s="5" t="str">
        <f>_xlfn.XLOOKUP(role_course_map[[#This Row],[role_id]], role_data[role_id], role_data[Role],"")</f>
        <v>Operational Support Manager</v>
      </c>
      <c r="C3051">
        <v>82383</v>
      </c>
      <c r="D3051" s="5" t="str">
        <f>_xlfn.XLOOKUP(role_course_map[[#This Row],[course_id]],course_data[course_id],course_data[title],"")</f>
        <v>Aseptic technique</v>
      </c>
      <c r="E3051" s="5" t="str">
        <f>_xlfn.XLOOKUP(role_course_map[[#This Row],[course_id]],course_data[course_id],course_data[topic],"")</f>
        <v>SAS : Infection Prevention and Control (IPC)</v>
      </c>
      <c r="F3051" s="5" t="str">
        <f>_xlfn.XLOOKUP(role_course_map[[#This Row],[course_id]],course_data[course_id],course_data[type],"")</f>
        <v>eLearning</v>
      </c>
      <c r="K3051" t="str">
        <f>role_course_map[[#This Row],[role_id]] &amp; "|" &amp; role_course_map[[#This Row],[course_id]]</f>
        <v>R0111|82383</v>
      </c>
      <c r="L3051" t="str">
        <f>IF(COUNTIF(role_course_map[mapping_key],role_course_map[[#This Row],[mapping_key]])&gt;1,"DUPLICATE","OK")</f>
        <v>OK</v>
      </c>
      <c r="M3051" t="str">
        <f>IF(COUNTIF(role_data[role_id],role_course_map[[#This Row],[role_id]])=0, "INVALID","VALID")</f>
        <v>VALID</v>
      </c>
      <c r="N3051" t="str">
        <f>IF(COUNTIF(course_data[course_id],role_course_map[[#This Row],[course_id]])=0, "INVALID","VALID")</f>
        <v>VALID</v>
      </c>
    </row>
    <row r="3052" spans="1:14" x14ac:dyDescent="0.35">
      <c r="A3052" t="s">
        <v>236</v>
      </c>
      <c r="B3052" s="5" t="str">
        <f>_xlfn.XLOOKUP(role_course_map[[#This Row],[role_id]], role_data[role_id], role_data[Role],"")</f>
        <v>Operational Support Manager</v>
      </c>
      <c r="C3052">
        <v>3886</v>
      </c>
      <c r="D3052" s="5" t="str">
        <f>_xlfn.XLOOKUP(role_course_map[[#This Row],[course_id]],course_data[course_id],course_data[title],"")</f>
        <v>Prevention and management of pressure ulcers</v>
      </c>
      <c r="E3052" s="5" t="str">
        <f>_xlfn.XLOOKUP(role_course_map[[#This Row],[course_id]],course_data[course_id],course_data[topic],"")</f>
        <v>SAS : Clinical Practice</v>
      </c>
      <c r="F3052" s="5" t="str">
        <f>_xlfn.XLOOKUP(role_course_map[[#This Row],[course_id]],course_data[course_id],course_data[type],"")</f>
        <v>Page</v>
      </c>
      <c r="K3052" t="str">
        <f>role_course_map[[#This Row],[role_id]] &amp; "|" &amp; role_course_map[[#This Row],[course_id]]</f>
        <v>R0111|3886</v>
      </c>
      <c r="L3052" t="str">
        <f>IF(COUNTIF(role_course_map[mapping_key],role_course_map[[#This Row],[mapping_key]])&gt;1,"DUPLICATE","OK")</f>
        <v>OK</v>
      </c>
      <c r="M3052" t="str">
        <f>IF(COUNTIF(role_data[role_id],role_course_map[[#This Row],[role_id]])=0, "INVALID","VALID")</f>
        <v>VALID</v>
      </c>
      <c r="N3052" t="str">
        <f>IF(COUNTIF(course_data[course_id],role_course_map[[#This Row],[course_id]])=0, "INVALID","VALID")</f>
        <v>VALID</v>
      </c>
    </row>
    <row r="3053" spans="1:14" x14ac:dyDescent="0.35">
      <c r="A3053" t="s">
        <v>236</v>
      </c>
      <c r="B3053" s="5" t="str">
        <f>_xlfn.XLOOKUP(role_course_map[[#This Row],[role_id]], role_data[role_id], role_data[Role],"")</f>
        <v>Operational Support Manager</v>
      </c>
      <c r="C3053">
        <v>999092</v>
      </c>
      <c r="D3053" s="5" t="str">
        <f>_xlfn.XLOOKUP(role_course_map[[#This Row],[course_id]],course_data[course_id],course_data[title],"")</f>
        <v>Health &amp; Wellbeing Awareness for Managers</v>
      </c>
      <c r="E3053" s="5" t="str">
        <f>_xlfn.XLOOKUP(role_course_map[[#This Row],[course_id]],course_data[course_id],course_data[topic],"")</f>
        <v>SAS: Staff development and experience</v>
      </c>
      <c r="F3053" s="5" t="str">
        <f>_xlfn.XLOOKUP(role_course_map[[#This Row],[course_id]],course_data[course_id],course_data[type],"")</f>
        <v>eLearning</v>
      </c>
      <c r="K3053" t="str">
        <f>role_course_map[[#This Row],[role_id]] &amp; "|" &amp; role_course_map[[#This Row],[course_id]]</f>
        <v>R0111|999092</v>
      </c>
      <c r="L3053" t="str">
        <f>IF(COUNTIF(role_course_map[mapping_key],role_course_map[[#This Row],[mapping_key]])&gt;1,"DUPLICATE","OK")</f>
        <v>OK</v>
      </c>
      <c r="M3053" t="str">
        <f>IF(COUNTIF(role_data[role_id],role_course_map[[#This Row],[role_id]])=0, "INVALID","VALID")</f>
        <v>VALID</v>
      </c>
      <c r="N3053" t="str">
        <f>IF(COUNTIF(course_data[course_id],role_course_map[[#This Row],[course_id]])=0, "INVALID","VALID")</f>
        <v>VALID</v>
      </c>
    </row>
    <row r="3054" spans="1:14" x14ac:dyDescent="0.35">
      <c r="A3054" t="s">
        <v>236</v>
      </c>
      <c r="B3054" s="5" t="str">
        <f>_xlfn.XLOOKUP(role_course_map[[#This Row],[role_id]], role_data[role_id], role_data[Role],"")</f>
        <v>Operational Support Manager</v>
      </c>
      <c r="C3054">
        <v>999093</v>
      </c>
      <c r="D3054" s="5" t="str">
        <f>_xlfn.XLOOKUP(role_course_map[[#This Row],[course_id]],course_data[course_id],course_data[title],"")</f>
        <v>Managing Wellbeing Refresher for Managers</v>
      </c>
      <c r="E3054" s="5" t="str">
        <f>_xlfn.XLOOKUP(role_course_map[[#This Row],[course_id]],course_data[course_id],course_data[topic],"")</f>
        <v>SAS: Staff development and experience</v>
      </c>
      <c r="F3054" s="5" t="str">
        <f>_xlfn.XLOOKUP(role_course_map[[#This Row],[course_id]],course_data[course_id],course_data[type],"")</f>
        <v>eLearning</v>
      </c>
      <c r="K3054" t="str">
        <f>role_course_map[[#This Row],[role_id]] &amp; "|" &amp; role_course_map[[#This Row],[course_id]]</f>
        <v>R0111|999093</v>
      </c>
      <c r="L3054" t="str">
        <f>IF(COUNTIF(role_course_map[mapping_key],role_course_map[[#This Row],[mapping_key]])&gt;1,"DUPLICATE","OK")</f>
        <v>OK</v>
      </c>
      <c r="M3054" t="str">
        <f>IF(COUNTIF(role_data[role_id],role_course_map[[#This Row],[role_id]])=0, "INVALID","VALID")</f>
        <v>VALID</v>
      </c>
      <c r="N3054" t="str">
        <f>IF(COUNTIF(course_data[course_id],role_course_map[[#This Row],[course_id]])=0, "INVALID","VALID")</f>
        <v>VALID</v>
      </c>
    </row>
    <row r="3055" spans="1:14" x14ac:dyDescent="0.35">
      <c r="A3055" t="s">
        <v>236</v>
      </c>
      <c r="B3055" s="5" t="str">
        <f>_xlfn.XLOOKUP(role_course_map[[#This Row],[role_id]], role_data[role_id], role_data[Role],"")</f>
        <v>Operational Support Manager</v>
      </c>
      <c r="C3055">
        <v>999094</v>
      </c>
      <c r="D3055" s="5" t="str">
        <f>_xlfn.XLOOKUP(role_course_map[[#This Row],[course_id]],course_data[course_id],course_data[title],"")</f>
        <v>Being well, Mind, Body &amp; Workplace</v>
      </c>
      <c r="E3055" s="5" t="str">
        <f>_xlfn.XLOOKUP(role_course_map[[#This Row],[course_id]],course_data[course_id],course_data[topic],"")</f>
        <v>SAS: Staff development and experience</v>
      </c>
      <c r="F3055" s="5" t="str">
        <f>_xlfn.XLOOKUP(role_course_map[[#This Row],[course_id]],course_data[course_id],course_data[type],"")</f>
        <v>eLearning</v>
      </c>
      <c r="K3055" t="str">
        <f>role_course_map[[#This Row],[role_id]] &amp; "|" &amp; role_course_map[[#This Row],[course_id]]</f>
        <v>R0111|999094</v>
      </c>
      <c r="L3055" t="str">
        <f>IF(COUNTIF(role_course_map[mapping_key],role_course_map[[#This Row],[mapping_key]])&gt;1,"DUPLICATE","OK")</f>
        <v>OK</v>
      </c>
      <c r="M3055" t="str">
        <f>IF(COUNTIF(role_data[role_id],role_course_map[[#This Row],[role_id]])=0, "INVALID","VALID")</f>
        <v>VALID</v>
      </c>
      <c r="N3055" t="str">
        <f>IF(COUNTIF(course_data[course_id],role_course_map[[#This Row],[course_id]])=0, "INVALID","VALID")</f>
        <v>VALID</v>
      </c>
    </row>
    <row r="3056" spans="1:14" x14ac:dyDescent="0.35">
      <c r="A3056" t="s">
        <v>254</v>
      </c>
      <c r="B3056" s="5" t="str">
        <f>_xlfn.XLOOKUP(role_course_map[[#This Row],[role_id]], role_data[role_id], role_data[Role],"")</f>
        <v>Special Operations Manager</v>
      </c>
      <c r="C3056">
        <v>79218</v>
      </c>
      <c r="D3056" s="5" t="str">
        <f>_xlfn.XLOOKUP(role_course_map[[#This Row],[course_id]],course_data[course_id],course_data[title],"")</f>
        <v>Life support</v>
      </c>
      <c r="E3056" s="5" t="str">
        <f>_xlfn.XLOOKUP(role_course_map[[#This Row],[course_id]],course_data[course_id],course_data[topic],"")</f>
        <v>SAS : Clinical Practice</v>
      </c>
      <c r="F3056" s="5" t="str">
        <f>_xlfn.XLOOKUP(role_course_map[[#This Row],[course_id]],course_data[course_id],course_data[type],"")</f>
        <v>Page</v>
      </c>
      <c r="K3056" t="str">
        <f>role_course_map[[#This Row],[role_id]] &amp; "|" &amp; role_course_map[[#This Row],[course_id]]</f>
        <v>R0121|79218</v>
      </c>
      <c r="L3056" t="str">
        <f>IF(COUNTIF(role_course_map[mapping_key],role_course_map[[#This Row],[mapping_key]])&gt;1,"DUPLICATE","OK")</f>
        <v>OK</v>
      </c>
      <c r="M3056" t="str">
        <f>IF(COUNTIF(role_data[role_id],role_course_map[[#This Row],[role_id]])=0, "INVALID","VALID")</f>
        <v>VALID</v>
      </c>
      <c r="N3056" t="str">
        <f>IF(COUNTIF(course_data[course_id],role_course_map[[#This Row],[course_id]])=0, "INVALID","VALID")</f>
        <v>VALID</v>
      </c>
    </row>
    <row r="3057" spans="1:14" x14ac:dyDescent="0.35">
      <c r="A3057" t="s">
        <v>254</v>
      </c>
      <c r="B3057" s="5" t="str">
        <f>_xlfn.XLOOKUP(role_course_map[[#This Row],[role_id]], role_data[role_id], role_data[Role],"")</f>
        <v>Special Operations Manager</v>
      </c>
      <c r="C3057">
        <v>999009</v>
      </c>
      <c r="D3057" s="5" t="str">
        <f>_xlfn.XLOOKUP(role_course_map[[#This Row],[course_id]],course_data[course_id],course_data[title],"")</f>
        <v>Life Support</v>
      </c>
      <c r="E3057" s="5" t="str">
        <f>_xlfn.XLOOKUP(role_course_map[[#This Row],[course_id]],course_data[course_id],course_data[topic],"")</f>
        <v>SAS : Clinical Practice</v>
      </c>
      <c r="F3057" s="5" t="str">
        <f>_xlfn.XLOOKUP(role_course_map[[#This Row],[course_id]],course_data[course_id],course_data[type],"")</f>
        <v>Course</v>
      </c>
      <c r="K3057" t="str">
        <f>role_course_map[[#This Row],[role_id]] &amp; "|" &amp; role_course_map[[#This Row],[course_id]]</f>
        <v>R0121|999009</v>
      </c>
      <c r="L3057" t="str">
        <f>IF(COUNTIF(role_course_map[mapping_key],role_course_map[[#This Row],[mapping_key]])&gt;1,"DUPLICATE","OK")</f>
        <v>OK</v>
      </c>
      <c r="M3057" t="str">
        <f>IF(COUNTIF(role_data[role_id],role_course_map[[#This Row],[role_id]])=0, "INVALID","VALID")</f>
        <v>VALID</v>
      </c>
      <c r="N3057" t="str">
        <f>IF(COUNTIF(course_data[course_id],role_course_map[[#This Row],[course_id]])=0, "INVALID","VALID")</f>
        <v>VALID</v>
      </c>
    </row>
    <row r="3058" spans="1:14" x14ac:dyDescent="0.35">
      <c r="A3058" t="s">
        <v>254</v>
      </c>
      <c r="B3058" s="5" t="str">
        <f>_xlfn.XLOOKUP(role_course_map[[#This Row],[role_id]], role_data[role_id], role_data[Role],"")</f>
        <v>Special Operations Manager</v>
      </c>
      <c r="C3058">
        <v>999007</v>
      </c>
      <c r="D3058" s="5" t="str">
        <f>_xlfn.XLOOKUP(role_course_map[[#This Row],[course_id]],course_data[course_id],course_data[title],"")</f>
        <v>Obstetrics</v>
      </c>
      <c r="E3058" s="5" t="str">
        <f>_xlfn.XLOOKUP(role_course_map[[#This Row],[course_id]],course_data[course_id],course_data[topic],"")</f>
        <v>SAS : Clinical Practice</v>
      </c>
      <c r="F3058" s="5" t="str">
        <f>_xlfn.XLOOKUP(role_course_map[[#This Row],[course_id]],course_data[course_id],course_data[type],"")</f>
        <v>Course</v>
      </c>
      <c r="K3058" t="str">
        <f>role_course_map[[#This Row],[role_id]] &amp; "|" &amp; role_course_map[[#This Row],[course_id]]</f>
        <v>R0121|999007</v>
      </c>
      <c r="L3058" t="str">
        <f>IF(COUNTIF(role_course_map[mapping_key],role_course_map[[#This Row],[mapping_key]])&gt;1,"DUPLICATE","OK")</f>
        <v>OK</v>
      </c>
      <c r="M3058" t="str">
        <f>IF(COUNTIF(role_data[role_id],role_course_map[[#This Row],[role_id]])=0, "INVALID","VALID")</f>
        <v>VALID</v>
      </c>
      <c r="N3058" t="str">
        <f>IF(COUNTIF(course_data[course_id],role_course_map[[#This Row],[course_id]])=0, "INVALID","VALID")</f>
        <v>VALID</v>
      </c>
    </row>
    <row r="3059" spans="1:14" x14ac:dyDescent="0.35">
      <c r="A3059" t="s">
        <v>254</v>
      </c>
      <c r="B3059" s="5" t="str">
        <f>_xlfn.XLOOKUP(role_course_map[[#This Row],[role_id]], role_data[role_id], role_data[Role],"")</f>
        <v>Special Operations Manager</v>
      </c>
      <c r="C3059">
        <v>999008</v>
      </c>
      <c r="D3059" s="5" t="str">
        <f>_xlfn.XLOOKUP(role_course_map[[#This Row],[course_id]],course_data[course_id],course_data[title],"")</f>
        <v>Obstetrics</v>
      </c>
      <c r="E3059" s="5" t="str">
        <f>_xlfn.XLOOKUP(role_course_map[[#This Row],[course_id]],course_data[course_id],course_data[topic],"")</f>
        <v>SAS : Clinical Practice</v>
      </c>
      <c r="F3059" s="5" t="str">
        <f>_xlfn.XLOOKUP(role_course_map[[#This Row],[course_id]],course_data[course_id],course_data[type],"")</f>
        <v>eLearning</v>
      </c>
      <c r="K3059" t="str">
        <f>role_course_map[[#This Row],[role_id]] &amp; "|" &amp; role_course_map[[#This Row],[course_id]]</f>
        <v>R0121|999008</v>
      </c>
      <c r="L3059" t="str">
        <f>IF(COUNTIF(role_course_map[mapping_key],role_course_map[[#This Row],[mapping_key]])&gt;1,"DUPLICATE","OK")</f>
        <v>OK</v>
      </c>
      <c r="M3059" t="str">
        <f>IF(COUNTIF(role_data[role_id],role_course_map[[#This Row],[role_id]])=0, "INVALID","VALID")</f>
        <v>VALID</v>
      </c>
      <c r="N3059" t="str">
        <f>IF(COUNTIF(course_data[course_id],role_course_map[[#This Row],[course_id]])=0, "INVALID","VALID")</f>
        <v>VALID</v>
      </c>
    </row>
    <row r="3060" spans="1:14" x14ac:dyDescent="0.35">
      <c r="A3060" t="s">
        <v>254</v>
      </c>
      <c r="B3060" s="5" t="str">
        <f>_xlfn.XLOOKUP(role_course_map[[#This Row],[role_id]], role_data[role_id], role_data[Role],"")</f>
        <v>Special Operations Manager</v>
      </c>
      <c r="C3060">
        <v>999010</v>
      </c>
      <c r="D3060" s="5" t="str">
        <f>_xlfn.XLOOKUP(role_course_map[[#This Row],[course_id]],course_data[course_id],course_data[title],"")</f>
        <v>Paediatrics</v>
      </c>
      <c r="E3060" s="5" t="str">
        <f>_xlfn.XLOOKUP(role_course_map[[#This Row],[course_id]],course_data[course_id],course_data[topic],"")</f>
        <v>SAS : Clinical Practice</v>
      </c>
      <c r="F3060" s="5" t="str">
        <f>_xlfn.XLOOKUP(role_course_map[[#This Row],[course_id]],course_data[course_id],course_data[type],"")</f>
        <v>Course</v>
      </c>
      <c r="K3060" t="str">
        <f>role_course_map[[#This Row],[role_id]] &amp; "|" &amp; role_course_map[[#This Row],[course_id]]</f>
        <v>R0121|999010</v>
      </c>
      <c r="L3060" t="str">
        <f>IF(COUNTIF(role_course_map[mapping_key],role_course_map[[#This Row],[mapping_key]])&gt;1,"DUPLICATE","OK")</f>
        <v>OK</v>
      </c>
      <c r="M3060" t="str">
        <f>IF(COUNTIF(role_data[role_id],role_course_map[[#This Row],[role_id]])=0, "INVALID","VALID")</f>
        <v>VALID</v>
      </c>
      <c r="N3060" t="str">
        <f>IF(COUNTIF(course_data[course_id],role_course_map[[#This Row],[course_id]])=0, "INVALID","VALID")</f>
        <v>VALID</v>
      </c>
    </row>
    <row r="3061" spans="1:14" x14ac:dyDescent="0.35">
      <c r="A3061" t="s">
        <v>254</v>
      </c>
      <c r="B3061" s="5" t="str">
        <f>_xlfn.XLOOKUP(role_course_map[[#This Row],[role_id]], role_data[role_id], role_data[Role],"")</f>
        <v>Special Operations Manager</v>
      </c>
      <c r="C3061">
        <v>999011</v>
      </c>
      <c r="D3061" s="5" t="str">
        <f>_xlfn.XLOOKUP(role_course_map[[#This Row],[course_id]],course_data[course_id],course_data[title],"")</f>
        <v>Paediatrics</v>
      </c>
      <c r="E3061" s="5" t="str">
        <f>_xlfn.XLOOKUP(role_course_map[[#This Row],[course_id]],course_data[course_id],course_data[topic],"")</f>
        <v>SAS : Clinical Practice</v>
      </c>
      <c r="F3061" s="5" t="str">
        <f>_xlfn.XLOOKUP(role_course_map[[#This Row],[course_id]],course_data[course_id],course_data[type],"")</f>
        <v>eLearning</v>
      </c>
      <c r="K3061" t="str">
        <f>role_course_map[[#This Row],[role_id]] &amp; "|" &amp; role_course_map[[#This Row],[course_id]]</f>
        <v>R0121|999011</v>
      </c>
      <c r="L3061" t="str">
        <f>IF(COUNTIF(role_course_map[mapping_key],role_course_map[[#This Row],[mapping_key]])&gt;1,"DUPLICATE","OK")</f>
        <v>OK</v>
      </c>
      <c r="M3061" t="str">
        <f>IF(COUNTIF(role_data[role_id],role_course_map[[#This Row],[role_id]])=0, "INVALID","VALID")</f>
        <v>VALID</v>
      </c>
      <c r="N3061" t="str">
        <f>IF(COUNTIF(course_data[course_id],role_course_map[[#This Row],[course_id]])=0, "INVALID","VALID")</f>
        <v>VALID</v>
      </c>
    </row>
    <row r="3062" spans="1:14" x14ac:dyDescent="0.35">
      <c r="A3062" t="s">
        <v>254</v>
      </c>
      <c r="B3062" s="5" t="str">
        <f>_xlfn.XLOOKUP(role_course_map[[#This Row],[role_id]], role_data[role_id], role_data[Role],"")</f>
        <v>Special Operations Manager</v>
      </c>
      <c r="C3062">
        <v>999012</v>
      </c>
      <c r="D3062" s="5" t="str">
        <f>_xlfn.XLOOKUP(role_course_map[[#This Row],[course_id]],course_data[course_id],course_data[title],"")</f>
        <v>Trauma</v>
      </c>
      <c r="E3062" s="5" t="str">
        <f>_xlfn.XLOOKUP(role_course_map[[#This Row],[course_id]],course_data[course_id],course_data[topic],"")</f>
        <v>SAS : Clinical Practice</v>
      </c>
      <c r="F3062" s="5" t="str">
        <f>_xlfn.XLOOKUP(role_course_map[[#This Row],[course_id]],course_data[course_id],course_data[type],"")</f>
        <v>Course</v>
      </c>
      <c r="K3062" t="str">
        <f>role_course_map[[#This Row],[role_id]] &amp; "|" &amp; role_course_map[[#This Row],[course_id]]</f>
        <v>R0121|999012</v>
      </c>
      <c r="L3062" t="str">
        <f>IF(COUNTIF(role_course_map[mapping_key],role_course_map[[#This Row],[mapping_key]])&gt;1,"DUPLICATE","OK")</f>
        <v>OK</v>
      </c>
      <c r="M3062" t="str">
        <f>IF(COUNTIF(role_data[role_id],role_course_map[[#This Row],[role_id]])=0, "INVALID","VALID")</f>
        <v>VALID</v>
      </c>
      <c r="N3062" t="str">
        <f>IF(COUNTIF(course_data[course_id],role_course_map[[#This Row],[course_id]])=0, "INVALID","VALID")</f>
        <v>VALID</v>
      </c>
    </row>
    <row r="3063" spans="1:14" x14ac:dyDescent="0.35">
      <c r="A3063" t="s">
        <v>254</v>
      </c>
      <c r="B3063" s="5" t="str">
        <f>_xlfn.XLOOKUP(role_course_map[[#This Row],[role_id]], role_data[role_id], role_data[Role],"")</f>
        <v>Special Operations Manager</v>
      </c>
      <c r="C3063">
        <v>999013</v>
      </c>
      <c r="D3063" s="5" t="str">
        <f>_xlfn.XLOOKUP(role_course_map[[#This Row],[course_id]],course_data[course_id],course_data[title],"")</f>
        <v>Trauma</v>
      </c>
      <c r="E3063" s="5" t="str">
        <f>_xlfn.XLOOKUP(role_course_map[[#This Row],[course_id]],course_data[course_id],course_data[topic],"")</f>
        <v>SAS : Clinical Practice</v>
      </c>
      <c r="F3063" s="5" t="str">
        <f>_xlfn.XLOOKUP(role_course_map[[#This Row],[course_id]],course_data[course_id],course_data[type],"")</f>
        <v>eLearning</v>
      </c>
      <c r="K3063" t="str">
        <f>role_course_map[[#This Row],[role_id]] &amp; "|" &amp; role_course_map[[#This Row],[course_id]]</f>
        <v>R0121|999013</v>
      </c>
      <c r="L3063" t="str">
        <f>IF(COUNTIF(role_course_map[mapping_key],role_course_map[[#This Row],[mapping_key]])&gt;1,"DUPLICATE","OK")</f>
        <v>OK</v>
      </c>
      <c r="M3063" t="str">
        <f>IF(COUNTIF(role_data[role_id],role_course_map[[#This Row],[role_id]])=0, "INVALID","VALID")</f>
        <v>VALID</v>
      </c>
      <c r="N3063" t="str">
        <f>IF(COUNTIF(course_data[course_id],role_course_map[[#This Row],[course_id]])=0, "INVALID","VALID")</f>
        <v>VALID</v>
      </c>
    </row>
    <row r="3064" spans="1:14" x14ac:dyDescent="0.35">
      <c r="A3064" t="s">
        <v>254</v>
      </c>
      <c r="B3064" s="5" t="str">
        <f>_xlfn.XLOOKUP(role_course_map[[#This Row],[role_id]], role_data[role_id], role_data[Role],"")</f>
        <v>Special Operations Manager</v>
      </c>
      <c r="C3064">
        <v>999014</v>
      </c>
      <c r="D3064" s="5" t="str">
        <f>_xlfn.XLOOKUP(role_course_map[[#This Row],[course_id]],course_data[course_id],course_data[title],"")</f>
        <v>Patient Assessment</v>
      </c>
      <c r="E3064" s="5" t="str">
        <f>_xlfn.XLOOKUP(role_course_map[[#This Row],[course_id]],course_data[course_id],course_data[topic],"")</f>
        <v>SAS : Clinical Practice</v>
      </c>
      <c r="F3064" s="5" t="str">
        <f>_xlfn.XLOOKUP(role_course_map[[#This Row],[course_id]],course_data[course_id],course_data[type],"")</f>
        <v>Course</v>
      </c>
      <c r="K3064" t="str">
        <f>role_course_map[[#This Row],[role_id]] &amp; "|" &amp; role_course_map[[#This Row],[course_id]]</f>
        <v>R0121|999014</v>
      </c>
      <c r="L3064" t="str">
        <f>IF(COUNTIF(role_course_map[mapping_key],role_course_map[[#This Row],[mapping_key]])&gt;1,"DUPLICATE","OK")</f>
        <v>OK</v>
      </c>
      <c r="M3064" t="str">
        <f>IF(COUNTIF(role_data[role_id],role_course_map[[#This Row],[role_id]])=0, "INVALID","VALID")</f>
        <v>VALID</v>
      </c>
      <c r="N3064" t="str">
        <f>IF(COUNTIF(course_data[course_id],role_course_map[[#This Row],[course_id]])=0, "INVALID","VALID")</f>
        <v>VALID</v>
      </c>
    </row>
    <row r="3065" spans="1:14" x14ac:dyDescent="0.35">
      <c r="A3065" t="s">
        <v>254</v>
      </c>
      <c r="B3065" s="5" t="str">
        <f>_xlfn.XLOOKUP(role_course_map[[#This Row],[role_id]], role_data[role_id], role_data[Role],"")</f>
        <v>Special Operations Manager</v>
      </c>
      <c r="C3065">
        <v>999015</v>
      </c>
      <c r="D3065" s="5" t="str">
        <f>_xlfn.XLOOKUP(role_course_map[[#This Row],[course_id]],course_data[course_id],course_data[title],"")</f>
        <v>Patient Assessment</v>
      </c>
      <c r="E3065" s="5" t="str">
        <f>_xlfn.XLOOKUP(role_course_map[[#This Row],[course_id]],course_data[course_id],course_data[topic],"")</f>
        <v>SAS : Clinical Practice</v>
      </c>
      <c r="F3065" s="5" t="str">
        <f>_xlfn.XLOOKUP(role_course_map[[#This Row],[course_id]],course_data[course_id],course_data[type],"")</f>
        <v>eLearning</v>
      </c>
      <c r="K3065" t="str">
        <f>role_course_map[[#This Row],[role_id]] &amp; "|" &amp; role_course_map[[#This Row],[course_id]]</f>
        <v>R0121|999015</v>
      </c>
      <c r="L3065" t="str">
        <f>IF(COUNTIF(role_course_map[mapping_key],role_course_map[[#This Row],[mapping_key]])&gt;1,"DUPLICATE","OK")</f>
        <v>OK</v>
      </c>
      <c r="M3065" t="str">
        <f>IF(COUNTIF(role_data[role_id],role_course_map[[#This Row],[role_id]])=0, "INVALID","VALID")</f>
        <v>VALID</v>
      </c>
      <c r="N3065" t="str">
        <f>IF(COUNTIF(course_data[course_id],role_course_map[[#This Row],[course_id]])=0, "INVALID","VALID")</f>
        <v>VALID</v>
      </c>
    </row>
    <row r="3066" spans="1:14" x14ac:dyDescent="0.35">
      <c r="A3066" t="s">
        <v>254</v>
      </c>
      <c r="B3066" s="5" t="str">
        <f>_xlfn.XLOOKUP(role_course_map[[#This Row],[role_id]], role_data[role_id], role_data[Role],"")</f>
        <v>Special Operations Manager</v>
      </c>
      <c r="C3066">
        <v>999016</v>
      </c>
      <c r="D3066" s="5" t="str">
        <f>_xlfn.XLOOKUP(role_course_map[[#This Row],[course_id]],course_data[course_id],course_data[title],"")</f>
        <v>Clinical Skills</v>
      </c>
      <c r="E3066" s="5" t="str">
        <f>_xlfn.XLOOKUP(role_course_map[[#This Row],[course_id]],course_data[course_id],course_data[topic],"")</f>
        <v>SAS : Clinical Practice</v>
      </c>
      <c r="F3066" s="5" t="str">
        <f>_xlfn.XLOOKUP(role_course_map[[#This Row],[course_id]],course_data[course_id],course_data[type],"")</f>
        <v>Course</v>
      </c>
      <c r="K3066" t="str">
        <f>role_course_map[[#This Row],[role_id]] &amp; "|" &amp; role_course_map[[#This Row],[course_id]]</f>
        <v>R0121|999016</v>
      </c>
      <c r="L3066" t="str">
        <f>IF(COUNTIF(role_course_map[mapping_key],role_course_map[[#This Row],[mapping_key]])&gt;1,"DUPLICATE","OK")</f>
        <v>OK</v>
      </c>
      <c r="M3066" t="str">
        <f>IF(COUNTIF(role_data[role_id],role_course_map[[#This Row],[role_id]])=0, "INVALID","VALID")</f>
        <v>VALID</v>
      </c>
      <c r="N3066" t="str">
        <f>IF(COUNTIF(course_data[course_id],role_course_map[[#This Row],[course_id]])=0, "INVALID","VALID")</f>
        <v>VALID</v>
      </c>
    </row>
    <row r="3067" spans="1:14" x14ac:dyDescent="0.35">
      <c r="A3067" t="s">
        <v>254</v>
      </c>
      <c r="B3067" s="5" t="str">
        <f>_xlfn.XLOOKUP(role_course_map[[#This Row],[role_id]], role_data[role_id], role_data[Role],"")</f>
        <v>Special Operations Manager</v>
      </c>
      <c r="C3067">
        <v>999017</v>
      </c>
      <c r="D3067" s="5" t="str">
        <f>_xlfn.XLOOKUP(role_course_map[[#This Row],[course_id]],course_data[course_id],course_data[title],"")</f>
        <v>Clinical Skills</v>
      </c>
      <c r="E3067" s="5" t="str">
        <f>_xlfn.XLOOKUP(role_course_map[[#This Row],[course_id]],course_data[course_id],course_data[topic],"")</f>
        <v>SAS : Clinical Practice</v>
      </c>
      <c r="F3067" s="5" t="str">
        <f>_xlfn.XLOOKUP(role_course_map[[#This Row],[course_id]],course_data[course_id],course_data[type],"")</f>
        <v>eLearning</v>
      </c>
      <c r="K3067" t="str">
        <f>role_course_map[[#This Row],[role_id]] &amp; "|" &amp; role_course_map[[#This Row],[course_id]]</f>
        <v>R0121|999017</v>
      </c>
      <c r="L3067" t="str">
        <f>IF(COUNTIF(role_course_map[mapping_key],role_course_map[[#This Row],[mapping_key]])&gt;1,"DUPLICATE","OK")</f>
        <v>OK</v>
      </c>
      <c r="M3067" t="str">
        <f>IF(COUNTIF(role_data[role_id],role_course_map[[#This Row],[role_id]])=0, "INVALID","VALID")</f>
        <v>VALID</v>
      </c>
      <c r="N3067" t="str">
        <f>IF(COUNTIF(course_data[course_id],role_course_map[[#This Row],[course_id]])=0, "INVALID","VALID")</f>
        <v>VALID</v>
      </c>
    </row>
    <row r="3068" spans="1:14" x14ac:dyDescent="0.35">
      <c r="A3068" t="s">
        <v>254</v>
      </c>
      <c r="B3068" s="5" t="str">
        <f>_xlfn.XLOOKUP(role_course_map[[#This Row],[role_id]], role_data[role_id], role_data[Role],"")</f>
        <v>Special Operations Manager</v>
      </c>
      <c r="C3068">
        <v>999018</v>
      </c>
      <c r="D3068" s="5" t="str">
        <f>_xlfn.XLOOKUP(role_course_map[[#This Row],[course_id]],course_data[course_id],course_data[title],"")</f>
        <v>Learning from Events</v>
      </c>
      <c r="E3068" s="5" t="str">
        <f>_xlfn.XLOOKUP(role_course_map[[#This Row],[course_id]],course_data[course_id],course_data[topic],"")</f>
        <v>SAS : Clinical Practice</v>
      </c>
      <c r="F3068" s="5" t="str">
        <f>_xlfn.XLOOKUP(role_course_map[[#This Row],[course_id]],course_data[course_id],course_data[type],"")</f>
        <v>eLearning</v>
      </c>
      <c r="K3068" t="str">
        <f>role_course_map[[#This Row],[role_id]] &amp; "|" &amp; role_course_map[[#This Row],[course_id]]</f>
        <v>R0121|999018</v>
      </c>
      <c r="L3068" t="str">
        <f>IF(COUNTIF(role_course_map[mapping_key],role_course_map[[#This Row],[mapping_key]])&gt;1,"DUPLICATE","OK")</f>
        <v>OK</v>
      </c>
      <c r="M3068" t="str">
        <f>IF(COUNTIF(role_data[role_id],role_course_map[[#This Row],[role_id]])=0, "INVALID","VALID")</f>
        <v>VALID</v>
      </c>
      <c r="N3068" t="str">
        <f>IF(COUNTIF(course_data[course_id],role_course_map[[#This Row],[course_id]])=0, "INVALID","VALID")</f>
        <v>VALID</v>
      </c>
    </row>
    <row r="3069" spans="1:14" x14ac:dyDescent="0.35">
      <c r="A3069" t="s">
        <v>254</v>
      </c>
      <c r="B3069" s="5" t="str">
        <f>_xlfn.XLOOKUP(role_course_map[[#This Row],[role_id]], role_data[role_id], role_data[Role],"")</f>
        <v>Special Operations Manager</v>
      </c>
      <c r="C3069">
        <v>999019</v>
      </c>
      <c r="D3069" s="5" t="str">
        <f>_xlfn.XLOOKUP(role_course_map[[#This Row],[course_id]],course_data[course_id],course_data[title],"")</f>
        <v>Medicines Management</v>
      </c>
      <c r="E3069" s="5" t="str">
        <f>_xlfn.XLOOKUP(role_course_map[[#This Row],[course_id]],course_data[course_id],course_data[topic],"")</f>
        <v>SAS : Clinical Practice</v>
      </c>
      <c r="F3069" s="5" t="str">
        <f>_xlfn.XLOOKUP(role_course_map[[#This Row],[course_id]],course_data[course_id],course_data[type],"")</f>
        <v>eLearning</v>
      </c>
      <c r="K3069" t="str">
        <f>role_course_map[[#This Row],[role_id]] &amp; "|" &amp; role_course_map[[#This Row],[course_id]]</f>
        <v>R0121|999019</v>
      </c>
      <c r="L3069" t="str">
        <f>IF(COUNTIF(role_course_map[mapping_key],role_course_map[[#This Row],[mapping_key]])&gt;1,"DUPLICATE","OK")</f>
        <v>OK</v>
      </c>
      <c r="M3069" t="str">
        <f>IF(COUNTIF(role_data[role_id],role_course_map[[#This Row],[role_id]])=0, "INVALID","VALID")</f>
        <v>VALID</v>
      </c>
      <c r="N3069" t="str">
        <f>IF(COUNTIF(course_data[course_id],role_course_map[[#This Row],[course_id]])=0, "INVALID","VALID")</f>
        <v>VALID</v>
      </c>
    </row>
    <row r="3070" spans="1:14" x14ac:dyDescent="0.35">
      <c r="A3070" t="s">
        <v>254</v>
      </c>
      <c r="B3070" s="5" t="str">
        <f>_xlfn.XLOOKUP(role_course_map[[#This Row],[role_id]], role_data[role_id], role_data[Role],"")</f>
        <v>Special Operations Manager</v>
      </c>
      <c r="C3070">
        <v>999020</v>
      </c>
      <c r="D3070" s="5" t="str">
        <f>_xlfn.XLOOKUP(role_course_map[[#This Row],[course_id]],course_data[course_id],course_data[title],"")</f>
        <v>JRCALC Update</v>
      </c>
      <c r="E3070" s="5" t="str">
        <f>_xlfn.XLOOKUP(role_course_map[[#This Row],[course_id]],course_data[course_id],course_data[topic],"")</f>
        <v>SAS : Clinical Practice</v>
      </c>
      <c r="F3070" s="5" t="str">
        <f>_xlfn.XLOOKUP(role_course_map[[#This Row],[course_id]],course_data[course_id],course_data[type],"")</f>
        <v>eLearning</v>
      </c>
      <c r="K3070" t="str">
        <f>role_course_map[[#This Row],[role_id]] &amp; "|" &amp; role_course_map[[#This Row],[course_id]]</f>
        <v>R0121|999020</v>
      </c>
      <c r="L3070" t="str">
        <f>IF(COUNTIF(role_course_map[mapping_key],role_course_map[[#This Row],[mapping_key]])&gt;1,"DUPLICATE","OK")</f>
        <v>OK</v>
      </c>
      <c r="M3070" t="str">
        <f>IF(COUNTIF(role_data[role_id],role_course_map[[#This Row],[role_id]])=0, "INVALID","VALID")</f>
        <v>VALID</v>
      </c>
      <c r="N3070" t="str">
        <f>IF(COUNTIF(course_data[course_id],role_course_map[[#This Row],[course_id]])=0, "INVALID","VALID")</f>
        <v>VALID</v>
      </c>
    </row>
    <row r="3071" spans="1:14" x14ac:dyDescent="0.35">
      <c r="A3071" t="s">
        <v>254</v>
      </c>
      <c r="B3071" s="5" t="str">
        <f>_xlfn.XLOOKUP(role_course_map[[#This Row],[role_id]], role_data[role_id], role_data[Role],"")</f>
        <v>Special Operations Manager</v>
      </c>
      <c r="C3071">
        <v>999021</v>
      </c>
      <c r="D3071" s="5" t="str">
        <f>_xlfn.XLOOKUP(role_course_map[[#This Row],[course_id]],course_data[course_id],course_data[title],"")</f>
        <v>Mental Health</v>
      </c>
      <c r="E3071" s="5" t="str">
        <f>_xlfn.XLOOKUP(role_course_map[[#This Row],[course_id]],course_data[course_id],course_data[topic],"")</f>
        <v>SAS : Clinical Practice</v>
      </c>
      <c r="F3071" s="5" t="str">
        <f>_xlfn.XLOOKUP(role_course_map[[#This Row],[course_id]],course_data[course_id],course_data[type],"")</f>
        <v>eLearning</v>
      </c>
      <c r="K3071" t="str">
        <f>role_course_map[[#This Row],[role_id]] &amp; "|" &amp; role_course_map[[#This Row],[course_id]]</f>
        <v>R0121|999021</v>
      </c>
      <c r="L3071" t="str">
        <f>IF(COUNTIF(role_course_map[mapping_key],role_course_map[[#This Row],[mapping_key]])&gt;1,"DUPLICATE","OK")</f>
        <v>OK</v>
      </c>
      <c r="M3071" t="str">
        <f>IF(COUNTIF(role_data[role_id],role_course_map[[#This Row],[role_id]])=0, "INVALID","VALID")</f>
        <v>VALID</v>
      </c>
      <c r="N3071" t="str">
        <f>IF(COUNTIF(course_data[course_id],role_course_map[[#This Row],[course_id]])=0, "INVALID","VALID")</f>
        <v>VALID</v>
      </c>
    </row>
    <row r="3072" spans="1:14" x14ac:dyDescent="0.35">
      <c r="A3072" t="s">
        <v>254</v>
      </c>
      <c r="B3072" s="5" t="str">
        <f>_xlfn.XLOOKUP(role_course_map[[#This Row],[role_id]], role_data[role_id], role_data[Role],"")</f>
        <v>Special Operations Manager</v>
      </c>
      <c r="C3072">
        <v>999022</v>
      </c>
      <c r="D3072" s="5" t="str">
        <f>_xlfn.XLOOKUP(role_course_map[[#This Row],[course_id]],course_data[course_id],course_data[title],"")</f>
        <v>Learning Disabilities</v>
      </c>
      <c r="E3072" s="5" t="str">
        <f>_xlfn.XLOOKUP(role_course_map[[#This Row],[course_id]],course_data[course_id],course_data[topic],"")</f>
        <v>SAS : Clinical Practice</v>
      </c>
      <c r="F3072" s="5" t="str">
        <f>_xlfn.XLOOKUP(role_course_map[[#This Row],[course_id]],course_data[course_id],course_data[type],"")</f>
        <v>eLearning</v>
      </c>
      <c r="K3072" t="str">
        <f>role_course_map[[#This Row],[role_id]] &amp; "|" &amp; role_course_map[[#This Row],[course_id]]</f>
        <v>R0121|999022</v>
      </c>
      <c r="L3072" t="str">
        <f>IF(COUNTIF(role_course_map[mapping_key],role_course_map[[#This Row],[mapping_key]])&gt;1,"DUPLICATE","OK")</f>
        <v>OK</v>
      </c>
      <c r="M3072" t="str">
        <f>IF(COUNTIF(role_data[role_id],role_course_map[[#This Row],[role_id]])=0, "INVALID","VALID")</f>
        <v>VALID</v>
      </c>
      <c r="N3072" t="str">
        <f>IF(COUNTIF(course_data[course_id],role_course_map[[#This Row],[course_id]])=0, "INVALID","VALID")</f>
        <v>VALID</v>
      </c>
    </row>
    <row r="3073" spans="1:14" x14ac:dyDescent="0.35">
      <c r="A3073" t="s">
        <v>254</v>
      </c>
      <c r="B3073" s="5" t="str">
        <f>_xlfn.XLOOKUP(role_course_map[[#This Row],[role_id]], role_data[role_id], role_data[Role],"")</f>
        <v>Special Operations Manager</v>
      </c>
      <c r="C3073">
        <v>75202</v>
      </c>
      <c r="D3073" s="5" t="str">
        <f>_xlfn.XLOOKUP(role_course_map[[#This Row],[course_id]],course_data[course_id],course_data[title],"")</f>
        <v>SAS : Clinical Practice</v>
      </c>
      <c r="E3073" s="5" t="str">
        <f>_xlfn.XLOOKUP(role_course_map[[#This Row],[course_id]],course_data[course_id],course_data[topic],"")</f>
        <v>SAS : Clinical Practice</v>
      </c>
      <c r="F3073" s="5" t="str">
        <f>_xlfn.XLOOKUP(role_course_map[[#This Row],[course_id]],course_data[course_id],course_data[type],"")</f>
        <v>Page</v>
      </c>
      <c r="K3073" t="str">
        <f>role_course_map[[#This Row],[role_id]] &amp; "|" &amp; role_course_map[[#This Row],[course_id]]</f>
        <v>R0121|75202</v>
      </c>
      <c r="L3073" t="str">
        <f>IF(COUNTIF(role_course_map[mapping_key],role_course_map[[#This Row],[mapping_key]])&gt;1,"DUPLICATE","OK")</f>
        <v>OK</v>
      </c>
      <c r="M3073" t="str">
        <f>IF(COUNTIF(role_data[role_id],role_course_map[[#This Row],[role_id]])=0, "INVALID","VALID")</f>
        <v>VALID</v>
      </c>
      <c r="N3073" t="str">
        <f>IF(COUNTIF(course_data[course_id],role_course_map[[#This Row],[course_id]])=0, "INVALID","VALID")</f>
        <v>VALID</v>
      </c>
    </row>
    <row r="3074" spans="1:14" x14ac:dyDescent="0.35">
      <c r="A3074" t="s">
        <v>254</v>
      </c>
      <c r="B3074" s="5" t="str">
        <f>_xlfn.XLOOKUP(role_course_map[[#This Row],[role_id]], role_data[role_id], role_data[Role],"")</f>
        <v>Special Operations Manager</v>
      </c>
      <c r="C3074">
        <v>999023</v>
      </c>
      <c r="D3074" s="5" t="str">
        <f>_xlfn.XLOOKUP(role_course_map[[#This Row],[course_id]],course_data[course_id],course_data[title],"")</f>
        <v>Dementia</v>
      </c>
      <c r="E3074" s="5" t="str">
        <f>_xlfn.XLOOKUP(role_course_map[[#This Row],[course_id]],course_data[course_id],course_data[topic],"")</f>
        <v>SAS : Clinical Practice</v>
      </c>
      <c r="F3074" s="5" t="str">
        <f>_xlfn.XLOOKUP(role_course_map[[#This Row],[course_id]],course_data[course_id],course_data[type],"")</f>
        <v>eLearning</v>
      </c>
      <c r="K3074" t="str">
        <f>role_course_map[[#This Row],[role_id]] &amp; "|" &amp; role_course_map[[#This Row],[course_id]]</f>
        <v>R0121|999023</v>
      </c>
      <c r="L3074" t="str">
        <f>IF(COUNTIF(role_course_map[mapping_key],role_course_map[[#This Row],[mapping_key]])&gt;1,"DUPLICATE","OK")</f>
        <v>OK</v>
      </c>
      <c r="M3074" t="str">
        <f>IF(COUNTIF(role_data[role_id],role_course_map[[#This Row],[role_id]])=0, "INVALID","VALID")</f>
        <v>VALID</v>
      </c>
      <c r="N3074" t="str">
        <f>IF(COUNTIF(course_data[course_id],role_course_map[[#This Row],[course_id]])=0, "INVALID","VALID")</f>
        <v>VALID</v>
      </c>
    </row>
    <row r="3075" spans="1:14" x14ac:dyDescent="0.35">
      <c r="A3075" t="s">
        <v>254</v>
      </c>
      <c r="B3075" s="5" t="str">
        <f>_xlfn.XLOOKUP(role_course_map[[#This Row],[role_id]], role_data[role_id], role_data[Role],"")</f>
        <v>Special Operations Manager</v>
      </c>
      <c r="C3075">
        <v>999024</v>
      </c>
      <c r="D3075" s="5" t="str">
        <f>_xlfn.XLOOKUP(role_course_map[[#This Row],[course_id]],course_data[course_id],course_data[title],"")</f>
        <v>Conditions requiring specific hospital management. I.e. Parkinsons</v>
      </c>
      <c r="E3075" s="5" t="str">
        <f>_xlfn.XLOOKUP(role_course_map[[#This Row],[course_id]],course_data[course_id],course_data[topic],"")</f>
        <v>SAS : Clinical Practice</v>
      </c>
      <c r="F3075" s="5" t="str">
        <f>_xlfn.XLOOKUP(role_course_map[[#This Row],[course_id]],course_data[course_id],course_data[type],"")</f>
        <v>eLearning</v>
      </c>
      <c r="K3075" t="str">
        <f>role_course_map[[#This Row],[role_id]] &amp; "|" &amp; role_course_map[[#This Row],[course_id]]</f>
        <v>R0121|999024</v>
      </c>
      <c r="L3075" t="str">
        <f>IF(COUNTIF(role_course_map[mapping_key],role_course_map[[#This Row],[mapping_key]])&gt;1,"DUPLICATE","OK")</f>
        <v>OK</v>
      </c>
      <c r="M3075" t="str">
        <f>IF(COUNTIF(role_data[role_id],role_course_map[[#This Row],[role_id]])=0, "INVALID","VALID")</f>
        <v>VALID</v>
      </c>
      <c r="N3075" t="str">
        <f>IF(COUNTIF(course_data[course_id],role_course_map[[#This Row],[course_id]])=0, "INVALID","VALID")</f>
        <v>VALID</v>
      </c>
    </row>
    <row r="3076" spans="1:14" x14ac:dyDescent="0.35">
      <c r="A3076" t="s">
        <v>254</v>
      </c>
      <c r="B3076" s="5" t="str">
        <f>_xlfn.XLOOKUP(role_course_map[[#This Row],[role_id]], role_data[role_id], role_data[Role],"")</f>
        <v>Special Operations Manager</v>
      </c>
      <c r="C3076">
        <v>999095</v>
      </c>
      <c r="D3076" s="5" t="str">
        <f>_xlfn.XLOOKUP(role_course_map[[#This Row],[course_id]],course_data[course_id],course_data[title],"")</f>
        <v>Mentoring</v>
      </c>
      <c r="E3076" s="5" t="str">
        <f>_xlfn.XLOOKUP(role_course_map[[#This Row],[course_id]],course_data[course_id],course_data[topic],"")</f>
        <v>SAS: Staff development and experience</v>
      </c>
      <c r="F3076" s="5" t="str">
        <f>_xlfn.XLOOKUP(role_course_map[[#This Row],[course_id]],course_data[course_id],course_data[type],"")</f>
        <v>eLearning</v>
      </c>
      <c r="K3076" t="str">
        <f>role_course_map[[#This Row],[role_id]] &amp; "|" &amp; role_course_map[[#This Row],[course_id]]</f>
        <v>R0121|999095</v>
      </c>
      <c r="L3076" t="str">
        <f>IF(COUNTIF(role_course_map[mapping_key],role_course_map[[#This Row],[mapping_key]])&gt;1,"DUPLICATE","OK")</f>
        <v>OK</v>
      </c>
      <c r="M3076" t="str">
        <f>IF(COUNTIF(role_data[role_id],role_course_map[[#This Row],[role_id]])=0, "INVALID","VALID")</f>
        <v>VALID</v>
      </c>
      <c r="N3076" t="str">
        <f>IF(COUNTIF(course_data[course_id],role_course_map[[#This Row],[course_id]])=0, "INVALID","VALID")</f>
        <v>VALID</v>
      </c>
    </row>
    <row r="3077" spans="1:14" x14ac:dyDescent="0.35">
      <c r="A3077" t="s">
        <v>254</v>
      </c>
      <c r="B3077" s="5" t="str">
        <f>_xlfn.XLOOKUP(role_course_map[[#This Row],[role_id]], role_data[role_id], role_data[Role],"")</f>
        <v>Special Operations Manager</v>
      </c>
      <c r="C3077">
        <v>999096</v>
      </c>
      <c r="D3077" s="5" t="str">
        <f>_xlfn.XLOOKUP(role_course_map[[#This Row],[course_id]],course_data[course_id],course_data[title],"")</f>
        <v>Supporting others in practice (Supervision)</v>
      </c>
      <c r="E3077" s="5" t="str">
        <f>_xlfn.XLOOKUP(role_course_map[[#This Row],[course_id]],course_data[course_id],course_data[topic],"")</f>
        <v>SAS: Staff development and experience</v>
      </c>
      <c r="F3077" s="5" t="str">
        <f>_xlfn.XLOOKUP(role_course_map[[#This Row],[course_id]],course_data[course_id],course_data[type],"")</f>
        <v>Course</v>
      </c>
      <c r="K3077" t="str">
        <f>role_course_map[[#This Row],[role_id]] &amp; "|" &amp; role_course_map[[#This Row],[course_id]]</f>
        <v>R0121|999096</v>
      </c>
      <c r="L3077" t="str">
        <f>IF(COUNTIF(role_course_map[mapping_key],role_course_map[[#This Row],[mapping_key]])&gt;1,"DUPLICATE","OK")</f>
        <v>OK</v>
      </c>
      <c r="M3077" t="str">
        <f>IF(COUNTIF(role_data[role_id],role_course_map[[#This Row],[role_id]])=0, "INVALID","VALID")</f>
        <v>VALID</v>
      </c>
      <c r="N3077" t="str">
        <f>IF(COUNTIF(course_data[course_id],role_course_map[[#This Row],[course_id]])=0, "INVALID","VALID")</f>
        <v>VALID</v>
      </c>
    </row>
    <row r="3078" spans="1:14" x14ac:dyDescent="0.35">
      <c r="A3078" t="s">
        <v>254</v>
      </c>
      <c r="B3078" s="5" t="str">
        <f>_xlfn.XLOOKUP(role_course_map[[#This Row],[role_id]], role_data[role_id], role_data[Role],"")</f>
        <v>Special Operations Manager</v>
      </c>
      <c r="C3078">
        <v>999097</v>
      </c>
      <c r="D3078" s="5" t="str">
        <f>_xlfn.XLOOKUP(role_course_map[[#This Row],[course_id]],course_data[course_id],course_data[title],"")</f>
        <v>Personal Wellbeing</v>
      </c>
      <c r="E3078" s="5" t="str">
        <f>_xlfn.XLOOKUP(role_course_map[[#This Row],[course_id]],course_data[course_id],course_data[topic],"")</f>
        <v>SAS: Staff development and experience</v>
      </c>
      <c r="F3078" s="5" t="str">
        <f>_xlfn.XLOOKUP(role_course_map[[#This Row],[course_id]],course_data[course_id],course_data[type],"")</f>
        <v>eLearning</v>
      </c>
      <c r="K3078" t="str">
        <f>role_course_map[[#This Row],[role_id]] &amp; "|" &amp; role_course_map[[#This Row],[course_id]]</f>
        <v>R0121|999097</v>
      </c>
      <c r="L3078" t="str">
        <f>IF(COUNTIF(role_course_map[mapping_key],role_course_map[[#This Row],[mapping_key]])&gt;1,"DUPLICATE","OK")</f>
        <v>OK</v>
      </c>
      <c r="M3078" t="str">
        <f>IF(COUNTIF(role_data[role_id],role_course_map[[#This Row],[role_id]])=0, "INVALID","VALID")</f>
        <v>VALID</v>
      </c>
      <c r="N3078" t="str">
        <f>IF(COUNTIF(course_data[course_id],role_course_map[[#This Row],[course_id]])=0, "INVALID","VALID")</f>
        <v>VALID</v>
      </c>
    </row>
    <row r="3079" spans="1:14" x14ac:dyDescent="0.35">
      <c r="A3079" t="s">
        <v>254</v>
      </c>
      <c r="B3079" s="5" t="str">
        <f>_xlfn.XLOOKUP(role_course_map[[#This Row],[role_id]], role_data[role_id], role_data[Role],"")</f>
        <v>Special Operations Manager</v>
      </c>
      <c r="C3079">
        <v>999091</v>
      </c>
      <c r="D3079" s="5" t="str">
        <f>_xlfn.XLOOKUP(role_course_map[[#This Row],[course_id]],course_data[course_id],course_data[title],"")</f>
        <v>Intermediate Leadership Development Programme</v>
      </c>
      <c r="E3079" s="5" t="str">
        <f>_xlfn.XLOOKUP(role_course_map[[#This Row],[course_id]],course_data[course_id],course_data[topic],"")</f>
        <v>SAS: Staff development and experience</v>
      </c>
      <c r="F3079" s="5">
        <f>_xlfn.XLOOKUP(role_course_map[[#This Row],[course_id]],course_data[course_id],course_data[type],"")</f>
        <v>0</v>
      </c>
      <c r="K3079" t="str">
        <f>role_course_map[[#This Row],[role_id]] &amp; "|" &amp; role_course_map[[#This Row],[course_id]]</f>
        <v>R0121|999091</v>
      </c>
      <c r="L3079" t="str">
        <f>IF(COUNTIF(role_course_map[mapping_key],role_course_map[[#This Row],[mapping_key]])&gt;1,"DUPLICATE","OK")</f>
        <v>OK</v>
      </c>
      <c r="M3079" t="str">
        <f>IF(COUNTIF(role_data[role_id],role_course_map[[#This Row],[role_id]])=0, "INVALID","VALID")</f>
        <v>VALID</v>
      </c>
      <c r="N3079" t="str">
        <f>IF(COUNTIF(course_data[course_id],role_course_map[[#This Row],[course_id]])=0, "INVALID","VALID")</f>
        <v>VALID</v>
      </c>
    </row>
    <row r="3080" spans="1:14" x14ac:dyDescent="0.35">
      <c r="A3080" t="s">
        <v>254</v>
      </c>
      <c r="B3080" s="5" t="str">
        <f>_xlfn.XLOOKUP(role_course_map[[#This Row],[role_id]], role_data[role_id], role_data[Role],"")</f>
        <v>Special Operations Manager</v>
      </c>
      <c r="C3080">
        <v>79147</v>
      </c>
      <c r="D3080" s="5" t="str">
        <f>_xlfn.XLOOKUP(role_course_map[[#This Row],[course_id]],course_data[course_id],course_data[title],"")</f>
        <v>Driving risks at work</v>
      </c>
      <c r="E3080" s="5" t="str">
        <f>_xlfn.XLOOKUP(role_course_map[[#This Row],[course_id]],course_data[course_id],course_data[topic],"")</f>
        <v>SAS : Health and Safety</v>
      </c>
      <c r="F3080" s="5" t="str">
        <f>_xlfn.XLOOKUP(role_course_map[[#This Row],[course_id]],course_data[course_id],course_data[type],"")</f>
        <v>eLearning</v>
      </c>
      <c r="K3080" t="str">
        <f>role_course_map[[#This Row],[role_id]] &amp; "|" &amp; role_course_map[[#This Row],[course_id]]</f>
        <v>R0121|79147</v>
      </c>
      <c r="L3080" t="str">
        <f>IF(COUNTIF(role_course_map[mapping_key],role_course_map[[#This Row],[mapping_key]])&gt;1,"DUPLICATE","OK")</f>
        <v>OK</v>
      </c>
      <c r="M3080" t="str">
        <f>IF(COUNTIF(role_data[role_id],role_course_map[[#This Row],[role_id]])=0, "INVALID","VALID")</f>
        <v>VALID</v>
      </c>
      <c r="N3080" t="str">
        <f>IF(COUNTIF(course_data[course_id],role_course_map[[#This Row],[course_id]])=0, "INVALID","VALID")</f>
        <v>VALID</v>
      </c>
    </row>
    <row r="3081" spans="1:14" x14ac:dyDescent="0.35">
      <c r="A3081" t="s">
        <v>254</v>
      </c>
      <c r="B3081" s="5" t="str">
        <f>_xlfn.XLOOKUP(role_course_map[[#This Row],[role_id]], role_data[role_id], role_data[Role],"")</f>
        <v>Special Operations Manager</v>
      </c>
      <c r="C3081">
        <v>999060</v>
      </c>
      <c r="D3081" s="5" t="str">
        <f>_xlfn.XLOOKUP(role_course_map[[#This Row],[course_id]],course_data[course_id],course_data[title],"")</f>
        <v>COSHH</v>
      </c>
      <c r="E3081" s="5" t="str">
        <f>_xlfn.XLOOKUP(role_course_map[[#This Row],[course_id]],course_data[course_id],course_data[topic],"")</f>
        <v>SAS : Health and Safety</v>
      </c>
      <c r="F3081" s="5" t="str">
        <f>_xlfn.XLOOKUP(role_course_map[[#This Row],[course_id]],course_data[course_id],course_data[type],"")</f>
        <v>eLearning</v>
      </c>
      <c r="K3081" t="str">
        <f>role_course_map[[#This Row],[role_id]] &amp; "|" &amp; role_course_map[[#This Row],[course_id]]</f>
        <v>R0121|999060</v>
      </c>
      <c r="L3081" t="str">
        <f>IF(COUNTIF(role_course_map[mapping_key],role_course_map[[#This Row],[mapping_key]])&gt;1,"DUPLICATE","OK")</f>
        <v>OK</v>
      </c>
      <c r="M3081" t="str">
        <f>IF(COUNTIF(role_data[role_id],role_course_map[[#This Row],[role_id]])=0, "INVALID","VALID")</f>
        <v>VALID</v>
      </c>
      <c r="N3081" t="str">
        <f>IF(COUNTIF(course_data[course_id],role_course_map[[#This Row],[course_id]])=0, "INVALID","VALID")</f>
        <v>VALID</v>
      </c>
    </row>
    <row r="3082" spans="1:14" x14ac:dyDescent="0.35">
      <c r="A3082" t="s">
        <v>254</v>
      </c>
      <c r="B3082" s="5" t="str">
        <f>_xlfn.XLOOKUP(role_course_map[[#This Row],[role_id]], role_data[role_id], role_data[Role],"")</f>
        <v>Special Operations Manager</v>
      </c>
      <c r="C3082">
        <v>999066</v>
      </c>
      <c r="D3082" s="5" t="str">
        <f>_xlfn.XLOOKUP(role_course_map[[#This Row],[course_id]],course_data[course_id],course_data[title],"")</f>
        <v>NRRD Update i.e. Major Incidents/Methane/ Multiple Casualities</v>
      </c>
      <c r="E3082" s="5" t="str">
        <f>_xlfn.XLOOKUP(role_course_map[[#This Row],[course_id]],course_data[course_id],course_data[topic],"")</f>
        <v>SAS : National Risk and Resilience Department (NRRD)</v>
      </c>
      <c r="F3082" s="5" t="str">
        <f>_xlfn.XLOOKUP(role_course_map[[#This Row],[course_id]],course_data[course_id],course_data[type],"")</f>
        <v>eLearning</v>
      </c>
      <c r="K3082" t="str">
        <f>role_course_map[[#This Row],[role_id]] &amp; "|" &amp; role_course_map[[#This Row],[course_id]]</f>
        <v>R0121|999066</v>
      </c>
      <c r="L3082" t="str">
        <f>IF(COUNTIF(role_course_map[mapping_key],role_course_map[[#This Row],[mapping_key]])&gt;1,"DUPLICATE","OK")</f>
        <v>OK</v>
      </c>
      <c r="M3082" t="str">
        <f>IF(COUNTIF(role_data[role_id],role_course_map[[#This Row],[role_id]])=0, "INVALID","VALID")</f>
        <v>VALID</v>
      </c>
      <c r="N3082" t="str">
        <f>IF(COUNTIF(course_data[course_id],role_course_map[[#This Row],[course_id]])=0, "INVALID","VALID")</f>
        <v>VALID</v>
      </c>
    </row>
    <row r="3083" spans="1:14" x14ac:dyDescent="0.35">
      <c r="A3083" t="s">
        <v>254</v>
      </c>
      <c r="B3083" s="5" t="str">
        <f>_xlfn.XLOOKUP(role_course_map[[#This Row],[role_id]], role_data[role_id], role_data[Role],"")</f>
        <v>Special Operations Manager</v>
      </c>
      <c r="C3083">
        <v>999025</v>
      </c>
      <c r="D3083" s="5" t="str">
        <f>_xlfn.XLOOKUP(role_course_map[[#This Row],[course_id]],course_data[course_id],course_data[title],"")</f>
        <v>Professional Standards</v>
      </c>
      <c r="E3083" s="5" t="str">
        <f>_xlfn.XLOOKUP(role_course_map[[#This Row],[course_id]],course_data[course_id],course_data[topic],"")</f>
        <v>SAS : Clinical Practice</v>
      </c>
      <c r="F3083" s="5" t="str">
        <f>_xlfn.XLOOKUP(role_course_map[[#This Row],[course_id]],course_data[course_id],course_data[type],"")</f>
        <v>eLearning</v>
      </c>
      <c r="K3083" t="str">
        <f>role_course_map[[#This Row],[role_id]] &amp; "|" &amp; role_course_map[[#This Row],[course_id]]</f>
        <v>R0121|999025</v>
      </c>
      <c r="L3083" t="str">
        <f>IF(COUNTIF(role_course_map[mapping_key],role_course_map[[#This Row],[mapping_key]])&gt;1,"DUPLICATE","OK")</f>
        <v>OK</v>
      </c>
      <c r="M3083" t="str">
        <f>IF(COUNTIF(role_data[role_id],role_course_map[[#This Row],[role_id]])=0, "INVALID","VALID")</f>
        <v>VALID</v>
      </c>
      <c r="N3083" t="str">
        <f>IF(COUNTIF(course_data[course_id],role_course_map[[#This Row],[course_id]])=0, "INVALID","VALID")</f>
        <v>VALID</v>
      </c>
    </row>
    <row r="3084" spans="1:14" x14ac:dyDescent="0.35">
      <c r="A3084" t="s">
        <v>254</v>
      </c>
      <c r="B3084" s="5" t="str">
        <f>_xlfn.XLOOKUP(role_course_map[[#This Row],[role_id]], role_data[role_id], role_data[Role],"")</f>
        <v>Special Operations Manager</v>
      </c>
      <c r="C3084">
        <v>999026</v>
      </c>
      <c r="D3084" s="5" t="str">
        <f>_xlfn.XLOOKUP(role_course_map[[#This Row],[course_id]],course_data[course_id],course_data[title],"")</f>
        <v>Communication Standards</v>
      </c>
      <c r="E3084" s="5" t="str">
        <f>_xlfn.XLOOKUP(role_course_map[[#This Row],[course_id]],course_data[course_id],course_data[topic],"")</f>
        <v>SAS : Clinical Practice</v>
      </c>
      <c r="F3084" s="5" t="str">
        <f>_xlfn.XLOOKUP(role_course_map[[#This Row],[course_id]],course_data[course_id],course_data[type],"")</f>
        <v>eLearning</v>
      </c>
      <c r="K3084" t="str">
        <f>role_course_map[[#This Row],[role_id]] &amp; "|" &amp; role_course_map[[#This Row],[course_id]]</f>
        <v>R0121|999026</v>
      </c>
      <c r="L3084" t="str">
        <f>IF(COUNTIF(role_course_map[mapping_key],role_course_map[[#This Row],[mapping_key]])&gt;1,"DUPLICATE","OK")</f>
        <v>OK</v>
      </c>
      <c r="M3084" t="str">
        <f>IF(COUNTIF(role_data[role_id],role_course_map[[#This Row],[role_id]])=0, "INVALID","VALID")</f>
        <v>VALID</v>
      </c>
      <c r="N3084" t="str">
        <f>IF(COUNTIF(course_data[course_id],role_course_map[[#This Row],[course_id]])=0, "INVALID","VALID")</f>
        <v>VALID</v>
      </c>
    </row>
    <row r="3085" spans="1:14" x14ac:dyDescent="0.35">
      <c r="A3085" t="s">
        <v>254</v>
      </c>
      <c r="B3085" s="5" t="str">
        <f>_xlfn.XLOOKUP(role_course_map[[#This Row],[role_id]], role_data[role_id], role_data[Role],"")</f>
        <v>Special Operations Manager</v>
      </c>
      <c r="C3085">
        <v>999062</v>
      </c>
      <c r="D3085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3085" s="5" t="str">
        <f>_xlfn.XLOOKUP(role_course_map[[#This Row],[course_id]],course_data[course_id],course_data[topic],"")</f>
        <v>SAS : Health and Safety</v>
      </c>
      <c r="F3085" s="5" t="str">
        <f>_xlfn.XLOOKUP(role_course_map[[#This Row],[course_id]],course_data[course_id],course_data[type],"")</f>
        <v>Course</v>
      </c>
      <c r="K3085" t="str">
        <f>role_course_map[[#This Row],[role_id]] &amp; "|" &amp; role_course_map[[#This Row],[course_id]]</f>
        <v>R0121|999062</v>
      </c>
      <c r="L3085" t="str">
        <f>IF(COUNTIF(role_course_map[mapping_key],role_course_map[[#This Row],[mapping_key]])&gt;1,"DUPLICATE","OK")</f>
        <v>OK</v>
      </c>
      <c r="M3085" t="str">
        <f>IF(COUNTIF(role_data[role_id],role_course_map[[#This Row],[role_id]])=0, "INVALID","VALID")</f>
        <v>VALID</v>
      </c>
      <c r="N3085" t="str">
        <f>IF(COUNTIF(course_data[course_id],role_course_map[[#This Row],[course_id]])=0, "INVALID","VALID")</f>
        <v>VALID</v>
      </c>
    </row>
    <row r="3086" spans="1:14" x14ac:dyDescent="0.35">
      <c r="A3086" t="s">
        <v>254</v>
      </c>
      <c r="B3086" s="5" t="str">
        <f>_xlfn.XLOOKUP(role_course_map[[#This Row],[role_id]], role_data[role_id], role_data[Role],"")</f>
        <v>Special Operations Manager</v>
      </c>
      <c r="C3086">
        <v>999056</v>
      </c>
      <c r="D3086" s="5" t="str">
        <f>_xlfn.XLOOKUP(role_course_map[[#This Row],[course_id]],course_data[course_id],course_data[title],"")</f>
        <v>Driver Assessment &amp; Training</v>
      </c>
      <c r="E3086" s="5" t="str">
        <f>_xlfn.XLOOKUP(role_course_map[[#This Row],[course_id]],course_data[course_id],course_data[topic],"")</f>
        <v>SAS : Health and Safety</v>
      </c>
      <c r="F3086" s="5" t="str">
        <f>_xlfn.XLOOKUP(role_course_map[[#This Row],[course_id]],course_data[course_id],course_data[type],"")</f>
        <v>eLearning</v>
      </c>
      <c r="K3086" t="str">
        <f>role_course_map[[#This Row],[role_id]] &amp; "|" &amp; role_course_map[[#This Row],[course_id]]</f>
        <v>R0121|999056</v>
      </c>
      <c r="L3086" t="str">
        <f>IF(COUNTIF(role_course_map[mapping_key],role_course_map[[#This Row],[mapping_key]])&gt;1,"DUPLICATE","OK")</f>
        <v>OK</v>
      </c>
      <c r="M3086" t="str">
        <f>IF(COUNTIF(role_data[role_id],role_course_map[[#This Row],[role_id]])=0, "INVALID","VALID")</f>
        <v>VALID</v>
      </c>
      <c r="N3086" t="str">
        <f>IF(COUNTIF(course_data[course_id],role_course_map[[#This Row],[course_id]])=0, "INVALID","VALID")</f>
        <v>VALID</v>
      </c>
    </row>
    <row r="3087" spans="1:14" x14ac:dyDescent="0.35">
      <c r="A3087" t="s">
        <v>254</v>
      </c>
      <c r="B3087" s="5" t="str">
        <f>_xlfn.XLOOKUP(role_course_map[[#This Row],[role_id]], role_data[role_id], role_data[Role],"")</f>
        <v>Special Operations Manager</v>
      </c>
      <c r="C3087">
        <v>999057</v>
      </c>
      <c r="D3087" s="5" t="str">
        <f>_xlfn.XLOOKUP(role_course_map[[#This Row],[course_id]],course_data[course_id],course_data[title],"")</f>
        <v>Fatigue Awareness</v>
      </c>
      <c r="E3087" s="5" t="str">
        <f>_xlfn.XLOOKUP(role_course_map[[#This Row],[course_id]],course_data[course_id],course_data[topic],"")</f>
        <v>SAS : Health and Safety</v>
      </c>
      <c r="F3087" s="5" t="str">
        <f>_xlfn.XLOOKUP(role_course_map[[#This Row],[course_id]],course_data[course_id],course_data[type],"")</f>
        <v>eLearning</v>
      </c>
      <c r="K3087" t="str">
        <f>role_course_map[[#This Row],[role_id]] &amp; "|" &amp; role_course_map[[#This Row],[course_id]]</f>
        <v>R0121|999057</v>
      </c>
      <c r="L3087" t="str">
        <f>IF(COUNTIF(role_course_map[mapping_key],role_course_map[[#This Row],[mapping_key]])&gt;1,"DUPLICATE","OK")</f>
        <v>OK</v>
      </c>
      <c r="M3087" t="str">
        <f>IF(COUNTIF(role_data[role_id],role_course_map[[#This Row],[role_id]])=0, "INVALID","VALID")</f>
        <v>VALID</v>
      </c>
      <c r="N3087" t="str">
        <f>IF(COUNTIF(course_data[course_id],role_course_map[[#This Row],[course_id]])=0, "INVALID","VALID")</f>
        <v>VALID</v>
      </c>
    </row>
    <row r="3088" spans="1:14" x14ac:dyDescent="0.35">
      <c r="A3088" t="s">
        <v>254</v>
      </c>
      <c r="B3088" s="5" t="str">
        <f>_xlfn.XLOOKUP(role_course_map[[#This Row],[role_id]], role_data[role_id], role_data[Role],"")</f>
        <v>Special Operations Manager</v>
      </c>
      <c r="C3088">
        <v>999058</v>
      </c>
      <c r="D3088" s="5" t="str">
        <f>_xlfn.XLOOKUP(role_course_map[[#This Row],[course_id]],course_data[course_id],course_data[title],"")</f>
        <v>Stress Identification &amp; Stress Management</v>
      </c>
      <c r="E3088" s="5" t="str">
        <f>_xlfn.XLOOKUP(role_course_map[[#This Row],[course_id]],course_data[course_id],course_data[topic],"")</f>
        <v>SAS : Health and Safety</v>
      </c>
      <c r="F3088" s="5" t="str">
        <f>_xlfn.XLOOKUP(role_course_map[[#This Row],[course_id]],course_data[course_id],course_data[type],"")</f>
        <v>eLearning</v>
      </c>
      <c r="K3088" t="str">
        <f>role_course_map[[#This Row],[role_id]] &amp; "|" &amp; role_course_map[[#This Row],[course_id]]</f>
        <v>R0121|999058</v>
      </c>
      <c r="L3088" t="str">
        <f>IF(COUNTIF(role_course_map[mapping_key],role_course_map[[#This Row],[mapping_key]])&gt;1,"DUPLICATE","OK")</f>
        <v>OK</v>
      </c>
      <c r="M3088" t="str">
        <f>IF(COUNTIF(role_data[role_id],role_course_map[[#This Row],[role_id]])=0, "INVALID","VALID")</f>
        <v>VALID</v>
      </c>
      <c r="N3088" t="str">
        <f>IF(COUNTIF(course_data[course_id],role_course_map[[#This Row],[course_id]])=0, "INVALID","VALID")</f>
        <v>VALID</v>
      </c>
    </row>
    <row r="3089" spans="1:14" x14ac:dyDescent="0.35">
      <c r="A3089" t="s">
        <v>254</v>
      </c>
      <c r="B3089" s="5" t="str">
        <f>_xlfn.XLOOKUP(role_course_map[[#This Row],[role_id]], role_data[role_id], role_data[Role],"")</f>
        <v>Special Operations Manager</v>
      </c>
      <c r="C3089">
        <v>999061</v>
      </c>
      <c r="D3089" s="5" t="str">
        <f>_xlfn.XLOOKUP(role_course_map[[#This Row],[course_id]],course_data[course_id],course_data[title],"")</f>
        <v>Skin Awareness</v>
      </c>
      <c r="E3089" s="5" t="str">
        <f>_xlfn.XLOOKUP(role_course_map[[#This Row],[course_id]],course_data[course_id],course_data[topic],"")</f>
        <v>SAS : Health and Safety</v>
      </c>
      <c r="F3089" s="5" t="str">
        <f>_xlfn.XLOOKUP(role_course_map[[#This Row],[course_id]],course_data[course_id],course_data[type],"")</f>
        <v>eLearning</v>
      </c>
      <c r="K3089" t="str">
        <f>role_course_map[[#This Row],[role_id]] &amp; "|" &amp; role_course_map[[#This Row],[course_id]]</f>
        <v>R0121|999061</v>
      </c>
      <c r="L3089" t="str">
        <f>IF(COUNTIF(role_course_map[mapping_key],role_course_map[[#This Row],[mapping_key]])&gt;1,"DUPLICATE","OK")</f>
        <v>OK</v>
      </c>
      <c r="M3089" t="str">
        <f>IF(COUNTIF(role_data[role_id],role_course_map[[#This Row],[role_id]])=0, "INVALID","VALID")</f>
        <v>VALID</v>
      </c>
      <c r="N3089" t="str">
        <f>IF(COUNTIF(course_data[course_id],role_course_map[[#This Row],[course_id]])=0, "INVALID","VALID")</f>
        <v>VALID</v>
      </c>
    </row>
    <row r="3090" spans="1:14" x14ac:dyDescent="0.35">
      <c r="A3090" t="s">
        <v>254</v>
      </c>
      <c r="B3090" s="5" t="str">
        <f>_xlfn.XLOOKUP(role_course_map[[#This Row],[role_id]], role_data[role_id], role_data[Role],"")</f>
        <v>Special Operations Manager</v>
      </c>
      <c r="C3090">
        <v>999027</v>
      </c>
      <c r="D3090" s="5" t="str">
        <f>_xlfn.XLOOKUP(role_course_map[[#This Row],[course_id]],course_data[course_id],course_data[title],"")</f>
        <v>Manual and Patient Handling Foundation Training - Level 2</v>
      </c>
      <c r="E3090" s="5" t="str">
        <f>_xlfn.XLOOKUP(role_course_map[[#This Row],[course_id]],course_data[course_id],course_data[topic],"")</f>
        <v>SAS : Clinical Practice</v>
      </c>
      <c r="F3090" s="5" t="str">
        <f>_xlfn.XLOOKUP(role_course_map[[#This Row],[course_id]],course_data[course_id],course_data[type],"")</f>
        <v>Course</v>
      </c>
      <c r="K3090" t="str">
        <f>role_course_map[[#This Row],[role_id]] &amp; "|" &amp; role_course_map[[#This Row],[course_id]]</f>
        <v>R0121|999027</v>
      </c>
      <c r="L3090" t="str">
        <f>IF(COUNTIF(role_course_map[mapping_key],role_course_map[[#This Row],[mapping_key]])&gt;1,"DUPLICATE","OK")</f>
        <v>OK</v>
      </c>
      <c r="M3090" t="str">
        <f>IF(COUNTIF(role_data[role_id],role_course_map[[#This Row],[role_id]])=0, "INVALID","VALID")</f>
        <v>VALID</v>
      </c>
      <c r="N3090" t="str">
        <f>IF(COUNTIF(course_data[course_id],role_course_map[[#This Row],[course_id]])=0, "INVALID","VALID")</f>
        <v>VALID</v>
      </c>
    </row>
    <row r="3091" spans="1:14" x14ac:dyDescent="0.35">
      <c r="A3091" t="s">
        <v>254</v>
      </c>
      <c r="B3091" s="5" t="str">
        <f>_xlfn.XLOOKUP(role_course_map[[#This Row],[role_id]], role_data[role_id], role_data[Role],"")</f>
        <v>Special Operations Manager</v>
      </c>
      <c r="C3091">
        <v>999028</v>
      </c>
      <c r="D3091" s="5" t="str">
        <f>_xlfn.XLOOKUP(role_course_map[[#This Row],[course_id]],course_data[course_id],course_data[title],"")</f>
        <v>Manual and Patient Handling Competency Assessment - Level 3</v>
      </c>
      <c r="E3091" s="5" t="str">
        <f>_xlfn.XLOOKUP(role_course_map[[#This Row],[course_id]],course_data[course_id],course_data[topic],"")</f>
        <v>SAS : Clinical Practice</v>
      </c>
      <c r="F3091" s="5" t="str">
        <f>_xlfn.XLOOKUP(role_course_map[[#This Row],[course_id]],course_data[course_id],course_data[type],"")</f>
        <v>Course</v>
      </c>
      <c r="K3091" t="str">
        <f>role_course_map[[#This Row],[role_id]] &amp; "|" &amp; role_course_map[[#This Row],[course_id]]</f>
        <v>R0121|999028</v>
      </c>
      <c r="L3091" t="str">
        <f>IF(COUNTIF(role_course_map[mapping_key],role_course_map[[#This Row],[mapping_key]])&gt;1,"DUPLICATE","OK")</f>
        <v>OK</v>
      </c>
      <c r="M3091" t="str">
        <f>IF(COUNTIF(role_data[role_id],role_course_map[[#This Row],[role_id]])=0, "INVALID","VALID")</f>
        <v>VALID</v>
      </c>
      <c r="N3091" t="str">
        <f>IF(COUNTIF(course_data[course_id],role_course_map[[#This Row],[course_id]])=0, "INVALID","VALID")</f>
        <v>VALID</v>
      </c>
    </row>
    <row r="3092" spans="1:14" x14ac:dyDescent="0.35">
      <c r="A3092" t="s">
        <v>254</v>
      </c>
      <c r="B3092" s="5" t="str">
        <f>_xlfn.XLOOKUP(role_course_map[[#This Row],[role_id]], role_data[role_id], role_data[Role],"")</f>
        <v>Special Operations Manager</v>
      </c>
      <c r="C3092">
        <v>999029</v>
      </c>
      <c r="D3092" s="5" t="str">
        <f>_xlfn.XLOOKUP(role_course_map[[#This Row],[course_id]],course_data[course_id],course_data[title],"")</f>
        <v>Manual and Patient Handling Competency Assessment Theory - Level 3</v>
      </c>
      <c r="E3092" s="5" t="str">
        <f>_xlfn.XLOOKUP(role_course_map[[#This Row],[course_id]],course_data[course_id],course_data[topic],"")</f>
        <v>SAS : Clinical Practice</v>
      </c>
      <c r="F3092" s="5" t="str">
        <f>_xlfn.XLOOKUP(role_course_map[[#This Row],[course_id]],course_data[course_id],course_data[type],"")</f>
        <v>Course</v>
      </c>
      <c r="K3092" t="str">
        <f>role_course_map[[#This Row],[role_id]] &amp; "|" &amp; role_course_map[[#This Row],[course_id]]</f>
        <v>R0121|999029</v>
      </c>
      <c r="L3092" t="str">
        <f>IF(COUNTIF(role_course_map[mapping_key],role_course_map[[#This Row],[mapping_key]])&gt;1,"DUPLICATE","OK")</f>
        <v>OK</v>
      </c>
      <c r="M3092" t="str">
        <f>IF(COUNTIF(role_data[role_id],role_course_map[[#This Row],[role_id]])=0, "INVALID","VALID")</f>
        <v>VALID</v>
      </c>
      <c r="N3092" t="str">
        <f>IF(COUNTIF(course_data[course_id],role_course_map[[#This Row],[course_id]])=0, "INVALID","VALID")</f>
        <v>VALID</v>
      </c>
    </row>
    <row r="3093" spans="1:14" x14ac:dyDescent="0.35">
      <c r="A3093" t="s">
        <v>254</v>
      </c>
      <c r="B3093" s="5" t="str">
        <f>_xlfn.XLOOKUP(role_course_map[[#This Row],[role_id]], role_data[role_id], role_data[Role],"")</f>
        <v>Special Operations Manager</v>
      </c>
      <c r="C3093" t="s">
        <v>659</v>
      </c>
      <c r="D3093" s="5" t="str">
        <f>_xlfn.XLOOKUP(role_course_map[[#This Row],[course_id]],course_data[course_id],course_data[title],"")</f>
        <v>Prevention and Management of Violence and Aggression - Breakaway training Level 2 /Restrictive movement Level 3</v>
      </c>
      <c r="E3093" s="5" t="str">
        <f>_xlfn.XLOOKUP(role_course_map[[#This Row],[course_id]],course_data[course_id],course_data[topic],"")</f>
        <v>SAS : Health and Safety</v>
      </c>
      <c r="F3093" s="5" t="str">
        <f>_xlfn.XLOOKUP(role_course_map[[#This Row],[course_id]],course_data[course_id],course_data[type],"")</f>
        <v>Course</v>
      </c>
      <c r="K3093" t="str">
        <f>role_course_map[[#This Row],[role_id]] &amp; "|" &amp; role_course_map[[#This Row],[course_id]]</f>
        <v>R0121|2025-6 edition</v>
      </c>
      <c r="L3093" t="str">
        <f>IF(COUNTIF(role_course_map[mapping_key],role_course_map[[#This Row],[mapping_key]])&gt;1,"DUPLICATE","OK")</f>
        <v>OK</v>
      </c>
      <c r="M3093" t="str">
        <f>IF(COUNTIF(role_data[role_id],role_course_map[[#This Row],[role_id]])=0, "INVALID","VALID")</f>
        <v>VALID</v>
      </c>
      <c r="N3093" t="str">
        <f>IF(COUNTIF(course_data[course_id],role_course_map[[#This Row],[course_id]])=0, "INVALID","VALID")</f>
        <v>VALID</v>
      </c>
    </row>
    <row r="3094" spans="1:14" x14ac:dyDescent="0.35">
      <c r="A3094" t="s">
        <v>254</v>
      </c>
      <c r="B3094" s="5" t="str">
        <f>_xlfn.XLOOKUP(role_course_map[[#This Row],[role_id]], role_data[role_id], role_data[Role],"")</f>
        <v>Special Operations Manager</v>
      </c>
      <c r="C3094">
        <v>999055</v>
      </c>
      <c r="D3094" s="5" t="str">
        <f>_xlfn.XLOOKUP(role_course_map[[#This Row],[course_id]],course_data[course_id],course_data[title],"")</f>
        <v>Prevention and Management of Violence and Aggression - Refresher</v>
      </c>
      <c r="E3094" s="5" t="str">
        <f>_xlfn.XLOOKUP(role_course_map[[#This Row],[course_id]],course_data[course_id],course_data[topic],"")</f>
        <v>SAS : Health and Safety</v>
      </c>
      <c r="F3094" s="5" t="str">
        <f>_xlfn.XLOOKUP(role_course_map[[#This Row],[course_id]],course_data[course_id],course_data[type],"")</f>
        <v>Course</v>
      </c>
      <c r="K3094" t="str">
        <f>role_course_map[[#This Row],[role_id]] &amp; "|" &amp; role_course_map[[#This Row],[course_id]]</f>
        <v>R0121|999055</v>
      </c>
      <c r="L3094" t="str">
        <f>IF(COUNTIF(role_course_map[mapping_key],role_course_map[[#This Row],[mapping_key]])&gt;1,"DUPLICATE","OK")</f>
        <v>OK</v>
      </c>
      <c r="M3094" t="str">
        <f>IF(COUNTIF(role_data[role_id],role_course_map[[#This Row],[role_id]])=0, "INVALID","VALID")</f>
        <v>VALID</v>
      </c>
      <c r="N3094" t="str">
        <f>IF(COUNTIF(course_data[course_id],role_course_map[[#This Row],[course_id]])=0, "INVALID","VALID")</f>
        <v>VALID</v>
      </c>
    </row>
    <row r="3095" spans="1:14" x14ac:dyDescent="0.35">
      <c r="A3095" t="s">
        <v>254</v>
      </c>
      <c r="B3095" s="5" t="str">
        <f>_xlfn.XLOOKUP(role_course_map[[#This Row],[role_id]], role_data[role_id], role_data[Role],"")</f>
        <v>Special Operations Manager</v>
      </c>
      <c r="C3095">
        <v>64322</v>
      </c>
      <c r="D3095" s="5" t="str">
        <f>_xlfn.XLOOKUP(role_course_map[[#This Row],[course_id]],course_data[course_id],course_data[title],"")</f>
        <v>Adult support and protection: practice level 2 [skilled]</v>
      </c>
      <c r="E3095" s="5" t="str">
        <f>_xlfn.XLOOKUP(role_course_map[[#This Row],[course_id]],course_data[course_id],course_data[topic],"")</f>
        <v>SAS : Public Protection</v>
      </c>
      <c r="F3095" s="5" t="str">
        <f>_xlfn.XLOOKUP(role_course_map[[#This Row],[course_id]],course_data[course_id],course_data[type],"")</f>
        <v>eLearning</v>
      </c>
      <c r="K3095" t="str">
        <f>role_course_map[[#This Row],[role_id]] &amp; "|" &amp; role_course_map[[#This Row],[course_id]]</f>
        <v>R0121|64322</v>
      </c>
      <c r="L3095" t="str">
        <f>IF(COUNTIF(role_course_map[mapping_key],role_course_map[[#This Row],[mapping_key]])&gt;1,"DUPLICATE","OK")</f>
        <v>OK</v>
      </c>
      <c r="M3095" t="str">
        <f>IF(COUNTIF(role_data[role_id],role_course_map[[#This Row],[role_id]])=0, "INVALID","VALID")</f>
        <v>VALID</v>
      </c>
      <c r="N3095" t="str">
        <f>IF(COUNTIF(course_data[course_id],role_course_map[[#This Row],[course_id]])=0, "INVALID","VALID")</f>
        <v>VALID</v>
      </c>
    </row>
    <row r="3096" spans="1:14" x14ac:dyDescent="0.35">
      <c r="A3096" t="s">
        <v>254</v>
      </c>
      <c r="B3096" s="5" t="str">
        <f>_xlfn.XLOOKUP(role_course_map[[#This Row],[role_id]], role_data[role_id], role_data[Role],"")</f>
        <v>Special Operations Manager</v>
      </c>
      <c r="C3096">
        <v>64324</v>
      </c>
      <c r="D3096" s="5" t="str">
        <f>_xlfn.XLOOKUP(role_course_map[[#This Row],[course_id]],course_data[course_id],course_data[title],"")</f>
        <v>Child protection: practice level 2 [skilled]</v>
      </c>
      <c r="E3096" s="5" t="str">
        <f>_xlfn.XLOOKUP(role_course_map[[#This Row],[course_id]],course_data[course_id],course_data[topic],"")</f>
        <v>SAS : Public Protection</v>
      </c>
      <c r="F3096" s="5" t="str">
        <f>_xlfn.XLOOKUP(role_course_map[[#This Row],[course_id]],course_data[course_id],course_data[type],"")</f>
        <v>eLearning</v>
      </c>
      <c r="K3096" t="str">
        <f>role_course_map[[#This Row],[role_id]] &amp; "|" &amp; role_course_map[[#This Row],[course_id]]</f>
        <v>R0121|64324</v>
      </c>
      <c r="L3096" t="str">
        <f>IF(COUNTIF(role_course_map[mapping_key],role_course_map[[#This Row],[mapping_key]])&gt;1,"DUPLICATE","OK")</f>
        <v>OK</v>
      </c>
      <c r="M3096" t="str">
        <f>IF(COUNTIF(role_data[role_id],role_course_map[[#This Row],[role_id]])=0, "INVALID","VALID")</f>
        <v>VALID</v>
      </c>
      <c r="N3096" t="str">
        <f>IF(COUNTIF(course_data[course_id],role_course_map[[#This Row],[course_id]])=0, "INVALID","VALID")</f>
        <v>VALID</v>
      </c>
    </row>
    <row r="3097" spans="1:14" x14ac:dyDescent="0.35">
      <c r="A3097" t="s">
        <v>254</v>
      </c>
      <c r="B3097" s="5" t="str">
        <f>_xlfn.XLOOKUP(role_course_map[[#This Row],[role_id]], role_data[role_id], role_data[Role],"")</f>
        <v>Special Operations Manager</v>
      </c>
      <c r="C3097">
        <v>76716</v>
      </c>
      <c r="D3097" s="5" t="str">
        <f>_xlfn.XLOOKUP(role_course_map[[#This Row],[course_id]],course_data[course_id],course_data[title],"")</f>
        <v>Domestic abuse awareness training tool (DAART)</v>
      </c>
      <c r="E3097" s="5" t="str">
        <f>_xlfn.XLOOKUP(role_course_map[[#This Row],[course_id]],course_data[course_id],course_data[topic],"")</f>
        <v>SAS : Public Protection</v>
      </c>
      <c r="F3097" s="5" t="str">
        <f>_xlfn.XLOOKUP(role_course_map[[#This Row],[course_id]],course_data[course_id],course_data[type],"")</f>
        <v>eLearning</v>
      </c>
      <c r="K3097" t="str">
        <f>role_course_map[[#This Row],[role_id]] &amp; "|" &amp; role_course_map[[#This Row],[course_id]]</f>
        <v>R0121|76716</v>
      </c>
      <c r="L3097" t="str">
        <f>IF(COUNTIF(role_course_map[mapping_key],role_course_map[[#This Row],[mapping_key]])&gt;1,"DUPLICATE","OK")</f>
        <v>OK</v>
      </c>
      <c r="M3097" t="str">
        <f>IF(COUNTIF(role_data[role_id],role_course_map[[#This Row],[role_id]])=0, "INVALID","VALID")</f>
        <v>VALID</v>
      </c>
      <c r="N3097" t="str">
        <f>IF(COUNTIF(course_data[course_id],role_course_map[[#This Row],[course_id]])=0, "INVALID","VALID")</f>
        <v>VALID</v>
      </c>
    </row>
    <row r="3098" spans="1:14" x14ac:dyDescent="0.35">
      <c r="A3098" t="s">
        <v>254</v>
      </c>
      <c r="B3098" s="5" t="str">
        <f>_xlfn.XLOOKUP(role_course_map[[#This Row],[role_id]], role_data[role_id], role_data[Role],"")</f>
        <v>Special Operations Manager</v>
      </c>
      <c r="C3098">
        <v>79666</v>
      </c>
      <c r="D3098" s="5" t="str">
        <f>_xlfn.XLOOKUP(role_course_map[[#This Row],[course_id]],course_data[course_id],course_data[title],"")</f>
        <v>Getting it right for every child (GIRFEC): informed level</v>
      </c>
      <c r="E3098" s="5" t="str">
        <f>_xlfn.XLOOKUP(role_course_map[[#This Row],[course_id]],course_data[course_id],course_data[topic],"")</f>
        <v>SAS : Public Protection</v>
      </c>
      <c r="F3098" s="5" t="str">
        <f>_xlfn.XLOOKUP(role_course_map[[#This Row],[course_id]],course_data[course_id],course_data[type],"")</f>
        <v>eLearning</v>
      </c>
      <c r="K3098" t="str">
        <f>role_course_map[[#This Row],[role_id]] &amp; "|" &amp; role_course_map[[#This Row],[course_id]]</f>
        <v>R0121|79666</v>
      </c>
      <c r="L3098" t="str">
        <f>IF(COUNTIF(role_course_map[mapping_key],role_course_map[[#This Row],[mapping_key]])&gt;1,"DUPLICATE","OK")</f>
        <v>OK</v>
      </c>
      <c r="M3098" t="str">
        <f>IF(COUNTIF(role_data[role_id],role_course_map[[#This Row],[role_id]])=0, "INVALID","VALID")</f>
        <v>VALID</v>
      </c>
      <c r="N3098" t="str">
        <f>IF(COUNTIF(course_data[course_id],role_course_map[[#This Row],[course_id]])=0, "INVALID","VALID")</f>
        <v>VALID</v>
      </c>
    </row>
    <row r="3099" spans="1:14" x14ac:dyDescent="0.35">
      <c r="A3099" t="s">
        <v>254</v>
      </c>
      <c r="B3099" s="5" t="str">
        <f>_xlfn.XLOOKUP(role_course_map[[#This Row],[role_id]], role_data[role_id], role_data[Role],"")</f>
        <v>Special Operations Manager</v>
      </c>
      <c r="C3099">
        <v>999074</v>
      </c>
      <c r="D3099" s="5" t="str">
        <f>_xlfn.XLOOKUP(role_course_map[[#This Row],[course_id]],course_data[course_id],course_data[title],"")</f>
        <v>SAS-specific Children’s rights</v>
      </c>
      <c r="E3099" s="5" t="str">
        <f>_xlfn.XLOOKUP(role_course_map[[#This Row],[course_id]],course_data[course_id],course_data[topic],"")</f>
        <v>SAS : Public Protection</v>
      </c>
      <c r="F3099" s="5" t="str">
        <f>_xlfn.XLOOKUP(role_course_map[[#This Row],[course_id]],course_data[course_id],course_data[type],"")</f>
        <v>eLearning</v>
      </c>
      <c r="K3099" t="str">
        <f>role_course_map[[#This Row],[role_id]] &amp; "|" &amp; role_course_map[[#This Row],[course_id]]</f>
        <v>R0121|999074</v>
      </c>
      <c r="L3099" t="str">
        <f>IF(COUNTIF(role_course_map[mapping_key],role_course_map[[#This Row],[mapping_key]])&gt;1,"DUPLICATE","OK")</f>
        <v>OK</v>
      </c>
      <c r="M3099" t="str">
        <f>IF(COUNTIF(role_data[role_id],role_course_map[[#This Row],[role_id]])=0, "INVALID","VALID")</f>
        <v>VALID</v>
      </c>
      <c r="N3099" t="str">
        <f>IF(COUNTIF(course_data[course_id],role_course_map[[#This Row],[course_id]])=0, "INVALID","VALID")</f>
        <v>VALID</v>
      </c>
    </row>
    <row r="3100" spans="1:14" x14ac:dyDescent="0.35">
      <c r="A3100" t="s">
        <v>254</v>
      </c>
      <c r="B3100" s="5" t="str">
        <f>_xlfn.XLOOKUP(role_course_map[[#This Row],[role_id]], role_data[role_id], role_data[Role],"")</f>
        <v>Special Operations Manager</v>
      </c>
      <c r="C3100">
        <v>999075</v>
      </c>
      <c r="D3100" s="5" t="str">
        <f>_xlfn.XLOOKUP(role_course_map[[#This Row],[course_id]],course_data[course_id],course_data[title],"")</f>
        <v>Multiagency local or bespoke Level 3 delivery training</v>
      </c>
      <c r="E3100" s="5" t="str">
        <f>_xlfn.XLOOKUP(role_course_map[[#This Row],[course_id]],course_data[course_id],course_data[topic],"")</f>
        <v>SAS : Public Protection</v>
      </c>
      <c r="F3100" s="5" t="str">
        <f>_xlfn.XLOOKUP(role_course_map[[#This Row],[course_id]],course_data[course_id],course_data[type],"")</f>
        <v>eLearning</v>
      </c>
      <c r="K3100" t="str">
        <f>role_course_map[[#This Row],[role_id]] &amp; "|" &amp; role_course_map[[#This Row],[course_id]]</f>
        <v>R0121|999075</v>
      </c>
      <c r="L3100" t="str">
        <f>IF(COUNTIF(role_course_map[mapping_key],role_course_map[[#This Row],[mapping_key]])&gt;1,"DUPLICATE","OK")</f>
        <v>OK</v>
      </c>
      <c r="M3100" t="str">
        <f>IF(COUNTIF(role_data[role_id],role_course_map[[#This Row],[role_id]])=0, "INVALID","VALID")</f>
        <v>VALID</v>
      </c>
      <c r="N3100" t="str">
        <f>IF(COUNTIF(course_data[course_id],role_course_map[[#This Row],[course_id]])=0, "INVALID","VALID")</f>
        <v>VALID</v>
      </c>
    </row>
    <row r="3101" spans="1:14" x14ac:dyDescent="0.35">
      <c r="A3101" t="s">
        <v>254</v>
      </c>
      <c r="B3101" s="5" t="str">
        <f>_xlfn.XLOOKUP(role_course_map[[#This Row],[role_id]], role_data[role_id], role_data[Role],"")</f>
        <v>Special Operations Manager</v>
      </c>
      <c r="C3101">
        <v>15249</v>
      </c>
      <c r="D3101" s="5" t="str">
        <f>_xlfn.XLOOKUP(role_course_map[[#This Row],[course_id]],course_data[course_id],course_data[title],"")</f>
        <v>Human trafficking</v>
      </c>
      <c r="E3101" s="5" t="str">
        <f>_xlfn.XLOOKUP(role_course_map[[#This Row],[course_id]],course_data[course_id],course_data[topic],"")</f>
        <v>SAS : Public Protection</v>
      </c>
      <c r="F3101" s="5" t="str">
        <f>_xlfn.XLOOKUP(role_course_map[[#This Row],[course_id]],course_data[course_id],course_data[type],"")</f>
        <v>eLearning</v>
      </c>
      <c r="K3101" t="str">
        <f>role_course_map[[#This Row],[role_id]] &amp; "|" &amp; role_course_map[[#This Row],[course_id]]</f>
        <v>R0121|15249</v>
      </c>
      <c r="L3101" t="str">
        <f>IF(COUNTIF(role_course_map[mapping_key],role_course_map[[#This Row],[mapping_key]])&gt;1,"DUPLICATE","OK")</f>
        <v>OK</v>
      </c>
      <c r="M3101" t="str">
        <f>IF(COUNTIF(role_data[role_id],role_course_map[[#This Row],[role_id]])=0, "INVALID","VALID")</f>
        <v>VALID</v>
      </c>
      <c r="N3101" t="str">
        <f>IF(COUNTIF(course_data[course_id],role_course_map[[#This Row],[course_id]])=0, "INVALID","VALID")</f>
        <v>VALID</v>
      </c>
    </row>
    <row r="3102" spans="1:14" x14ac:dyDescent="0.35">
      <c r="A3102" t="s">
        <v>254</v>
      </c>
      <c r="B3102" s="5" t="str">
        <f>_xlfn.XLOOKUP(role_course_map[[#This Row],[role_id]], role_data[role_id], role_data[Role],"")</f>
        <v>Special Operations Manager</v>
      </c>
      <c r="C3102">
        <v>89161</v>
      </c>
      <c r="D3102" s="5" t="str">
        <f>_xlfn.XLOOKUP(role_course_map[[#This Row],[course_id]],course_data[course_id],course_data[title],"")</f>
        <v>Personal Protective Equipment</v>
      </c>
      <c r="E3102" s="5" t="str">
        <f>_xlfn.XLOOKUP(role_course_map[[#This Row],[course_id]],course_data[course_id],course_data[topic],"")</f>
        <v>SAS : Infection Prevention and Control (IPC)</v>
      </c>
      <c r="F3102" s="5" t="str">
        <f>_xlfn.XLOOKUP(role_course_map[[#This Row],[course_id]],course_data[course_id],course_data[type],"")</f>
        <v>eLearning</v>
      </c>
      <c r="K3102" t="str">
        <f>role_course_map[[#This Row],[role_id]] &amp; "|" &amp; role_course_map[[#This Row],[course_id]]</f>
        <v>R0121|89161</v>
      </c>
      <c r="L3102" t="str">
        <f>IF(COUNTIF(role_course_map[mapping_key],role_course_map[[#This Row],[mapping_key]])&gt;1,"DUPLICATE","OK")</f>
        <v>OK</v>
      </c>
      <c r="M3102" t="str">
        <f>IF(COUNTIF(role_data[role_id],role_course_map[[#This Row],[role_id]])=0, "INVALID","VALID")</f>
        <v>VALID</v>
      </c>
      <c r="N3102" t="str">
        <f>IF(COUNTIF(course_data[course_id],role_course_map[[#This Row],[course_id]])=0, "INVALID","VALID")</f>
        <v>VALID</v>
      </c>
    </row>
    <row r="3103" spans="1:14" x14ac:dyDescent="0.35">
      <c r="A3103" t="s">
        <v>254</v>
      </c>
      <c r="B3103" s="5" t="str">
        <f>_xlfn.XLOOKUP(role_course_map[[#This Row],[role_id]], role_data[role_id], role_data[Role],"")</f>
        <v>Special Operations Manager</v>
      </c>
      <c r="C3103">
        <v>89157</v>
      </c>
      <c r="D3103" s="5" t="str">
        <f>_xlfn.XLOOKUP(role_course_map[[#This Row],[course_id]],course_data[course_id],course_data[title],"")</f>
        <v>Safe Management of Care Equipment</v>
      </c>
      <c r="E3103" s="5" t="str">
        <f>_xlfn.XLOOKUP(role_course_map[[#This Row],[course_id]],course_data[course_id],course_data[topic],"")</f>
        <v>SAS : Infection Prevention and Control (IPC)</v>
      </c>
      <c r="F3103" s="5" t="str">
        <f>_xlfn.XLOOKUP(role_course_map[[#This Row],[course_id]],course_data[course_id],course_data[type],"")</f>
        <v>eLearning</v>
      </c>
      <c r="K3103" t="str">
        <f>role_course_map[[#This Row],[role_id]] &amp; "|" &amp; role_course_map[[#This Row],[course_id]]</f>
        <v>R0121|89157</v>
      </c>
      <c r="L3103" t="str">
        <f>IF(COUNTIF(role_course_map[mapping_key],role_course_map[[#This Row],[mapping_key]])&gt;1,"DUPLICATE","OK")</f>
        <v>OK</v>
      </c>
      <c r="M3103" t="str">
        <f>IF(COUNTIF(role_data[role_id],role_course_map[[#This Row],[role_id]])=0, "INVALID","VALID")</f>
        <v>VALID</v>
      </c>
      <c r="N3103" t="str">
        <f>IF(COUNTIF(course_data[course_id],role_course_map[[#This Row],[course_id]])=0, "INVALID","VALID")</f>
        <v>VALID</v>
      </c>
    </row>
    <row r="3104" spans="1:14" x14ac:dyDescent="0.35">
      <c r="A3104" t="s">
        <v>254</v>
      </c>
      <c r="B3104" s="5" t="str">
        <f>_xlfn.XLOOKUP(role_course_map[[#This Row],[role_id]], role_data[role_id], role_data[Role],"")</f>
        <v>Special Operations Manager</v>
      </c>
      <c r="C3104">
        <v>89158</v>
      </c>
      <c r="D3104" s="5" t="str">
        <f>_xlfn.XLOOKUP(role_course_map[[#This Row],[course_id]],course_data[course_id],course_data[title],"")</f>
        <v>Safe Management of Care Environment</v>
      </c>
      <c r="E3104" s="5" t="str">
        <f>_xlfn.XLOOKUP(role_course_map[[#This Row],[course_id]],course_data[course_id],course_data[topic],"")</f>
        <v>SAS : Infection Prevention and Control (IPC)</v>
      </c>
      <c r="F3104" s="5" t="str">
        <f>_xlfn.XLOOKUP(role_course_map[[#This Row],[course_id]],course_data[course_id],course_data[type],"")</f>
        <v>eLearning</v>
      </c>
      <c r="K3104" t="str">
        <f>role_course_map[[#This Row],[role_id]] &amp; "|" &amp; role_course_map[[#This Row],[course_id]]</f>
        <v>R0121|89158</v>
      </c>
      <c r="L3104" t="str">
        <f>IF(COUNTIF(role_course_map[mapping_key],role_course_map[[#This Row],[mapping_key]])&gt;1,"DUPLICATE","OK")</f>
        <v>OK</v>
      </c>
      <c r="M3104" t="str">
        <f>IF(COUNTIF(role_data[role_id],role_course_map[[#This Row],[role_id]])=0, "INVALID","VALID")</f>
        <v>VALID</v>
      </c>
      <c r="N3104" t="str">
        <f>IF(COUNTIF(course_data[course_id],role_course_map[[#This Row],[course_id]])=0, "INVALID","VALID")</f>
        <v>VALID</v>
      </c>
    </row>
    <row r="3105" spans="1:14" x14ac:dyDescent="0.35">
      <c r="A3105" t="s">
        <v>254</v>
      </c>
      <c r="B3105" s="5" t="str">
        <f>_xlfn.XLOOKUP(role_course_map[[#This Row],[role_id]], role_data[role_id], role_data[Role],"")</f>
        <v>Special Operations Manager</v>
      </c>
      <c r="C3105">
        <v>89159</v>
      </c>
      <c r="D3105" s="5" t="str">
        <f>_xlfn.XLOOKUP(role_course_map[[#This Row],[course_id]],course_data[course_id],course_data[title],"")</f>
        <v>Safe Management of Linen</v>
      </c>
      <c r="E3105" s="5" t="str">
        <f>_xlfn.XLOOKUP(role_course_map[[#This Row],[course_id]],course_data[course_id],course_data[topic],"")</f>
        <v>SAS : Infection Prevention and Control (IPC)</v>
      </c>
      <c r="F3105" s="5" t="str">
        <f>_xlfn.XLOOKUP(role_course_map[[#This Row],[course_id]],course_data[course_id],course_data[type],"")</f>
        <v>eLearning</v>
      </c>
      <c r="K3105" t="str">
        <f>role_course_map[[#This Row],[role_id]] &amp; "|" &amp; role_course_map[[#This Row],[course_id]]</f>
        <v>R0121|89159</v>
      </c>
      <c r="L3105" t="str">
        <f>IF(COUNTIF(role_course_map[mapping_key],role_course_map[[#This Row],[mapping_key]])&gt;1,"DUPLICATE","OK")</f>
        <v>OK</v>
      </c>
      <c r="M3105" t="str">
        <f>IF(COUNTIF(role_data[role_id],role_course_map[[#This Row],[role_id]])=0, "INVALID","VALID")</f>
        <v>VALID</v>
      </c>
      <c r="N3105" t="str">
        <f>IF(COUNTIF(course_data[course_id],role_course_map[[#This Row],[course_id]])=0, "INVALID","VALID")</f>
        <v>VALID</v>
      </c>
    </row>
    <row r="3106" spans="1:14" x14ac:dyDescent="0.35">
      <c r="A3106" t="s">
        <v>254</v>
      </c>
      <c r="B3106" s="5" t="str">
        <f>_xlfn.XLOOKUP(role_course_map[[#This Row],[role_id]], role_data[role_id], role_data[Role],"")</f>
        <v>Special Operations Manager</v>
      </c>
      <c r="C3106">
        <v>89160</v>
      </c>
      <c r="D3106" s="5" t="str">
        <f>_xlfn.XLOOKUP(role_course_map[[#This Row],[course_id]],course_data[course_id],course_data[title],"")</f>
        <v>Safe Management of blood and body fluids</v>
      </c>
      <c r="E3106" s="5" t="str">
        <f>_xlfn.XLOOKUP(role_course_map[[#This Row],[course_id]],course_data[course_id],course_data[topic],"")</f>
        <v>SAS : Infection Prevention and Control (IPC)</v>
      </c>
      <c r="F3106" s="5" t="str">
        <f>_xlfn.XLOOKUP(role_course_map[[#This Row],[course_id]],course_data[course_id],course_data[type],"")</f>
        <v>eLearning</v>
      </c>
      <c r="K3106" t="str">
        <f>role_course_map[[#This Row],[role_id]] &amp; "|" &amp; role_course_map[[#This Row],[course_id]]</f>
        <v>R0121|89160</v>
      </c>
      <c r="L3106" t="str">
        <f>IF(COUNTIF(role_course_map[mapping_key],role_course_map[[#This Row],[mapping_key]])&gt;1,"DUPLICATE","OK")</f>
        <v>OK</v>
      </c>
      <c r="M3106" t="str">
        <f>IF(COUNTIF(role_data[role_id],role_course_map[[#This Row],[role_id]])=0, "INVALID","VALID")</f>
        <v>VALID</v>
      </c>
      <c r="N3106" t="str">
        <f>IF(COUNTIF(course_data[course_id],role_course_map[[#This Row],[course_id]])=0, "INVALID","VALID")</f>
        <v>VALID</v>
      </c>
    </row>
    <row r="3107" spans="1:14" x14ac:dyDescent="0.35">
      <c r="A3107" t="s">
        <v>254</v>
      </c>
      <c r="B3107" s="5" t="str">
        <f>_xlfn.XLOOKUP(role_course_map[[#This Row],[role_id]], role_data[role_id], role_data[Role],"")</f>
        <v>Special Operations Manager</v>
      </c>
      <c r="C3107">
        <v>89154</v>
      </c>
      <c r="D3107" s="5" t="str">
        <f>_xlfn.XLOOKUP(role_course_map[[#This Row],[course_id]],course_data[course_id],course_data[title],"")</f>
        <v>Safe disposal of waste</v>
      </c>
      <c r="E3107" s="5" t="str">
        <f>_xlfn.XLOOKUP(role_course_map[[#This Row],[course_id]],course_data[course_id],course_data[topic],"")</f>
        <v>SAS : Infection Prevention and Control (IPC)</v>
      </c>
      <c r="F3107" s="5" t="str">
        <f>_xlfn.XLOOKUP(role_course_map[[#This Row],[course_id]],course_data[course_id],course_data[type],"")</f>
        <v>eLearning</v>
      </c>
      <c r="K3107" t="str">
        <f>role_course_map[[#This Row],[role_id]] &amp; "|" &amp; role_course_map[[#This Row],[course_id]]</f>
        <v>R0121|89154</v>
      </c>
      <c r="L3107" t="str">
        <f>IF(COUNTIF(role_course_map[mapping_key],role_course_map[[#This Row],[mapping_key]])&gt;1,"DUPLICATE","OK")</f>
        <v>OK</v>
      </c>
      <c r="M3107" t="str">
        <f>IF(COUNTIF(role_data[role_id],role_course_map[[#This Row],[role_id]])=0, "INVALID","VALID")</f>
        <v>VALID</v>
      </c>
      <c r="N3107" t="str">
        <f>IF(COUNTIF(course_data[course_id],role_course_map[[#This Row],[course_id]])=0, "INVALID","VALID")</f>
        <v>VALID</v>
      </c>
    </row>
    <row r="3108" spans="1:14" x14ac:dyDescent="0.35">
      <c r="A3108" t="s">
        <v>254</v>
      </c>
      <c r="B3108" s="5" t="str">
        <f>_xlfn.XLOOKUP(role_course_map[[#This Row],[role_id]], role_data[role_id], role_data[Role],"")</f>
        <v>Special Operations Manager</v>
      </c>
      <c r="C3108">
        <v>89155</v>
      </c>
      <c r="D3108" s="5" t="str">
        <f>_xlfn.XLOOKUP(role_course_map[[#This Row],[course_id]],course_data[course_id],course_data[title],"")</f>
        <v>Prevention &amp; management of occupational exposure</v>
      </c>
      <c r="E3108" s="5" t="str">
        <f>_xlfn.XLOOKUP(role_course_map[[#This Row],[course_id]],course_data[course_id],course_data[topic],"")</f>
        <v>SAS : Infection Prevention and Control (IPC)</v>
      </c>
      <c r="F3108" s="5" t="str">
        <f>_xlfn.XLOOKUP(role_course_map[[#This Row],[course_id]],course_data[course_id],course_data[type],"")</f>
        <v>eLearning</v>
      </c>
      <c r="K3108" t="str">
        <f>role_course_map[[#This Row],[role_id]] &amp; "|" &amp; role_course_map[[#This Row],[course_id]]</f>
        <v>R0121|89155</v>
      </c>
      <c r="L3108" t="str">
        <f>IF(COUNTIF(role_course_map[mapping_key],role_course_map[[#This Row],[mapping_key]])&gt;1,"DUPLICATE","OK")</f>
        <v>OK</v>
      </c>
      <c r="M3108" t="str">
        <f>IF(COUNTIF(role_data[role_id],role_course_map[[#This Row],[role_id]])=0, "INVALID","VALID")</f>
        <v>VALID</v>
      </c>
      <c r="N3108" t="str">
        <f>IF(COUNTIF(course_data[course_id],role_course_map[[#This Row],[course_id]])=0, "INVALID","VALID")</f>
        <v>VALID</v>
      </c>
    </row>
    <row r="3109" spans="1:14" x14ac:dyDescent="0.35">
      <c r="A3109" t="s">
        <v>254</v>
      </c>
      <c r="B3109" s="5" t="str">
        <f>_xlfn.XLOOKUP(role_course_map[[#This Row],[role_id]], role_data[role_id], role_data[Role],"")</f>
        <v>Special Operations Manager</v>
      </c>
      <c r="C3109">
        <v>999064</v>
      </c>
      <c r="D3109" s="5" t="str">
        <f>_xlfn.XLOOKUP(role_course_map[[#This Row],[course_id]],course_data[course_id],course_data[title],"")</f>
        <v>Infection prevention and control: Clostridioides difficile infection</v>
      </c>
      <c r="E3109" s="5" t="str">
        <f>_xlfn.XLOOKUP(role_course_map[[#This Row],[course_id]],course_data[course_id],course_data[topic],"")</f>
        <v>SAS : Infection Prevention and Control (IPC)</v>
      </c>
      <c r="F3109" s="5" t="str">
        <f>_xlfn.XLOOKUP(role_course_map[[#This Row],[course_id]],course_data[course_id],course_data[type],"")</f>
        <v>eLearning</v>
      </c>
      <c r="K3109" t="str">
        <f>role_course_map[[#This Row],[role_id]] &amp; "|" &amp; role_course_map[[#This Row],[course_id]]</f>
        <v>R0121|999064</v>
      </c>
      <c r="L3109" t="str">
        <f>IF(COUNTIF(role_course_map[mapping_key],role_course_map[[#This Row],[mapping_key]])&gt;1,"DUPLICATE","OK")</f>
        <v>OK</v>
      </c>
      <c r="M3109" t="str">
        <f>IF(COUNTIF(role_data[role_id],role_course_map[[#This Row],[role_id]])=0, "INVALID","VALID")</f>
        <v>VALID</v>
      </c>
      <c r="N3109" t="str">
        <f>IF(COUNTIF(course_data[course_id],role_course_map[[#This Row],[course_id]])=0, "INVALID","VALID")</f>
        <v>VALID</v>
      </c>
    </row>
    <row r="3110" spans="1:14" x14ac:dyDescent="0.35">
      <c r="A3110" t="s">
        <v>254</v>
      </c>
      <c r="B3110" s="5" t="str">
        <f>_xlfn.XLOOKUP(role_course_map[[#This Row],[role_id]], role_data[role_id], role_data[Role],"")</f>
        <v>Special Operations Manager</v>
      </c>
      <c r="C3110">
        <v>3588</v>
      </c>
      <c r="D3110" s="5" t="str">
        <f>_xlfn.XLOOKUP(role_course_map[[#This Row],[course_id]],course_data[course_id],course_data[title],"")</f>
        <v>Antibiotic management</v>
      </c>
      <c r="E3110" s="5" t="str">
        <f>_xlfn.XLOOKUP(role_course_map[[#This Row],[course_id]],course_data[course_id],course_data[topic],"")</f>
        <v>SAS : Clinical Practice</v>
      </c>
      <c r="F3110" s="5" t="str">
        <f>_xlfn.XLOOKUP(role_course_map[[#This Row],[course_id]],course_data[course_id],course_data[type],"")</f>
        <v>Page</v>
      </c>
      <c r="K3110" t="str">
        <f>role_course_map[[#This Row],[role_id]] &amp; "|" &amp; role_course_map[[#This Row],[course_id]]</f>
        <v>R0121|3588</v>
      </c>
      <c r="L3110" t="str">
        <f>IF(COUNTIF(role_course_map[mapping_key],role_course_map[[#This Row],[mapping_key]])&gt;1,"DUPLICATE","OK")</f>
        <v>OK</v>
      </c>
      <c r="M3110" t="str">
        <f>IF(COUNTIF(role_data[role_id],role_course_map[[#This Row],[role_id]])=0, "INVALID","VALID")</f>
        <v>VALID</v>
      </c>
      <c r="N3110" t="str">
        <f>IF(COUNTIF(course_data[course_id],role_course_map[[#This Row],[course_id]])=0, "INVALID","VALID")</f>
        <v>VALID</v>
      </c>
    </row>
    <row r="3111" spans="1:14" x14ac:dyDescent="0.35">
      <c r="A3111" t="s">
        <v>254</v>
      </c>
      <c r="B3111" s="5" t="str">
        <f>_xlfn.XLOOKUP(role_course_map[[#This Row],[role_id]], role_data[role_id], role_data[Role],"")</f>
        <v>Special Operations Manager</v>
      </c>
      <c r="C3111">
        <v>82383</v>
      </c>
      <c r="D3111" s="5" t="str">
        <f>_xlfn.XLOOKUP(role_course_map[[#This Row],[course_id]],course_data[course_id],course_data[title],"")</f>
        <v>Aseptic technique</v>
      </c>
      <c r="E3111" s="5" t="str">
        <f>_xlfn.XLOOKUP(role_course_map[[#This Row],[course_id]],course_data[course_id],course_data[topic],"")</f>
        <v>SAS : Infection Prevention and Control (IPC)</v>
      </c>
      <c r="F3111" s="5" t="str">
        <f>_xlfn.XLOOKUP(role_course_map[[#This Row],[course_id]],course_data[course_id],course_data[type],"")</f>
        <v>eLearning</v>
      </c>
      <c r="K3111" t="str">
        <f>role_course_map[[#This Row],[role_id]] &amp; "|" &amp; role_course_map[[#This Row],[course_id]]</f>
        <v>R0121|82383</v>
      </c>
      <c r="L3111" t="str">
        <f>IF(COUNTIF(role_course_map[mapping_key],role_course_map[[#This Row],[mapping_key]])&gt;1,"DUPLICATE","OK")</f>
        <v>OK</v>
      </c>
      <c r="M3111" t="str">
        <f>IF(COUNTIF(role_data[role_id],role_course_map[[#This Row],[role_id]])=0, "INVALID","VALID")</f>
        <v>VALID</v>
      </c>
      <c r="N3111" t="str">
        <f>IF(COUNTIF(course_data[course_id],role_course_map[[#This Row],[course_id]])=0, "INVALID","VALID")</f>
        <v>VALID</v>
      </c>
    </row>
    <row r="3112" spans="1:14" x14ac:dyDescent="0.35">
      <c r="A3112" t="s">
        <v>254</v>
      </c>
      <c r="B3112" s="5" t="str">
        <f>_xlfn.XLOOKUP(role_course_map[[#This Row],[role_id]], role_data[role_id], role_data[Role],"")</f>
        <v>Special Operations Manager</v>
      </c>
      <c r="C3112">
        <v>3886</v>
      </c>
      <c r="D3112" s="5" t="str">
        <f>_xlfn.XLOOKUP(role_course_map[[#This Row],[course_id]],course_data[course_id],course_data[title],"")</f>
        <v>Prevention and management of pressure ulcers</v>
      </c>
      <c r="E3112" s="5" t="str">
        <f>_xlfn.XLOOKUP(role_course_map[[#This Row],[course_id]],course_data[course_id],course_data[topic],"")</f>
        <v>SAS : Clinical Practice</v>
      </c>
      <c r="F3112" s="5" t="str">
        <f>_xlfn.XLOOKUP(role_course_map[[#This Row],[course_id]],course_data[course_id],course_data[type],"")</f>
        <v>Page</v>
      </c>
      <c r="K3112" t="str">
        <f>role_course_map[[#This Row],[role_id]] &amp; "|" &amp; role_course_map[[#This Row],[course_id]]</f>
        <v>R0121|3886</v>
      </c>
      <c r="L3112" t="str">
        <f>IF(COUNTIF(role_course_map[mapping_key],role_course_map[[#This Row],[mapping_key]])&gt;1,"DUPLICATE","OK")</f>
        <v>OK</v>
      </c>
      <c r="M3112" t="str">
        <f>IF(COUNTIF(role_data[role_id],role_course_map[[#This Row],[role_id]])=0, "INVALID","VALID")</f>
        <v>VALID</v>
      </c>
      <c r="N3112" t="str">
        <f>IF(COUNTIF(course_data[course_id],role_course_map[[#This Row],[course_id]])=0, "INVALID","VALID")</f>
        <v>VALID</v>
      </c>
    </row>
    <row r="3113" spans="1:14" x14ac:dyDescent="0.35">
      <c r="A3113" t="s">
        <v>254</v>
      </c>
      <c r="B3113" s="5" t="str">
        <f>_xlfn.XLOOKUP(role_course_map[[#This Row],[role_id]], role_data[role_id], role_data[Role],"")</f>
        <v>Special Operations Manager</v>
      </c>
      <c r="C3113">
        <v>999092</v>
      </c>
      <c r="D3113" s="5" t="str">
        <f>_xlfn.XLOOKUP(role_course_map[[#This Row],[course_id]],course_data[course_id],course_data[title],"")</f>
        <v>Health &amp; Wellbeing Awareness for Managers</v>
      </c>
      <c r="E3113" s="5" t="str">
        <f>_xlfn.XLOOKUP(role_course_map[[#This Row],[course_id]],course_data[course_id],course_data[topic],"")</f>
        <v>SAS: Staff development and experience</v>
      </c>
      <c r="F3113" s="5" t="str">
        <f>_xlfn.XLOOKUP(role_course_map[[#This Row],[course_id]],course_data[course_id],course_data[type],"")</f>
        <v>eLearning</v>
      </c>
      <c r="K3113" t="str">
        <f>role_course_map[[#This Row],[role_id]] &amp; "|" &amp; role_course_map[[#This Row],[course_id]]</f>
        <v>R0121|999092</v>
      </c>
      <c r="L3113" t="str">
        <f>IF(COUNTIF(role_course_map[mapping_key],role_course_map[[#This Row],[mapping_key]])&gt;1,"DUPLICATE","OK")</f>
        <v>OK</v>
      </c>
      <c r="M3113" t="str">
        <f>IF(COUNTIF(role_data[role_id],role_course_map[[#This Row],[role_id]])=0, "INVALID","VALID")</f>
        <v>VALID</v>
      </c>
      <c r="N3113" t="str">
        <f>IF(COUNTIF(course_data[course_id],role_course_map[[#This Row],[course_id]])=0, "INVALID","VALID")</f>
        <v>VALID</v>
      </c>
    </row>
    <row r="3114" spans="1:14" x14ac:dyDescent="0.35">
      <c r="A3114" t="s">
        <v>254</v>
      </c>
      <c r="B3114" s="5" t="str">
        <f>_xlfn.XLOOKUP(role_course_map[[#This Row],[role_id]], role_data[role_id], role_data[Role],"")</f>
        <v>Special Operations Manager</v>
      </c>
      <c r="C3114">
        <v>999093</v>
      </c>
      <c r="D3114" s="5" t="str">
        <f>_xlfn.XLOOKUP(role_course_map[[#This Row],[course_id]],course_data[course_id],course_data[title],"")</f>
        <v>Managing Wellbeing Refresher for Managers</v>
      </c>
      <c r="E3114" s="5" t="str">
        <f>_xlfn.XLOOKUP(role_course_map[[#This Row],[course_id]],course_data[course_id],course_data[topic],"")</f>
        <v>SAS: Staff development and experience</v>
      </c>
      <c r="F3114" s="5" t="str">
        <f>_xlfn.XLOOKUP(role_course_map[[#This Row],[course_id]],course_data[course_id],course_data[type],"")</f>
        <v>eLearning</v>
      </c>
      <c r="K3114" t="str">
        <f>role_course_map[[#This Row],[role_id]] &amp; "|" &amp; role_course_map[[#This Row],[course_id]]</f>
        <v>R0121|999093</v>
      </c>
      <c r="L3114" t="str">
        <f>IF(COUNTIF(role_course_map[mapping_key],role_course_map[[#This Row],[mapping_key]])&gt;1,"DUPLICATE","OK")</f>
        <v>OK</v>
      </c>
      <c r="M3114" t="str">
        <f>IF(COUNTIF(role_data[role_id],role_course_map[[#This Row],[role_id]])=0, "INVALID","VALID")</f>
        <v>VALID</v>
      </c>
      <c r="N3114" t="str">
        <f>IF(COUNTIF(course_data[course_id],role_course_map[[#This Row],[course_id]])=0, "INVALID","VALID")</f>
        <v>VALID</v>
      </c>
    </row>
    <row r="3115" spans="1:14" x14ac:dyDescent="0.35">
      <c r="A3115" t="s">
        <v>254</v>
      </c>
      <c r="B3115" s="5" t="str">
        <f>_xlfn.XLOOKUP(role_course_map[[#This Row],[role_id]], role_data[role_id], role_data[Role],"")</f>
        <v>Special Operations Manager</v>
      </c>
      <c r="C3115">
        <v>999094</v>
      </c>
      <c r="D3115" s="5" t="str">
        <f>_xlfn.XLOOKUP(role_course_map[[#This Row],[course_id]],course_data[course_id],course_data[title],"")</f>
        <v>Being well, Mind, Body &amp; Workplace</v>
      </c>
      <c r="E3115" s="5" t="str">
        <f>_xlfn.XLOOKUP(role_course_map[[#This Row],[course_id]],course_data[course_id],course_data[topic],"")</f>
        <v>SAS: Staff development and experience</v>
      </c>
      <c r="F3115" s="5" t="str">
        <f>_xlfn.XLOOKUP(role_course_map[[#This Row],[course_id]],course_data[course_id],course_data[type],"")</f>
        <v>eLearning</v>
      </c>
      <c r="K3115" t="str">
        <f>role_course_map[[#This Row],[role_id]] &amp; "|" &amp; role_course_map[[#This Row],[course_id]]</f>
        <v>R0121|999094</v>
      </c>
      <c r="L3115" t="str">
        <f>IF(COUNTIF(role_course_map[mapping_key],role_course_map[[#This Row],[mapping_key]])&gt;1,"DUPLICATE","OK")</f>
        <v>OK</v>
      </c>
      <c r="M3115" t="str">
        <f>IF(COUNTIF(role_data[role_id],role_course_map[[#This Row],[role_id]])=0, "INVALID","VALID")</f>
        <v>VALID</v>
      </c>
      <c r="N3115" t="str">
        <f>IF(COUNTIF(course_data[course_id],role_course_map[[#This Row],[course_id]])=0, "INVALID","VALID")</f>
        <v>VALID</v>
      </c>
    </row>
    <row r="3116" spans="1:14" x14ac:dyDescent="0.35">
      <c r="A3116" t="s">
        <v>254</v>
      </c>
      <c r="B3116" s="5" t="str">
        <f>_xlfn.XLOOKUP(role_course_map[[#This Row],[role_id]], role_data[role_id], role_data[Role],"")</f>
        <v>Special Operations Manager</v>
      </c>
      <c r="D3116" s="5" t="s">
        <v>1062</v>
      </c>
      <c r="E3116" s="5" t="str">
        <f>_xlfn.XLOOKUP(role_course_map[[#This Row],[course_id]],course_data[course_id],course_data[topic],"")</f>
        <v/>
      </c>
      <c r="F3116" s="5" t="str">
        <f>_xlfn.XLOOKUP(role_course_map[[#This Row],[course_id]],course_data[course_id],course_data[type],"")</f>
        <v/>
      </c>
      <c r="K3116" t="str">
        <f>role_course_map[[#This Row],[role_id]] &amp; "|" &amp; role_course_map[[#This Row],[course_id]]</f>
        <v>R0121|</v>
      </c>
      <c r="L3116" t="str">
        <f>IF(COUNTIF(role_course_map[mapping_key],role_course_map[[#This Row],[mapping_key]])&gt;1,"DUPLICATE","OK")</f>
        <v>OK</v>
      </c>
      <c r="M3116" t="str">
        <f>IF(COUNTIF(role_data[role_id],role_course_map[[#This Row],[role_id]])=0, "INVALID","VALID")</f>
        <v>VALID</v>
      </c>
      <c r="N3116" t="str">
        <f>IF(COUNTIF(course_data[course_id],role_course_map[[#This Row],[course_id]])=0, "INVALID","VALID")</f>
        <v>INVALID</v>
      </c>
    </row>
    <row r="3117" spans="1:14" x14ac:dyDescent="0.35">
      <c r="A3117" t="s">
        <v>254</v>
      </c>
      <c r="B3117" s="5" t="str">
        <f>_xlfn.XLOOKUP(role_course_map[[#This Row],[role_id]], role_data[role_id], role_data[Role],"")</f>
        <v>Special Operations Manager</v>
      </c>
      <c r="C3117">
        <v>82211</v>
      </c>
      <c r="D3117" s="5" t="str">
        <f>_xlfn.XLOOKUP(role_course_map[[#This Row],[course_id]],course_data[course_id],course_data[title],"")</f>
        <v>MTA Command &amp; Control</v>
      </c>
      <c r="E3117" s="5" t="str">
        <f>_xlfn.XLOOKUP(role_course_map[[#This Row],[course_id]],course_data[course_id],course_data[topic],"")</f>
        <v>SAS : National Risk and Resilience Department (NRRD)</v>
      </c>
      <c r="F3117" s="5" t="str">
        <f>_xlfn.XLOOKUP(role_course_map[[#This Row],[course_id]],course_data[course_id],course_data[type],"")</f>
        <v>eLearning</v>
      </c>
      <c r="K3117" t="str">
        <f>role_course_map[[#This Row],[role_id]] &amp; "|" &amp; role_course_map[[#This Row],[course_id]]</f>
        <v>R0121|82211</v>
      </c>
      <c r="L3117" t="str">
        <f>IF(COUNTIF(role_course_map[mapping_key],role_course_map[[#This Row],[mapping_key]])&gt;1,"DUPLICATE","OK")</f>
        <v>OK</v>
      </c>
      <c r="M3117" t="str">
        <f>IF(COUNTIF(role_data[role_id],role_course_map[[#This Row],[role_id]])=0, "INVALID","VALID")</f>
        <v>VALID</v>
      </c>
      <c r="N3117" t="str">
        <f>IF(COUNTIF(course_data[course_id],role_course_map[[#This Row],[course_id]])=0, "INVALID","VALID")</f>
        <v>VALID</v>
      </c>
    </row>
    <row r="3118" spans="1:14" x14ac:dyDescent="0.35">
      <c r="A3118" t="s">
        <v>254</v>
      </c>
      <c r="B3118" s="5" t="str">
        <f>_xlfn.XLOOKUP(role_course_map[[#This Row],[role_id]], role_data[role_id], role_data[Role],"")</f>
        <v>Special Operations Manager</v>
      </c>
      <c r="C3118">
        <v>999067</v>
      </c>
      <c r="D3118" s="5" t="str">
        <f>_xlfn.XLOOKUP(role_course_map[[#This Row],[course_id]],course_data[course_id],course_data[title],"")</f>
        <v>Major incident awareness - Course overview</v>
      </c>
      <c r="E3118" s="5" t="str">
        <f>_xlfn.XLOOKUP(role_course_map[[#This Row],[course_id]],course_data[course_id],course_data[topic],"")</f>
        <v>SAS : National Risk and Resilience Department (NRRD)</v>
      </c>
      <c r="F3118" s="5" t="str">
        <f>_xlfn.XLOOKUP(role_course_map[[#This Row],[course_id]],course_data[course_id],course_data[type],"")</f>
        <v>eLearning</v>
      </c>
      <c r="K3118" t="str">
        <f>role_course_map[[#This Row],[role_id]] &amp; "|" &amp; role_course_map[[#This Row],[course_id]]</f>
        <v>R0121|999067</v>
      </c>
      <c r="L3118" t="str">
        <f>IF(COUNTIF(role_course_map[mapping_key],role_course_map[[#This Row],[mapping_key]])&gt;1,"DUPLICATE","OK")</f>
        <v>OK</v>
      </c>
      <c r="M3118" t="str">
        <f>IF(COUNTIF(role_data[role_id],role_course_map[[#This Row],[role_id]])=0, "INVALID","VALID")</f>
        <v>VALID</v>
      </c>
      <c r="N3118" t="str">
        <f>IF(COUNTIF(course_data[course_id],role_course_map[[#This Row],[course_id]])=0, "INVALID","VALID")</f>
        <v>VALID</v>
      </c>
    </row>
    <row r="3119" spans="1:14" x14ac:dyDescent="0.35">
      <c r="A3119" t="s">
        <v>254</v>
      </c>
      <c r="B3119" s="5" t="str">
        <f>_xlfn.XLOOKUP(role_course_map[[#This Row],[role_id]], role_data[role_id], role_data[Role],"")</f>
        <v>Special Operations Manager</v>
      </c>
      <c r="C3119">
        <v>999068</v>
      </c>
      <c r="D3119" s="5" t="str">
        <f>_xlfn.XLOOKUP(role_course_map[[#This Row],[course_id]],course_data[course_id],course_data[title],"")</f>
        <v xml:space="preserve">Major incident awareness for responders </v>
      </c>
      <c r="E3119" s="5" t="str">
        <f>_xlfn.XLOOKUP(role_course_map[[#This Row],[course_id]],course_data[course_id],course_data[topic],"")</f>
        <v>SAS : National Risk and Resilience Department (NRRD)</v>
      </c>
      <c r="F3119" s="5" t="str">
        <f>_xlfn.XLOOKUP(role_course_map[[#This Row],[course_id]],course_data[course_id],course_data[type],"")</f>
        <v>eLearning</v>
      </c>
      <c r="K3119" t="str">
        <f>role_course_map[[#This Row],[role_id]] &amp; "|" &amp; role_course_map[[#This Row],[course_id]]</f>
        <v>R0121|999068</v>
      </c>
      <c r="L3119" t="str">
        <f>IF(COUNTIF(role_course_map[mapping_key],role_course_map[[#This Row],[mapping_key]])&gt;1,"DUPLICATE","OK")</f>
        <v>OK</v>
      </c>
      <c r="M3119" t="str">
        <f>IF(COUNTIF(role_data[role_id],role_course_map[[#This Row],[role_id]])=0, "INVALID","VALID")</f>
        <v>VALID</v>
      </c>
      <c r="N3119" t="str">
        <f>IF(COUNTIF(course_data[course_id],role_course_map[[#This Row],[course_id]])=0, "INVALID","VALID")</f>
        <v>VALID</v>
      </c>
    </row>
    <row r="3120" spans="1:14" x14ac:dyDescent="0.35">
      <c r="A3120" t="s">
        <v>254</v>
      </c>
      <c r="B3120" s="5" t="str">
        <f>_xlfn.XLOOKUP(role_course_map[[#This Row],[role_id]], role_data[role_id], role_data[Role],"")</f>
        <v>Special Operations Manager</v>
      </c>
      <c r="C3120">
        <v>999069</v>
      </c>
      <c r="D3120" s="5" t="str">
        <f>_xlfn.XLOOKUP(role_course_map[[#This Row],[course_id]],course_data[course_id],course_data[title],"")</f>
        <v>Non-specialist MTFA response (JOPS3)</v>
      </c>
      <c r="E3120" s="5" t="str">
        <f>_xlfn.XLOOKUP(role_course_map[[#This Row],[course_id]],course_data[course_id],course_data[topic],"")</f>
        <v>SAS : National Risk and Resilience Department (NRRD)</v>
      </c>
      <c r="F3120" s="5" t="str">
        <f>_xlfn.XLOOKUP(role_course_map[[#This Row],[course_id]],course_data[course_id],course_data[type],"")</f>
        <v>eLearning</v>
      </c>
      <c r="K3120" t="str">
        <f>role_course_map[[#This Row],[role_id]] &amp; "|" &amp; role_course_map[[#This Row],[course_id]]</f>
        <v>R0121|999069</v>
      </c>
      <c r="L3120" t="str">
        <f>IF(COUNTIF(role_course_map[mapping_key],role_course_map[[#This Row],[mapping_key]])&gt;1,"DUPLICATE","OK")</f>
        <v>OK</v>
      </c>
      <c r="M3120" t="str">
        <f>IF(COUNTIF(role_data[role_id],role_course_map[[#This Row],[role_id]])=0, "INVALID","VALID")</f>
        <v>VALID</v>
      </c>
      <c r="N3120" t="str">
        <f>IF(COUNTIF(course_data[course_id],role_course_map[[#This Row],[course_id]])=0, "INVALID","VALID")</f>
        <v>VALID</v>
      </c>
    </row>
    <row r="3121" spans="1:14" x14ac:dyDescent="0.35">
      <c r="A3121" t="s">
        <v>254</v>
      </c>
      <c r="B3121" s="5" t="str">
        <f>_xlfn.XLOOKUP(role_course_map[[#This Row],[role_id]], role_data[role_id], role_data[Role],"")</f>
        <v>Special Operations Manager</v>
      </c>
      <c r="C3121">
        <v>999070</v>
      </c>
      <c r="D3121" s="5" t="str">
        <f>_xlfn.XLOOKUP(role_course_map[[#This Row],[course_id]],course_data[course_id],course_data[title],"")</f>
        <v xml:space="preserve">SAS: JESIP (NEW) </v>
      </c>
      <c r="E3121" s="5" t="str">
        <f>_xlfn.XLOOKUP(role_course_map[[#This Row],[course_id]],course_data[course_id],course_data[topic],"")</f>
        <v>SAS : National Risk and Resilience Department (NRRD)</v>
      </c>
      <c r="F3121" s="5" t="str">
        <f>_xlfn.XLOOKUP(role_course_map[[#This Row],[course_id]],course_data[course_id],course_data[type],"")</f>
        <v>eLearning</v>
      </c>
      <c r="K3121" t="str">
        <f>role_course_map[[#This Row],[role_id]] &amp; "|" &amp; role_course_map[[#This Row],[course_id]]</f>
        <v>R0121|999070</v>
      </c>
      <c r="L3121" t="str">
        <f>IF(COUNTIF(role_course_map[mapping_key],role_course_map[[#This Row],[mapping_key]])&gt;1,"DUPLICATE","OK")</f>
        <v>OK</v>
      </c>
      <c r="M3121" t="str">
        <f>IF(COUNTIF(role_data[role_id],role_course_map[[#This Row],[role_id]])=0, "INVALID","VALID")</f>
        <v>VALID</v>
      </c>
      <c r="N3121" t="str">
        <f>IF(COUNTIF(course_data[course_id],role_course_map[[#This Row],[course_id]])=0, "INVALID","VALID")</f>
        <v>VALID</v>
      </c>
    </row>
    <row r="3122" spans="1:14" x14ac:dyDescent="0.35">
      <c r="A3122" t="s">
        <v>254</v>
      </c>
      <c r="B3122" s="5" t="str">
        <f>_xlfn.XLOOKUP(role_course_map[[#This Row],[role_id]], role_data[role_id], role_data[Role],"")</f>
        <v>Special Operations Manager</v>
      </c>
      <c r="C3122">
        <v>89568</v>
      </c>
      <c r="D3122" s="5" t="str">
        <f>_xlfn.XLOOKUP(role_course_map[[#This Row],[course_id]],course_data[course_id],course_data[title],"")</f>
        <v>C3 for SOMs</v>
      </c>
      <c r="E3122" s="5" t="str">
        <f>_xlfn.XLOOKUP(role_course_map[[#This Row],[course_id]],course_data[course_id],course_data[topic],"")</f>
        <v>SAS: Systems Training</v>
      </c>
      <c r="F3122" s="5" t="str">
        <f>_xlfn.XLOOKUP(role_course_map[[#This Row],[course_id]],course_data[course_id],course_data[type],"")</f>
        <v>Course</v>
      </c>
      <c r="K3122" t="str">
        <f>role_course_map[[#This Row],[role_id]] &amp; "|" &amp; role_course_map[[#This Row],[course_id]]</f>
        <v>R0121|89568</v>
      </c>
      <c r="L3122" t="str">
        <f>IF(COUNTIF(role_course_map[mapping_key],role_course_map[[#This Row],[mapping_key]])&gt;1,"DUPLICATE","OK")</f>
        <v>OK</v>
      </c>
      <c r="M3122" t="str">
        <f>IF(COUNTIF(role_data[role_id],role_course_map[[#This Row],[role_id]])=0, "INVALID","VALID")</f>
        <v>VALID</v>
      </c>
      <c r="N3122" t="str">
        <f>IF(COUNTIF(course_data[course_id],role_course_map[[#This Row],[course_id]])=0, "INVALID","VALID")</f>
        <v>VALID</v>
      </c>
    </row>
    <row r="3123" spans="1:14" x14ac:dyDescent="0.35">
      <c r="A3123" t="s">
        <v>256</v>
      </c>
      <c r="B3123" s="5" t="str">
        <f>_xlfn.XLOOKUP(role_course_map[[#This Row],[role_id]], role_data[role_id], role_data[Role],"")</f>
        <v>Strategic Operations Manager</v>
      </c>
      <c r="C3123">
        <v>79218</v>
      </c>
      <c r="D3123" s="5" t="str">
        <f>_xlfn.XLOOKUP(role_course_map[[#This Row],[course_id]],course_data[course_id],course_data[title],"")</f>
        <v>Life support</v>
      </c>
      <c r="E3123" s="5" t="str">
        <f>_xlfn.XLOOKUP(role_course_map[[#This Row],[course_id]],course_data[course_id],course_data[topic],"")</f>
        <v>SAS : Clinical Practice</v>
      </c>
      <c r="F3123" s="5" t="str">
        <f>_xlfn.XLOOKUP(role_course_map[[#This Row],[course_id]],course_data[course_id],course_data[type],"")</f>
        <v>Page</v>
      </c>
      <c r="K3123" t="str">
        <f>role_course_map[[#This Row],[role_id]] &amp; "|" &amp; role_course_map[[#This Row],[course_id]]</f>
        <v>R0122|79218</v>
      </c>
      <c r="L3123" t="str">
        <f>IF(COUNTIF(role_course_map[mapping_key],role_course_map[[#This Row],[mapping_key]])&gt;1,"DUPLICATE","OK")</f>
        <v>OK</v>
      </c>
      <c r="M3123" t="str">
        <f>IF(COUNTIF(role_data[role_id],role_course_map[[#This Row],[role_id]])=0, "INVALID","VALID")</f>
        <v>VALID</v>
      </c>
      <c r="N3123" t="str">
        <f>IF(COUNTIF(course_data[course_id],role_course_map[[#This Row],[course_id]])=0, "INVALID","VALID")</f>
        <v>VALID</v>
      </c>
    </row>
    <row r="3124" spans="1:14" x14ac:dyDescent="0.35">
      <c r="A3124" t="s">
        <v>256</v>
      </c>
      <c r="B3124" s="5" t="str">
        <f>_xlfn.XLOOKUP(role_course_map[[#This Row],[role_id]], role_data[role_id], role_data[Role],"")</f>
        <v>Strategic Operations Manager</v>
      </c>
      <c r="C3124">
        <v>999009</v>
      </c>
      <c r="D3124" s="5" t="str">
        <f>_xlfn.XLOOKUP(role_course_map[[#This Row],[course_id]],course_data[course_id],course_data[title],"")</f>
        <v>Life Support</v>
      </c>
      <c r="E3124" s="5" t="str">
        <f>_xlfn.XLOOKUP(role_course_map[[#This Row],[course_id]],course_data[course_id],course_data[topic],"")</f>
        <v>SAS : Clinical Practice</v>
      </c>
      <c r="F3124" s="5" t="str">
        <f>_xlfn.XLOOKUP(role_course_map[[#This Row],[course_id]],course_data[course_id],course_data[type],"")</f>
        <v>Course</v>
      </c>
      <c r="K3124" t="str">
        <f>role_course_map[[#This Row],[role_id]] &amp; "|" &amp; role_course_map[[#This Row],[course_id]]</f>
        <v>R0122|999009</v>
      </c>
      <c r="L3124" t="str">
        <f>IF(COUNTIF(role_course_map[mapping_key],role_course_map[[#This Row],[mapping_key]])&gt;1,"DUPLICATE","OK")</f>
        <v>OK</v>
      </c>
      <c r="M3124" t="str">
        <f>IF(COUNTIF(role_data[role_id],role_course_map[[#This Row],[role_id]])=0, "INVALID","VALID")</f>
        <v>VALID</v>
      </c>
      <c r="N3124" t="str">
        <f>IF(COUNTIF(course_data[course_id],role_course_map[[#This Row],[course_id]])=0, "INVALID","VALID")</f>
        <v>VALID</v>
      </c>
    </row>
    <row r="3125" spans="1:14" x14ac:dyDescent="0.35">
      <c r="A3125" t="s">
        <v>256</v>
      </c>
      <c r="B3125" s="5" t="str">
        <f>_xlfn.XLOOKUP(role_course_map[[#This Row],[role_id]], role_data[role_id], role_data[Role],"")</f>
        <v>Strategic Operations Manager</v>
      </c>
      <c r="C3125">
        <v>999007</v>
      </c>
      <c r="D3125" s="5" t="str">
        <f>_xlfn.XLOOKUP(role_course_map[[#This Row],[course_id]],course_data[course_id],course_data[title],"")</f>
        <v>Obstetrics</v>
      </c>
      <c r="E3125" s="5" t="str">
        <f>_xlfn.XLOOKUP(role_course_map[[#This Row],[course_id]],course_data[course_id],course_data[topic],"")</f>
        <v>SAS : Clinical Practice</v>
      </c>
      <c r="F3125" s="5" t="str">
        <f>_xlfn.XLOOKUP(role_course_map[[#This Row],[course_id]],course_data[course_id],course_data[type],"")</f>
        <v>Course</v>
      </c>
      <c r="K3125" t="str">
        <f>role_course_map[[#This Row],[role_id]] &amp; "|" &amp; role_course_map[[#This Row],[course_id]]</f>
        <v>R0122|999007</v>
      </c>
      <c r="L3125" t="str">
        <f>IF(COUNTIF(role_course_map[mapping_key],role_course_map[[#This Row],[mapping_key]])&gt;1,"DUPLICATE","OK")</f>
        <v>OK</v>
      </c>
      <c r="M3125" t="str">
        <f>IF(COUNTIF(role_data[role_id],role_course_map[[#This Row],[role_id]])=0, "INVALID","VALID")</f>
        <v>VALID</v>
      </c>
      <c r="N3125" t="str">
        <f>IF(COUNTIF(course_data[course_id],role_course_map[[#This Row],[course_id]])=0, "INVALID","VALID")</f>
        <v>VALID</v>
      </c>
    </row>
    <row r="3126" spans="1:14" x14ac:dyDescent="0.35">
      <c r="A3126" t="s">
        <v>256</v>
      </c>
      <c r="B3126" s="5" t="str">
        <f>_xlfn.XLOOKUP(role_course_map[[#This Row],[role_id]], role_data[role_id], role_data[Role],"")</f>
        <v>Strategic Operations Manager</v>
      </c>
      <c r="C3126">
        <v>999008</v>
      </c>
      <c r="D3126" s="5" t="str">
        <f>_xlfn.XLOOKUP(role_course_map[[#This Row],[course_id]],course_data[course_id],course_data[title],"")</f>
        <v>Obstetrics</v>
      </c>
      <c r="E3126" s="5" t="str">
        <f>_xlfn.XLOOKUP(role_course_map[[#This Row],[course_id]],course_data[course_id],course_data[topic],"")</f>
        <v>SAS : Clinical Practice</v>
      </c>
      <c r="F3126" s="5" t="str">
        <f>_xlfn.XLOOKUP(role_course_map[[#This Row],[course_id]],course_data[course_id],course_data[type],"")</f>
        <v>eLearning</v>
      </c>
      <c r="K3126" t="str">
        <f>role_course_map[[#This Row],[role_id]] &amp; "|" &amp; role_course_map[[#This Row],[course_id]]</f>
        <v>R0122|999008</v>
      </c>
      <c r="L3126" t="str">
        <f>IF(COUNTIF(role_course_map[mapping_key],role_course_map[[#This Row],[mapping_key]])&gt;1,"DUPLICATE","OK")</f>
        <v>OK</v>
      </c>
      <c r="M3126" t="str">
        <f>IF(COUNTIF(role_data[role_id],role_course_map[[#This Row],[role_id]])=0, "INVALID","VALID")</f>
        <v>VALID</v>
      </c>
      <c r="N3126" t="str">
        <f>IF(COUNTIF(course_data[course_id],role_course_map[[#This Row],[course_id]])=0, "INVALID","VALID")</f>
        <v>VALID</v>
      </c>
    </row>
    <row r="3127" spans="1:14" x14ac:dyDescent="0.35">
      <c r="A3127" t="s">
        <v>256</v>
      </c>
      <c r="B3127" s="5" t="str">
        <f>_xlfn.XLOOKUP(role_course_map[[#This Row],[role_id]], role_data[role_id], role_data[Role],"")</f>
        <v>Strategic Operations Manager</v>
      </c>
      <c r="C3127">
        <v>999010</v>
      </c>
      <c r="D3127" s="5" t="str">
        <f>_xlfn.XLOOKUP(role_course_map[[#This Row],[course_id]],course_data[course_id],course_data[title],"")</f>
        <v>Paediatrics</v>
      </c>
      <c r="E3127" s="5" t="str">
        <f>_xlfn.XLOOKUP(role_course_map[[#This Row],[course_id]],course_data[course_id],course_data[topic],"")</f>
        <v>SAS : Clinical Practice</v>
      </c>
      <c r="F3127" s="5" t="str">
        <f>_xlfn.XLOOKUP(role_course_map[[#This Row],[course_id]],course_data[course_id],course_data[type],"")</f>
        <v>Course</v>
      </c>
      <c r="K3127" t="str">
        <f>role_course_map[[#This Row],[role_id]] &amp; "|" &amp; role_course_map[[#This Row],[course_id]]</f>
        <v>R0122|999010</v>
      </c>
      <c r="L3127" t="str">
        <f>IF(COUNTIF(role_course_map[mapping_key],role_course_map[[#This Row],[mapping_key]])&gt;1,"DUPLICATE","OK")</f>
        <v>OK</v>
      </c>
      <c r="M3127" t="str">
        <f>IF(COUNTIF(role_data[role_id],role_course_map[[#This Row],[role_id]])=0, "INVALID","VALID")</f>
        <v>VALID</v>
      </c>
      <c r="N3127" t="str">
        <f>IF(COUNTIF(course_data[course_id],role_course_map[[#This Row],[course_id]])=0, "INVALID","VALID")</f>
        <v>VALID</v>
      </c>
    </row>
    <row r="3128" spans="1:14" x14ac:dyDescent="0.35">
      <c r="A3128" t="s">
        <v>256</v>
      </c>
      <c r="B3128" s="5" t="str">
        <f>_xlfn.XLOOKUP(role_course_map[[#This Row],[role_id]], role_data[role_id], role_data[Role],"")</f>
        <v>Strategic Operations Manager</v>
      </c>
      <c r="C3128">
        <v>999011</v>
      </c>
      <c r="D3128" s="5" t="str">
        <f>_xlfn.XLOOKUP(role_course_map[[#This Row],[course_id]],course_data[course_id],course_data[title],"")</f>
        <v>Paediatrics</v>
      </c>
      <c r="E3128" s="5" t="str">
        <f>_xlfn.XLOOKUP(role_course_map[[#This Row],[course_id]],course_data[course_id],course_data[topic],"")</f>
        <v>SAS : Clinical Practice</v>
      </c>
      <c r="F3128" s="5" t="str">
        <f>_xlfn.XLOOKUP(role_course_map[[#This Row],[course_id]],course_data[course_id],course_data[type],"")</f>
        <v>eLearning</v>
      </c>
      <c r="K3128" t="str">
        <f>role_course_map[[#This Row],[role_id]] &amp; "|" &amp; role_course_map[[#This Row],[course_id]]</f>
        <v>R0122|999011</v>
      </c>
      <c r="L3128" t="str">
        <f>IF(COUNTIF(role_course_map[mapping_key],role_course_map[[#This Row],[mapping_key]])&gt;1,"DUPLICATE","OK")</f>
        <v>OK</v>
      </c>
      <c r="M3128" t="str">
        <f>IF(COUNTIF(role_data[role_id],role_course_map[[#This Row],[role_id]])=0, "INVALID","VALID")</f>
        <v>VALID</v>
      </c>
      <c r="N3128" t="str">
        <f>IF(COUNTIF(course_data[course_id],role_course_map[[#This Row],[course_id]])=0, "INVALID","VALID")</f>
        <v>VALID</v>
      </c>
    </row>
    <row r="3129" spans="1:14" x14ac:dyDescent="0.35">
      <c r="A3129" t="s">
        <v>256</v>
      </c>
      <c r="B3129" s="5" t="str">
        <f>_xlfn.XLOOKUP(role_course_map[[#This Row],[role_id]], role_data[role_id], role_data[Role],"")</f>
        <v>Strategic Operations Manager</v>
      </c>
      <c r="C3129">
        <v>999012</v>
      </c>
      <c r="D3129" s="5" t="str">
        <f>_xlfn.XLOOKUP(role_course_map[[#This Row],[course_id]],course_data[course_id],course_data[title],"")</f>
        <v>Trauma</v>
      </c>
      <c r="E3129" s="5" t="str">
        <f>_xlfn.XLOOKUP(role_course_map[[#This Row],[course_id]],course_data[course_id],course_data[topic],"")</f>
        <v>SAS : Clinical Practice</v>
      </c>
      <c r="F3129" s="5" t="str">
        <f>_xlfn.XLOOKUP(role_course_map[[#This Row],[course_id]],course_data[course_id],course_data[type],"")</f>
        <v>Course</v>
      </c>
      <c r="K3129" t="str">
        <f>role_course_map[[#This Row],[role_id]] &amp; "|" &amp; role_course_map[[#This Row],[course_id]]</f>
        <v>R0122|999012</v>
      </c>
      <c r="L3129" t="str">
        <f>IF(COUNTIF(role_course_map[mapping_key],role_course_map[[#This Row],[mapping_key]])&gt;1,"DUPLICATE","OK")</f>
        <v>OK</v>
      </c>
      <c r="M3129" t="str">
        <f>IF(COUNTIF(role_data[role_id],role_course_map[[#This Row],[role_id]])=0, "INVALID","VALID")</f>
        <v>VALID</v>
      </c>
      <c r="N3129" t="str">
        <f>IF(COUNTIF(course_data[course_id],role_course_map[[#This Row],[course_id]])=0, "INVALID","VALID")</f>
        <v>VALID</v>
      </c>
    </row>
    <row r="3130" spans="1:14" x14ac:dyDescent="0.35">
      <c r="A3130" t="s">
        <v>256</v>
      </c>
      <c r="B3130" s="5" t="str">
        <f>_xlfn.XLOOKUP(role_course_map[[#This Row],[role_id]], role_data[role_id], role_data[Role],"")</f>
        <v>Strategic Operations Manager</v>
      </c>
      <c r="C3130">
        <v>999013</v>
      </c>
      <c r="D3130" s="5" t="str">
        <f>_xlfn.XLOOKUP(role_course_map[[#This Row],[course_id]],course_data[course_id],course_data[title],"")</f>
        <v>Trauma</v>
      </c>
      <c r="E3130" s="5" t="str">
        <f>_xlfn.XLOOKUP(role_course_map[[#This Row],[course_id]],course_data[course_id],course_data[topic],"")</f>
        <v>SAS : Clinical Practice</v>
      </c>
      <c r="F3130" s="5" t="str">
        <f>_xlfn.XLOOKUP(role_course_map[[#This Row],[course_id]],course_data[course_id],course_data[type],"")</f>
        <v>eLearning</v>
      </c>
      <c r="K3130" t="str">
        <f>role_course_map[[#This Row],[role_id]] &amp; "|" &amp; role_course_map[[#This Row],[course_id]]</f>
        <v>R0122|999013</v>
      </c>
      <c r="L3130" t="str">
        <f>IF(COUNTIF(role_course_map[mapping_key],role_course_map[[#This Row],[mapping_key]])&gt;1,"DUPLICATE","OK")</f>
        <v>OK</v>
      </c>
      <c r="M3130" t="str">
        <f>IF(COUNTIF(role_data[role_id],role_course_map[[#This Row],[role_id]])=0, "INVALID","VALID")</f>
        <v>VALID</v>
      </c>
      <c r="N3130" t="str">
        <f>IF(COUNTIF(course_data[course_id],role_course_map[[#This Row],[course_id]])=0, "INVALID","VALID")</f>
        <v>VALID</v>
      </c>
    </row>
    <row r="3131" spans="1:14" x14ac:dyDescent="0.35">
      <c r="A3131" t="s">
        <v>256</v>
      </c>
      <c r="B3131" s="5" t="str">
        <f>_xlfn.XLOOKUP(role_course_map[[#This Row],[role_id]], role_data[role_id], role_data[Role],"")</f>
        <v>Strategic Operations Manager</v>
      </c>
      <c r="C3131">
        <v>999014</v>
      </c>
      <c r="D3131" s="5" t="str">
        <f>_xlfn.XLOOKUP(role_course_map[[#This Row],[course_id]],course_data[course_id],course_data[title],"")</f>
        <v>Patient Assessment</v>
      </c>
      <c r="E3131" s="5" t="str">
        <f>_xlfn.XLOOKUP(role_course_map[[#This Row],[course_id]],course_data[course_id],course_data[topic],"")</f>
        <v>SAS : Clinical Practice</v>
      </c>
      <c r="F3131" s="5" t="str">
        <f>_xlfn.XLOOKUP(role_course_map[[#This Row],[course_id]],course_data[course_id],course_data[type],"")</f>
        <v>Course</v>
      </c>
      <c r="K3131" t="str">
        <f>role_course_map[[#This Row],[role_id]] &amp; "|" &amp; role_course_map[[#This Row],[course_id]]</f>
        <v>R0122|999014</v>
      </c>
      <c r="L3131" t="str">
        <f>IF(COUNTIF(role_course_map[mapping_key],role_course_map[[#This Row],[mapping_key]])&gt;1,"DUPLICATE","OK")</f>
        <v>OK</v>
      </c>
      <c r="M3131" t="str">
        <f>IF(COUNTIF(role_data[role_id],role_course_map[[#This Row],[role_id]])=0, "INVALID","VALID")</f>
        <v>VALID</v>
      </c>
      <c r="N3131" t="str">
        <f>IF(COUNTIF(course_data[course_id],role_course_map[[#This Row],[course_id]])=0, "INVALID","VALID")</f>
        <v>VALID</v>
      </c>
    </row>
    <row r="3132" spans="1:14" x14ac:dyDescent="0.35">
      <c r="A3132" t="s">
        <v>256</v>
      </c>
      <c r="B3132" s="5" t="str">
        <f>_xlfn.XLOOKUP(role_course_map[[#This Row],[role_id]], role_data[role_id], role_data[Role],"")</f>
        <v>Strategic Operations Manager</v>
      </c>
      <c r="C3132">
        <v>999015</v>
      </c>
      <c r="D3132" s="5" t="str">
        <f>_xlfn.XLOOKUP(role_course_map[[#This Row],[course_id]],course_data[course_id],course_data[title],"")</f>
        <v>Patient Assessment</v>
      </c>
      <c r="E3132" s="5" t="str">
        <f>_xlfn.XLOOKUP(role_course_map[[#This Row],[course_id]],course_data[course_id],course_data[topic],"")</f>
        <v>SAS : Clinical Practice</v>
      </c>
      <c r="F3132" s="5" t="str">
        <f>_xlfn.XLOOKUP(role_course_map[[#This Row],[course_id]],course_data[course_id],course_data[type],"")</f>
        <v>eLearning</v>
      </c>
      <c r="K3132" t="str">
        <f>role_course_map[[#This Row],[role_id]] &amp; "|" &amp; role_course_map[[#This Row],[course_id]]</f>
        <v>R0122|999015</v>
      </c>
      <c r="L3132" t="str">
        <f>IF(COUNTIF(role_course_map[mapping_key],role_course_map[[#This Row],[mapping_key]])&gt;1,"DUPLICATE","OK")</f>
        <v>OK</v>
      </c>
      <c r="M3132" t="str">
        <f>IF(COUNTIF(role_data[role_id],role_course_map[[#This Row],[role_id]])=0, "INVALID","VALID")</f>
        <v>VALID</v>
      </c>
      <c r="N3132" t="str">
        <f>IF(COUNTIF(course_data[course_id],role_course_map[[#This Row],[course_id]])=0, "INVALID","VALID")</f>
        <v>VALID</v>
      </c>
    </row>
    <row r="3133" spans="1:14" x14ac:dyDescent="0.35">
      <c r="A3133" t="s">
        <v>256</v>
      </c>
      <c r="B3133" s="5" t="str">
        <f>_xlfn.XLOOKUP(role_course_map[[#This Row],[role_id]], role_data[role_id], role_data[Role],"")</f>
        <v>Strategic Operations Manager</v>
      </c>
      <c r="C3133">
        <v>999016</v>
      </c>
      <c r="D3133" s="5" t="str">
        <f>_xlfn.XLOOKUP(role_course_map[[#This Row],[course_id]],course_data[course_id],course_data[title],"")</f>
        <v>Clinical Skills</v>
      </c>
      <c r="E3133" s="5" t="str">
        <f>_xlfn.XLOOKUP(role_course_map[[#This Row],[course_id]],course_data[course_id],course_data[topic],"")</f>
        <v>SAS : Clinical Practice</v>
      </c>
      <c r="F3133" s="5" t="str">
        <f>_xlfn.XLOOKUP(role_course_map[[#This Row],[course_id]],course_data[course_id],course_data[type],"")</f>
        <v>Course</v>
      </c>
      <c r="K3133" t="str">
        <f>role_course_map[[#This Row],[role_id]] &amp; "|" &amp; role_course_map[[#This Row],[course_id]]</f>
        <v>R0122|999016</v>
      </c>
      <c r="L3133" t="str">
        <f>IF(COUNTIF(role_course_map[mapping_key],role_course_map[[#This Row],[mapping_key]])&gt;1,"DUPLICATE","OK")</f>
        <v>OK</v>
      </c>
      <c r="M3133" t="str">
        <f>IF(COUNTIF(role_data[role_id],role_course_map[[#This Row],[role_id]])=0, "INVALID","VALID")</f>
        <v>VALID</v>
      </c>
      <c r="N3133" t="str">
        <f>IF(COUNTIF(course_data[course_id],role_course_map[[#This Row],[course_id]])=0, "INVALID","VALID")</f>
        <v>VALID</v>
      </c>
    </row>
    <row r="3134" spans="1:14" x14ac:dyDescent="0.35">
      <c r="A3134" t="s">
        <v>256</v>
      </c>
      <c r="B3134" s="5" t="str">
        <f>_xlfn.XLOOKUP(role_course_map[[#This Row],[role_id]], role_data[role_id], role_data[Role],"")</f>
        <v>Strategic Operations Manager</v>
      </c>
      <c r="C3134">
        <v>999017</v>
      </c>
      <c r="D3134" s="5" t="str">
        <f>_xlfn.XLOOKUP(role_course_map[[#This Row],[course_id]],course_data[course_id],course_data[title],"")</f>
        <v>Clinical Skills</v>
      </c>
      <c r="E3134" s="5" t="str">
        <f>_xlfn.XLOOKUP(role_course_map[[#This Row],[course_id]],course_data[course_id],course_data[topic],"")</f>
        <v>SAS : Clinical Practice</v>
      </c>
      <c r="F3134" s="5" t="str">
        <f>_xlfn.XLOOKUP(role_course_map[[#This Row],[course_id]],course_data[course_id],course_data[type],"")</f>
        <v>eLearning</v>
      </c>
      <c r="K3134" t="str">
        <f>role_course_map[[#This Row],[role_id]] &amp; "|" &amp; role_course_map[[#This Row],[course_id]]</f>
        <v>R0122|999017</v>
      </c>
      <c r="L3134" t="str">
        <f>IF(COUNTIF(role_course_map[mapping_key],role_course_map[[#This Row],[mapping_key]])&gt;1,"DUPLICATE","OK")</f>
        <v>OK</v>
      </c>
      <c r="M3134" t="str">
        <f>IF(COUNTIF(role_data[role_id],role_course_map[[#This Row],[role_id]])=0, "INVALID","VALID")</f>
        <v>VALID</v>
      </c>
      <c r="N3134" t="str">
        <f>IF(COUNTIF(course_data[course_id],role_course_map[[#This Row],[course_id]])=0, "INVALID","VALID")</f>
        <v>VALID</v>
      </c>
    </row>
    <row r="3135" spans="1:14" x14ac:dyDescent="0.35">
      <c r="A3135" t="s">
        <v>256</v>
      </c>
      <c r="B3135" s="5" t="str">
        <f>_xlfn.XLOOKUP(role_course_map[[#This Row],[role_id]], role_data[role_id], role_data[Role],"")</f>
        <v>Strategic Operations Manager</v>
      </c>
      <c r="C3135">
        <v>999018</v>
      </c>
      <c r="D3135" s="5" t="str">
        <f>_xlfn.XLOOKUP(role_course_map[[#This Row],[course_id]],course_data[course_id],course_data[title],"")</f>
        <v>Learning from Events</v>
      </c>
      <c r="E3135" s="5" t="str">
        <f>_xlfn.XLOOKUP(role_course_map[[#This Row],[course_id]],course_data[course_id],course_data[topic],"")</f>
        <v>SAS : Clinical Practice</v>
      </c>
      <c r="F3135" s="5" t="str">
        <f>_xlfn.XLOOKUP(role_course_map[[#This Row],[course_id]],course_data[course_id],course_data[type],"")</f>
        <v>eLearning</v>
      </c>
      <c r="K3135" t="str">
        <f>role_course_map[[#This Row],[role_id]] &amp; "|" &amp; role_course_map[[#This Row],[course_id]]</f>
        <v>R0122|999018</v>
      </c>
      <c r="L3135" t="str">
        <f>IF(COUNTIF(role_course_map[mapping_key],role_course_map[[#This Row],[mapping_key]])&gt;1,"DUPLICATE","OK")</f>
        <v>OK</v>
      </c>
      <c r="M3135" t="str">
        <f>IF(COUNTIF(role_data[role_id],role_course_map[[#This Row],[role_id]])=0, "INVALID","VALID")</f>
        <v>VALID</v>
      </c>
      <c r="N3135" t="str">
        <f>IF(COUNTIF(course_data[course_id],role_course_map[[#This Row],[course_id]])=0, "INVALID","VALID")</f>
        <v>VALID</v>
      </c>
    </row>
    <row r="3136" spans="1:14" x14ac:dyDescent="0.35">
      <c r="A3136" t="s">
        <v>256</v>
      </c>
      <c r="B3136" s="5" t="str">
        <f>_xlfn.XLOOKUP(role_course_map[[#This Row],[role_id]], role_data[role_id], role_data[Role],"")</f>
        <v>Strategic Operations Manager</v>
      </c>
      <c r="C3136">
        <v>999019</v>
      </c>
      <c r="D3136" s="5" t="str">
        <f>_xlfn.XLOOKUP(role_course_map[[#This Row],[course_id]],course_data[course_id],course_data[title],"")</f>
        <v>Medicines Management</v>
      </c>
      <c r="E3136" s="5" t="str">
        <f>_xlfn.XLOOKUP(role_course_map[[#This Row],[course_id]],course_data[course_id],course_data[topic],"")</f>
        <v>SAS : Clinical Practice</v>
      </c>
      <c r="F3136" s="5" t="str">
        <f>_xlfn.XLOOKUP(role_course_map[[#This Row],[course_id]],course_data[course_id],course_data[type],"")</f>
        <v>eLearning</v>
      </c>
      <c r="K3136" t="str">
        <f>role_course_map[[#This Row],[role_id]] &amp; "|" &amp; role_course_map[[#This Row],[course_id]]</f>
        <v>R0122|999019</v>
      </c>
      <c r="L3136" t="str">
        <f>IF(COUNTIF(role_course_map[mapping_key],role_course_map[[#This Row],[mapping_key]])&gt;1,"DUPLICATE","OK")</f>
        <v>OK</v>
      </c>
      <c r="M3136" t="str">
        <f>IF(COUNTIF(role_data[role_id],role_course_map[[#This Row],[role_id]])=0, "INVALID","VALID")</f>
        <v>VALID</v>
      </c>
      <c r="N3136" t="str">
        <f>IF(COUNTIF(course_data[course_id],role_course_map[[#This Row],[course_id]])=0, "INVALID","VALID")</f>
        <v>VALID</v>
      </c>
    </row>
    <row r="3137" spans="1:14" x14ac:dyDescent="0.35">
      <c r="A3137" t="s">
        <v>256</v>
      </c>
      <c r="B3137" s="5" t="str">
        <f>_xlfn.XLOOKUP(role_course_map[[#This Row],[role_id]], role_data[role_id], role_data[Role],"")</f>
        <v>Strategic Operations Manager</v>
      </c>
      <c r="C3137">
        <v>999020</v>
      </c>
      <c r="D3137" s="5" t="str">
        <f>_xlfn.XLOOKUP(role_course_map[[#This Row],[course_id]],course_data[course_id],course_data[title],"")</f>
        <v>JRCALC Update</v>
      </c>
      <c r="E3137" s="5" t="str">
        <f>_xlfn.XLOOKUP(role_course_map[[#This Row],[course_id]],course_data[course_id],course_data[topic],"")</f>
        <v>SAS : Clinical Practice</v>
      </c>
      <c r="F3137" s="5" t="str">
        <f>_xlfn.XLOOKUP(role_course_map[[#This Row],[course_id]],course_data[course_id],course_data[type],"")</f>
        <v>eLearning</v>
      </c>
      <c r="K3137" t="str">
        <f>role_course_map[[#This Row],[role_id]] &amp; "|" &amp; role_course_map[[#This Row],[course_id]]</f>
        <v>R0122|999020</v>
      </c>
      <c r="L3137" t="str">
        <f>IF(COUNTIF(role_course_map[mapping_key],role_course_map[[#This Row],[mapping_key]])&gt;1,"DUPLICATE","OK")</f>
        <v>OK</v>
      </c>
      <c r="M3137" t="str">
        <f>IF(COUNTIF(role_data[role_id],role_course_map[[#This Row],[role_id]])=0, "INVALID","VALID")</f>
        <v>VALID</v>
      </c>
      <c r="N3137" t="str">
        <f>IF(COUNTIF(course_data[course_id],role_course_map[[#This Row],[course_id]])=0, "INVALID","VALID")</f>
        <v>VALID</v>
      </c>
    </row>
    <row r="3138" spans="1:14" x14ac:dyDescent="0.35">
      <c r="A3138" t="s">
        <v>256</v>
      </c>
      <c r="B3138" s="5" t="str">
        <f>_xlfn.XLOOKUP(role_course_map[[#This Row],[role_id]], role_data[role_id], role_data[Role],"")</f>
        <v>Strategic Operations Manager</v>
      </c>
      <c r="C3138">
        <v>999021</v>
      </c>
      <c r="D3138" s="5" t="str">
        <f>_xlfn.XLOOKUP(role_course_map[[#This Row],[course_id]],course_data[course_id],course_data[title],"")</f>
        <v>Mental Health</v>
      </c>
      <c r="E3138" s="5" t="str">
        <f>_xlfn.XLOOKUP(role_course_map[[#This Row],[course_id]],course_data[course_id],course_data[topic],"")</f>
        <v>SAS : Clinical Practice</v>
      </c>
      <c r="F3138" s="5" t="str">
        <f>_xlfn.XLOOKUP(role_course_map[[#This Row],[course_id]],course_data[course_id],course_data[type],"")</f>
        <v>eLearning</v>
      </c>
      <c r="K3138" t="str">
        <f>role_course_map[[#This Row],[role_id]] &amp; "|" &amp; role_course_map[[#This Row],[course_id]]</f>
        <v>R0122|999021</v>
      </c>
      <c r="L3138" t="str">
        <f>IF(COUNTIF(role_course_map[mapping_key],role_course_map[[#This Row],[mapping_key]])&gt;1,"DUPLICATE","OK")</f>
        <v>OK</v>
      </c>
      <c r="M3138" t="str">
        <f>IF(COUNTIF(role_data[role_id],role_course_map[[#This Row],[role_id]])=0, "INVALID","VALID")</f>
        <v>VALID</v>
      </c>
      <c r="N3138" t="str">
        <f>IF(COUNTIF(course_data[course_id],role_course_map[[#This Row],[course_id]])=0, "INVALID","VALID")</f>
        <v>VALID</v>
      </c>
    </row>
    <row r="3139" spans="1:14" x14ac:dyDescent="0.35">
      <c r="A3139" t="s">
        <v>256</v>
      </c>
      <c r="B3139" s="5" t="str">
        <f>_xlfn.XLOOKUP(role_course_map[[#This Row],[role_id]], role_data[role_id], role_data[Role],"")</f>
        <v>Strategic Operations Manager</v>
      </c>
      <c r="C3139">
        <v>999022</v>
      </c>
      <c r="D3139" s="5" t="str">
        <f>_xlfn.XLOOKUP(role_course_map[[#This Row],[course_id]],course_data[course_id],course_data[title],"")</f>
        <v>Learning Disabilities</v>
      </c>
      <c r="E3139" s="5" t="str">
        <f>_xlfn.XLOOKUP(role_course_map[[#This Row],[course_id]],course_data[course_id],course_data[topic],"")</f>
        <v>SAS : Clinical Practice</v>
      </c>
      <c r="F3139" s="5" t="str">
        <f>_xlfn.XLOOKUP(role_course_map[[#This Row],[course_id]],course_data[course_id],course_data[type],"")</f>
        <v>eLearning</v>
      </c>
      <c r="K3139" t="str">
        <f>role_course_map[[#This Row],[role_id]] &amp; "|" &amp; role_course_map[[#This Row],[course_id]]</f>
        <v>R0122|999022</v>
      </c>
      <c r="L3139" t="str">
        <f>IF(COUNTIF(role_course_map[mapping_key],role_course_map[[#This Row],[mapping_key]])&gt;1,"DUPLICATE","OK")</f>
        <v>OK</v>
      </c>
      <c r="M3139" t="str">
        <f>IF(COUNTIF(role_data[role_id],role_course_map[[#This Row],[role_id]])=0, "INVALID","VALID")</f>
        <v>VALID</v>
      </c>
      <c r="N3139" t="str">
        <f>IF(COUNTIF(course_data[course_id],role_course_map[[#This Row],[course_id]])=0, "INVALID","VALID")</f>
        <v>VALID</v>
      </c>
    </row>
    <row r="3140" spans="1:14" x14ac:dyDescent="0.35">
      <c r="A3140" t="s">
        <v>256</v>
      </c>
      <c r="B3140" s="5" t="str">
        <f>_xlfn.XLOOKUP(role_course_map[[#This Row],[role_id]], role_data[role_id], role_data[Role],"")</f>
        <v>Strategic Operations Manager</v>
      </c>
      <c r="C3140">
        <v>75202</v>
      </c>
      <c r="D3140" s="5" t="str">
        <f>_xlfn.XLOOKUP(role_course_map[[#This Row],[course_id]],course_data[course_id],course_data[title],"")</f>
        <v>SAS : Clinical Practice</v>
      </c>
      <c r="E3140" s="5" t="str">
        <f>_xlfn.XLOOKUP(role_course_map[[#This Row],[course_id]],course_data[course_id],course_data[topic],"")</f>
        <v>SAS : Clinical Practice</v>
      </c>
      <c r="F3140" s="5" t="str">
        <f>_xlfn.XLOOKUP(role_course_map[[#This Row],[course_id]],course_data[course_id],course_data[type],"")</f>
        <v>Page</v>
      </c>
      <c r="K3140" t="str">
        <f>role_course_map[[#This Row],[role_id]] &amp; "|" &amp; role_course_map[[#This Row],[course_id]]</f>
        <v>R0122|75202</v>
      </c>
      <c r="L3140" t="str">
        <f>IF(COUNTIF(role_course_map[mapping_key],role_course_map[[#This Row],[mapping_key]])&gt;1,"DUPLICATE","OK")</f>
        <v>OK</v>
      </c>
      <c r="M3140" t="str">
        <f>IF(COUNTIF(role_data[role_id],role_course_map[[#This Row],[role_id]])=0, "INVALID","VALID")</f>
        <v>VALID</v>
      </c>
      <c r="N3140" t="str">
        <f>IF(COUNTIF(course_data[course_id],role_course_map[[#This Row],[course_id]])=0, "INVALID","VALID")</f>
        <v>VALID</v>
      </c>
    </row>
    <row r="3141" spans="1:14" x14ac:dyDescent="0.35">
      <c r="A3141" t="s">
        <v>256</v>
      </c>
      <c r="B3141" s="5" t="str">
        <f>_xlfn.XLOOKUP(role_course_map[[#This Row],[role_id]], role_data[role_id], role_data[Role],"")</f>
        <v>Strategic Operations Manager</v>
      </c>
      <c r="C3141">
        <v>999023</v>
      </c>
      <c r="D3141" s="5" t="str">
        <f>_xlfn.XLOOKUP(role_course_map[[#This Row],[course_id]],course_data[course_id],course_data[title],"")</f>
        <v>Dementia</v>
      </c>
      <c r="E3141" s="5" t="str">
        <f>_xlfn.XLOOKUP(role_course_map[[#This Row],[course_id]],course_data[course_id],course_data[topic],"")</f>
        <v>SAS : Clinical Practice</v>
      </c>
      <c r="F3141" s="5" t="str">
        <f>_xlfn.XLOOKUP(role_course_map[[#This Row],[course_id]],course_data[course_id],course_data[type],"")</f>
        <v>eLearning</v>
      </c>
      <c r="K3141" t="str">
        <f>role_course_map[[#This Row],[role_id]] &amp; "|" &amp; role_course_map[[#This Row],[course_id]]</f>
        <v>R0122|999023</v>
      </c>
      <c r="L3141" t="str">
        <f>IF(COUNTIF(role_course_map[mapping_key],role_course_map[[#This Row],[mapping_key]])&gt;1,"DUPLICATE","OK")</f>
        <v>OK</v>
      </c>
      <c r="M3141" t="str">
        <f>IF(COUNTIF(role_data[role_id],role_course_map[[#This Row],[role_id]])=0, "INVALID","VALID")</f>
        <v>VALID</v>
      </c>
      <c r="N3141" t="str">
        <f>IF(COUNTIF(course_data[course_id],role_course_map[[#This Row],[course_id]])=0, "INVALID","VALID")</f>
        <v>VALID</v>
      </c>
    </row>
    <row r="3142" spans="1:14" x14ac:dyDescent="0.35">
      <c r="A3142" t="s">
        <v>256</v>
      </c>
      <c r="B3142" s="5" t="str">
        <f>_xlfn.XLOOKUP(role_course_map[[#This Row],[role_id]], role_data[role_id], role_data[Role],"")</f>
        <v>Strategic Operations Manager</v>
      </c>
      <c r="C3142">
        <v>999024</v>
      </c>
      <c r="D3142" s="5" t="str">
        <f>_xlfn.XLOOKUP(role_course_map[[#This Row],[course_id]],course_data[course_id],course_data[title],"")</f>
        <v>Conditions requiring specific hospital management. I.e. Parkinsons</v>
      </c>
      <c r="E3142" s="5" t="str">
        <f>_xlfn.XLOOKUP(role_course_map[[#This Row],[course_id]],course_data[course_id],course_data[topic],"")</f>
        <v>SAS : Clinical Practice</v>
      </c>
      <c r="F3142" s="5" t="str">
        <f>_xlfn.XLOOKUP(role_course_map[[#This Row],[course_id]],course_data[course_id],course_data[type],"")</f>
        <v>eLearning</v>
      </c>
      <c r="K3142" t="str">
        <f>role_course_map[[#This Row],[role_id]] &amp; "|" &amp; role_course_map[[#This Row],[course_id]]</f>
        <v>R0122|999024</v>
      </c>
      <c r="L3142" t="str">
        <f>IF(COUNTIF(role_course_map[mapping_key],role_course_map[[#This Row],[mapping_key]])&gt;1,"DUPLICATE","OK")</f>
        <v>OK</v>
      </c>
      <c r="M3142" t="str">
        <f>IF(COUNTIF(role_data[role_id],role_course_map[[#This Row],[role_id]])=0, "INVALID","VALID")</f>
        <v>VALID</v>
      </c>
      <c r="N3142" t="str">
        <f>IF(COUNTIF(course_data[course_id],role_course_map[[#This Row],[course_id]])=0, "INVALID","VALID")</f>
        <v>VALID</v>
      </c>
    </row>
    <row r="3143" spans="1:14" x14ac:dyDescent="0.35">
      <c r="A3143" t="s">
        <v>256</v>
      </c>
      <c r="B3143" s="5" t="str">
        <f>_xlfn.XLOOKUP(role_course_map[[#This Row],[role_id]], role_data[role_id], role_data[Role],"")</f>
        <v>Strategic Operations Manager</v>
      </c>
      <c r="C3143">
        <v>999095</v>
      </c>
      <c r="D3143" s="5" t="str">
        <f>_xlfn.XLOOKUP(role_course_map[[#This Row],[course_id]],course_data[course_id],course_data[title],"")</f>
        <v>Mentoring</v>
      </c>
      <c r="E3143" s="5" t="str">
        <f>_xlfn.XLOOKUP(role_course_map[[#This Row],[course_id]],course_data[course_id],course_data[topic],"")</f>
        <v>SAS: Staff development and experience</v>
      </c>
      <c r="F3143" s="5" t="str">
        <f>_xlfn.XLOOKUP(role_course_map[[#This Row],[course_id]],course_data[course_id],course_data[type],"")</f>
        <v>eLearning</v>
      </c>
      <c r="K3143" t="str">
        <f>role_course_map[[#This Row],[role_id]] &amp; "|" &amp; role_course_map[[#This Row],[course_id]]</f>
        <v>R0122|999095</v>
      </c>
      <c r="L3143" t="str">
        <f>IF(COUNTIF(role_course_map[mapping_key],role_course_map[[#This Row],[mapping_key]])&gt;1,"DUPLICATE","OK")</f>
        <v>OK</v>
      </c>
      <c r="M3143" t="str">
        <f>IF(COUNTIF(role_data[role_id],role_course_map[[#This Row],[role_id]])=0, "INVALID","VALID")</f>
        <v>VALID</v>
      </c>
      <c r="N3143" t="str">
        <f>IF(COUNTIF(course_data[course_id],role_course_map[[#This Row],[course_id]])=0, "INVALID","VALID")</f>
        <v>VALID</v>
      </c>
    </row>
    <row r="3144" spans="1:14" x14ac:dyDescent="0.35">
      <c r="A3144" t="s">
        <v>256</v>
      </c>
      <c r="B3144" s="5" t="str">
        <f>_xlfn.XLOOKUP(role_course_map[[#This Row],[role_id]], role_data[role_id], role_data[Role],"")</f>
        <v>Strategic Operations Manager</v>
      </c>
      <c r="C3144">
        <v>999096</v>
      </c>
      <c r="D3144" s="5" t="str">
        <f>_xlfn.XLOOKUP(role_course_map[[#This Row],[course_id]],course_data[course_id],course_data[title],"")</f>
        <v>Supporting others in practice (Supervision)</v>
      </c>
      <c r="E3144" s="5" t="str">
        <f>_xlfn.XLOOKUP(role_course_map[[#This Row],[course_id]],course_data[course_id],course_data[topic],"")</f>
        <v>SAS: Staff development and experience</v>
      </c>
      <c r="F3144" s="5" t="str">
        <f>_xlfn.XLOOKUP(role_course_map[[#This Row],[course_id]],course_data[course_id],course_data[type],"")</f>
        <v>Course</v>
      </c>
      <c r="K3144" t="str">
        <f>role_course_map[[#This Row],[role_id]] &amp; "|" &amp; role_course_map[[#This Row],[course_id]]</f>
        <v>R0122|999096</v>
      </c>
      <c r="L3144" t="str">
        <f>IF(COUNTIF(role_course_map[mapping_key],role_course_map[[#This Row],[mapping_key]])&gt;1,"DUPLICATE","OK")</f>
        <v>OK</v>
      </c>
      <c r="M3144" t="str">
        <f>IF(COUNTIF(role_data[role_id],role_course_map[[#This Row],[role_id]])=0, "INVALID","VALID")</f>
        <v>VALID</v>
      </c>
      <c r="N3144" t="str">
        <f>IF(COUNTIF(course_data[course_id],role_course_map[[#This Row],[course_id]])=0, "INVALID","VALID")</f>
        <v>VALID</v>
      </c>
    </row>
    <row r="3145" spans="1:14" x14ac:dyDescent="0.35">
      <c r="A3145" t="s">
        <v>256</v>
      </c>
      <c r="B3145" s="5" t="str">
        <f>_xlfn.XLOOKUP(role_course_map[[#This Row],[role_id]], role_data[role_id], role_data[Role],"")</f>
        <v>Strategic Operations Manager</v>
      </c>
      <c r="C3145">
        <v>999097</v>
      </c>
      <c r="D3145" s="5" t="str">
        <f>_xlfn.XLOOKUP(role_course_map[[#This Row],[course_id]],course_data[course_id],course_data[title],"")</f>
        <v>Personal Wellbeing</v>
      </c>
      <c r="E3145" s="5" t="str">
        <f>_xlfn.XLOOKUP(role_course_map[[#This Row],[course_id]],course_data[course_id],course_data[topic],"")</f>
        <v>SAS: Staff development and experience</v>
      </c>
      <c r="F3145" s="5" t="str">
        <f>_xlfn.XLOOKUP(role_course_map[[#This Row],[course_id]],course_data[course_id],course_data[type],"")</f>
        <v>eLearning</v>
      </c>
      <c r="K3145" t="str">
        <f>role_course_map[[#This Row],[role_id]] &amp; "|" &amp; role_course_map[[#This Row],[course_id]]</f>
        <v>R0122|999097</v>
      </c>
      <c r="L3145" t="str">
        <f>IF(COUNTIF(role_course_map[mapping_key],role_course_map[[#This Row],[mapping_key]])&gt;1,"DUPLICATE","OK")</f>
        <v>OK</v>
      </c>
      <c r="M3145" t="str">
        <f>IF(COUNTIF(role_data[role_id],role_course_map[[#This Row],[role_id]])=0, "INVALID","VALID")</f>
        <v>VALID</v>
      </c>
      <c r="N3145" t="str">
        <f>IF(COUNTIF(course_data[course_id],role_course_map[[#This Row],[course_id]])=0, "INVALID","VALID")</f>
        <v>VALID</v>
      </c>
    </row>
    <row r="3146" spans="1:14" x14ac:dyDescent="0.35">
      <c r="A3146" t="s">
        <v>256</v>
      </c>
      <c r="B3146" s="5" t="str">
        <f>_xlfn.XLOOKUP(role_course_map[[#This Row],[role_id]], role_data[role_id], role_data[Role],"")</f>
        <v>Strategic Operations Manager</v>
      </c>
      <c r="C3146">
        <v>999091</v>
      </c>
      <c r="D3146" s="5" t="str">
        <f>_xlfn.XLOOKUP(role_course_map[[#This Row],[course_id]],course_data[course_id],course_data[title],"")</f>
        <v>Intermediate Leadership Development Programme</v>
      </c>
      <c r="E3146" s="5" t="str">
        <f>_xlfn.XLOOKUP(role_course_map[[#This Row],[course_id]],course_data[course_id],course_data[topic],"")</f>
        <v>SAS: Staff development and experience</v>
      </c>
      <c r="F3146" s="5">
        <f>_xlfn.XLOOKUP(role_course_map[[#This Row],[course_id]],course_data[course_id],course_data[type],"")</f>
        <v>0</v>
      </c>
      <c r="K3146" t="str">
        <f>role_course_map[[#This Row],[role_id]] &amp; "|" &amp; role_course_map[[#This Row],[course_id]]</f>
        <v>R0122|999091</v>
      </c>
      <c r="L3146" t="str">
        <f>IF(COUNTIF(role_course_map[mapping_key],role_course_map[[#This Row],[mapping_key]])&gt;1,"DUPLICATE","OK")</f>
        <v>OK</v>
      </c>
      <c r="M3146" t="str">
        <f>IF(COUNTIF(role_data[role_id],role_course_map[[#This Row],[role_id]])=0, "INVALID","VALID")</f>
        <v>VALID</v>
      </c>
      <c r="N3146" t="str">
        <f>IF(COUNTIF(course_data[course_id],role_course_map[[#This Row],[course_id]])=0, "INVALID","VALID")</f>
        <v>VALID</v>
      </c>
    </row>
    <row r="3147" spans="1:14" x14ac:dyDescent="0.35">
      <c r="A3147" t="s">
        <v>256</v>
      </c>
      <c r="B3147" s="5" t="str">
        <f>_xlfn.XLOOKUP(role_course_map[[#This Row],[role_id]], role_data[role_id], role_data[Role],"")</f>
        <v>Strategic Operations Manager</v>
      </c>
      <c r="C3147">
        <v>79147</v>
      </c>
      <c r="D3147" s="5" t="str">
        <f>_xlfn.XLOOKUP(role_course_map[[#This Row],[course_id]],course_data[course_id],course_data[title],"")</f>
        <v>Driving risks at work</v>
      </c>
      <c r="E3147" s="5" t="str">
        <f>_xlfn.XLOOKUP(role_course_map[[#This Row],[course_id]],course_data[course_id],course_data[topic],"")</f>
        <v>SAS : Health and Safety</v>
      </c>
      <c r="F3147" s="5" t="str">
        <f>_xlfn.XLOOKUP(role_course_map[[#This Row],[course_id]],course_data[course_id],course_data[type],"")</f>
        <v>eLearning</v>
      </c>
      <c r="K3147" t="str">
        <f>role_course_map[[#This Row],[role_id]] &amp; "|" &amp; role_course_map[[#This Row],[course_id]]</f>
        <v>R0122|79147</v>
      </c>
      <c r="L3147" t="str">
        <f>IF(COUNTIF(role_course_map[mapping_key],role_course_map[[#This Row],[mapping_key]])&gt;1,"DUPLICATE","OK")</f>
        <v>OK</v>
      </c>
      <c r="M3147" t="str">
        <f>IF(COUNTIF(role_data[role_id],role_course_map[[#This Row],[role_id]])=0, "INVALID","VALID")</f>
        <v>VALID</v>
      </c>
      <c r="N3147" t="str">
        <f>IF(COUNTIF(course_data[course_id],role_course_map[[#This Row],[course_id]])=0, "INVALID","VALID")</f>
        <v>VALID</v>
      </c>
    </row>
    <row r="3148" spans="1:14" x14ac:dyDescent="0.35">
      <c r="A3148" t="s">
        <v>256</v>
      </c>
      <c r="B3148" s="5" t="str">
        <f>_xlfn.XLOOKUP(role_course_map[[#This Row],[role_id]], role_data[role_id], role_data[Role],"")</f>
        <v>Strategic Operations Manager</v>
      </c>
      <c r="C3148">
        <v>999060</v>
      </c>
      <c r="D3148" s="5" t="str">
        <f>_xlfn.XLOOKUP(role_course_map[[#This Row],[course_id]],course_data[course_id],course_data[title],"")</f>
        <v>COSHH</v>
      </c>
      <c r="E3148" s="5" t="str">
        <f>_xlfn.XLOOKUP(role_course_map[[#This Row],[course_id]],course_data[course_id],course_data[topic],"")</f>
        <v>SAS : Health and Safety</v>
      </c>
      <c r="F3148" s="5" t="str">
        <f>_xlfn.XLOOKUP(role_course_map[[#This Row],[course_id]],course_data[course_id],course_data[type],"")</f>
        <v>eLearning</v>
      </c>
      <c r="K3148" t="str">
        <f>role_course_map[[#This Row],[role_id]] &amp; "|" &amp; role_course_map[[#This Row],[course_id]]</f>
        <v>R0122|999060</v>
      </c>
      <c r="L3148" t="str">
        <f>IF(COUNTIF(role_course_map[mapping_key],role_course_map[[#This Row],[mapping_key]])&gt;1,"DUPLICATE","OK")</f>
        <v>OK</v>
      </c>
      <c r="M3148" t="str">
        <f>IF(COUNTIF(role_data[role_id],role_course_map[[#This Row],[role_id]])=0, "INVALID","VALID")</f>
        <v>VALID</v>
      </c>
      <c r="N3148" t="str">
        <f>IF(COUNTIF(course_data[course_id],role_course_map[[#This Row],[course_id]])=0, "INVALID","VALID")</f>
        <v>VALID</v>
      </c>
    </row>
    <row r="3149" spans="1:14" x14ac:dyDescent="0.35">
      <c r="A3149" t="s">
        <v>256</v>
      </c>
      <c r="B3149" s="5" t="str">
        <f>_xlfn.XLOOKUP(role_course_map[[#This Row],[role_id]], role_data[role_id], role_data[Role],"")</f>
        <v>Strategic Operations Manager</v>
      </c>
      <c r="C3149">
        <v>999066</v>
      </c>
      <c r="D3149" s="5" t="str">
        <f>_xlfn.XLOOKUP(role_course_map[[#This Row],[course_id]],course_data[course_id],course_data[title],"")</f>
        <v>NRRD Update i.e. Major Incidents/Methane/ Multiple Casualities</v>
      </c>
      <c r="E3149" s="5" t="str">
        <f>_xlfn.XLOOKUP(role_course_map[[#This Row],[course_id]],course_data[course_id],course_data[topic],"")</f>
        <v>SAS : National Risk and Resilience Department (NRRD)</v>
      </c>
      <c r="F3149" s="5" t="str">
        <f>_xlfn.XLOOKUP(role_course_map[[#This Row],[course_id]],course_data[course_id],course_data[type],"")</f>
        <v>eLearning</v>
      </c>
      <c r="K3149" t="str">
        <f>role_course_map[[#This Row],[role_id]] &amp; "|" &amp; role_course_map[[#This Row],[course_id]]</f>
        <v>R0122|999066</v>
      </c>
      <c r="L3149" t="str">
        <f>IF(COUNTIF(role_course_map[mapping_key],role_course_map[[#This Row],[mapping_key]])&gt;1,"DUPLICATE","OK")</f>
        <v>OK</v>
      </c>
      <c r="M3149" t="str">
        <f>IF(COUNTIF(role_data[role_id],role_course_map[[#This Row],[role_id]])=0, "INVALID","VALID")</f>
        <v>VALID</v>
      </c>
      <c r="N3149" t="str">
        <f>IF(COUNTIF(course_data[course_id],role_course_map[[#This Row],[course_id]])=0, "INVALID","VALID")</f>
        <v>VALID</v>
      </c>
    </row>
    <row r="3150" spans="1:14" x14ac:dyDescent="0.35">
      <c r="A3150" t="s">
        <v>256</v>
      </c>
      <c r="B3150" s="5" t="str">
        <f>_xlfn.XLOOKUP(role_course_map[[#This Row],[role_id]], role_data[role_id], role_data[Role],"")</f>
        <v>Strategic Operations Manager</v>
      </c>
      <c r="C3150">
        <v>999025</v>
      </c>
      <c r="D3150" s="5" t="str">
        <f>_xlfn.XLOOKUP(role_course_map[[#This Row],[course_id]],course_data[course_id],course_data[title],"")</f>
        <v>Professional Standards</v>
      </c>
      <c r="E3150" s="5" t="str">
        <f>_xlfn.XLOOKUP(role_course_map[[#This Row],[course_id]],course_data[course_id],course_data[topic],"")</f>
        <v>SAS : Clinical Practice</v>
      </c>
      <c r="F3150" s="5" t="str">
        <f>_xlfn.XLOOKUP(role_course_map[[#This Row],[course_id]],course_data[course_id],course_data[type],"")</f>
        <v>eLearning</v>
      </c>
      <c r="K3150" t="str">
        <f>role_course_map[[#This Row],[role_id]] &amp; "|" &amp; role_course_map[[#This Row],[course_id]]</f>
        <v>R0122|999025</v>
      </c>
      <c r="L3150" t="str">
        <f>IF(COUNTIF(role_course_map[mapping_key],role_course_map[[#This Row],[mapping_key]])&gt;1,"DUPLICATE","OK")</f>
        <v>OK</v>
      </c>
      <c r="M3150" t="str">
        <f>IF(COUNTIF(role_data[role_id],role_course_map[[#This Row],[role_id]])=0, "INVALID","VALID")</f>
        <v>VALID</v>
      </c>
      <c r="N3150" t="str">
        <f>IF(COUNTIF(course_data[course_id],role_course_map[[#This Row],[course_id]])=0, "INVALID","VALID")</f>
        <v>VALID</v>
      </c>
    </row>
    <row r="3151" spans="1:14" x14ac:dyDescent="0.35">
      <c r="A3151" t="s">
        <v>256</v>
      </c>
      <c r="B3151" s="5" t="str">
        <f>_xlfn.XLOOKUP(role_course_map[[#This Row],[role_id]], role_data[role_id], role_data[Role],"")</f>
        <v>Strategic Operations Manager</v>
      </c>
      <c r="C3151">
        <v>999026</v>
      </c>
      <c r="D3151" s="5" t="str">
        <f>_xlfn.XLOOKUP(role_course_map[[#This Row],[course_id]],course_data[course_id],course_data[title],"")</f>
        <v>Communication Standards</v>
      </c>
      <c r="E3151" s="5" t="str">
        <f>_xlfn.XLOOKUP(role_course_map[[#This Row],[course_id]],course_data[course_id],course_data[topic],"")</f>
        <v>SAS : Clinical Practice</v>
      </c>
      <c r="F3151" s="5" t="str">
        <f>_xlfn.XLOOKUP(role_course_map[[#This Row],[course_id]],course_data[course_id],course_data[type],"")</f>
        <v>eLearning</v>
      </c>
      <c r="K3151" t="str">
        <f>role_course_map[[#This Row],[role_id]] &amp; "|" &amp; role_course_map[[#This Row],[course_id]]</f>
        <v>R0122|999026</v>
      </c>
      <c r="L3151" t="str">
        <f>IF(COUNTIF(role_course_map[mapping_key],role_course_map[[#This Row],[mapping_key]])&gt;1,"DUPLICATE","OK")</f>
        <v>OK</v>
      </c>
      <c r="M3151" t="str">
        <f>IF(COUNTIF(role_data[role_id],role_course_map[[#This Row],[role_id]])=0, "INVALID","VALID")</f>
        <v>VALID</v>
      </c>
      <c r="N3151" t="str">
        <f>IF(COUNTIF(course_data[course_id],role_course_map[[#This Row],[course_id]])=0, "INVALID","VALID")</f>
        <v>VALID</v>
      </c>
    </row>
    <row r="3152" spans="1:14" x14ac:dyDescent="0.35">
      <c r="A3152" t="s">
        <v>256</v>
      </c>
      <c r="B3152" s="5" t="str">
        <f>_xlfn.XLOOKUP(role_course_map[[#This Row],[role_id]], role_data[role_id], role_data[Role],"")</f>
        <v>Strategic Operations Manager</v>
      </c>
      <c r="C3152">
        <v>999062</v>
      </c>
      <c r="D3152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3152" s="5" t="str">
        <f>_xlfn.XLOOKUP(role_course_map[[#This Row],[course_id]],course_data[course_id],course_data[topic],"")</f>
        <v>SAS : Health and Safety</v>
      </c>
      <c r="F3152" s="5" t="str">
        <f>_xlfn.XLOOKUP(role_course_map[[#This Row],[course_id]],course_data[course_id],course_data[type],"")</f>
        <v>Course</v>
      </c>
      <c r="K3152" t="str">
        <f>role_course_map[[#This Row],[role_id]] &amp; "|" &amp; role_course_map[[#This Row],[course_id]]</f>
        <v>R0122|999062</v>
      </c>
      <c r="L3152" t="str">
        <f>IF(COUNTIF(role_course_map[mapping_key],role_course_map[[#This Row],[mapping_key]])&gt;1,"DUPLICATE","OK")</f>
        <v>OK</v>
      </c>
      <c r="M3152" t="str">
        <f>IF(COUNTIF(role_data[role_id],role_course_map[[#This Row],[role_id]])=0, "INVALID","VALID")</f>
        <v>VALID</v>
      </c>
      <c r="N3152" t="str">
        <f>IF(COUNTIF(course_data[course_id],role_course_map[[#This Row],[course_id]])=0, "INVALID","VALID")</f>
        <v>VALID</v>
      </c>
    </row>
    <row r="3153" spans="1:14" x14ac:dyDescent="0.35">
      <c r="A3153" t="s">
        <v>256</v>
      </c>
      <c r="B3153" s="5" t="str">
        <f>_xlfn.XLOOKUP(role_course_map[[#This Row],[role_id]], role_data[role_id], role_data[Role],"")</f>
        <v>Strategic Operations Manager</v>
      </c>
      <c r="C3153">
        <v>999056</v>
      </c>
      <c r="D3153" s="5" t="str">
        <f>_xlfn.XLOOKUP(role_course_map[[#This Row],[course_id]],course_data[course_id],course_data[title],"")</f>
        <v>Driver Assessment &amp; Training</v>
      </c>
      <c r="E3153" s="5" t="str">
        <f>_xlfn.XLOOKUP(role_course_map[[#This Row],[course_id]],course_data[course_id],course_data[topic],"")</f>
        <v>SAS : Health and Safety</v>
      </c>
      <c r="F3153" s="5" t="str">
        <f>_xlfn.XLOOKUP(role_course_map[[#This Row],[course_id]],course_data[course_id],course_data[type],"")</f>
        <v>eLearning</v>
      </c>
      <c r="K3153" t="str">
        <f>role_course_map[[#This Row],[role_id]] &amp; "|" &amp; role_course_map[[#This Row],[course_id]]</f>
        <v>R0122|999056</v>
      </c>
      <c r="L3153" t="str">
        <f>IF(COUNTIF(role_course_map[mapping_key],role_course_map[[#This Row],[mapping_key]])&gt;1,"DUPLICATE","OK")</f>
        <v>OK</v>
      </c>
      <c r="M3153" t="str">
        <f>IF(COUNTIF(role_data[role_id],role_course_map[[#This Row],[role_id]])=0, "INVALID","VALID")</f>
        <v>VALID</v>
      </c>
      <c r="N3153" t="str">
        <f>IF(COUNTIF(course_data[course_id],role_course_map[[#This Row],[course_id]])=0, "INVALID","VALID")</f>
        <v>VALID</v>
      </c>
    </row>
    <row r="3154" spans="1:14" x14ac:dyDescent="0.35">
      <c r="A3154" t="s">
        <v>256</v>
      </c>
      <c r="B3154" s="5" t="str">
        <f>_xlfn.XLOOKUP(role_course_map[[#This Row],[role_id]], role_data[role_id], role_data[Role],"")</f>
        <v>Strategic Operations Manager</v>
      </c>
      <c r="C3154">
        <v>999057</v>
      </c>
      <c r="D3154" s="5" t="str">
        <f>_xlfn.XLOOKUP(role_course_map[[#This Row],[course_id]],course_data[course_id],course_data[title],"")</f>
        <v>Fatigue Awareness</v>
      </c>
      <c r="E3154" s="5" t="str">
        <f>_xlfn.XLOOKUP(role_course_map[[#This Row],[course_id]],course_data[course_id],course_data[topic],"")</f>
        <v>SAS : Health and Safety</v>
      </c>
      <c r="F3154" s="5" t="str">
        <f>_xlfn.XLOOKUP(role_course_map[[#This Row],[course_id]],course_data[course_id],course_data[type],"")</f>
        <v>eLearning</v>
      </c>
      <c r="K3154" t="str">
        <f>role_course_map[[#This Row],[role_id]] &amp; "|" &amp; role_course_map[[#This Row],[course_id]]</f>
        <v>R0122|999057</v>
      </c>
      <c r="L3154" t="str">
        <f>IF(COUNTIF(role_course_map[mapping_key],role_course_map[[#This Row],[mapping_key]])&gt;1,"DUPLICATE","OK")</f>
        <v>OK</v>
      </c>
      <c r="M3154" t="str">
        <f>IF(COUNTIF(role_data[role_id],role_course_map[[#This Row],[role_id]])=0, "INVALID","VALID")</f>
        <v>VALID</v>
      </c>
      <c r="N3154" t="str">
        <f>IF(COUNTIF(course_data[course_id],role_course_map[[#This Row],[course_id]])=0, "INVALID","VALID")</f>
        <v>VALID</v>
      </c>
    </row>
    <row r="3155" spans="1:14" x14ac:dyDescent="0.35">
      <c r="A3155" t="s">
        <v>256</v>
      </c>
      <c r="B3155" s="5" t="str">
        <f>_xlfn.XLOOKUP(role_course_map[[#This Row],[role_id]], role_data[role_id], role_data[Role],"")</f>
        <v>Strategic Operations Manager</v>
      </c>
      <c r="C3155">
        <v>999058</v>
      </c>
      <c r="D3155" s="5" t="str">
        <f>_xlfn.XLOOKUP(role_course_map[[#This Row],[course_id]],course_data[course_id],course_data[title],"")</f>
        <v>Stress Identification &amp; Stress Management</v>
      </c>
      <c r="E3155" s="5" t="str">
        <f>_xlfn.XLOOKUP(role_course_map[[#This Row],[course_id]],course_data[course_id],course_data[topic],"")</f>
        <v>SAS : Health and Safety</v>
      </c>
      <c r="F3155" s="5" t="str">
        <f>_xlfn.XLOOKUP(role_course_map[[#This Row],[course_id]],course_data[course_id],course_data[type],"")</f>
        <v>eLearning</v>
      </c>
      <c r="K3155" t="str">
        <f>role_course_map[[#This Row],[role_id]] &amp; "|" &amp; role_course_map[[#This Row],[course_id]]</f>
        <v>R0122|999058</v>
      </c>
      <c r="L3155" t="str">
        <f>IF(COUNTIF(role_course_map[mapping_key],role_course_map[[#This Row],[mapping_key]])&gt;1,"DUPLICATE","OK")</f>
        <v>OK</v>
      </c>
      <c r="M3155" t="str">
        <f>IF(COUNTIF(role_data[role_id],role_course_map[[#This Row],[role_id]])=0, "INVALID","VALID")</f>
        <v>VALID</v>
      </c>
      <c r="N3155" t="str">
        <f>IF(COUNTIF(course_data[course_id],role_course_map[[#This Row],[course_id]])=0, "INVALID","VALID")</f>
        <v>VALID</v>
      </c>
    </row>
    <row r="3156" spans="1:14" x14ac:dyDescent="0.35">
      <c r="A3156" t="s">
        <v>256</v>
      </c>
      <c r="B3156" s="5" t="str">
        <f>_xlfn.XLOOKUP(role_course_map[[#This Row],[role_id]], role_data[role_id], role_data[Role],"")</f>
        <v>Strategic Operations Manager</v>
      </c>
      <c r="C3156">
        <v>999061</v>
      </c>
      <c r="D3156" s="5" t="str">
        <f>_xlfn.XLOOKUP(role_course_map[[#This Row],[course_id]],course_data[course_id],course_data[title],"")</f>
        <v>Skin Awareness</v>
      </c>
      <c r="E3156" s="5" t="str">
        <f>_xlfn.XLOOKUP(role_course_map[[#This Row],[course_id]],course_data[course_id],course_data[topic],"")</f>
        <v>SAS : Health and Safety</v>
      </c>
      <c r="F3156" s="5" t="str">
        <f>_xlfn.XLOOKUP(role_course_map[[#This Row],[course_id]],course_data[course_id],course_data[type],"")</f>
        <v>eLearning</v>
      </c>
      <c r="K3156" t="str">
        <f>role_course_map[[#This Row],[role_id]] &amp; "|" &amp; role_course_map[[#This Row],[course_id]]</f>
        <v>R0122|999061</v>
      </c>
      <c r="L3156" t="str">
        <f>IF(COUNTIF(role_course_map[mapping_key],role_course_map[[#This Row],[mapping_key]])&gt;1,"DUPLICATE","OK")</f>
        <v>OK</v>
      </c>
      <c r="M3156" t="str">
        <f>IF(COUNTIF(role_data[role_id],role_course_map[[#This Row],[role_id]])=0, "INVALID","VALID")</f>
        <v>VALID</v>
      </c>
      <c r="N3156" t="str">
        <f>IF(COUNTIF(course_data[course_id],role_course_map[[#This Row],[course_id]])=0, "INVALID","VALID")</f>
        <v>VALID</v>
      </c>
    </row>
    <row r="3157" spans="1:14" x14ac:dyDescent="0.35">
      <c r="A3157" t="s">
        <v>256</v>
      </c>
      <c r="B3157" s="5" t="str">
        <f>_xlfn.XLOOKUP(role_course_map[[#This Row],[role_id]], role_data[role_id], role_data[Role],"")</f>
        <v>Strategic Operations Manager</v>
      </c>
      <c r="C3157">
        <v>999027</v>
      </c>
      <c r="D3157" s="5" t="str">
        <f>_xlfn.XLOOKUP(role_course_map[[#This Row],[course_id]],course_data[course_id],course_data[title],"")</f>
        <v>Manual and Patient Handling Foundation Training - Level 2</v>
      </c>
      <c r="E3157" s="5" t="str">
        <f>_xlfn.XLOOKUP(role_course_map[[#This Row],[course_id]],course_data[course_id],course_data[topic],"")</f>
        <v>SAS : Clinical Practice</v>
      </c>
      <c r="F3157" s="5" t="str">
        <f>_xlfn.XLOOKUP(role_course_map[[#This Row],[course_id]],course_data[course_id],course_data[type],"")</f>
        <v>Course</v>
      </c>
      <c r="K3157" t="str">
        <f>role_course_map[[#This Row],[role_id]] &amp; "|" &amp; role_course_map[[#This Row],[course_id]]</f>
        <v>R0122|999027</v>
      </c>
      <c r="L3157" t="str">
        <f>IF(COUNTIF(role_course_map[mapping_key],role_course_map[[#This Row],[mapping_key]])&gt;1,"DUPLICATE","OK")</f>
        <v>OK</v>
      </c>
      <c r="M3157" t="str">
        <f>IF(COUNTIF(role_data[role_id],role_course_map[[#This Row],[role_id]])=0, "INVALID","VALID")</f>
        <v>VALID</v>
      </c>
      <c r="N3157" t="str">
        <f>IF(COUNTIF(course_data[course_id],role_course_map[[#This Row],[course_id]])=0, "INVALID","VALID")</f>
        <v>VALID</v>
      </c>
    </row>
    <row r="3158" spans="1:14" x14ac:dyDescent="0.35">
      <c r="A3158" t="s">
        <v>256</v>
      </c>
      <c r="B3158" s="5" t="str">
        <f>_xlfn.XLOOKUP(role_course_map[[#This Row],[role_id]], role_data[role_id], role_data[Role],"")</f>
        <v>Strategic Operations Manager</v>
      </c>
      <c r="C3158">
        <v>999028</v>
      </c>
      <c r="D3158" s="5" t="str">
        <f>_xlfn.XLOOKUP(role_course_map[[#This Row],[course_id]],course_data[course_id],course_data[title],"")</f>
        <v>Manual and Patient Handling Competency Assessment - Level 3</v>
      </c>
      <c r="E3158" s="5" t="str">
        <f>_xlfn.XLOOKUP(role_course_map[[#This Row],[course_id]],course_data[course_id],course_data[topic],"")</f>
        <v>SAS : Clinical Practice</v>
      </c>
      <c r="F3158" s="5" t="str">
        <f>_xlfn.XLOOKUP(role_course_map[[#This Row],[course_id]],course_data[course_id],course_data[type],"")</f>
        <v>Course</v>
      </c>
      <c r="K3158" t="str">
        <f>role_course_map[[#This Row],[role_id]] &amp; "|" &amp; role_course_map[[#This Row],[course_id]]</f>
        <v>R0122|999028</v>
      </c>
      <c r="L3158" t="str">
        <f>IF(COUNTIF(role_course_map[mapping_key],role_course_map[[#This Row],[mapping_key]])&gt;1,"DUPLICATE","OK")</f>
        <v>OK</v>
      </c>
      <c r="M3158" t="str">
        <f>IF(COUNTIF(role_data[role_id],role_course_map[[#This Row],[role_id]])=0, "INVALID","VALID")</f>
        <v>VALID</v>
      </c>
      <c r="N3158" t="str">
        <f>IF(COUNTIF(course_data[course_id],role_course_map[[#This Row],[course_id]])=0, "INVALID","VALID")</f>
        <v>VALID</v>
      </c>
    </row>
    <row r="3159" spans="1:14" x14ac:dyDescent="0.35">
      <c r="A3159" t="s">
        <v>256</v>
      </c>
      <c r="B3159" s="5" t="str">
        <f>_xlfn.XLOOKUP(role_course_map[[#This Row],[role_id]], role_data[role_id], role_data[Role],"")</f>
        <v>Strategic Operations Manager</v>
      </c>
      <c r="C3159">
        <v>999029</v>
      </c>
      <c r="D3159" s="5" t="str">
        <f>_xlfn.XLOOKUP(role_course_map[[#This Row],[course_id]],course_data[course_id],course_data[title],"")</f>
        <v>Manual and Patient Handling Competency Assessment Theory - Level 3</v>
      </c>
      <c r="E3159" s="5" t="str">
        <f>_xlfn.XLOOKUP(role_course_map[[#This Row],[course_id]],course_data[course_id],course_data[topic],"")</f>
        <v>SAS : Clinical Practice</v>
      </c>
      <c r="F3159" s="5" t="str">
        <f>_xlfn.XLOOKUP(role_course_map[[#This Row],[course_id]],course_data[course_id],course_data[type],"")</f>
        <v>Course</v>
      </c>
      <c r="K3159" t="str">
        <f>role_course_map[[#This Row],[role_id]] &amp; "|" &amp; role_course_map[[#This Row],[course_id]]</f>
        <v>R0122|999029</v>
      </c>
      <c r="L3159" t="str">
        <f>IF(COUNTIF(role_course_map[mapping_key],role_course_map[[#This Row],[mapping_key]])&gt;1,"DUPLICATE","OK")</f>
        <v>OK</v>
      </c>
      <c r="M3159" t="str">
        <f>IF(COUNTIF(role_data[role_id],role_course_map[[#This Row],[role_id]])=0, "INVALID","VALID")</f>
        <v>VALID</v>
      </c>
      <c r="N3159" t="str">
        <f>IF(COUNTIF(course_data[course_id],role_course_map[[#This Row],[course_id]])=0, "INVALID","VALID")</f>
        <v>VALID</v>
      </c>
    </row>
    <row r="3160" spans="1:14" x14ac:dyDescent="0.35">
      <c r="A3160" t="s">
        <v>256</v>
      </c>
      <c r="B3160" s="5" t="str">
        <f>_xlfn.XLOOKUP(role_course_map[[#This Row],[role_id]], role_data[role_id], role_data[Role],"")</f>
        <v>Strategic Operations Manager</v>
      </c>
      <c r="C3160" t="s">
        <v>659</v>
      </c>
      <c r="D3160" s="5" t="str">
        <f>_xlfn.XLOOKUP(role_course_map[[#This Row],[course_id]],course_data[course_id],course_data[title],"")</f>
        <v>Prevention and Management of Violence and Aggression - Breakaway training Level 2 /Restrictive movement Level 3</v>
      </c>
      <c r="E3160" s="5" t="str">
        <f>_xlfn.XLOOKUP(role_course_map[[#This Row],[course_id]],course_data[course_id],course_data[topic],"")</f>
        <v>SAS : Health and Safety</v>
      </c>
      <c r="F3160" s="5" t="str">
        <f>_xlfn.XLOOKUP(role_course_map[[#This Row],[course_id]],course_data[course_id],course_data[type],"")</f>
        <v>Course</v>
      </c>
      <c r="K3160" t="str">
        <f>role_course_map[[#This Row],[role_id]] &amp; "|" &amp; role_course_map[[#This Row],[course_id]]</f>
        <v>R0122|2025-6 edition</v>
      </c>
      <c r="L3160" t="str">
        <f>IF(COUNTIF(role_course_map[mapping_key],role_course_map[[#This Row],[mapping_key]])&gt;1,"DUPLICATE","OK")</f>
        <v>OK</v>
      </c>
      <c r="M3160" t="str">
        <f>IF(COUNTIF(role_data[role_id],role_course_map[[#This Row],[role_id]])=0, "INVALID","VALID")</f>
        <v>VALID</v>
      </c>
      <c r="N3160" t="str">
        <f>IF(COUNTIF(course_data[course_id],role_course_map[[#This Row],[course_id]])=0, "INVALID","VALID")</f>
        <v>VALID</v>
      </c>
    </row>
    <row r="3161" spans="1:14" x14ac:dyDescent="0.35">
      <c r="A3161" t="s">
        <v>256</v>
      </c>
      <c r="B3161" s="5" t="str">
        <f>_xlfn.XLOOKUP(role_course_map[[#This Row],[role_id]], role_data[role_id], role_data[Role],"")</f>
        <v>Strategic Operations Manager</v>
      </c>
      <c r="C3161">
        <v>999055</v>
      </c>
      <c r="D3161" s="5" t="str">
        <f>_xlfn.XLOOKUP(role_course_map[[#This Row],[course_id]],course_data[course_id],course_data[title],"")</f>
        <v>Prevention and Management of Violence and Aggression - Refresher</v>
      </c>
      <c r="E3161" s="5" t="str">
        <f>_xlfn.XLOOKUP(role_course_map[[#This Row],[course_id]],course_data[course_id],course_data[topic],"")</f>
        <v>SAS : Health and Safety</v>
      </c>
      <c r="F3161" s="5" t="str">
        <f>_xlfn.XLOOKUP(role_course_map[[#This Row],[course_id]],course_data[course_id],course_data[type],"")</f>
        <v>Course</v>
      </c>
      <c r="K3161" t="str">
        <f>role_course_map[[#This Row],[role_id]] &amp; "|" &amp; role_course_map[[#This Row],[course_id]]</f>
        <v>R0122|999055</v>
      </c>
      <c r="L3161" t="str">
        <f>IF(COUNTIF(role_course_map[mapping_key],role_course_map[[#This Row],[mapping_key]])&gt;1,"DUPLICATE","OK")</f>
        <v>OK</v>
      </c>
      <c r="M3161" t="str">
        <f>IF(COUNTIF(role_data[role_id],role_course_map[[#This Row],[role_id]])=0, "INVALID","VALID")</f>
        <v>VALID</v>
      </c>
      <c r="N3161" t="str">
        <f>IF(COUNTIF(course_data[course_id],role_course_map[[#This Row],[course_id]])=0, "INVALID","VALID")</f>
        <v>VALID</v>
      </c>
    </row>
    <row r="3162" spans="1:14" x14ac:dyDescent="0.35">
      <c r="A3162" t="s">
        <v>256</v>
      </c>
      <c r="B3162" s="5" t="str">
        <f>_xlfn.XLOOKUP(role_course_map[[#This Row],[role_id]], role_data[role_id], role_data[Role],"")</f>
        <v>Strategic Operations Manager</v>
      </c>
      <c r="C3162">
        <v>64322</v>
      </c>
      <c r="D3162" s="5" t="str">
        <f>_xlfn.XLOOKUP(role_course_map[[#This Row],[course_id]],course_data[course_id],course_data[title],"")</f>
        <v>Adult support and protection: practice level 2 [skilled]</v>
      </c>
      <c r="E3162" s="5" t="str">
        <f>_xlfn.XLOOKUP(role_course_map[[#This Row],[course_id]],course_data[course_id],course_data[topic],"")</f>
        <v>SAS : Public Protection</v>
      </c>
      <c r="F3162" s="5" t="str">
        <f>_xlfn.XLOOKUP(role_course_map[[#This Row],[course_id]],course_data[course_id],course_data[type],"")</f>
        <v>eLearning</v>
      </c>
      <c r="K3162" t="str">
        <f>role_course_map[[#This Row],[role_id]] &amp; "|" &amp; role_course_map[[#This Row],[course_id]]</f>
        <v>R0122|64322</v>
      </c>
      <c r="L3162" t="str">
        <f>IF(COUNTIF(role_course_map[mapping_key],role_course_map[[#This Row],[mapping_key]])&gt;1,"DUPLICATE","OK")</f>
        <v>OK</v>
      </c>
      <c r="M3162" t="str">
        <f>IF(COUNTIF(role_data[role_id],role_course_map[[#This Row],[role_id]])=0, "INVALID","VALID")</f>
        <v>VALID</v>
      </c>
      <c r="N3162" t="str">
        <f>IF(COUNTIF(course_data[course_id],role_course_map[[#This Row],[course_id]])=0, "INVALID","VALID")</f>
        <v>VALID</v>
      </c>
    </row>
    <row r="3163" spans="1:14" x14ac:dyDescent="0.35">
      <c r="A3163" t="s">
        <v>256</v>
      </c>
      <c r="B3163" s="5" t="str">
        <f>_xlfn.XLOOKUP(role_course_map[[#This Row],[role_id]], role_data[role_id], role_data[Role],"")</f>
        <v>Strategic Operations Manager</v>
      </c>
      <c r="C3163">
        <v>64324</v>
      </c>
      <c r="D3163" s="5" t="str">
        <f>_xlfn.XLOOKUP(role_course_map[[#This Row],[course_id]],course_data[course_id],course_data[title],"")</f>
        <v>Child protection: practice level 2 [skilled]</v>
      </c>
      <c r="E3163" s="5" t="str">
        <f>_xlfn.XLOOKUP(role_course_map[[#This Row],[course_id]],course_data[course_id],course_data[topic],"")</f>
        <v>SAS : Public Protection</v>
      </c>
      <c r="F3163" s="5" t="str">
        <f>_xlfn.XLOOKUP(role_course_map[[#This Row],[course_id]],course_data[course_id],course_data[type],"")</f>
        <v>eLearning</v>
      </c>
      <c r="K3163" t="str">
        <f>role_course_map[[#This Row],[role_id]] &amp; "|" &amp; role_course_map[[#This Row],[course_id]]</f>
        <v>R0122|64324</v>
      </c>
      <c r="L3163" t="str">
        <f>IF(COUNTIF(role_course_map[mapping_key],role_course_map[[#This Row],[mapping_key]])&gt;1,"DUPLICATE","OK")</f>
        <v>OK</v>
      </c>
      <c r="M3163" t="str">
        <f>IF(COUNTIF(role_data[role_id],role_course_map[[#This Row],[role_id]])=0, "INVALID","VALID")</f>
        <v>VALID</v>
      </c>
      <c r="N3163" t="str">
        <f>IF(COUNTIF(course_data[course_id],role_course_map[[#This Row],[course_id]])=0, "INVALID","VALID")</f>
        <v>VALID</v>
      </c>
    </row>
    <row r="3164" spans="1:14" x14ac:dyDescent="0.35">
      <c r="A3164" t="s">
        <v>256</v>
      </c>
      <c r="B3164" s="5" t="str">
        <f>_xlfn.XLOOKUP(role_course_map[[#This Row],[role_id]], role_data[role_id], role_data[Role],"")</f>
        <v>Strategic Operations Manager</v>
      </c>
      <c r="C3164">
        <v>76716</v>
      </c>
      <c r="D3164" s="5" t="str">
        <f>_xlfn.XLOOKUP(role_course_map[[#This Row],[course_id]],course_data[course_id],course_data[title],"")</f>
        <v>Domestic abuse awareness training tool (DAART)</v>
      </c>
      <c r="E3164" s="5" t="str">
        <f>_xlfn.XLOOKUP(role_course_map[[#This Row],[course_id]],course_data[course_id],course_data[topic],"")</f>
        <v>SAS : Public Protection</v>
      </c>
      <c r="F3164" s="5" t="str">
        <f>_xlfn.XLOOKUP(role_course_map[[#This Row],[course_id]],course_data[course_id],course_data[type],"")</f>
        <v>eLearning</v>
      </c>
      <c r="K3164" t="str">
        <f>role_course_map[[#This Row],[role_id]] &amp; "|" &amp; role_course_map[[#This Row],[course_id]]</f>
        <v>R0122|76716</v>
      </c>
      <c r="L3164" t="str">
        <f>IF(COUNTIF(role_course_map[mapping_key],role_course_map[[#This Row],[mapping_key]])&gt;1,"DUPLICATE","OK")</f>
        <v>OK</v>
      </c>
      <c r="M3164" t="str">
        <f>IF(COUNTIF(role_data[role_id],role_course_map[[#This Row],[role_id]])=0, "INVALID","VALID")</f>
        <v>VALID</v>
      </c>
      <c r="N3164" t="str">
        <f>IF(COUNTIF(course_data[course_id],role_course_map[[#This Row],[course_id]])=0, "INVALID","VALID")</f>
        <v>VALID</v>
      </c>
    </row>
    <row r="3165" spans="1:14" x14ac:dyDescent="0.35">
      <c r="A3165" t="s">
        <v>256</v>
      </c>
      <c r="B3165" s="5" t="str">
        <f>_xlfn.XLOOKUP(role_course_map[[#This Row],[role_id]], role_data[role_id], role_data[Role],"")</f>
        <v>Strategic Operations Manager</v>
      </c>
      <c r="C3165">
        <v>79666</v>
      </c>
      <c r="D3165" s="5" t="str">
        <f>_xlfn.XLOOKUP(role_course_map[[#This Row],[course_id]],course_data[course_id],course_data[title],"")</f>
        <v>Getting it right for every child (GIRFEC): informed level</v>
      </c>
      <c r="E3165" s="5" t="str">
        <f>_xlfn.XLOOKUP(role_course_map[[#This Row],[course_id]],course_data[course_id],course_data[topic],"")</f>
        <v>SAS : Public Protection</v>
      </c>
      <c r="F3165" s="5" t="str">
        <f>_xlfn.XLOOKUP(role_course_map[[#This Row],[course_id]],course_data[course_id],course_data[type],"")</f>
        <v>eLearning</v>
      </c>
      <c r="K3165" t="str">
        <f>role_course_map[[#This Row],[role_id]] &amp; "|" &amp; role_course_map[[#This Row],[course_id]]</f>
        <v>R0122|79666</v>
      </c>
      <c r="L3165" t="str">
        <f>IF(COUNTIF(role_course_map[mapping_key],role_course_map[[#This Row],[mapping_key]])&gt;1,"DUPLICATE","OK")</f>
        <v>OK</v>
      </c>
      <c r="M3165" t="str">
        <f>IF(COUNTIF(role_data[role_id],role_course_map[[#This Row],[role_id]])=0, "INVALID","VALID")</f>
        <v>VALID</v>
      </c>
      <c r="N3165" t="str">
        <f>IF(COUNTIF(course_data[course_id],role_course_map[[#This Row],[course_id]])=0, "INVALID","VALID")</f>
        <v>VALID</v>
      </c>
    </row>
    <row r="3166" spans="1:14" x14ac:dyDescent="0.35">
      <c r="A3166" t="s">
        <v>256</v>
      </c>
      <c r="B3166" s="5" t="str">
        <f>_xlfn.XLOOKUP(role_course_map[[#This Row],[role_id]], role_data[role_id], role_data[Role],"")</f>
        <v>Strategic Operations Manager</v>
      </c>
      <c r="C3166">
        <v>999074</v>
      </c>
      <c r="D3166" s="5" t="str">
        <f>_xlfn.XLOOKUP(role_course_map[[#This Row],[course_id]],course_data[course_id],course_data[title],"")</f>
        <v>SAS-specific Children’s rights</v>
      </c>
      <c r="E3166" s="5" t="str">
        <f>_xlfn.XLOOKUP(role_course_map[[#This Row],[course_id]],course_data[course_id],course_data[topic],"")</f>
        <v>SAS : Public Protection</v>
      </c>
      <c r="F3166" s="5" t="str">
        <f>_xlfn.XLOOKUP(role_course_map[[#This Row],[course_id]],course_data[course_id],course_data[type],"")</f>
        <v>eLearning</v>
      </c>
      <c r="K3166" t="str">
        <f>role_course_map[[#This Row],[role_id]] &amp; "|" &amp; role_course_map[[#This Row],[course_id]]</f>
        <v>R0122|999074</v>
      </c>
      <c r="L3166" t="str">
        <f>IF(COUNTIF(role_course_map[mapping_key],role_course_map[[#This Row],[mapping_key]])&gt;1,"DUPLICATE","OK")</f>
        <v>OK</v>
      </c>
      <c r="M3166" t="str">
        <f>IF(COUNTIF(role_data[role_id],role_course_map[[#This Row],[role_id]])=0, "INVALID","VALID")</f>
        <v>VALID</v>
      </c>
      <c r="N3166" t="str">
        <f>IF(COUNTIF(course_data[course_id],role_course_map[[#This Row],[course_id]])=0, "INVALID","VALID")</f>
        <v>VALID</v>
      </c>
    </row>
    <row r="3167" spans="1:14" x14ac:dyDescent="0.35">
      <c r="A3167" t="s">
        <v>256</v>
      </c>
      <c r="B3167" s="5" t="str">
        <f>_xlfn.XLOOKUP(role_course_map[[#This Row],[role_id]], role_data[role_id], role_data[Role],"")</f>
        <v>Strategic Operations Manager</v>
      </c>
      <c r="C3167">
        <v>999075</v>
      </c>
      <c r="D3167" s="5" t="str">
        <f>_xlfn.XLOOKUP(role_course_map[[#This Row],[course_id]],course_data[course_id],course_data[title],"")</f>
        <v>Multiagency local or bespoke Level 3 delivery training</v>
      </c>
      <c r="E3167" s="5" t="str">
        <f>_xlfn.XLOOKUP(role_course_map[[#This Row],[course_id]],course_data[course_id],course_data[topic],"")</f>
        <v>SAS : Public Protection</v>
      </c>
      <c r="F3167" s="5" t="str">
        <f>_xlfn.XLOOKUP(role_course_map[[#This Row],[course_id]],course_data[course_id],course_data[type],"")</f>
        <v>eLearning</v>
      </c>
      <c r="K3167" t="str">
        <f>role_course_map[[#This Row],[role_id]] &amp; "|" &amp; role_course_map[[#This Row],[course_id]]</f>
        <v>R0122|999075</v>
      </c>
      <c r="L3167" t="str">
        <f>IF(COUNTIF(role_course_map[mapping_key],role_course_map[[#This Row],[mapping_key]])&gt;1,"DUPLICATE","OK")</f>
        <v>OK</v>
      </c>
      <c r="M3167" t="str">
        <f>IF(COUNTIF(role_data[role_id],role_course_map[[#This Row],[role_id]])=0, "INVALID","VALID")</f>
        <v>VALID</v>
      </c>
      <c r="N3167" t="str">
        <f>IF(COUNTIF(course_data[course_id],role_course_map[[#This Row],[course_id]])=0, "INVALID","VALID")</f>
        <v>VALID</v>
      </c>
    </row>
    <row r="3168" spans="1:14" x14ac:dyDescent="0.35">
      <c r="A3168" t="s">
        <v>256</v>
      </c>
      <c r="B3168" s="5" t="str">
        <f>_xlfn.XLOOKUP(role_course_map[[#This Row],[role_id]], role_data[role_id], role_data[Role],"")</f>
        <v>Strategic Operations Manager</v>
      </c>
      <c r="C3168">
        <v>15249</v>
      </c>
      <c r="D3168" s="5" t="str">
        <f>_xlfn.XLOOKUP(role_course_map[[#This Row],[course_id]],course_data[course_id],course_data[title],"")</f>
        <v>Human trafficking</v>
      </c>
      <c r="E3168" s="5" t="str">
        <f>_xlfn.XLOOKUP(role_course_map[[#This Row],[course_id]],course_data[course_id],course_data[topic],"")</f>
        <v>SAS : Public Protection</v>
      </c>
      <c r="F3168" s="5" t="str">
        <f>_xlfn.XLOOKUP(role_course_map[[#This Row],[course_id]],course_data[course_id],course_data[type],"")</f>
        <v>eLearning</v>
      </c>
      <c r="K3168" t="str">
        <f>role_course_map[[#This Row],[role_id]] &amp; "|" &amp; role_course_map[[#This Row],[course_id]]</f>
        <v>R0122|15249</v>
      </c>
      <c r="L3168" t="str">
        <f>IF(COUNTIF(role_course_map[mapping_key],role_course_map[[#This Row],[mapping_key]])&gt;1,"DUPLICATE","OK")</f>
        <v>OK</v>
      </c>
      <c r="M3168" t="str">
        <f>IF(COUNTIF(role_data[role_id],role_course_map[[#This Row],[role_id]])=0, "INVALID","VALID")</f>
        <v>VALID</v>
      </c>
      <c r="N3168" t="str">
        <f>IF(COUNTIF(course_data[course_id],role_course_map[[#This Row],[course_id]])=0, "INVALID","VALID")</f>
        <v>VALID</v>
      </c>
    </row>
    <row r="3169" spans="1:14" x14ac:dyDescent="0.35">
      <c r="A3169" t="s">
        <v>256</v>
      </c>
      <c r="B3169" s="5" t="str">
        <f>_xlfn.XLOOKUP(role_course_map[[#This Row],[role_id]], role_data[role_id], role_data[Role],"")</f>
        <v>Strategic Operations Manager</v>
      </c>
      <c r="C3169">
        <v>89161</v>
      </c>
      <c r="D3169" s="5" t="str">
        <f>_xlfn.XLOOKUP(role_course_map[[#This Row],[course_id]],course_data[course_id],course_data[title],"")</f>
        <v>Personal Protective Equipment</v>
      </c>
      <c r="E3169" s="5" t="str">
        <f>_xlfn.XLOOKUP(role_course_map[[#This Row],[course_id]],course_data[course_id],course_data[topic],"")</f>
        <v>SAS : Infection Prevention and Control (IPC)</v>
      </c>
      <c r="F3169" s="5" t="str">
        <f>_xlfn.XLOOKUP(role_course_map[[#This Row],[course_id]],course_data[course_id],course_data[type],"")</f>
        <v>eLearning</v>
      </c>
      <c r="K3169" t="str">
        <f>role_course_map[[#This Row],[role_id]] &amp; "|" &amp; role_course_map[[#This Row],[course_id]]</f>
        <v>R0122|89161</v>
      </c>
      <c r="L3169" t="str">
        <f>IF(COUNTIF(role_course_map[mapping_key],role_course_map[[#This Row],[mapping_key]])&gt;1,"DUPLICATE","OK")</f>
        <v>OK</v>
      </c>
      <c r="M3169" t="str">
        <f>IF(COUNTIF(role_data[role_id],role_course_map[[#This Row],[role_id]])=0, "INVALID","VALID")</f>
        <v>VALID</v>
      </c>
      <c r="N3169" t="str">
        <f>IF(COUNTIF(course_data[course_id],role_course_map[[#This Row],[course_id]])=0, "INVALID","VALID")</f>
        <v>VALID</v>
      </c>
    </row>
    <row r="3170" spans="1:14" x14ac:dyDescent="0.35">
      <c r="A3170" t="s">
        <v>256</v>
      </c>
      <c r="B3170" s="5" t="str">
        <f>_xlfn.XLOOKUP(role_course_map[[#This Row],[role_id]], role_data[role_id], role_data[Role],"")</f>
        <v>Strategic Operations Manager</v>
      </c>
      <c r="C3170">
        <v>89157</v>
      </c>
      <c r="D3170" s="5" t="str">
        <f>_xlfn.XLOOKUP(role_course_map[[#This Row],[course_id]],course_data[course_id],course_data[title],"")</f>
        <v>Safe Management of Care Equipment</v>
      </c>
      <c r="E3170" s="5" t="str">
        <f>_xlfn.XLOOKUP(role_course_map[[#This Row],[course_id]],course_data[course_id],course_data[topic],"")</f>
        <v>SAS : Infection Prevention and Control (IPC)</v>
      </c>
      <c r="F3170" s="5" t="str">
        <f>_xlfn.XLOOKUP(role_course_map[[#This Row],[course_id]],course_data[course_id],course_data[type],"")</f>
        <v>eLearning</v>
      </c>
      <c r="K3170" t="str">
        <f>role_course_map[[#This Row],[role_id]] &amp; "|" &amp; role_course_map[[#This Row],[course_id]]</f>
        <v>R0122|89157</v>
      </c>
      <c r="L3170" t="str">
        <f>IF(COUNTIF(role_course_map[mapping_key],role_course_map[[#This Row],[mapping_key]])&gt;1,"DUPLICATE","OK")</f>
        <v>OK</v>
      </c>
      <c r="M3170" t="str">
        <f>IF(COUNTIF(role_data[role_id],role_course_map[[#This Row],[role_id]])=0, "INVALID","VALID")</f>
        <v>VALID</v>
      </c>
      <c r="N3170" t="str">
        <f>IF(COUNTIF(course_data[course_id],role_course_map[[#This Row],[course_id]])=0, "INVALID","VALID")</f>
        <v>VALID</v>
      </c>
    </row>
    <row r="3171" spans="1:14" x14ac:dyDescent="0.35">
      <c r="A3171" t="s">
        <v>256</v>
      </c>
      <c r="B3171" s="5" t="str">
        <f>_xlfn.XLOOKUP(role_course_map[[#This Row],[role_id]], role_data[role_id], role_data[Role],"")</f>
        <v>Strategic Operations Manager</v>
      </c>
      <c r="C3171">
        <v>89158</v>
      </c>
      <c r="D3171" s="5" t="str">
        <f>_xlfn.XLOOKUP(role_course_map[[#This Row],[course_id]],course_data[course_id],course_data[title],"")</f>
        <v>Safe Management of Care Environment</v>
      </c>
      <c r="E3171" s="5" t="str">
        <f>_xlfn.XLOOKUP(role_course_map[[#This Row],[course_id]],course_data[course_id],course_data[topic],"")</f>
        <v>SAS : Infection Prevention and Control (IPC)</v>
      </c>
      <c r="F3171" s="5" t="str">
        <f>_xlfn.XLOOKUP(role_course_map[[#This Row],[course_id]],course_data[course_id],course_data[type],"")</f>
        <v>eLearning</v>
      </c>
      <c r="K3171" t="str">
        <f>role_course_map[[#This Row],[role_id]] &amp; "|" &amp; role_course_map[[#This Row],[course_id]]</f>
        <v>R0122|89158</v>
      </c>
      <c r="L3171" t="str">
        <f>IF(COUNTIF(role_course_map[mapping_key],role_course_map[[#This Row],[mapping_key]])&gt;1,"DUPLICATE","OK")</f>
        <v>OK</v>
      </c>
      <c r="M3171" t="str">
        <f>IF(COUNTIF(role_data[role_id],role_course_map[[#This Row],[role_id]])=0, "INVALID","VALID")</f>
        <v>VALID</v>
      </c>
      <c r="N3171" t="str">
        <f>IF(COUNTIF(course_data[course_id],role_course_map[[#This Row],[course_id]])=0, "INVALID","VALID")</f>
        <v>VALID</v>
      </c>
    </row>
    <row r="3172" spans="1:14" x14ac:dyDescent="0.35">
      <c r="A3172" t="s">
        <v>256</v>
      </c>
      <c r="B3172" s="5" t="str">
        <f>_xlfn.XLOOKUP(role_course_map[[#This Row],[role_id]], role_data[role_id], role_data[Role],"")</f>
        <v>Strategic Operations Manager</v>
      </c>
      <c r="C3172">
        <v>89159</v>
      </c>
      <c r="D3172" s="5" t="str">
        <f>_xlfn.XLOOKUP(role_course_map[[#This Row],[course_id]],course_data[course_id],course_data[title],"")</f>
        <v>Safe Management of Linen</v>
      </c>
      <c r="E3172" s="5" t="str">
        <f>_xlfn.XLOOKUP(role_course_map[[#This Row],[course_id]],course_data[course_id],course_data[topic],"")</f>
        <v>SAS : Infection Prevention and Control (IPC)</v>
      </c>
      <c r="F3172" s="5" t="str">
        <f>_xlfn.XLOOKUP(role_course_map[[#This Row],[course_id]],course_data[course_id],course_data[type],"")</f>
        <v>eLearning</v>
      </c>
      <c r="K3172" t="str">
        <f>role_course_map[[#This Row],[role_id]] &amp; "|" &amp; role_course_map[[#This Row],[course_id]]</f>
        <v>R0122|89159</v>
      </c>
      <c r="L3172" t="str">
        <f>IF(COUNTIF(role_course_map[mapping_key],role_course_map[[#This Row],[mapping_key]])&gt;1,"DUPLICATE","OK")</f>
        <v>OK</v>
      </c>
      <c r="M3172" t="str">
        <f>IF(COUNTIF(role_data[role_id],role_course_map[[#This Row],[role_id]])=0, "INVALID","VALID")</f>
        <v>VALID</v>
      </c>
      <c r="N3172" t="str">
        <f>IF(COUNTIF(course_data[course_id],role_course_map[[#This Row],[course_id]])=0, "INVALID","VALID")</f>
        <v>VALID</v>
      </c>
    </row>
    <row r="3173" spans="1:14" x14ac:dyDescent="0.35">
      <c r="A3173" t="s">
        <v>256</v>
      </c>
      <c r="B3173" s="5" t="str">
        <f>_xlfn.XLOOKUP(role_course_map[[#This Row],[role_id]], role_data[role_id], role_data[Role],"")</f>
        <v>Strategic Operations Manager</v>
      </c>
      <c r="C3173">
        <v>89160</v>
      </c>
      <c r="D3173" s="5" t="str">
        <f>_xlfn.XLOOKUP(role_course_map[[#This Row],[course_id]],course_data[course_id],course_data[title],"")</f>
        <v>Safe Management of blood and body fluids</v>
      </c>
      <c r="E3173" s="5" t="str">
        <f>_xlfn.XLOOKUP(role_course_map[[#This Row],[course_id]],course_data[course_id],course_data[topic],"")</f>
        <v>SAS : Infection Prevention and Control (IPC)</v>
      </c>
      <c r="F3173" s="5" t="str">
        <f>_xlfn.XLOOKUP(role_course_map[[#This Row],[course_id]],course_data[course_id],course_data[type],"")</f>
        <v>eLearning</v>
      </c>
      <c r="K3173" t="str">
        <f>role_course_map[[#This Row],[role_id]] &amp; "|" &amp; role_course_map[[#This Row],[course_id]]</f>
        <v>R0122|89160</v>
      </c>
      <c r="L3173" t="str">
        <f>IF(COUNTIF(role_course_map[mapping_key],role_course_map[[#This Row],[mapping_key]])&gt;1,"DUPLICATE","OK")</f>
        <v>OK</v>
      </c>
      <c r="M3173" t="str">
        <f>IF(COUNTIF(role_data[role_id],role_course_map[[#This Row],[role_id]])=0, "INVALID","VALID")</f>
        <v>VALID</v>
      </c>
      <c r="N3173" t="str">
        <f>IF(COUNTIF(course_data[course_id],role_course_map[[#This Row],[course_id]])=0, "INVALID","VALID")</f>
        <v>VALID</v>
      </c>
    </row>
    <row r="3174" spans="1:14" x14ac:dyDescent="0.35">
      <c r="A3174" t="s">
        <v>256</v>
      </c>
      <c r="B3174" s="5" t="str">
        <f>_xlfn.XLOOKUP(role_course_map[[#This Row],[role_id]], role_data[role_id], role_data[Role],"")</f>
        <v>Strategic Operations Manager</v>
      </c>
      <c r="C3174">
        <v>89154</v>
      </c>
      <c r="D3174" s="5" t="str">
        <f>_xlfn.XLOOKUP(role_course_map[[#This Row],[course_id]],course_data[course_id],course_data[title],"")</f>
        <v>Safe disposal of waste</v>
      </c>
      <c r="E3174" s="5" t="str">
        <f>_xlfn.XLOOKUP(role_course_map[[#This Row],[course_id]],course_data[course_id],course_data[topic],"")</f>
        <v>SAS : Infection Prevention and Control (IPC)</v>
      </c>
      <c r="F3174" s="5" t="str">
        <f>_xlfn.XLOOKUP(role_course_map[[#This Row],[course_id]],course_data[course_id],course_data[type],"")</f>
        <v>eLearning</v>
      </c>
      <c r="K3174" t="str">
        <f>role_course_map[[#This Row],[role_id]] &amp; "|" &amp; role_course_map[[#This Row],[course_id]]</f>
        <v>R0122|89154</v>
      </c>
      <c r="L3174" t="str">
        <f>IF(COUNTIF(role_course_map[mapping_key],role_course_map[[#This Row],[mapping_key]])&gt;1,"DUPLICATE","OK")</f>
        <v>OK</v>
      </c>
      <c r="M3174" t="str">
        <f>IF(COUNTIF(role_data[role_id],role_course_map[[#This Row],[role_id]])=0, "INVALID","VALID")</f>
        <v>VALID</v>
      </c>
      <c r="N3174" t="str">
        <f>IF(COUNTIF(course_data[course_id],role_course_map[[#This Row],[course_id]])=0, "INVALID","VALID")</f>
        <v>VALID</v>
      </c>
    </row>
    <row r="3175" spans="1:14" x14ac:dyDescent="0.35">
      <c r="A3175" t="s">
        <v>256</v>
      </c>
      <c r="B3175" s="5" t="str">
        <f>_xlfn.XLOOKUP(role_course_map[[#This Row],[role_id]], role_data[role_id], role_data[Role],"")</f>
        <v>Strategic Operations Manager</v>
      </c>
      <c r="C3175">
        <v>89155</v>
      </c>
      <c r="D3175" s="5" t="str">
        <f>_xlfn.XLOOKUP(role_course_map[[#This Row],[course_id]],course_data[course_id],course_data[title],"")</f>
        <v>Prevention &amp; management of occupational exposure</v>
      </c>
      <c r="E3175" s="5" t="str">
        <f>_xlfn.XLOOKUP(role_course_map[[#This Row],[course_id]],course_data[course_id],course_data[topic],"")</f>
        <v>SAS : Infection Prevention and Control (IPC)</v>
      </c>
      <c r="F3175" s="5" t="str">
        <f>_xlfn.XLOOKUP(role_course_map[[#This Row],[course_id]],course_data[course_id],course_data[type],"")</f>
        <v>eLearning</v>
      </c>
      <c r="K3175" t="str">
        <f>role_course_map[[#This Row],[role_id]] &amp; "|" &amp; role_course_map[[#This Row],[course_id]]</f>
        <v>R0122|89155</v>
      </c>
      <c r="L3175" t="str">
        <f>IF(COUNTIF(role_course_map[mapping_key],role_course_map[[#This Row],[mapping_key]])&gt;1,"DUPLICATE","OK")</f>
        <v>OK</v>
      </c>
      <c r="M3175" t="str">
        <f>IF(COUNTIF(role_data[role_id],role_course_map[[#This Row],[role_id]])=0, "INVALID","VALID")</f>
        <v>VALID</v>
      </c>
      <c r="N3175" t="str">
        <f>IF(COUNTIF(course_data[course_id],role_course_map[[#This Row],[course_id]])=0, "INVALID","VALID")</f>
        <v>VALID</v>
      </c>
    </row>
    <row r="3176" spans="1:14" x14ac:dyDescent="0.35">
      <c r="A3176" t="s">
        <v>256</v>
      </c>
      <c r="B3176" s="5" t="str">
        <f>_xlfn.XLOOKUP(role_course_map[[#This Row],[role_id]], role_data[role_id], role_data[Role],"")</f>
        <v>Strategic Operations Manager</v>
      </c>
      <c r="C3176">
        <v>999064</v>
      </c>
      <c r="D3176" s="5" t="str">
        <f>_xlfn.XLOOKUP(role_course_map[[#This Row],[course_id]],course_data[course_id],course_data[title],"")</f>
        <v>Infection prevention and control: Clostridioides difficile infection</v>
      </c>
      <c r="E3176" s="5" t="str">
        <f>_xlfn.XLOOKUP(role_course_map[[#This Row],[course_id]],course_data[course_id],course_data[topic],"")</f>
        <v>SAS : Infection Prevention and Control (IPC)</v>
      </c>
      <c r="F3176" s="5" t="str">
        <f>_xlfn.XLOOKUP(role_course_map[[#This Row],[course_id]],course_data[course_id],course_data[type],"")</f>
        <v>eLearning</v>
      </c>
      <c r="K3176" t="str">
        <f>role_course_map[[#This Row],[role_id]] &amp; "|" &amp; role_course_map[[#This Row],[course_id]]</f>
        <v>R0122|999064</v>
      </c>
      <c r="L3176" t="str">
        <f>IF(COUNTIF(role_course_map[mapping_key],role_course_map[[#This Row],[mapping_key]])&gt;1,"DUPLICATE","OK")</f>
        <v>OK</v>
      </c>
      <c r="M3176" t="str">
        <f>IF(COUNTIF(role_data[role_id],role_course_map[[#This Row],[role_id]])=0, "INVALID","VALID")</f>
        <v>VALID</v>
      </c>
      <c r="N3176" t="str">
        <f>IF(COUNTIF(course_data[course_id],role_course_map[[#This Row],[course_id]])=0, "INVALID","VALID")</f>
        <v>VALID</v>
      </c>
    </row>
    <row r="3177" spans="1:14" x14ac:dyDescent="0.35">
      <c r="A3177" t="s">
        <v>256</v>
      </c>
      <c r="B3177" s="5" t="str">
        <f>_xlfn.XLOOKUP(role_course_map[[#This Row],[role_id]], role_data[role_id], role_data[Role],"")</f>
        <v>Strategic Operations Manager</v>
      </c>
      <c r="C3177">
        <v>3588</v>
      </c>
      <c r="D3177" s="5" t="str">
        <f>_xlfn.XLOOKUP(role_course_map[[#This Row],[course_id]],course_data[course_id],course_data[title],"")</f>
        <v>Antibiotic management</v>
      </c>
      <c r="E3177" s="5" t="str">
        <f>_xlfn.XLOOKUP(role_course_map[[#This Row],[course_id]],course_data[course_id],course_data[topic],"")</f>
        <v>SAS : Clinical Practice</v>
      </c>
      <c r="F3177" s="5" t="str">
        <f>_xlfn.XLOOKUP(role_course_map[[#This Row],[course_id]],course_data[course_id],course_data[type],"")</f>
        <v>Page</v>
      </c>
      <c r="K3177" t="str">
        <f>role_course_map[[#This Row],[role_id]] &amp; "|" &amp; role_course_map[[#This Row],[course_id]]</f>
        <v>R0122|3588</v>
      </c>
      <c r="L3177" t="str">
        <f>IF(COUNTIF(role_course_map[mapping_key],role_course_map[[#This Row],[mapping_key]])&gt;1,"DUPLICATE","OK")</f>
        <v>OK</v>
      </c>
      <c r="M3177" t="str">
        <f>IF(COUNTIF(role_data[role_id],role_course_map[[#This Row],[role_id]])=0, "INVALID","VALID")</f>
        <v>VALID</v>
      </c>
      <c r="N3177" t="str">
        <f>IF(COUNTIF(course_data[course_id],role_course_map[[#This Row],[course_id]])=0, "INVALID","VALID")</f>
        <v>VALID</v>
      </c>
    </row>
    <row r="3178" spans="1:14" x14ac:dyDescent="0.35">
      <c r="A3178" t="s">
        <v>256</v>
      </c>
      <c r="B3178" s="5" t="str">
        <f>_xlfn.XLOOKUP(role_course_map[[#This Row],[role_id]], role_data[role_id], role_data[Role],"")</f>
        <v>Strategic Operations Manager</v>
      </c>
      <c r="C3178">
        <v>82383</v>
      </c>
      <c r="D3178" s="5" t="str">
        <f>_xlfn.XLOOKUP(role_course_map[[#This Row],[course_id]],course_data[course_id],course_data[title],"")</f>
        <v>Aseptic technique</v>
      </c>
      <c r="E3178" s="5" t="str">
        <f>_xlfn.XLOOKUP(role_course_map[[#This Row],[course_id]],course_data[course_id],course_data[topic],"")</f>
        <v>SAS : Infection Prevention and Control (IPC)</v>
      </c>
      <c r="F3178" s="5" t="str">
        <f>_xlfn.XLOOKUP(role_course_map[[#This Row],[course_id]],course_data[course_id],course_data[type],"")</f>
        <v>eLearning</v>
      </c>
      <c r="K3178" t="str">
        <f>role_course_map[[#This Row],[role_id]] &amp; "|" &amp; role_course_map[[#This Row],[course_id]]</f>
        <v>R0122|82383</v>
      </c>
      <c r="L3178" t="str">
        <f>IF(COUNTIF(role_course_map[mapping_key],role_course_map[[#This Row],[mapping_key]])&gt;1,"DUPLICATE","OK")</f>
        <v>OK</v>
      </c>
      <c r="M3178" t="str">
        <f>IF(COUNTIF(role_data[role_id],role_course_map[[#This Row],[role_id]])=0, "INVALID","VALID")</f>
        <v>VALID</v>
      </c>
      <c r="N3178" t="str">
        <f>IF(COUNTIF(course_data[course_id],role_course_map[[#This Row],[course_id]])=0, "INVALID","VALID")</f>
        <v>VALID</v>
      </c>
    </row>
    <row r="3179" spans="1:14" x14ac:dyDescent="0.35">
      <c r="A3179" t="s">
        <v>256</v>
      </c>
      <c r="B3179" s="5" t="str">
        <f>_xlfn.XLOOKUP(role_course_map[[#This Row],[role_id]], role_data[role_id], role_data[Role],"")</f>
        <v>Strategic Operations Manager</v>
      </c>
      <c r="C3179">
        <v>3886</v>
      </c>
      <c r="D3179" s="5" t="str">
        <f>_xlfn.XLOOKUP(role_course_map[[#This Row],[course_id]],course_data[course_id],course_data[title],"")</f>
        <v>Prevention and management of pressure ulcers</v>
      </c>
      <c r="E3179" s="5" t="str">
        <f>_xlfn.XLOOKUP(role_course_map[[#This Row],[course_id]],course_data[course_id],course_data[topic],"")</f>
        <v>SAS : Clinical Practice</v>
      </c>
      <c r="F3179" s="5" t="str">
        <f>_xlfn.XLOOKUP(role_course_map[[#This Row],[course_id]],course_data[course_id],course_data[type],"")</f>
        <v>Page</v>
      </c>
      <c r="K3179" t="str">
        <f>role_course_map[[#This Row],[role_id]] &amp; "|" &amp; role_course_map[[#This Row],[course_id]]</f>
        <v>R0122|3886</v>
      </c>
      <c r="L3179" t="str">
        <f>IF(COUNTIF(role_course_map[mapping_key],role_course_map[[#This Row],[mapping_key]])&gt;1,"DUPLICATE","OK")</f>
        <v>OK</v>
      </c>
      <c r="M3179" t="str">
        <f>IF(COUNTIF(role_data[role_id],role_course_map[[#This Row],[role_id]])=0, "INVALID","VALID")</f>
        <v>VALID</v>
      </c>
      <c r="N3179" t="str">
        <f>IF(COUNTIF(course_data[course_id],role_course_map[[#This Row],[course_id]])=0, "INVALID","VALID")</f>
        <v>VALID</v>
      </c>
    </row>
    <row r="3180" spans="1:14" x14ac:dyDescent="0.35">
      <c r="A3180" t="s">
        <v>256</v>
      </c>
      <c r="B3180" s="5" t="str">
        <f>_xlfn.XLOOKUP(role_course_map[[#This Row],[role_id]], role_data[role_id], role_data[Role],"")</f>
        <v>Strategic Operations Manager</v>
      </c>
      <c r="C3180">
        <v>999092</v>
      </c>
      <c r="D3180" s="5" t="str">
        <f>_xlfn.XLOOKUP(role_course_map[[#This Row],[course_id]],course_data[course_id],course_data[title],"")</f>
        <v>Health &amp; Wellbeing Awareness for Managers</v>
      </c>
      <c r="E3180" s="5" t="str">
        <f>_xlfn.XLOOKUP(role_course_map[[#This Row],[course_id]],course_data[course_id],course_data[topic],"")</f>
        <v>SAS: Staff development and experience</v>
      </c>
      <c r="F3180" s="5" t="str">
        <f>_xlfn.XLOOKUP(role_course_map[[#This Row],[course_id]],course_data[course_id],course_data[type],"")</f>
        <v>eLearning</v>
      </c>
      <c r="K3180" t="str">
        <f>role_course_map[[#This Row],[role_id]] &amp; "|" &amp; role_course_map[[#This Row],[course_id]]</f>
        <v>R0122|999092</v>
      </c>
      <c r="L3180" t="str">
        <f>IF(COUNTIF(role_course_map[mapping_key],role_course_map[[#This Row],[mapping_key]])&gt;1,"DUPLICATE","OK")</f>
        <v>OK</v>
      </c>
      <c r="M3180" t="str">
        <f>IF(COUNTIF(role_data[role_id],role_course_map[[#This Row],[role_id]])=0, "INVALID","VALID")</f>
        <v>VALID</v>
      </c>
      <c r="N3180" t="str">
        <f>IF(COUNTIF(course_data[course_id],role_course_map[[#This Row],[course_id]])=0, "INVALID","VALID")</f>
        <v>VALID</v>
      </c>
    </row>
    <row r="3181" spans="1:14" x14ac:dyDescent="0.35">
      <c r="A3181" t="s">
        <v>256</v>
      </c>
      <c r="B3181" s="5" t="str">
        <f>_xlfn.XLOOKUP(role_course_map[[#This Row],[role_id]], role_data[role_id], role_data[Role],"")</f>
        <v>Strategic Operations Manager</v>
      </c>
      <c r="C3181">
        <v>999093</v>
      </c>
      <c r="D3181" s="5" t="str">
        <f>_xlfn.XLOOKUP(role_course_map[[#This Row],[course_id]],course_data[course_id],course_data[title],"")</f>
        <v>Managing Wellbeing Refresher for Managers</v>
      </c>
      <c r="E3181" s="5" t="str">
        <f>_xlfn.XLOOKUP(role_course_map[[#This Row],[course_id]],course_data[course_id],course_data[topic],"")</f>
        <v>SAS: Staff development and experience</v>
      </c>
      <c r="F3181" s="5" t="str">
        <f>_xlfn.XLOOKUP(role_course_map[[#This Row],[course_id]],course_data[course_id],course_data[type],"")</f>
        <v>eLearning</v>
      </c>
      <c r="K3181" t="str">
        <f>role_course_map[[#This Row],[role_id]] &amp; "|" &amp; role_course_map[[#This Row],[course_id]]</f>
        <v>R0122|999093</v>
      </c>
      <c r="L3181" t="str">
        <f>IF(COUNTIF(role_course_map[mapping_key],role_course_map[[#This Row],[mapping_key]])&gt;1,"DUPLICATE","OK")</f>
        <v>OK</v>
      </c>
      <c r="M3181" t="str">
        <f>IF(COUNTIF(role_data[role_id],role_course_map[[#This Row],[role_id]])=0, "INVALID","VALID")</f>
        <v>VALID</v>
      </c>
      <c r="N3181" t="str">
        <f>IF(COUNTIF(course_data[course_id],role_course_map[[#This Row],[course_id]])=0, "INVALID","VALID")</f>
        <v>VALID</v>
      </c>
    </row>
    <row r="3182" spans="1:14" x14ac:dyDescent="0.35">
      <c r="A3182" t="s">
        <v>256</v>
      </c>
      <c r="B3182" s="5" t="str">
        <f>_xlfn.XLOOKUP(role_course_map[[#This Row],[role_id]], role_data[role_id], role_data[Role],"")</f>
        <v>Strategic Operations Manager</v>
      </c>
      <c r="C3182">
        <v>999094</v>
      </c>
      <c r="D3182" s="5" t="str">
        <f>_xlfn.XLOOKUP(role_course_map[[#This Row],[course_id]],course_data[course_id],course_data[title],"")</f>
        <v>Being well, Mind, Body &amp; Workplace</v>
      </c>
      <c r="E3182" s="5" t="str">
        <f>_xlfn.XLOOKUP(role_course_map[[#This Row],[course_id]],course_data[course_id],course_data[topic],"")</f>
        <v>SAS: Staff development and experience</v>
      </c>
      <c r="F3182" s="5" t="str">
        <f>_xlfn.XLOOKUP(role_course_map[[#This Row],[course_id]],course_data[course_id],course_data[type],"")</f>
        <v>eLearning</v>
      </c>
      <c r="K3182" t="str">
        <f>role_course_map[[#This Row],[role_id]] &amp; "|" &amp; role_course_map[[#This Row],[course_id]]</f>
        <v>R0122|999094</v>
      </c>
      <c r="L3182" t="str">
        <f>IF(COUNTIF(role_course_map[mapping_key],role_course_map[[#This Row],[mapping_key]])&gt;1,"DUPLICATE","OK")</f>
        <v>OK</v>
      </c>
      <c r="M3182" t="str">
        <f>IF(COUNTIF(role_data[role_id],role_course_map[[#This Row],[role_id]])=0, "INVALID","VALID")</f>
        <v>VALID</v>
      </c>
      <c r="N3182" t="str">
        <f>IF(COUNTIF(course_data[course_id],role_course_map[[#This Row],[course_id]])=0, "INVALID","VALID")</f>
        <v>VALID</v>
      </c>
    </row>
    <row r="3183" spans="1:14" x14ac:dyDescent="0.35">
      <c r="A3183" t="s">
        <v>256</v>
      </c>
      <c r="B3183" s="5" t="str">
        <f>_xlfn.XLOOKUP(role_course_map[[#This Row],[role_id]], role_data[role_id], role_data[Role],"")</f>
        <v>Strategic Operations Manager</v>
      </c>
      <c r="D3183" s="5" t="s">
        <v>1062</v>
      </c>
      <c r="E3183" s="5" t="str">
        <f>_xlfn.XLOOKUP(role_course_map[[#This Row],[course_id]],course_data[course_id],course_data[topic],"")</f>
        <v/>
      </c>
      <c r="F3183" s="5" t="str">
        <f>_xlfn.XLOOKUP(role_course_map[[#This Row],[course_id]],course_data[course_id],course_data[type],"")</f>
        <v/>
      </c>
      <c r="K3183" t="str">
        <f>role_course_map[[#This Row],[role_id]] &amp; "|" &amp; role_course_map[[#This Row],[course_id]]</f>
        <v>R0122|</v>
      </c>
      <c r="L3183" t="str">
        <f>IF(COUNTIF(role_course_map[mapping_key],role_course_map[[#This Row],[mapping_key]])&gt;1,"DUPLICATE","OK")</f>
        <v>OK</v>
      </c>
      <c r="M3183" t="str">
        <f>IF(COUNTIF(role_data[role_id],role_course_map[[#This Row],[role_id]])=0, "INVALID","VALID")</f>
        <v>VALID</v>
      </c>
      <c r="N3183" t="str">
        <f>IF(COUNTIF(course_data[course_id],role_course_map[[#This Row],[course_id]])=0, "INVALID","VALID")</f>
        <v>INVALID</v>
      </c>
    </row>
    <row r="3184" spans="1:14" x14ac:dyDescent="0.35">
      <c r="A3184" t="s">
        <v>256</v>
      </c>
      <c r="B3184" s="5" t="str">
        <f>_xlfn.XLOOKUP(role_course_map[[#This Row],[role_id]], role_data[role_id], role_data[Role],"")</f>
        <v>Strategic Operations Manager</v>
      </c>
      <c r="C3184">
        <v>999067</v>
      </c>
      <c r="D3184" s="5" t="str">
        <f>_xlfn.XLOOKUP(role_course_map[[#This Row],[course_id]],course_data[course_id],course_data[title],"")</f>
        <v>Major incident awareness - Course overview</v>
      </c>
      <c r="E3184" s="5" t="str">
        <f>_xlfn.XLOOKUP(role_course_map[[#This Row],[course_id]],course_data[course_id],course_data[topic],"")</f>
        <v>SAS : National Risk and Resilience Department (NRRD)</v>
      </c>
      <c r="F3184" s="5" t="str">
        <f>_xlfn.XLOOKUP(role_course_map[[#This Row],[course_id]],course_data[course_id],course_data[type],"")</f>
        <v>eLearning</v>
      </c>
      <c r="K3184" t="str">
        <f>role_course_map[[#This Row],[role_id]] &amp; "|" &amp; role_course_map[[#This Row],[course_id]]</f>
        <v>R0122|999067</v>
      </c>
      <c r="L3184" t="str">
        <f>IF(COUNTIF(role_course_map[mapping_key],role_course_map[[#This Row],[mapping_key]])&gt;1,"DUPLICATE","OK")</f>
        <v>OK</v>
      </c>
      <c r="M3184" t="str">
        <f>IF(COUNTIF(role_data[role_id],role_course_map[[#This Row],[role_id]])=0, "INVALID","VALID")</f>
        <v>VALID</v>
      </c>
      <c r="N3184" t="str">
        <f>IF(COUNTIF(course_data[course_id],role_course_map[[#This Row],[course_id]])=0, "INVALID","VALID")</f>
        <v>VALID</v>
      </c>
    </row>
    <row r="3185" spans="1:14" x14ac:dyDescent="0.35">
      <c r="A3185" t="s">
        <v>256</v>
      </c>
      <c r="B3185" s="5" t="str">
        <f>_xlfn.XLOOKUP(role_course_map[[#This Row],[role_id]], role_data[role_id], role_data[Role],"")</f>
        <v>Strategic Operations Manager</v>
      </c>
      <c r="C3185">
        <v>999068</v>
      </c>
      <c r="D3185" s="5" t="str">
        <f>_xlfn.XLOOKUP(role_course_map[[#This Row],[course_id]],course_data[course_id],course_data[title],"")</f>
        <v xml:space="preserve">Major incident awareness for responders </v>
      </c>
      <c r="E3185" s="5" t="str">
        <f>_xlfn.XLOOKUP(role_course_map[[#This Row],[course_id]],course_data[course_id],course_data[topic],"")</f>
        <v>SAS : National Risk and Resilience Department (NRRD)</v>
      </c>
      <c r="F3185" s="5" t="str">
        <f>_xlfn.XLOOKUP(role_course_map[[#This Row],[course_id]],course_data[course_id],course_data[type],"")</f>
        <v>eLearning</v>
      </c>
      <c r="K3185" t="str">
        <f>role_course_map[[#This Row],[role_id]] &amp; "|" &amp; role_course_map[[#This Row],[course_id]]</f>
        <v>R0122|999068</v>
      </c>
      <c r="L3185" t="str">
        <f>IF(COUNTIF(role_course_map[mapping_key],role_course_map[[#This Row],[mapping_key]])&gt;1,"DUPLICATE","OK")</f>
        <v>OK</v>
      </c>
      <c r="M3185" t="str">
        <f>IF(COUNTIF(role_data[role_id],role_course_map[[#This Row],[role_id]])=0, "INVALID","VALID")</f>
        <v>VALID</v>
      </c>
      <c r="N3185" t="str">
        <f>IF(COUNTIF(course_data[course_id],role_course_map[[#This Row],[course_id]])=0, "INVALID","VALID")</f>
        <v>VALID</v>
      </c>
    </row>
    <row r="3186" spans="1:14" x14ac:dyDescent="0.35">
      <c r="A3186" t="s">
        <v>256</v>
      </c>
      <c r="B3186" s="5" t="str">
        <f>_xlfn.XLOOKUP(role_course_map[[#This Row],[role_id]], role_data[role_id], role_data[Role],"")</f>
        <v>Strategic Operations Manager</v>
      </c>
      <c r="C3186">
        <v>999069</v>
      </c>
      <c r="D3186" s="5" t="str">
        <f>_xlfn.XLOOKUP(role_course_map[[#This Row],[course_id]],course_data[course_id],course_data[title],"")</f>
        <v>Non-specialist MTFA response (JOPS3)</v>
      </c>
      <c r="E3186" s="5" t="str">
        <f>_xlfn.XLOOKUP(role_course_map[[#This Row],[course_id]],course_data[course_id],course_data[topic],"")</f>
        <v>SAS : National Risk and Resilience Department (NRRD)</v>
      </c>
      <c r="F3186" s="5" t="str">
        <f>_xlfn.XLOOKUP(role_course_map[[#This Row],[course_id]],course_data[course_id],course_data[type],"")</f>
        <v>eLearning</v>
      </c>
      <c r="K3186" t="str">
        <f>role_course_map[[#This Row],[role_id]] &amp; "|" &amp; role_course_map[[#This Row],[course_id]]</f>
        <v>R0122|999069</v>
      </c>
      <c r="L3186" t="str">
        <f>IF(COUNTIF(role_course_map[mapping_key],role_course_map[[#This Row],[mapping_key]])&gt;1,"DUPLICATE","OK")</f>
        <v>OK</v>
      </c>
      <c r="M3186" t="str">
        <f>IF(COUNTIF(role_data[role_id],role_course_map[[#This Row],[role_id]])=0, "INVALID","VALID")</f>
        <v>VALID</v>
      </c>
      <c r="N3186" t="str">
        <f>IF(COUNTIF(course_data[course_id],role_course_map[[#This Row],[course_id]])=0, "INVALID","VALID")</f>
        <v>VALID</v>
      </c>
    </row>
    <row r="3187" spans="1:14" x14ac:dyDescent="0.35">
      <c r="A3187" t="s">
        <v>256</v>
      </c>
      <c r="B3187" s="5" t="str">
        <f>_xlfn.XLOOKUP(role_course_map[[#This Row],[role_id]], role_data[role_id], role_data[Role],"")</f>
        <v>Strategic Operations Manager</v>
      </c>
      <c r="C3187">
        <v>999070</v>
      </c>
      <c r="D3187" s="5" t="str">
        <f>_xlfn.XLOOKUP(role_course_map[[#This Row],[course_id]],course_data[course_id],course_data[title],"")</f>
        <v xml:space="preserve">SAS: JESIP (NEW) </v>
      </c>
      <c r="E3187" s="5" t="str">
        <f>_xlfn.XLOOKUP(role_course_map[[#This Row],[course_id]],course_data[course_id],course_data[topic],"")</f>
        <v>SAS : National Risk and Resilience Department (NRRD)</v>
      </c>
      <c r="F3187" s="5" t="str">
        <f>_xlfn.XLOOKUP(role_course_map[[#This Row],[course_id]],course_data[course_id],course_data[type],"")</f>
        <v>eLearning</v>
      </c>
      <c r="K3187" t="str">
        <f>role_course_map[[#This Row],[role_id]] &amp; "|" &amp; role_course_map[[#This Row],[course_id]]</f>
        <v>R0122|999070</v>
      </c>
      <c r="L3187" t="str">
        <f>IF(COUNTIF(role_course_map[mapping_key],role_course_map[[#This Row],[mapping_key]])&gt;1,"DUPLICATE","OK")</f>
        <v>OK</v>
      </c>
      <c r="M3187" t="str">
        <f>IF(COUNTIF(role_data[role_id],role_course_map[[#This Row],[role_id]])=0, "INVALID","VALID")</f>
        <v>VALID</v>
      </c>
      <c r="N3187" t="str">
        <f>IF(COUNTIF(course_data[course_id],role_course_map[[#This Row],[course_id]])=0, "INVALID","VALID")</f>
        <v>VALID</v>
      </c>
    </row>
    <row r="3188" spans="1:14" x14ac:dyDescent="0.35">
      <c r="A3188" t="s">
        <v>256</v>
      </c>
      <c r="B3188" s="5" t="str">
        <f>_xlfn.XLOOKUP(role_course_map[[#This Row],[role_id]], role_data[role_id], role_data[Role],"")</f>
        <v>Strategic Operations Manager</v>
      </c>
      <c r="C3188">
        <v>89568</v>
      </c>
      <c r="D3188" s="5" t="str">
        <f>_xlfn.XLOOKUP(role_course_map[[#This Row],[course_id]],course_data[course_id],course_data[title],"")</f>
        <v>C3 for SOMs</v>
      </c>
      <c r="E3188" s="5" t="str">
        <f>_xlfn.XLOOKUP(role_course_map[[#This Row],[course_id]],course_data[course_id],course_data[topic],"")</f>
        <v>SAS: Systems Training</v>
      </c>
      <c r="F3188" s="5" t="str">
        <f>_xlfn.XLOOKUP(role_course_map[[#This Row],[course_id]],course_data[course_id],course_data[type],"")</f>
        <v>Course</v>
      </c>
      <c r="K3188" t="str">
        <f>role_course_map[[#This Row],[role_id]] &amp; "|" &amp; role_course_map[[#This Row],[course_id]]</f>
        <v>R0122|89568</v>
      </c>
      <c r="L3188" t="str">
        <f>IF(COUNTIF(role_course_map[mapping_key],role_course_map[[#This Row],[mapping_key]])&gt;1,"DUPLICATE","OK")</f>
        <v>OK</v>
      </c>
      <c r="M3188" t="str">
        <f>IF(COUNTIF(role_data[role_id],role_course_map[[#This Row],[role_id]])=0, "INVALID","VALID")</f>
        <v>VALID</v>
      </c>
      <c r="N3188" t="str">
        <f>IF(COUNTIF(course_data[course_id],role_course_map[[#This Row],[course_id]])=0, "INVALID","VALID")</f>
        <v>VALID</v>
      </c>
    </row>
    <row r="3189" spans="1:14" x14ac:dyDescent="0.35">
      <c r="A3189" t="s">
        <v>260</v>
      </c>
      <c r="B3189" s="5" t="str">
        <f>_xlfn.XLOOKUP(role_course_map[[#This Row],[role_id]], role_data[role_id], role_data[Role],"")</f>
        <v>Training and Development Compliance Manager</v>
      </c>
      <c r="C3189">
        <v>79218</v>
      </c>
      <c r="D3189" s="5" t="str">
        <f>_xlfn.XLOOKUP(role_course_map[[#This Row],[course_id]],course_data[course_id],course_data[title],"")</f>
        <v>Life support</v>
      </c>
      <c r="E3189" s="5" t="str">
        <f>_xlfn.XLOOKUP(role_course_map[[#This Row],[course_id]],course_data[course_id],course_data[topic],"")</f>
        <v>SAS : Clinical Practice</v>
      </c>
      <c r="F3189" s="5" t="str">
        <f>_xlfn.XLOOKUP(role_course_map[[#This Row],[course_id]],course_data[course_id],course_data[type],"")</f>
        <v>Page</v>
      </c>
      <c r="K3189" t="str">
        <f>role_course_map[[#This Row],[role_id]] &amp; "|" &amp; role_course_map[[#This Row],[course_id]]</f>
        <v>R0124|79218</v>
      </c>
      <c r="L3189" t="str">
        <f>IF(COUNTIF(role_course_map[mapping_key],role_course_map[[#This Row],[mapping_key]])&gt;1,"DUPLICATE","OK")</f>
        <v>OK</v>
      </c>
      <c r="M3189" t="str">
        <f>IF(COUNTIF(role_data[role_id],role_course_map[[#This Row],[role_id]])=0, "INVALID","VALID")</f>
        <v>VALID</v>
      </c>
      <c r="N3189" t="str">
        <f>IF(COUNTIF(course_data[course_id],role_course_map[[#This Row],[course_id]])=0, "INVALID","VALID")</f>
        <v>VALID</v>
      </c>
    </row>
    <row r="3190" spans="1:14" x14ac:dyDescent="0.35">
      <c r="A3190" t="s">
        <v>260</v>
      </c>
      <c r="B3190" s="5" t="str">
        <f>_xlfn.XLOOKUP(role_course_map[[#This Row],[role_id]], role_data[role_id], role_data[Role],"")</f>
        <v>Training and Development Compliance Manager</v>
      </c>
      <c r="C3190">
        <v>999009</v>
      </c>
      <c r="D3190" s="5" t="str">
        <f>_xlfn.XLOOKUP(role_course_map[[#This Row],[course_id]],course_data[course_id],course_data[title],"")</f>
        <v>Life Support</v>
      </c>
      <c r="E3190" s="5" t="str">
        <f>_xlfn.XLOOKUP(role_course_map[[#This Row],[course_id]],course_data[course_id],course_data[topic],"")</f>
        <v>SAS : Clinical Practice</v>
      </c>
      <c r="F3190" s="5" t="str">
        <f>_xlfn.XLOOKUP(role_course_map[[#This Row],[course_id]],course_data[course_id],course_data[type],"")</f>
        <v>Course</v>
      </c>
      <c r="K3190" t="str">
        <f>role_course_map[[#This Row],[role_id]] &amp; "|" &amp; role_course_map[[#This Row],[course_id]]</f>
        <v>R0124|999009</v>
      </c>
      <c r="L3190" t="str">
        <f>IF(COUNTIF(role_course_map[mapping_key],role_course_map[[#This Row],[mapping_key]])&gt;1,"DUPLICATE","OK")</f>
        <v>OK</v>
      </c>
      <c r="M3190" t="str">
        <f>IF(COUNTIF(role_data[role_id],role_course_map[[#This Row],[role_id]])=0, "INVALID","VALID")</f>
        <v>VALID</v>
      </c>
      <c r="N3190" t="str">
        <f>IF(COUNTIF(course_data[course_id],role_course_map[[#This Row],[course_id]])=0, "INVALID","VALID")</f>
        <v>VALID</v>
      </c>
    </row>
    <row r="3191" spans="1:14" x14ac:dyDescent="0.35">
      <c r="A3191" t="s">
        <v>260</v>
      </c>
      <c r="B3191" s="5" t="str">
        <f>_xlfn.XLOOKUP(role_course_map[[#This Row],[role_id]], role_data[role_id], role_data[Role],"")</f>
        <v>Training and Development Compliance Manager</v>
      </c>
      <c r="C3191">
        <v>999007</v>
      </c>
      <c r="D3191" s="5" t="str">
        <f>_xlfn.XLOOKUP(role_course_map[[#This Row],[course_id]],course_data[course_id],course_data[title],"")</f>
        <v>Obstetrics</v>
      </c>
      <c r="E3191" s="5" t="str">
        <f>_xlfn.XLOOKUP(role_course_map[[#This Row],[course_id]],course_data[course_id],course_data[topic],"")</f>
        <v>SAS : Clinical Practice</v>
      </c>
      <c r="F3191" s="5" t="str">
        <f>_xlfn.XLOOKUP(role_course_map[[#This Row],[course_id]],course_data[course_id],course_data[type],"")</f>
        <v>Course</v>
      </c>
      <c r="K3191" t="str">
        <f>role_course_map[[#This Row],[role_id]] &amp; "|" &amp; role_course_map[[#This Row],[course_id]]</f>
        <v>R0124|999007</v>
      </c>
      <c r="L3191" t="str">
        <f>IF(COUNTIF(role_course_map[mapping_key],role_course_map[[#This Row],[mapping_key]])&gt;1,"DUPLICATE","OK")</f>
        <v>OK</v>
      </c>
      <c r="M3191" t="str">
        <f>IF(COUNTIF(role_data[role_id],role_course_map[[#This Row],[role_id]])=0, "INVALID","VALID")</f>
        <v>VALID</v>
      </c>
      <c r="N3191" t="str">
        <f>IF(COUNTIF(course_data[course_id],role_course_map[[#This Row],[course_id]])=0, "INVALID","VALID")</f>
        <v>VALID</v>
      </c>
    </row>
    <row r="3192" spans="1:14" x14ac:dyDescent="0.35">
      <c r="A3192" t="s">
        <v>260</v>
      </c>
      <c r="B3192" s="5" t="str">
        <f>_xlfn.XLOOKUP(role_course_map[[#This Row],[role_id]], role_data[role_id], role_data[Role],"")</f>
        <v>Training and Development Compliance Manager</v>
      </c>
      <c r="C3192">
        <v>999008</v>
      </c>
      <c r="D3192" s="5" t="str">
        <f>_xlfn.XLOOKUP(role_course_map[[#This Row],[course_id]],course_data[course_id],course_data[title],"")</f>
        <v>Obstetrics</v>
      </c>
      <c r="E3192" s="5" t="str">
        <f>_xlfn.XLOOKUP(role_course_map[[#This Row],[course_id]],course_data[course_id],course_data[topic],"")</f>
        <v>SAS : Clinical Practice</v>
      </c>
      <c r="F3192" s="5" t="str">
        <f>_xlfn.XLOOKUP(role_course_map[[#This Row],[course_id]],course_data[course_id],course_data[type],"")</f>
        <v>eLearning</v>
      </c>
      <c r="K3192" t="str">
        <f>role_course_map[[#This Row],[role_id]] &amp; "|" &amp; role_course_map[[#This Row],[course_id]]</f>
        <v>R0124|999008</v>
      </c>
      <c r="L3192" t="str">
        <f>IF(COUNTIF(role_course_map[mapping_key],role_course_map[[#This Row],[mapping_key]])&gt;1,"DUPLICATE","OK")</f>
        <v>OK</v>
      </c>
      <c r="M3192" t="str">
        <f>IF(COUNTIF(role_data[role_id],role_course_map[[#This Row],[role_id]])=0, "INVALID","VALID")</f>
        <v>VALID</v>
      </c>
      <c r="N3192" t="str">
        <f>IF(COUNTIF(course_data[course_id],role_course_map[[#This Row],[course_id]])=0, "INVALID","VALID")</f>
        <v>VALID</v>
      </c>
    </row>
    <row r="3193" spans="1:14" x14ac:dyDescent="0.35">
      <c r="A3193" t="s">
        <v>260</v>
      </c>
      <c r="B3193" s="5" t="str">
        <f>_xlfn.XLOOKUP(role_course_map[[#This Row],[role_id]], role_data[role_id], role_data[Role],"")</f>
        <v>Training and Development Compliance Manager</v>
      </c>
      <c r="C3193">
        <v>999010</v>
      </c>
      <c r="D3193" s="5" t="str">
        <f>_xlfn.XLOOKUP(role_course_map[[#This Row],[course_id]],course_data[course_id],course_data[title],"")</f>
        <v>Paediatrics</v>
      </c>
      <c r="E3193" s="5" t="str">
        <f>_xlfn.XLOOKUP(role_course_map[[#This Row],[course_id]],course_data[course_id],course_data[topic],"")</f>
        <v>SAS : Clinical Practice</v>
      </c>
      <c r="F3193" s="5" t="str">
        <f>_xlfn.XLOOKUP(role_course_map[[#This Row],[course_id]],course_data[course_id],course_data[type],"")</f>
        <v>Course</v>
      </c>
      <c r="K3193" t="str">
        <f>role_course_map[[#This Row],[role_id]] &amp; "|" &amp; role_course_map[[#This Row],[course_id]]</f>
        <v>R0124|999010</v>
      </c>
      <c r="L3193" t="str">
        <f>IF(COUNTIF(role_course_map[mapping_key],role_course_map[[#This Row],[mapping_key]])&gt;1,"DUPLICATE","OK")</f>
        <v>OK</v>
      </c>
      <c r="M3193" t="str">
        <f>IF(COUNTIF(role_data[role_id],role_course_map[[#This Row],[role_id]])=0, "INVALID","VALID")</f>
        <v>VALID</v>
      </c>
      <c r="N3193" t="str">
        <f>IF(COUNTIF(course_data[course_id],role_course_map[[#This Row],[course_id]])=0, "INVALID","VALID")</f>
        <v>VALID</v>
      </c>
    </row>
    <row r="3194" spans="1:14" x14ac:dyDescent="0.35">
      <c r="A3194" t="s">
        <v>260</v>
      </c>
      <c r="B3194" s="5" t="str">
        <f>_xlfn.XLOOKUP(role_course_map[[#This Row],[role_id]], role_data[role_id], role_data[Role],"")</f>
        <v>Training and Development Compliance Manager</v>
      </c>
      <c r="C3194">
        <v>999011</v>
      </c>
      <c r="D3194" s="5" t="str">
        <f>_xlfn.XLOOKUP(role_course_map[[#This Row],[course_id]],course_data[course_id],course_data[title],"")</f>
        <v>Paediatrics</v>
      </c>
      <c r="E3194" s="5" t="str">
        <f>_xlfn.XLOOKUP(role_course_map[[#This Row],[course_id]],course_data[course_id],course_data[topic],"")</f>
        <v>SAS : Clinical Practice</v>
      </c>
      <c r="F3194" s="5" t="str">
        <f>_xlfn.XLOOKUP(role_course_map[[#This Row],[course_id]],course_data[course_id],course_data[type],"")</f>
        <v>eLearning</v>
      </c>
      <c r="K3194" t="str">
        <f>role_course_map[[#This Row],[role_id]] &amp; "|" &amp; role_course_map[[#This Row],[course_id]]</f>
        <v>R0124|999011</v>
      </c>
      <c r="L3194" t="str">
        <f>IF(COUNTIF(role_course_map[mapping_key],role_course_map[[#This Row],[mapping_key]])&gt;1,"DUPLICATE","OK")</f>
        <v>OK</v>
      </c>
      <c r="M3194" t="str">
        <f>IF(COUNTIF(role_data[role_id],role_course_map[[#This Row],[role_id]])=0, "INVALID","VALID")</f>
        <v>VALID</v>
      </c>
      <c r="N3194" t="str">
        <f>IF(COUNTIF(course_data[course_id],role_course_map[[#This Row],[course_id]])=0, "INVALID","VALID")</f>
        <v>VALID</v>
      </c>
    </row>
    <row r="3195" spans="1:14" x14ac:dyDescent="0.35">
      <c r="A3195" t="s">
        <v>260</v>
      </c>
      <c r="B3195" s="5" t="str">
        <f>_xlfn.XLOOKUP(role_course_map[[#This Row],[role_id]], role_data[role_id], role_data[Role],"")</f>
        <v>Training and Development Compliance Manager</v>
      </c>
      <c r="C3195">
        <v>999012</v>
      </c>
      <c r="D3195" s="5" t="str">
        <f>_xlfn.XLOOKUP(role_course_map[[#This Row],[course_id]],course_data[course_id],course_data[title],"")</f>
        <v>Trauma</v>
      </c>
      <c r="E3195" s="5" t="str">
        <f>_xlfn.XLOOKUP(role_course_map[[#This Row],[course_id]],course_data[course_id],course_data[topic],"")</f>
        <v>SAS : Clinical Practice</v>
      </c>
      <c r="F3195" s="5" t="str">
        <f>_xlfn.XLOOKUP(role_course_map[[#This Row],[course_id]],course_data[course_id],course_data[type],"")</f>
        <v>Course</v>
      </c>
      <c r="K3195" t="str">
        <f>role_course_map[[#This Row],[role_id]] &amp; "|" &amp; role_course_map[[#This Row],[course_id]]</f>
        <v>R0124|999012</v>
      </c>
      <c r="L3195" t="str">
        <f>IF(COUNTIF(role_course_map[mapping_key],role_course_map[[#This Row],[mapping_key]])&gt;1,"DUPLICATE","OK")</f>
        <v>OK</v>
      </c>
      <c r="M3195" t="str">
        <f>IF(COUNTIF(role_data[role_id],role_course_map[[#This Row],[role_id]])=0, "INVALID","VALID")</f>
        <v>VALID</v>
      </c>
      <c r="N3195" t="str">
        <f>IF(COUNTIF(course_data[course_id],role_course_map[[#This Row],[course_id]])=0, "INVALID","VALID")</f>
        <v>VALID</v>
      </c>
    </row>
    <row r="3196" spans="1:14" x14ac:dyDescent="0.35">
      <c r="A3196" t="s">
        <v>260</v>
      </c>
      <c r="B3196" s="5" t="str">
        <f>_xlfn.XLOOKUP(role_course_map[[#This Row],[role_id]], role_data[role_id], role_data[Role],"")</f>
        <v>Training and Development Compliance Manager</v>
      </c>
      <c r="C3196">
        <v>999013</v>
      </c>
      <c r="D3196" s="5" t="str">
        <f>_xlfn.XLOOKUP(role_course_map[[#This Row],[course_id]],course_data[course_id],course_data[title],"")</f>
        <v>Trauma</v>
      </c>
      <c r="E3196" s="5" t="str">
        <f>_xlfn.XLOOKUP(role_course_map[[#This Row],[course_id]],course_data[course_id],course_data[topic],"")</f>
        <v>SAS : Clinical Practice</v>
      </c>
      <c r="F3196" s="5" t="str">
        <f>_xlfn.XLOOKUP(role_course_map[[#This Row],[course_id]],course_data[course_id],course_data[type],"")</f>
        <v>eLearning</v>
      </c>
      <c r="K3196" t="str">
        <f>role_course_map[[#This Row],[role_id]] &amp; "|" &amp; role_course_map[[#This Row],[course_id]]</f>
        <v>R0124|999013</v>
      </c>
      <c r="L3196" t="str">
        <f>IF(COUNTIF(role_course_map[mapping_key],role_course_map[[#This Row],[mapping_key]])&gt;1,"DUPLICATE","OK")</f>
        <v>OK</v>
      </c>
      <c r="M3196" t="str">
        <f>IF(COUNTIF(role_data[role_id],role_course_map[[#This Row],[role_id]])=0, "INVALID","VALID")</f>
        <v>VALID</v>
      </c>
      <c r="N3196" t="str">
        <f>IF(COUNTIF(course_data[course_id],role_course_map[[#This Row],[course_id]])=0, "INVALID","VALID")</f>
        <v>VALID</v>
      </c>
    </row>
    <row r="3197" spans="1:14" x14ac:dyDescent="0.35">
      <c r="A3197" t="s">
        <v>260</v>
      </c>
      <c r="B3197" s="5" t="str">
        <f>_xlfn.XLOOKUP(role_course_map[[#This Row],[role_id]], role_data[role_id], role_data[Role],"")</f>
        <v>Training and Development Compliance Manager</v>
      </c>
      <c r="C3197">
        <v>999014</v>
      </c>
      <c r="D3197" s="5" t="str">
        <f>_xlfn.XLOOKUP(role_course_map[[#This Row],[course_id]],course_data[course_id],course_data[title],"")</f>
        <v>Patient Assessment</v>
      </c>
      <c r="E3197" s="5" t="str">
        <f>_xlfn.XLOOKUP(role_course_map[[#This Row],[course_id]],course_data[course_id],course_data[topic],"")</f>
        <v>SAS : Clinical Practice</v>
      </c>
      <c r="F3197" s="5" t="str">
        <f>_xlfn.XLOOKUP(role_course_map[[#This Row],[course_id]],course_data[course_id],course_data[type],"")</f>
        <v>Course</v>
      </c>
      <c r="K3197" t="str">
        <f>role_course_map[[#This Row],[role_id]] &amp; "|" &amp; role_course_map[[#This Row],[course_id]]</f>
        <v>R0124|999014</v>
      </c>
      <c r="L3197" t="str">
        <f>IF(COUNTIF(role_course_map[mapping_key],role_course_map[[#This Row],[mapping_key]])&gt;1,"DUPLICATE","OK")</f>
        <v>OK</v>
      </c>
      <c r="M3197" t="str">
        <f>IF(COUNTIF(role_data[role_id],role_course_map[[#This Row],[role_id]])=0, "INVALID","VALID")</f>
        <v>VALID</v>
      </c>
      <c r="N3197" t="str">
        <f>IF(COUNTIF(course_data[course_id],role_course_map[[#This Row],[course_id]])=0, "INVALID","VALID")</f>
        <v>VALID</v>
      </c>
    </row>
    <row r="3198" spans="1:14" x14ac:dyDescent="0.35">
      <c r="A3198" t="s">
        <v>260</v>
      </c>
      <c r="B3198" s="5" t="str">
        <f>_xlfn.XLOOKUP(role_course_map[[#This Row],[role_id]], role_data[role_id], role_data[Role],"")</f>
        <v>Training and Development Compliance Manager</v>
      </c>
      <c r="C3198">
        <v>999015</v>
      </c>
      <c r="D3198" s="5" t="str">
        <f>_xlfn.XLOOKUP(role_course_map[[#This Row],[course_id]],course_data[course_id],course_data[title],"")</f>
        <v>Patient Assessment</v>
      </c>
      <c r="E3198" s="5" t="str">
        <f>_xlfn.XLOOKUP(role_course_map[[#This Row],[course_id]],course_data[course_id],course_data[topic],"")</f>
        <v>SAS : Clinical Practice</v>
      </c>
      <c r="F3198" s="5" t="str">
        <f>_xlfn.XLOOKUP(role_course_map[[#This Row],[course_id]],course_data[course_id],course_data[type],"")</f>
        <v>eLearning</v>
      </c>
      <c r="K3198" t="str">
        <f>role_course_map[[#This Row],[role_id]] &amp; "|" &amp; role_course_map[[#This Row],[course_id]]</f>
        <v>R0124|999015</v>
      </c>
      <c r="L3198" t="str">
        <f>IF(COUNTIF(role_course_map[mapping_key],role_course_map[[#This Row],[mapping_key]])&gt;1,"DUPLICATE","OK")</f>
        <v>OK</v>
      </c>
      <c r="M3198" t="str">
        <f>IF(COUNTIF(role_data[role_id],role_course_map[[#This Row],[role_id]])=0, "INVALID","VALID")</f>
        <v>VALID</v>
      </c>
      <c r="N3198" t="str">
        <f>IF(COUNTIF(course_data[course_id],role_course_map[[#This Row],[course_id]])=0, "INVALID","VALID")</f>
        <v>VALID</v>
      </c>
    </row>
    <row r="3199" spans="1:14" x14ac:dyDescent="0.35">
      <c r="A3199" t="s">
        <v>260</v>
      </c>
      <c r="B3199" s="5" t="str">
        <f>_xlfn.XLOOKUP(role_course_map[[#This Row],[role_id]], role_data[role_id], role_data[Role],"")</f>
        <v>Training and Development Compliance Manager</v>
      </c>
      <c r="C3199">
        <v>999016</v>
      </c>
      <c r="D3199" s="5" t="str">
        <f>_xlfn.XLOOKUP(role_course_map[[#This Row],[course_id]],course_data[course_id],course_data[title],"")</f>
        <v>Clinical Skills</v>
      </c>
      <c r="E3199" s="5" t="str">
        <f>_xlfn.XLOOKUP(role_course_map[[#This Row],[course_id]],course_data[course_id],course_data[topic],"")</f>
        <v>SAS : Clinical Practice</v>
      </c>
      <c r="F3199" s="5" t="str">
        <f>_xlfn.XLOOKUP(role_course_map[[#This Row],[course_id]],course_data[course_id],course_data[type],"")</f>
        <v>Course</v>
      </c>
      <c r="K3199" t="str">
        <f>role_course_map[[#This Row],[role_id]] &amp; "|" &amp; role_course_map[[#This Row],[course_id]]</f>
        <v>R0124|999016</v>
      </c>
      <c r="L3199" t="str">
        <f>IF(COUNTIF(role_course_map[mapping_key],role_course_map[[#This Row],[mapping_key]])&gt;1,"DUPLICATE","OK")</f>
        <v>OK</v>
      </c>
      <c r="M3199" t="str">
        <f>IF(COUNTIF(role_data[role_id],role_course_map[[#This Row],[role_id]])=0, "INVALID","VALID")</f>
        <v>VALID</v>
      </c>
      <c r="N3199" t="str">
        <f>IF(COUNTIF(course_data[course_id],role_course_map[[#This Row],[course_id]])=0, "INVALID","VALID")</f>
        <v>VALID</v>
      </c>
    </row>
    <row r="3200" spans="1:14" x14ac:dyDescent="0.35">
      <c r="A3200" t="s">
        <v>260</v>
      </c>
      <c r="B3200" s="5" t="str">
        <f>_xlfn.XLOOKUP(role_course_map[[#This Row],[role_id]], role_data[role_id], role_data[Role],"")</f>
        <v>Training and Development Compliance Manager</v>
      </c>
      <c r="C3200">
        <v>999017</v>
      </c>
      <c r="D3200" s="5" t="str">
        <f>_xlfn.XLOOKUP(role_course_map[[#This Row],[course_id]],course_data[course_id],course_data[title],"")</f>
        <v>Clinical Skills</v>
      </c>
      <c r="E3200" s="5" t="str">
        <f>_xlfn.XLOOKUP(role_course_map[[#This Row],[course_id]],course_data[course_id],course_data[topic],"")</f>
        <v>SAS : Clinical Practice</v>
      </c>
      <c r="F3200" s="5" t="str">
        <f>_xlfn.XLOOKUP(role_course_map[[#This Row],[course_id]],course_data[course_id],course_data[type],"")</f>
        <v>eLearning</v>
      </c>
      <c r="K3200" t="str">
        <f>role_course_map[[#This Row],[role_id]] &amp; "|" &amp; role_course_map[[#This Row],[course_id]]</f>
        <v>R0124|999017</v>
      </c>
      <c r="L3200" t="str">
        <f>IF(COUNTIF(role_course_map[mapping_key],role_course_map[[#This Row],[mapping_key]])&gt;1,"DUPLICATE","OK")</f>
        <v>OK</v>
      </c>
      <c r="M3200" t="str">
        <f>IF(COUNTIF(role_data[role_id],role_course_map[[#This Row],[role_id]])=0, "INVALID","VALID")</f>
        <v>VALID</v>
      </c>
      <c r="N3200" t="str">
        <f>IF(COUNTIF(course_data[course_id],role_course_map[[#This Row],[course_id]])=0, "INVALID","VALID")</f>
        <v>VALID</v>
      </c>
    </row>
    <row r="3201" spans="1:14" x14ac:dyDescent="0.35">
      <c r="A3201" t="s">
        <v>260</v>
      </c>
      <c r="B3201" s="5" t="str">
        <f>_xlfn.XLOOKUP(role_course_map[[#This Row],[role_id]], role_data[role_id], role_data[Role],"")</f>
        <v>Training and Development Compliance Manager</v>
      </c>
      <c r="C3201">
        <v>999018</v>
      </c>
      <c r="D3201" s="5" t="str">
        <f>_xlfn.XLOOKUP(role_course_map[[#This Row],[course_id]],course_data[course_id],course_data[title],"")</f>
        <v>Learning from Events</v>
      </c>
      <c r="E3201" s="5" t="str">
        <f>_xlfn.XLOOKUP(role_course_map[[#This Row],[course_id]],course_data[course_id],course_data[topic],"")</f>
        <v>SAS : Clinical Practice</v>
      </c>
      <c r="F3201" s="5" t="str">
        <f>_xlfn.XLOOKUP(role_course_map[[#This Row],[course_id]],course_data[course_id],course_data[type],"")</f>
        <v>eLearning</v>
      </c>
      <c r="K3201" t="str">
        <f>role_course_map[[#This Row],[role_id]] &amp; "|" &amp; role_course_map[[#This Row],[course_id]]</f>
        <v>R0124|999018</v>
      </c>
      <c r="L3201" t="str">
        <f>IF(COUNTIF(role_course_map[mapping_key],role_course_map[[#This Row],[mapping_key]])&gt;1,"DUPLICATE","OK")</f>
        <v>OK</v>
      </c>
      <c r="M3201" t="str">
        <f>IF(COUNTIF(role_data[role_id],role_course_map[[#This Row],[role_id]])=0, "INVALID","VALID")</f>
        <v>VALID</v>
      </c>
      <c r="N3201" t="str">
        <f>IF(COUNTIF(course_data[course_id],role_course_map[[#This Row],[course_id]])=0, "INVALID","VALID")</f>
        <v>VALID</v>
      </c>
    </row>
    <row r="3202" spans="1:14" x14ac:dyDescent="0.35">
      <c r="A3202" t="s">
        <v>260</v>
      </c>
      <c r="B3202" s="5" t="str">
        <f>_xlfn.XLOOKUP(role_course_map[[#This Row],[role_id]], role_data[role_id], role_data[Role],"")</f>
        <v>Training and Development Compliance Manager</v>
      </c>
      <c r="C3202">
        <v>999019</v>
      </c>
      <c r="D3202" s="5" t="str">
        <f>_xlfn.XLOOKUP(role_course_map[[#This Row],[course_id]],course_data[course_id],course_data[title],"")</f>
        <v>Medicines Management</v>
      </c>
      <c r="E3202" s="5" t="str">
        <f>_xlfn.XLOOKUP(role_course_map[[#This Row],[course_id]],course_data[course_id],course_data[topic],"")</f>
        <v>SAS : Clinical Practice</v>
      </c>
      <c r="F3202" s="5" t="str">
        <f>_xlfn.XLOOKUP(role_course_map[[#This Row],[course_id]],course_data[course_id],course_data[type],"")</f>
        <v>eLearning</v>
      </c>
      <c r="K3202" t="str">
        <f>role_course_map[[#This Row],[role_id]] &amp; "|" &amp; role_course_map[[#This Row],[course_id]]</f>
        <v>R0124|999019</v>
      </c>
      <c r="L3202" t="str">
        <f>IF(COUNTIF(role_course_map[mapping_key],role_course_map[[#This Row],[mapping_key]])&gt;1,"DUPLICATE","OK")</f>
        <v>OK</v>
      </c>
      <c r="M3202" t="str">
        <f>IF(COUNTIF(role_data[role_id],role_course_map[[#This Row],[role_id]])=0, "INVALID","VALID")</f>
        <v>VALID</v>
      </c>
      <c r="N3202" t="str">
        <f>IF(COUNTIF(course_data[course_id],role_course_map[[#This Row],[course_id]])=0, "INVALID","VALID")</f>
        <v>VALID</v>
      </c>
    </row>
    <row r="3203" spans="1:14" x14ac:dyDescent="0.35">
      <c r="A3203" t="s">
        <v>260</v>
      </c>
      <c r="B3203" s="5" t="str">
        <f>_xlfn.XLOOKUP(role_course_map[[#This Row],[role_id]], role_data[role_id], role_data[Role],"")</f>
        <v>Training and Development Compliance Manager</v>
      </c>
      <c r="C3203">
        <v>999020</v>
      </c>
      <c r="D3203" s="5" t="str">
        <f>_xlfn.XLOOKUP(role_course_map[[#This Row],[course_id]],course_data[course_id],course_data[title],"")</f>
        <v>JRCALC Update</v>
      </c>
      <c r="E3203" s="5" t="str">
        <f>_xlfn.XLOOKUP(role_course_map[[#This Row],[course_id]],course_data[course_id],course_data[topic],"")</f>
        <v>SAS : Clinical Practice</v>
      </c>
      <c r="F3203" s="5" t="str">
        <f>_xlfn.XLOOKUP(role_course_map[[#This Row],[course_id]],course_data[course_id],course_data[type],"")</f>
        <v>eLearning</v>
      </c>
      <c r="K3203" t="str">
        <f>role_course_map[[#This Row],[role_id]] &amp; "|" &amp; role_course_map[[#This Row],[course_id]]</f>
        <v>R0124|999020</v>
      </c>
      <c r="L3203" t="str">
        <f>IF(COUNTIF(role_course_map[mapping_key],role_course_map[[#This Row],[mapping_key]])&gt;1,"DUPLICATE","OK")</f>
        <v>OK</v>
      </c>
      <c r="M3203" t="str">
        <f>IF(COUNTIF(role_data[role_id],role_course_map[[#This Row],[role_id]])=0, "INVALID","VALID")</f>
        <v>VALID</v>
      </c>
      <c r="N3203" t="str">
        <f>IF(COUNTIF(course_data[course_id],role_course_map[[#This Row],[course_id]])=0, "INVALID","VALID")</f>
        <v>VALID</v>
      </c>
    </row>
    <row r="3204" spans="1:14" x14ac:dyDescent="0.35">
      <c r="A3204" t="s">
        <v>260</v>
      </c>
      <c r="B3204" s="5" t="str">
        <f>_xlfn.XLOOKUP(role_course_map[[#This Row],[role_id]], role_data[role_id], role_data[Role],"")</f>
        <v>Training and Development Compliance Manager</v>
      </c>
      <c r="C3204">
        <v>999021</v>
      </c>
      <c r="D3204" s="5" t="str">
        <f>_xlfn.XLOOKUP(role_course_map[[#This Row],[course_id]],course_data[course_id],course_data[title],"")</f>
        <v>Mental Health</v>
      </c>
      <c r="E3204" s="5" t="str">
        <f>_xlfn.XLOOKUP(role_course_map[[#This Row],[course_id]],course_data[course_id],course_data[topic],"")</f>
        <v>SAS : Clinical Practice</v>
      </c>
      <c r="F3204" s="5" t="str">
        <f>_xlfn.XLOOKUP(role_course_map[[#This Row],[course_id]],course_data[course_id],course_data[type],"")</f>
        <v>eLearning</v>
      </c>
      <c r="K3204" t="str">
        <f>role_course_map[[#This Row],[role_id]] &amp; "|" &amp; role_course_map[[#This Row],[course_id]]</f>
        <v>R0124|999021</v>
      </c>
      <c r="L3204" t="str">
        <f>IF(COUNTIF(role_course_map[mapping_key],role_course_map[[#This Row],[mapping_key]])&gt;1,"DUPLICATE","OK")</f>
        <v>OK</v>
      </c>
      <c r="M3204" t="str">
        <f>IF(COUNTIF(role_data[role_id],role_course_map[[#This Row],[role_id]])=0, "INVALID","VALID")</f>
        <v>VALID</v>
      </c>
      <c r="N3204" t="str">
        <f>IF(COUNTIF(course_data[course_id],role_course_map[[#This Row],[course_id]])=0, "INVALID","VALID")</f>
        <v>VALID</v>
      </c>
    </row>
    <row r="3205" spans="1:14" x14ac:dyDescent="0.35">
      <c r="A3205" t="s">
        <v>260</v>
      </c>
      <c r="B3205" s="5" t="str">
        <f>_xlfn.XLOOKUP(role_course_map[[#This Row],[role_id]], role_data[role_id], role_data[Role],"")</f>
        <v>Training and Development Compliance Manager</v>
      </c>
      <c r="C3205">
        <v>999022</v>
      </c>
      <c r="D3205" s="5" t="str">
        <f>_xlfn.XLOOKUP(role_course_map[[#This Row],[course_id]],course_data[course_id],course_data[title],"")</f>
        <v>Learning Disabilities</v>
      </c>
      <c r="E3205" s="5" t="str">
        <f>_xlfn.XLOOKUP(role_course_map[[#This Row],[course_id]],course_data[course_id],course_data[topic],"")</f>
        <v>SAS : Clinical Practice</v>
      </c>
      <c r="F3205" s="5" t="str">
        <f>_xlfn.XLOOKUP(role_course_map[[#This Row],[course_id]],course_data[course_id],course_data[type],"")</f>
        <v>eLearning</v>
      </c>
      <c r="K3205" t="str">
        <f>role_course_map[[#This Row],[role_id]] &amp; "|" &amp; role_course_map[[#This Row],[course_id]]</f>
        <v>R0124|999022</v>
      </c>
      <c r="L3205" t="str">
        <f>IF(COUNTIF(role_course_map[mapping_key],role_course_map[[#This Row],[mapping_key]])&gt;1,"DUPLICATE","OK")</f>
        <v>OK</v>
      </c>
      <c r="M3205" t="str">
        <f>IF(COUNTIF(role_data[role_id],role_course_map[[#This Row],[role_id]])=0, "INVALID","VALID")</f>
        <v>VALID</v>
      </c>
      <c r="N3205" t="str">
        <f>IF(COUNTIF(course_data[course_id],role_course_map[[#This Row],[course_id]])=0, "INVALID","VALID")</f>
        <v>VALID</v>
      </c>
    </row>
    <row r="3206" spans="1:14" x14ac:dyDescent="0.35">
      <c r="A3206" t="s">
        <v>260</v>
      </c>
      <c r="B3206" s="5" t="str">
        <f>_xlfn.XLOOKUP(role_course_map[[#This Row],[role_id]], role_data[role_id], role_data[Role],"")</f>
        <v>Training and Development Compliance Manager</v>
      </c>
      <c r="C3206">
        <v>75202</v>
      </c>
      <c r="D3206" s="5" t="str">
        <f>_xlfn.XLOOKUP(role_course_map[[#This Row],[course_id]],course_data[course_id],course_data[title],"")</f>
        <v>SAS : Clinical Practice</v>
      </c>
      <c r="E3206" s="5" t="str">
        <f>_xlfn.XLOOKUP(role_course_map[[#This Row],[course_id]],course_data[course_id],course_data[topic],"")</f>
        <v>SAS : Clinical Practice</v>
      </c>
      <c r="F3206" s="5" t="str">
        <f>_xlfn.XLOOKUP(role_course_map[[#This Row],[course_id]],course_data[course_id],course_data[type],"")</f>
        <v>Page</v>
      </c>
      <c r="K3206" t="str">
        <f>role_course_map[[#This Row],[role_id]] &amp; "|" &amp; role_course_map[[#This Row],[course_id]]</f>
        <v>R0124|75202</v>
      </c>
      <c r="L3206" t="str">
        <f>IF(COUNTIF(role_course_map[mapping_key],role_course_map[[#This Row],[mapping_key]])&gt;1,"DUPLICATE","OK")</f>
        <v>OK</v>
      </c>
      <c r="M3206" t="str">
        <f>IF(COUNTIF(role_data[role_id],role_course_map[[#This Row],[role_id]])=0, "INVALID","VALID")</f>
        <v>VALID</v>
      </c>
      <c r="N3206" t="str">
        <f>IF(COUNTIF(course_data[course_id],role_course_map[[#This Row],[course_id]])=0, "INVALID","VALID")</f>
        <v>VALID</v>
      </c>
    </row>
    <row r="3207" spans="1:14" x14ac:dyDescent="0.35">
      <c r="A3207" t="s">
        <v>260</v>
      </c>
      <c r="B3207" s="5" t="str">
        <f>_xlfn.XLOOKUP(role_course_map[[#This Row],[role_id]], role_data[role_id], role_data[Role],"")</f>
        <v>Training and Development Compliance Manager</v>
      </c>
      <c r="C3207">
        <v>999023</v>
      </c>
      <c r="D3207" s="5" t="str">
        <f>_xlfn.XLOOKUP(role_course_map[[#This Row],[course_id]],course_data[course_id],course_data[title],"")</f>
        <v>Dementia</v>
      </c>
      <c r="E3207" s="5" t="str">
        <f>_xlfn.XLOOKUP(role_course_map[[#This Row],[course_id]],course_data[course_id],course_data[topic],"")</f>
        <v>SAS : Clinical Practice</v>
      </c>
      <c r="F3207" s="5" t="str">
        <f>_xlfn.XLOOKUP(role_course_map[[#This Row],[course_id]],course_data[course_id],course_data[type],"")</f>
        <v>eLearning</v>
      </c>
      <c r="K3207" t="str">
        <f>role_course_map[[#This Row],[role_id]] &amp; "|" &amp; role_course_map[[#This Row],[course_id]]</f>
        <v>R0124|999023</v>
      </c>
      <c r="L3207" t="str">
        <f>IF(COUNTIF(role_course_map[mapping_key],role_course_map[[#This Row],[mapping_key]])&gt;1,"DUPLICATE","OK")</f>
        <v>OK</v>
      </c>
      <c r="M3207" t="str">
        <f>IF(COUNTIF(role_data[role_id],role_course_map[[#This Row],[role_id]])=0, "INVALID","VALID")</f>
        <v>VALID</v>
      </c>
      <c r="N3207" t="str">
        <f>IF(COUNTIF(course_data[course_id],role_course_map[[#This Row],[course_id]])=0, "INVALID","VALID")</f>
        <v>VALID</v>
      </c>
    </row>
    <row r="3208" spans="1:14" x14ac:dyDescent="0.35">
      <c r="A3208" t="s">
        <v>260</v>
      </c>
      <c r="B3208" s="5" t="str">
        <f>_xlfn.XLOOKUP(role_course_map[[#This Row],[role_id]], role_data[role_id], role_data[Role],"")</f>
        <v>Training and Development Compliance Manager</v>
      </c>
      <c r="C3208">
        <v>999024</v>
      </c>
      <c r="D3208" s="5" t="str">
        <f>_xlfn.XLOOKUP(role_course_map[[#This Row],[course_id]],course_data[course_id],course_data[title],"")</f>
        <v>Conditions requiring specific hospital management. I.e. Parkinsons</v>
      </c>
      <c r="E3208" s="5" t="str">
        <f>_xlfn.XLOOKUP(role_course_map[[#This Row],[course_id]],course_data[course_id],course_data[topic],"")</f>
        <v>SAS : Clinical Practice</v>
      </c>
      <c r="F3208" s="5" t="str">
        <f>_xlfn.XLOOKUP(role_course_map[[#This Row],[course_id]],course_data[course_id],course_data[type],"")</f>
        <v>eLearning</v>
      </c>
      <c r="K3208" t="str">
        <f>role_course_map[[#This Row],[role_id]] &amp; "|" &amp; role_course_map[[#This Row],[course_id]]</f>
        <v>R0124|999024</v>
      </c>
      <c r="L3208" t="str">
        <f>IF(COUNTIF(role_course_map[mapping_key],role_course_map[[#This Row],[mapping_key]])&gt;1,"DUPLICATE","OK")</f>
        <v>OK</v>
      </c>
      <c r="M3208" t="str">
        <f>IF(COUNTIF(role_data[role_id],role_course_map[[#This Row],[role_id]])=0, "INVALID","VALID")</f>
        <v>VALID</v>
      </c>
      <c r="N3208" t="str">
        <f>IF(COUNTIF(course_data[course_id],role_course_map[[#This Row],[course_id]])=0, "INVALID","VALID")</f>
        <v>VALID</v>
      </c>
    </row>
    <row r="3209" spans="1:14" x14ac:dyDescent="0.35">
      <c r="A3209" t="s">
        <v>260</v>
      </c>
      <c r="B3209" s="5" t="str">
        <f>_xlfn.XLOOKUP(role_course_map[[#This Row],[role_id]], role_data[role_id], role_data[Role],"")</f>
        <v>Training and Development Compliance Manager</v>
      </c>
      <c r="C3209">
        <v>999095</v>
      </c>
      <c r="D3209" s="5" t="str">
        <f>_xlfn.XLOOKUP(role_course_map[[#This Row],[course_id]],course_data[course_id],course_data[title],"")</f>
        <v>Mentoring</v>
      </c>
      <c r="E3209" s="5" t="str">
        <f>_xlfn.XLOOKUP(role_course_map[[#This Row],[course_id]],course_data[course_id],course_data[topic],"")</f>
        <v>SAS: Staff development and experience</v>
      </c>
      <c r="F3209" s="5" t="str">
        <f>_xlfn.XLOOKUP(role_course_map[[#This Row],[course_id]],course_data[course_id],course_data[type],"")</f>
        <v>eLearning</v>
      </c>
      <c r="K3209" t="str">
        <f>role_course_map[[#This Row],[role_id]] &amp; "|" &amp; role_course_map[[#This Row],[course_id]]</f>
        <v>R0124|999095</v>
      </c>
      <c r="L3209" t="str">
        <f>IF(COUNTIF(role_course_map[mapping_key],role_course_map[[#This Row],[mapping_key]])&gt;1,"DUPLICATE","OK")</f>
        <v>OK</v>
      </c>
      <c r="M3209" t="str">
        <f>IF(COUNTIF(role_data[role_id],role_course_map[[#This Row],[role_id]])=0, "INVALID","VALID")</f>
        <v>VALID</v>
      </c>
      <c r="N3209" t="str">
        <f>IF(COUNTIF(course_data[course_id],role_course_map[[#This Row],[course_id]])=0, "INVALID","VALID")</f>
        <v>VALID</v>
      </c>
    </row>
    <row r="3210" spans="1:14" x14ac:dyDescent="0.35">
      <c r="A3210" t="s">
        <v>260</v>
      </c>
      <c r="B3210" s="5" t="str">
        <f>_xlfn.XLOOKUP(role_course_map[[#This Row],[role_id]], role_data[role_id], role_data[Role],"")</f>
        <v>Training and Development Compliance Manager</v>
      </c>
      <c r="C3210">
        <v>999096</v>
      </c>
      <c r="D3210" s="5" t="str">
        <f>_xlfn.XLOOKUP(role_course_map[[#This Row],[course_id]],course_data[course_id],course_data[title],"")</f>
        <v>Supporting others in practice (Supervision)</v>
      </c>
      <c r="E3210" s="5" t="str">
        <f>_xlfn.XLOOKUP(role_course_map[[#This Row],[course_id]],course_data[course_id],course_data[topic],"")</f>
        <v>SAS: Staff development and experience</v>
      </c>
      <c r="F3210" s="5" t="str">
        <f>_xlfn.XLOOKUP(role_course_map[[#This Row],[course_id]],course_data[course_id],course_data[type],"")</f>
        <v>Course</v>
      </c>
      <c r="K3210" t="str">
        <f>role_course_map[[#This Row],[role_id]] &amp; "|" &amp; role_course_map[[#This Row],[course_id]]</f>
        <v>R0124|999096</v>
      </c>
      <c r="L3210" t="str">
        <f>IF(COUNTIF(role_course_map[mapping_key],role_course_map[[#This Row],[mapping_key]])&gt;1,"DUPLICATE","OK")</f>
        <v>OK</v>
      </c>
      <c r="M3210" t="str">
        <f>IF(COUNTIF(role_data[role_id],role_course_map[[#This Row],[role_id]])=0, "INVALID","VALID")</f>
        <v>VALID</v>
      </c>
      <c r="N3210" t="str">
        <f>IF(COUNTIF(course_data[course_id],role_course_map[[#This Row],[course_id]])=0, "INVALID","VALID")</f>
        <v>VALID</v>
      </c>
    </row>
    <row r="3211" spans="1:14" x14ac:dyDescent="0.35">
      <c r="A3211" t="s">
        <v>260</v>
      </c>
      <c r="B3211" s="5" t="str">
        <f>_xlfn.XLOOKUP(role_course_map[[#This Row],[role_id]], role_data[role_id], role_data[Role],"")</f>
        <v>Training and Development Compliance Manager</v>
      </c>
      <c r="C3211">
        <v>999097</v>
      </c>
      <c r="D3211" s="5" t="str">
        <f>_xlfn.XLOOKUP(role_course_map[[#This Row],[course_id]],course_data[course_id],course_data[title],"")</f>
        <v>Personal Wellbeing</v>
      </c>
      <c r="E3211" s="5" t="str">
        <f>_xlfn.XLOOKUP(role_course_map[[#This Row],[course_id]],course_data[course_id],course_data[topic],"")</f>
        <v>SAS: Staff development and experience</v>
      </c>
      <c r="F3211" s="5" t="str">
        <f>_xlfn.XLOOKUP(role_course_map[[#This Row],[course_id]],course_data[course_id],course_data[type],"")</f>
        <v>eLearning</v>
      </c>
      <c r="K3211" t="str">
        <f>role_course_map[[#This Row],[role_id]] &amp; "|" &amp; role_course_map[[#This Row],[course_id]]</f>
        <v>R0124|999097</v>
      </c>
      <c r="L3211" t="str">
        <f>IF(COUNTIF(role_course_map[mapping_key],role_course_map[[#This Row],[mapping_key]])&gt;1,"DUPLICATE","OK")</f>
        <v>OK</v>
      </c>
      <c r="M3211" t="str">
        <f>IF(COUNTIF(role_data[role_id],role_course_map[[#This Row],[role_id]])=0, "INVALID","VALID")</f>
        <v>VALID</v>
      </c>
      <c r="N3211" t="str">
        <f>IF(COUNTIF(course_data[course_id],role_course_map[[#This Row],[course_id]])=0, "INVALID","VALID")</f>
        <v>VALID</v>
      </c>
    </row>
    <row r="3212" spans="1:14" x14ac:dyDescent="0.35">
      <c r="A3212" t="s">
        <v>260</v>
      </c>
      <c r="B3212" s="5" t="str">
        <f>_xlfn.XLOOKUP(role_course_map[[#This Row],[role_id]], role_data[role_id], role_data[Role],"")</f>
        <v>Training and Development Compliance Manager</v>
      </c>
      <c r="C3212">
        <v>999091</v>
      </c>
      <c r="D3212" s="5" t="str">
        <f>_xlfn.XLOOKUP(role_course_map[[#This Row],[course_id]],course_data[course_id],course_data[title],"")</f>
        <v>Intermediate Leadership Development Programme</v>
      </c>
      <c r="E3212" s="5" t="str">
        <f>_xlfn.XLOOKUP(role_course_map[[#This Row],[course_id]],course_data[course_id],course_data[topic],"")</f>
        <v>SAS: Staff development and experience</v>
      </c>
      <c r="F3212" s="5">
        <f>_xlfn.XLOOKUP(role_course_map[[#This Row],[course_id]],course_data[course_id],course_data[type],"")</f>
        <v>0</v>
      </c>
      <c r="K3212" t="str">
        <f>role_course_map[[#This Row],[role_id]] &amp; "|" &amp; role_course_map[[#This Row],[course_id]]</f>
        <v>R0124|999091</v>
      </c>
      <c r="L3212" t="str">
        <f>IF(COUNTIF(role_course_map[mapping_key],role_course_map[[#This Row],[mapping_key]])&gt;1,"DUPLICATE","OK")</f>
        <v>OK</v>
      </c>
      <c r="M3212" t="str">
        <f>IF(COUNTIF(role_data[role_id],role_course_map[[#This Row],[role_id]])=0, "INVALID","VALID")</f>
        <v>VALID</v>
      </c>
      <c r="N3212" t="str">
        <f>IF(COUNTIF(course_data[course_id],role_course_map[[#This Row],[course_id]])=0, "INVALID","VALID")</f>
        <v>VALID</v>
      </c>
    </row>
    <row r="3213" spans="1:14" x14ac:dyDescent="0.35">
      <c r="A3213" t="s">
        <v>260</v>
      </c>
      <c r="B3213" s="5" t="str">
        <f>_xlfn.XLOOKUP(role_course_map[[#This Row],[role_id]], role_data[role_id], role_data[Role],"")</f>
        <v>Training and Development Compliance Manager</v>
      </c>
      <c r="C3213">
        <v>79147</v>
      </c>
      <c r="D3213" s="5" t="str">
        <f>_xlfn.XLOOKUP(role_course_map[[#This Row],[course_id]],course_data[course_id],course_data[title],"")</f>
        <v>Driving risks at work</v>
      </c>
      <c r="E3213" s="5" t="str">
        <f>_xlfn.XLOOKUP(role_course_map[[#This Row],[course_id]],course_data[course_id],course_data[topic],"")</f>
        <v>SAS : Health and Safety</v>
      </c>
      <c r="F3213" s="5" t="str">
        <f>_xlfn.XLOOKUP(role_course_map[[#This Row],[course_id]],course_data[course_id],course_data[type],"")</f>
        <v>eLearning</v>
      </c>
      <c r="K3213" t="str">
        <f>role_course_map[[#This Row],[role_id]] &amp; "|" &amp; role_course_map[[#This Row],[course_id]]</f>
        <v>R0124|79147</v>
      </c>
      <c r="L3213" t="str">
        <f>IF(COUNTIF(role_course_map[mapping_key],role_course_map[[#This Row],[mapping_key]])&gt;1,"DUPLICATE","OK")</f>
        <v>OK</v>
      </c>
      <c r="M3213" t="str">
        <f>IF(COUNTIF(role_data[role_id],role_course_map[[#This Row],[role_id]])=0, "INVALID","VALID")</f>
        <v>VALID</v>
      </c>
      <c r="N3213" t="str">
        <f>IF(COUNTIF(course_data[course_id],role_course_map[[#This Row],[course_id]])=0, "INVALID","VALID")</f>
        <v>VALID</v>
      </c>
    </row>
    <row r="3214" spans="1:14" x14ac:dyDescent="0.35">
      <c r="A3214" t="s">
        <v>260</v>
      </c>
      <c r="B3214" s="5" t="str">
        <f>_xlfn.XLOOKUP(role_course_map[[#This Row],[role_id]], role_data[role_id], role_data[Role],"")</f>
        <v>Training and Development Compliance Manager</v>
      </c>
      <c r="C3214">
        <v>999060</v>
      </c>
      <c r="D3214" s="5" t="str">
        <f>_xlfn.XLOOKUP(role_course_map[[#This Row],[course_id]],course_data[course_id],course_data[title],"")</f>
        <v>COSHH</v>
      </c>
      <c r="E3214" s="5" t="str">
        <f>_xlfn.XLOOKUP(role_course_map[[#This Row],[course_id]],course_data[course_id],course_data[topic],"")</f>
        <v>SAS : Health and Safety</v>
      </c>
      <c r="F3214" s="5" t="str">
        <f>_xlfn.XLOOKUP(role_course_map[[#This Row],[course_id]],course_data[course_id],course_data[type],"")</f>
        <v>eLearning</v>
      </c>
      <c r="K3214" t="str">
        <f>role_course_map[[#This Row],[role_id]] &amp; "|" &amp; role_course_map[[#This Row],[course_id]]</f>
        <v>R0124|999060</v>
      </c>
      <c r="L3214" t="str">
        <f>IF(COUNTIF(role_course_map[mapping_key],role_course_map[[#This Row],[mapping_key]])&gt;1,"DUPLICATE","OK")</f>
        <v>OK</v>
      </c>
      <c r="M3214" t="str">
        <f>IF(COUNTIF(role_data[role_id],role_course_map[[#This Row],[role_id]])=0, "INVALID","VALID")</f>
        <v>VALID</v>
      </c>
      <c r="N3214" t="str">
        <f>IF(COUNTIF(course_data[course_id],role_course_map[[#This Row],[course_id]])=0, "INVALID","VALID")</f>
        <v>VALID</v>
      </c>
    </row>
    <row r="3215" spans="1:14" x14ac:dyDescent="0.35">
      <c r="A3215" t="s">
        <v>260</v>
      </c>
      <c r="B3215" s="5" t="str">
        <f>_xlfn.XLOOKUP(role_course_map[[#This Row],[role_id]], role_data[role_id], role_data[Role],"")</f>
        <v>Training and Development Compliance Manager</v>
      </c>
      <c r="C3215">
        <v>999066</v>
      </c>
      <c r="D3215" s="5" t="str">
        <f>_xlfn.XLOOKUP(role_course_map[[#This Row],[course_id]],course_data[course_id],course_data[title],"")</f>
        <v>NRRD Update i.e. Major Incidents/Methane/ Multiple Casualities</v>
      </c>
      <c r="E3215" s="5" t="str">
        <f>_xlfn.XLOOKUP(role_course_map[[#This Row],[course_id]],course_data[course_id],course_data[topic],"")</f>
        <v>SAS : National Risk and Resilience Department (NRRD)</v>
      </c>
      <c r="F3215" s="5" t="str">
        <f>_xlfn.XLOOKUP(role_course_map[[#This Row],[course_id]],course_data[course_id],course_data[type],"")</f>
        <v>eLearning</v>
      </c>
      <c r="K3215" t="str">
        <f>role_course_map[[#This Row],[role_id]] &amp; "|" &amp; role_course_map[[#This Row],[course_id]]</f>
        <v>R0124|999066</v>
      </c>
      <c r="L3215" t="str">
        <f>IF(COUNTIF(role_course_map[mapping_key],role_course_map[[#This Row],[mapping_key]])&gt;1,"DUPLICATE","OK")</f>
        <v>OK</v>
      </c>
      <c r="M3215" t="str">
        <f>IF(COUNTIF(role_data[role_id],role_course_map[[#This Row],[role_id]])=0, "INVALID","VALID")</f>
        <v>VALID</v>
      </c>
      <c r="N3215" t="str">
        <f>IF(COUNTIF(course_data[course_id],role_course_map[[#This Row],[course_id]])=0, "INVALID","VALID")</f>
        <v>VALID</v>
      </c>
    </row>
    <row r="3216" spans="1:14" x14ac:dyDescent="0.35">
      <c r="A3216" t="s">
        <v>260</v>
      </c>
      <c r="B3216" s="5" t="str">
        <f>_xlfn.XLOOKUP(role_course_map[[#This Row],[role_id]], role_data[role_id], role_data[Role],"")</f>
        <v>Training and Development Compliance Manager</v>
      </c>
      <c r="C3216">
        <v>999025</v>
      </c>
      <c r="D3216" s="5" t="str">
        <f>_xlfn.XLOOKUP(role_course_map[[#This Row],[course_id]],course_data[course_id],course_data[title],"")</f>
        <v>Professional Standards</v>
      </c>
      <c r="E3216" s="5" t="str">
        <f>_xlfn.XLOOKUP(role_course_map[[#This Row],[course_id]],course_data[course_id],course_data[topic],"")</f>
        <v>SAS : Clinical Practice</v>
      </c>
      <c r="F3216" s="5" t="str">
        <f>_xlfn.XLOOKUP(role_course_map[[#This Row],[course_id]],course_data[course_id],course_data[type],"")</f>
        <v>eLearning</v>
      </c>
      <c r="K3216" t="str">
        <f>role_course_map[[#This Row],[role_id]] &amp; "|" &amp; role_course_map[[#This Row],[course_id]]</f>
        <v>R0124|999025</v>
      </c>
      <c r="L3216" t="str">
        <f>IF(COUNTIF(role_course_map[mapping_key],role_course_map[[#This Row],[mapping_key]])&gt;1,"DUPLICATE","OK")</f>
        <v>OK</v>
      </c>
      <c r="M3216" t="str">
        <f>IF(COUNTIF(role_data[role_id],role_course_map[[#This Row],[role_id]])=0, "INVALID","VALID")</f>
        <v>VALID</v>
      </c>
      <c r="N3216" t="str">
        <f>IF(COUNTIF(course_data[course_id],role_course_map[[#This Row],[course_id]])=0, "INVALID","VALID")</f>
        <v>VALID</v>
      </c>
    </row>
    <row r="3217" spans="1:14" x14ac:dyDescent="0.35">
      <c r="A3217" t="s">
        <v>260</v>
      </c>
      <c r="B3217" s="5" t="str">
        <f>_xlfn.XLOOKUP(role_course_map[[#This Row],[role_id]], role_data[role_id], role_data[Role],"")</f>
        <v>Training and Development Compliance Manager</v>
      </c>
      <c r="C3217">
        <v>999026</v>
      </c>
      <c r="D3217" s="5" t="str">
        <f>_xlfn.XLOOKUP(role_course_map[[#This Row],[course_id]],course_data[course_id],course_data[title],"")</f>
        <v>Communication Standards</v>
      </c>
      <c r="E3217" s="5" t="str">
        <f>_xlfn.XLOOKUP(role_course_map[[#This Row],[course_id]],course_data[course_id],course_data[topic],"")</f>
        <v>SAS : Clinical Practice</v>
      </c>
      <c r="F3217" s="5" t="str">
        <f>_xlfn.XLOOKUP(role_course_map[[#This Row],[course_id]],course_data[course_id],course_data[type],"")</f>
        <v>eLearning</v>
      </c>
      <c r="K3217" t="str">
        <f>role_course_map[[#This Row],[role_id]] &amp; "|" &amp; role_course_map[[#This Row],[course_id]]</f>
        <v>R0124|999026</v>
      </c>
      <c r="L3217" t="str">
        <f>IF(COUNTIF(role_course_map[mapping_key],role_course_map[[#This Row],[mapping_key]])&gt;1,"DUPLICATE","OK")</f>
        <v>OK</v>
      </c>
      <c r="M3217" t="str">
        <f>IF(COUNTIF(role_data[role_id],role_course_map[[#This Row],[role_id]])=0, "INVALID","VALID")</f>
        <v>VALID</v>
      </c>
      <c r="N3217" t="str">
        <f>IF(COUNTIF(course_data[course_id],role_course_map[[#This Row],[course_id]])=0, "INVALID","VALID")</f>
        <v>VALID</v>
      </c>
    </row>
    <row r="3218" spans="1:14" x14ac:dyDescent="0.35">
      <c r="A3218" t="s">
        <v>260</v>
      </c>
      <c r="B3218" s="5" t="str">
        <f>_xlfn.XLOOKUP(role_course_map[[#This Row],[role_id]], role_data[role_id], role_data[Role],"")</f>
        <v>Training and Development Compliance Manager</v>
      </c>
      <c r="C3218">
        <v>999062</v>
      </c>
      <c r="D3218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3218" s="5" t="str">
        <f>_xlfn.XLOOKUP(role_course_map[[#This Row],[course_id]],course_data[course_id],course_data[topic],"")</f>
        <v>SAS : Health and Safety</v>
      </c>
      <c r="F3218" s="5" t="str">
        <f>_xlfn.XLOOKUP(role_course_map[[#This Row],[course_id]],course_data[course_id],course_data[type],"")</f>
        <v>Course</v>
      </c>
      <c r="K3218" t="str">
        <f>role_course_map[[#This Row],[role_id]] &amp; "|" &amp; role_course_map[[#This Row],[course_id]]</f>
        <v>R0124|999062</v>
      </c>
      <c r="L3218" t="str">
        <f>IF(COUNTIF(role_course_map[mapping_key],role_course_map[[#This Row],[mapping_key]])&gt;1,"DUPLICATE","OK")</f>
        <v>OK</v>
      </c>
      <c r="M3218" t="str">
        <f>IF(COUNTIF(role_data[role_id],role_course_map[[#This Row],[role_id]])=0, "INVALID","VALID")</f>
        <v>VALID</v>
      </c>
      <c r="N3218" t="str">
        <f>IF(COUNTIF(course_data[course_id],role_course_map[[#This Row],[course_id]])=0, "INVALID","VALID")</f>
        <v>VALID</v>
      </c>
    </row>
    <row r="3219" spans="1:14" x14ac:dyDescent="0.35">
      <c r="A3219" t="s">
        <v>260</v>
      </c>
      <c r="B3219" s="5" t="str">
        <f>_xlfn.XLOOKUP(role_course_map[[#This Row],[role_id]], role_data[role_id], role_data[Role],"")</f>
        <v>Training and Development Compliance Manager</v>
      </c>
      <c r="C3219">
        <v>999056</v>
      </c>
      <c r="D3219" s="5" t="str">
        <f>_xlfn.XLOOKUP(role_course_map[[#This Row],[course_id]],course_data[course_id],course_data[title],"")</f>
        <v>Driver Assessment &amp; Training</v>
      </c>
      <c r="E3219" s="5" t="str">
        <f>_xlfn.XLOOKUP(role_course_map[[#This Row],[course_id]],course_data[course_id],course_data[topic],"")</f>
        <v>SAS : Health and Safety</v>
      </c>
      <c r="F3219" s="5" t="str">
        <f>_xlfn.XLOOKUP(role_course_map[[#This Row],[course_id]],course_data[course_id],course_data[type],"")</f>
        <v>eLearning</v>
      </c>
      <c r="K3219" t="str">
        <f>role_course_map[[#This Row],[role_id]] &amp; "|" &amp; role_course_map[[#This Row],[course_id]]</f>
        <v>R0124|999056</v>
      </c>
      <c r="L3219" t="str">
        <f>IF(COUNTIF(role_course_map[mapping_key],role_course_map[[#This Row],[mapping_key]])&gt;1,"DUPLICATE","OK")</f>
        <v>OK</v>
      </c>
      <c r="M3219" t="str">
        <f>IF(COUNTIF(role_data[role_id],role_course_map[[#This Row],[role_id]])=0, "INVALID","VALID")</f>
        <v>VALID</v>
      </c>
      <c r="N3219" t="str">
        <f>IF(COUNTIF(course_data[course_id],role_course_map[[#This Row],[course_id]])=0, "INVALID","VALID")</f>
        <v>VALID</v>
      </c>
    </row>
    <row r="3220" spans="1:14" x14ac:dyDescent="0.35">
      <c r="A3220" t="s">
        <v>260</v>
      </c>
      <c r="B3220" s="5" t="str">
        <f>_xlfn.XLOOKUP(role_course_map[[#This Row],[role_id]], role_data[role_id], role_data[Role],"")</f>
        <v>Training and Development Compliance Manager</v>
      </c>
      <c r="C3220">
        <v>999057</v>
      </c>
      <c r="D3220" s="5" t="str">
        <f>_xlfn.XLOOKUP(role_course_map[[#This Row],[course_id]],course_data[course_id],course_data[title],"")</f>
        <v>Fatigue Awareness</v>
      </c>
      <c r="E3220" s="5" t="str">
        <f>_xlfn.XLOOKUP(role_course_map[[#This Row],[course_id]],course_data[course_id],course_data[topic],"")</f>
        <v>SAS : Health and Safety</v>
      </c>
      <c r="F3220" s="5" t="str">
        <f>_xlfn.XLOOKUP(role_course_map[[#This Row],[course_id]],course_data[course_id],course_data[type],"")</f>
        <v>eLearning</v>
      </c>
      <c r="K3220" t="str">
        <f>role_course_map[[#This Row],[role_id]] &amp; "|" &amp; role_course_map[[#This Row],[course_id]]</f>
        <v>R0124|999057</v>
      </c>
      <c r="L3220" t="str">
        <f>IF(COUNTIF(role_course_map[mapping_key],role_course_map[[#This Row],[mapping_key]])&gt;1,"DUPLICATE","OK")</f>
        <v>OK</v>
      </c>
      <c r="M3220" t="str">
        <f>IF(COUNTIF(role_data[role_id],role_course_map[[#This Row],[role_id]])=0, "INVALID","VALID")</f>
        <v>VALID</v>
      </c>
      <c r="N3220" t="str">
        <f>IF(COUNTIF(course_data[course_id],role_course_map[[#This Row],[course_id]])=0, "INVALID","VALID")</f>
        <v>VALID</v>
      </c>
    </row>
    <row r="3221" spans="1:14" x14ac:dyDescent="0.35">
      <c r="A3221" t="s">
        <v>260</v>
      </c>
      <c r="B3221" s="5" t="str">
        <f>_xlfn.XLOOKUP(role_course_map[[#This Row],[role_id]], role_data[role_id], role_data[Role],"")</f>
        <v>Training and Development Compliance Manager</v>
      </c>
      <c r="C3221">
        <v>999058</v>
      </c>
      <c r="D3221" s="5" t="str">
        <f>_xlfn.XLOOKUP(role_course_map[[#This Row],[course_id]],course_data[course_id],course_data[title],"")</f>
        <v>Stress Identification &amp; Stress Management</v>
      </c>
      <c r="E3221" s="5" t="str">
        <f>_xlfn.XLOOKUP(role_course_map[[#This Row],[course_id]],course_data[course_id],course_data[topic],"")</f>
        <v>SAS : Health and Safety</v>
      </c>
      <c r="F3221" s="5" t="str">
        <f>_xlfn.XLOOKUP(role_course_map[[#This Row],[course_id]],course_data[course_id],course_data[type],"")</f>
        <v>eLearning</v>
      </c>
      <c r="K3221" t="str">
        <f>role_course_map[[#This Row],[role_id]] &amp; "|" &amp; role_course_map[[#This Row],[course_id]]</f>
        <v>R0124|999058</v>
      </c>
      <c r="L3221" t="str">
        <f>IF(COUNTIF(role_course_map[mapping_key],role_course_map[[#This Row],[mapping_key]])&gt;1,"DUPLICATE","OK")</f>
        <v>OK</v>
      </c>
      <c r="M3221" t="str">
        <f>IF(COUNTIF(role_data[role_id],role_course_map[[#This Row],[role_id]])=0, "INVALID","VALID")</f>
        <v>VALID</v>
      </c>
      <c r="N3221" t="str">
        <f>IF(COUNTIF(course_data[course_id],role_course_map[[#This Row],[course_id]])=0, "INVALID","VALID")</f>
        <v>VALID</v>
      </c>
    </row>
    <row r="3222" spans="1:14" x14ac:dyDescent="0.35">
      <c r="A3222" t="s">
        <v>260</v>
      </c>
      <c r="B3222" s="5" t="str">
        <f>_xlfn.XLOOKUP(role_course_map[[#This Row],[role_id]], role_data[role_id], role_data[Role],"")</f>
        <v>Training and Development Compliance Manager</v>
      </c>
      <c r="C3222">
        <v>999061</v>
      </c>
      <c r="D3222" s="5" t="str">
        <f>_xlfn.XLOOKUP(role_course_map[[#This Row],[course_id]],course_data[course_id],course_data[title],"")</f>
        <v>Skin Awareness</v>
      </c>
      <c r="E3222" s="5" t="str">
        <f>_xlfn.XLOOKUP(role_course_map[[#This Row],[course_id]],course_data[course_id],course_data[topic],"")</f>
        <v>SAS : Health and Safety</v>
      </c>
      <c r="F3222" s="5" t="str">
        <f>_xlfn.XLOOKUP(role_course_map[[#This Row],[course_id]],course_data[course_id],course_data[type],"")</f>
        <v>eLearning</v>
      </c>
      <c r="K3222" t="str">
        <f>role_course_map[[#This Row],[role_id]] &amp; "|" &amp; role_course_map[[#This Row],[course_id]]</f>
        <v>R0124|999061</v>
      </c>
      <c r="L3222" t="str">
        <f>IF(COUNTIF(role_course_map[mapping_key],role_course_map[[#This Row],[mapping_key]])&gt;1,"DUPLICATE","OK")</f>
        <v>OK</v>
      </c>
      <c r="M3222" t="str">
        <f>IF(COUNTIF(role_data[role_id],role_course_map[[#This Row],[role_id]])=0, "INVALID","VALID")</f>
        <v>VALID</v>
      </c>
      <c r="N3222" t="str">
        <f>IF(COUNTIF(course_data[course_id],role_course_map[[#This Row],[course_id]])=0, "INVALID","VALID")</f>
        <v>VALID</v>
      </c>
    </row>
    <row r="3223" spans="1:14" x14ac:dyDescent="0.35">
      <c r="A3223" t="s">
        <v>260</v>
      </c>
      <c r="B3223" s="5" t="str">
        <f>_xlfn.XLOOKUP(role_course_map[[#This Row],[role_id]], role_data[role_id], role_data[Role],"")</f>
        <v>Training and Development Compliance Manager</v>
      </c>
      <c r="C3223">
        <v>999027</v>
      </c>
      <c r="D3223" s="5" t="str">
        <f>_xlfn.XLOOKUP(role_course_map[[#This Row],[course_id]],course_data[course_id],course_data[title],"")</f>
        <v>Manual and Patient Handling Foundation Training - Level 2</v>
      </c>
      <c r="E3223" s="5" t="str">
        <f>_xlfn.XLOOKUP(role_course_map[[#This Row],[course_id]],course_data[course_id],course_data[topic],"")</f>
        <v>SAS : Clinical Practice</v>
      </c>
      <c r="F3223" s="5" t="str">
        <f>_xlfn.XLOOKUP(role_course_map[[#This Row],[course_id]],course_data[course_id],course_data[type],"")</f>
        <v>Course</v>
      </c>
      <c r="K3223" t="str">
        <f>role_course_map[[#This Row],[role_id]] &amp; "|" &amp; role_course_map[[#This Row],[course_id]]</f>
        <v>R0124|999027</v>
      </c>
      <c r="L3223" t="str">
        <f>IF(COUNTIF(role_course_map[mapping_key],role_course_map[[#This Row],[mapping_key]])&gt;1,"DUPLICATE","OK")</f>
        <v>OK</v>
      </c>
      <c r="M3223" t="str">
        <f>IF(COUNTIF(role_data[role_id],role_course_map[[#This Row],[role_id]])=0, "INVALID","VALID")</f>
        <v>VALID</v>
      </c>
      <c r="N3223" t="str">
        <f>IF(COUNTIF(course_data[course_id],role_course_map[[#This Row],[course_id]])=0, "INVALID","VALID")</f>
        <v>VALID</v>
      </c>
    </row>
    <row r="3224" spans="1:14" x14ac:dyDescent="0.35">
      <c r="A3224" t="s">
        <v>260</v>
      </c>
      <c r="B3224" s="5" t="str">
        <f>_xlfn.XLOOKUP(role_course_map[[#This Row],[role_id]], role_data[role_id], role_data[Role],"")</f>
        <v>Training and Development Compliance Manager</v>
      </c>
      <c r="C3224">
        <v>999028</v>
      </c>
      <c r="D3224" s="5" t="str">
        <f>_xlfn.XLOOKUP(role_course_map[[#This Row],[course_id]],course_data[course_id],course_data[title],"")</f>
        <v>Manual and Patient Handling Competency Assessment - Level 3</v>
      </c>
      <c r="E3224" s="5" t="str">
        <f>_xlfn.XLOOKUP(role_course_map[[#This Row],[course_id]],course_data[course_id],course_data[topic],"")</f>
        <v>SAS : Clinical Practice</v>
      </c>
      <c r="F3224" s="5" t="str">
        <f>_xlfn.XLOOKUP(role_course_map[[#This Row],[course_id]],course_data[course_id],course_data[type],"")</f>
        <v>Course</v>
      </c>
      <c r="K3224" t="str">
        <f>role_course_map[[#This Row],[role_id]] &amp; "|" &amp; role_course_map[[#This Row],[course_id]]</f>
        <v>R0124|999028</v>
      </c>
      <c r="L3224" t="str">
        <f>IF(COUNTIF(role_course_map[mapping_key],role_course_map[[#This Row],[mapping_key]])&gt;1,"DUPLICATE","OK")</f>
        <v>OK</v>
      </c>
      <c r="M3224" t="str">
        <f>IF(COUNTIF(role_data[role_id],role_course_map[[#This Row],[role_id]])=0, "INVALID","VALID")</f>
        <v>VALID</v>
      </c>
      <c r="N3224" t="str">
        <f>IF(COUNTIF(course_data[course_id],role_course_map[[#This Row],[course_id]])=0, "INVALID","VALID")</f>
        <v>VALID</v>
      </c>
    </row>
    <row r="3225" spans="1:14" x14ac:dyDescent="0.35">
      <c r="A3225" t="s">
        <v>260</v>
      </c>
      <c r="B3225" s="5" t="str">
        <f>_xlfn.XLOOKUP(role_course_map[[#This Row],[role_id]], role_data[role_id], role_data[Role],"")</f>
        <v>Training and Development Compliance Manager</v>
      </c>
      <c r="C3225">
        <v>999029</v>
      </c>
      <c r="D3225" s="5" t="str">
        <f>_xlfn.XLOOKUP(role_course_map[[#This Row],[course_id]],course_data[course_id],course_data[title],"")</f>
        <v>Manual and Patient Handling Competency Assessment Theory - Level 3</v>
      </c>
      <c r="E3225" s="5" t="str">
        <f>_xlfn.XLOOKUP(role_course_map[[#This Row],[course_id]],course_data[course_id],course_data[topic],"")</f>
        <v>SAS : Clinical Practice</v>
      </c>
      <c r="F3225" s="5" t="str">
        <f>_xlfn.XLOOKUP(role_course_map[[#This Row],[course_id]],course_data[course_id],course_data[type],"")</f>
        <v>Course</v>
      </c>
      <c r="K3225" t="str">
        <f>role_course_map[[#This Row],[role_id]] &amp; "|" &amp; role_course_map[[#This Row],[course_id]]</f>
        <v>R0124|999029</v>
      </c>
      <c r="L3225" t="str">
        <f>IF(COUNTIF(role_course_map[mapping_key],role_course_map[[#This Row],[mapping_key]])&gt;1,"DUPLICATE","OK")</f>
        <v>OK</v>
      </c>
      <c r="M3225" t="str">
        <f>IF(COUNTIF(role_data[role_id],role_course_map[[#This Row],[role_id]])=0, "INVALID","VALID")</f>
        <v>VALID</v>
      </c>
      <c r="N3225" t="str">
        <f>IF(COUNTIF(course_data[course_id],role_course_map[[#This Row],[course_id]])=0, "INVALID","VALID")</f>
        <v>VALID</v>
      </c>
    </row>
    <row r="3226" spans="1:14" x14ac:dyDescent="0.35">
      <c r="A3226" t="s">
        <v>260</v>
      </c>
      <c r="B3226" s="5" t="str">
        <f>_xlfn.XLOOKUP(role_course_map[[#This Row],[role_id]], role_data[role_id], role_data[Role],"")</f>
        <v>Training and Development Compliance Manager</v>
      </c>
      <c r="C3226" t="s">
        <v>659</v>
      </c>
      <c r="D3226" s="5" t="str">
        <f>_xlfn.XLOOKUP(role_course_map[[#This Row],[course_id]],course_data[course_id],course_data[title],"")</f>
        <v>Prevention and Management of Violence and Aggression - Breakaway training Level 2 /Restrictive movement Level 3</v>
      </c>
      <c r="E3226" s="5" t="str">
        <f>_xlfn.XLOOKUP(role_course_map[[#This Row],[course_id]],course_data[course_id],course_data[topic],"")</f>
        <v>SAS : Health and Safety</v>
      </c>
      <c r="F3226" s="5" t="str">
        <f>_xlfn.XLOOKUP(role_course_map[[#This Row],[course_id]],course_data[course_id],course_data[type],"")</f>
        <v>Course</v>
      </c>
      <c r="K3226" t="str">
        <f>role_course_map[[#This Row],[role_id]] &amp; "|" &amp; role_course_map[[#This Row],[course_id]]</f>
        <v>R0124|2025-6 edition</v>
      </c>
      <c r="L3226" t="str">
        <f>IF(COUNTIF(role_course_map[mapping_key],role_course_map[[#This Row],[mapping_key]])&gt;1,"DUPLICATE","OK")</f>
        <v>OK</v>
      </c>
      <c r="M3226" t="str">
        <f>IF(COUNTIF(role_data[role_id],role_course_map[[#This Row],[role_id]])=0, "INVALID","VALID")</f>
        <v>VALID</v>
      </c>
      <c r="N3226" t="str">
        <f>IF(COUNTIF(course_data[course_id],role_course_map[[#This Row],[course_id]])=0, "INVALID","VALID")</f>
        <v>VALID</v>
      </c>
    </row>
    <row r="3227" spans="1:14" x14ac:dyDescent="0.35">
      <c r="A3227" t="s">
        <v>260</v>
      </c>
      <c r="B3227" s="5" t="str">
        <f>_xlfn.XLOOKUP(role_course_map[[#This Row],[role_id]], role_data[role_id], role_data[Role],"")</f>
        <v>Training and Development Compliance Manager</v>
      </c>
      <c r="C3227">
        <v>999055</v>
      </c>
      <c r="D3227" s="5" t="str">
        <f>_xlfn.XLOOKUP(role_course_map[[#This Row],[course_id]],course_data[course_id],course_data[title],"")</f>
        <v>Prevention and Management of Violence and Aggression - Refresher</v>
      </c>
      <c r="E3227" s="5" t="str">
        <f>_xlfn.XLOOKUP(role_course_map[[#This Row],[course_id]],course_data[course_id],course_data[topic],"")</f>
        <v>SAS : Health and Safety</v>
      </c>
      <c r="F3227" s="5" t="str">
        <f>_xlfn.XLOOKUP(role_course_map[[#This Row],[course_id]],course_data[course_id],course_data[type],"")</f>
        <v>Course</v>
      </c>
      <c r="K3227" t="str">
        <f>role_course_map[[#This Row],[role_id]] &amp; "|" &amp; role_course_map[[#This Row],[course_id]]</f>
        <v>R0124|999055</v>
      </c>
      <c r="L3227" t="str">
        <f>IF(COUNTIF(role_course_map[mapping_key],role_course_map[[#This Row],[mapping_key]])&gt;1,"DUPLICATE","OK")</f>
        <v>OK</v>
      </c>
      <c r="M3227" t="str">
        <f>IF(COUNTIF(role_data[role_id],role_course_map[[#This Row],[role_id]])=0, "INVALID","VALID")</f>
        <v>VALID</v>
      </c>
      <c r="N3227" t="str">
        <f>IF(COUNTIF(course_data[course_id],role_course_map[[#This Row],[course_id]])=0, "INVALID","VALID")</f>
        <v>VALID</v>
      </c>
    </row>
    <row r="3228" spans="1:14" x14ac:dyDescent="0.35">
      <c r="A3228" t="s">
        <v>260</v>
      </c>
      <c r="B3228" s="5" t="str">
        <f>_xlfn.XLOOKUP(role_course_map[[#This Row],[role_id]], role_data[role_id], role_data[Role],"")</f>
        <v>Training and Development Compliance Manager</v>
      </c>
      <c r="C3228">
        <v>64322</v>
      </c>
      <c r="D3228" s="5" t="str">
        <f>_xlfn.XLOOKUP(role_course_map[[#This Row],[course_id]],course_data[course_id],course_data[title],"")</f>
        <v>Adult support and protection: practice level 2 [skilled]</v>
      </c>
      <c r="E3228" s="5" t="str">
        <f>_xlfn.XLOOKUP(role_course_map[[#This Row],[course_id]],course_data[course_id],course_data[topic],"")</f>
        <v>SAS : Public Protection</v>
      </c>
      <c r="F3228" s="5" t="str">
        <f>_xlfn.XLOOKUP(role_course_map[[#This Row],[course_id]],course_data[course_id],course_data[type],"")</f>
        <v>eLearning</v>
      </c>
      <c r="K3228" t="str">
        <f>role_course_map[[#This Row],[role_id]] &amp; "|" &amp; role_course_map[[#This Row],[course_id]]</f>
        <v>R0124|64322</v>
      </c>
      <c r="L3228" t="str">
        <f>IF(COUNTIF(role_course_map[mapping_key],role_course_map[[#This Row],[mapping_key]])&gt;1,"DUPLICATE","OK")</f>
        <v>OK</v>
      </c>
      <c r="M3228" t="str">
        <f>IF(COUNTIF(role_data[role_id],role_course_map[[#This Row],[role_id]])=0, "INVALID","VALID")</f>
        <v>VALID</v>
      </c>
      <c r="N3228" t="str">
        <f>IF(COUNTIF(course_data[course_id],role_course_map[[#This Row],[course_id]])=0, "INVALID","VALID")</f>
        <v>VALID</v>
      </c>
    </row>
    <row r="3229" spans="1:14" x14ac:dyDescent="0.35">
      <c r="A3229" t="s">
        <v>260</v>
      </c>
      <c r="B3229" s="5" t="str">
        <f>_xlfn.XLOOKUP(role_course_map[[#This Row],[role_id]], role_data[role_id], role_data[Role],"")</f>
        <v>Training and Development Compliance Manager</v>
      </c>
      <c r="C3229">
        <v>64324</v>
      </c>
      <c r="D3229" s="5" t="str">
        <f>_xlfn.XLOOKUP(role_course_map[[#This Row],[course_id]],course_data[course_id],course_data[title],"")</f>
        <v>Child protection: practice level 2 [skilled]</v>
      </c>
      <c r="E3229" s="5" t="str">
        <f>_xlfn.XLOOKUP(role_course_map[[#This Row],[course_id]],course_data[course_id],course_data[topic],"")</f>
        <v>SAS : Public Protection</v>
      </c>
      <c r="F3229" s="5" t="str">
        <f>_xlfn.XLOOKUP(role_course_map[[#This Row],[course_id]],course_data[course_id],course_data[type],"")</f>
        <v>eLearning</v>
      </c>
      <c r="K3229" t="str">
        <f>role_course_map[[#This Row],[role_id]] &amp; "|" &amp; role_course_map[[#This Row],[course_id]]</f>
        <v>R0124|64324</v>
      </c>
      <c r="L3229" t="str">
        <f>IF(COUNTIF(role_course_map[mapping_key],role_course_map[[#This Row],[mapping_key]])&gt;1,"DUPLICATE","OK")</f>
        <v>OK</v>
      </c>
      <c r="M3229" t="str">
        <f>IF(COUNTIF(role_data[role_id],role_course_map[[#This Row],[role_id]])=0, "INVALID","VALID")</f>
        <v>VALID</v>
      </c>
      <c r="N3229" t="str">
        <f>IF(COUNTIF(course_data[course_id],role_course_map[[#This Row],[course_id]])=0, "INVALID","VALID")</f>
        <v>VALID</v>
      </c>
    </row>
    <row r="3230" spans="1:14" x14ac:dyDescent="0.35">
      <c r="A3230" t="s">
        <v>260</v>
      </c>
      <c r="B3230" s="5" t="str">
        <f>_xlfn.XLOOKUP(role_course_map[[#This Row],[role_id]], role_data[role_id], role_data[Role],"")</f>
        <v>Training and Development Compliance Manager</v>
      </c>
      <c r="C3230">
        <v>76716</v>
      </c>
      <c r="D3230" s="5" t="str">
        <f>_xlfn.XLOOKUP(role_course_map[[#This Row],[course_id]],course_data[course_id],course_data[title],"")</f>
        <v>Domestic abuse awareness training tool (DAART)</v>
      </c>
      <c r="E3230" s="5" t="str">
        <f>_xlfn.XLOOKUP(role_course_map[[#This Row],[course_id]],course_data[course_id],course_data[topic],"")</f>
        <v>SAS : Public Protection</v>
      </c>
      <c r="F3230" s="5" t="str">
        <f>_xlfn.XLOOKUP(role_course_map[[#This Row],[course_id]],course_data[course_id],course_data[type],"")</f>
        <v>eLearning</v>
      </c>
      <c r="K3230" t="str">
        <f>role_course_map[[#This Row],[role_id]] &amp; "|" &amp; role_course_map[[#This Row],[course_id]]</f>
        <v>R0124|76716</v>
      </c>
      <c r="L3230" t="str">
        <f>IF(COUNTIF(role_course_map[mapping_key],role_course_map[[#This Row],[mapping_key]])&gt;1,"DUPLICATE","OK")</f>
        <v>OK</v>
      </c>
      <c r="M3230" t="str">
        <f>IF(COUNTIF(role_data[role_id],role_course_map[[#This Row],[role_id]])=0, "INVALID","VALID")</f>
        <v>VALID</v>
      </c>
      <c r="N3230" t="str">
        <f>IF(COUNTIF(course_data[course_id],role_course_map[[#This Row],[course_id]])=0, "INVALID","VALID")</f>
        <v>VALID</v>
      </c>
    </row>
    <row r="3231" spans="1:14" x14ac:dyDescent="0.35">
      <c r="A3231" t="s">
        <v>260</v>
      </c>
      <c r="B3231" s="5" t="str">
        <f>_xlfn.XLOOKUP(role_course_map[[#This Row],[role_id]], role_data[role_id], role_data[Role],"")</f>
        <v>Training and Development Compliance Manager</v>
      </c>
      <c r="C3231">
        <v>79666</v>
      </c>
      <c r="D3231" s="5" t="str">
        <f>_xlfn.XLOOKUP(role_course_map[[#This Row],[course_id]],course_data[course_id],course_data[title],"")</f>
        <v>Getting it right for every child (GIRFEC): informed level</v>
      </c>
      <c r="E3231" s="5" t="str">
        <f>_xlfn.XLOOKUP(role_course_map[[#This Row],[course_id]],course_data[course_id],course_data[topic],"")</f>
        <v>SAS : Public Protection</v>
      </c>
      <c r="F3231" s="5" t="str">
        <f>_xlfn.XLOOKUP(role_course_map[[#This Row],[course_id]],course_data[course_id],course_data[type],"")</f>
        <v>eLearning</v>
      </c>
      <c r="K3231" t="str">
        <f>role_course_map[[#This Row],[role_id]] &amp; "|" &amp; role_course_map[[#This Row],[course_id]]</f>
        <v>R0124|79666</v>
      </c>
      <c r="L3231" t="str">
        <f>IF(COUNTIF(role_course_map[mapping_key],role_course_map[[#This Row],[mapping_key]])&gt;1,"DUPLICATE","OK")</f>
        <v>OK</v>
      </c>
      <c r="M3231" t="str">
        <f>IF(COUNTIF(role_data[role_id],role_course_map[[#This Row],[role_id]])=0, "INVALID","VALID")</f>
        <v>VALID</v>
      </c>
      <c r="N3231" t="str">
        <f>IF(COUNTIF(course_data[course_id],role_course_map[[#This Row],[course_id]])=0, "INVALID","VALID")</f>
        <v>VALID</v>
      </c>
    </row>
    <row r="3232" spans="1:14" x14ac:dyDescent="0.35">
      <c r="A3232" t="s">
        <v>260</v>
      </c>
      <c r="B3232" s="5" t="str">
        <f>_xlfn.XLOOKUP(role_course_map[[#This Row],[role_id]], role_data[role_id], role_data[Role],"")</f>
        <v>Training and Development Compliance Manager</v>
      </c>
      <c r="C3232">
        <v>999074</v>
      </c>
      <c r="D3232" s="5" t="str">
        <f>_xlfn.XLOOKUP(role_course_map[[#This Row],[course_id]],course_data[course_id],course_data[title],"")</f>
        <v>SAS-specific Children’s rights</v>
      </c>
      <c r="E3232" s="5" t="str">
        <f>_xlfn.XLOOKUP(role_course_map[[#This Row],[course_id]],course_data[course_id],course_data[topic],"")</f>
        <v>SAS : Public Protection</v>
      </c>
      <c r="F3232" s="5" t="str">
        <f>_xlfn.XLOOKUP(role_course_map[[#This Row],[course_id]],course_data[course_id],course_data[type],"")</f>
        <v>eLearning</v>
      </c>
      <c r="K3232" t="str">
        <f>role_course_map[[#This Row],[role_id]] &amp; "|" &amp; role_course_map[[#This Row],[course_id]]</f>
        <v>R0124|999074</v>
      </c>
      <c r="L3232" t="str">
        <f>IF(COUNTIF(role_course_map[mapping_key],role_course_map[[#This Row],[mapping_key]])&gt;1,"DUPLICATE","OK")</f>
        <v>OK</v>
      </c>
      <c r="M3232" t="str">
        <f>IF(COUNTIF(role_data[role_id],role_course_map[[#This Row],[role_id]])=0, "INVALID","VALID")</f>
        <v>VALID</v>
      </c>
      <c r="N3232" t="str">
        <f>IF(COUNTIF(course_data[course_id],role_course_map[[#This Row],[course_id]])=0, "INVALID","VALID")</f>
        <v>VALID</v>
      </c>
    </row>
    <row r="3233" spans="1:14" x14ac:dyDescent="0.35">
      <c r="A3233" t="s">
        <v>260</v>
      </c>
      <c r="B3233" s="5" t="str">
        <f>_xlfn.XLOOKUP(role_course_map[[#This Row],[role_id]], role_data[role_id], role_data[Role],"")</f>
        <v>Training and Development Compliance Manager</v>
      </c>
      <c r="C3233">
        <v>999075</v>
      </c>
      <c r="D3233" s="5" t="str">
        <f>_xlfn.XLOOKUP(role_course_map[[#This Row],[course_id]],course_data[course_id],course_data[title],"")</f>
        <v>Multiagency local or bespoke Level 3 delivery training</v>
      </c>
      <c r="E3233" s="5" t="str">
        <f>_xlfn.XLOOKUP(role_course_map[[#This Row],[course_id]],course_data[course_id],course_data[topic],"")</f>
        <v>SAS : Public Protection</v>
      </c>
      <c r="F3233" s="5" t="str">
        <f>_xlfn.XLOOKUP(role_course_map[[#This Row],[course_id]],course_data[course_id],course_data[type],"")</f>
        <v>eLearning</v>
      </c>
      <c r="K3233" t="str">
        <f>role_course_map[[#This Row],[role_id]] &amp; "|" &amp; role_course_map[[#This Row],[course_id]]</f>
        <v>R0124|999075</v>
      </c>
      <c r="L3233" t="str">
        <f>IF(COUNTIF(role_course_map[mapping_key],role_course_map[[#This Row],[mapping_key]])&gt;1,"DUPLICATE","OK")</f>
        <v>OK</v>
      </c>
      <c r="M3233" t="str">
        <f>IF(COUNTIF(role_data[role_id],role_course_map[[#This Row],[role_id]])=0, "INVALID","VALID")</f>
        <v>VALID</v>
      </c>
      <c r="N3233" t="str">
        <f>IF(COUNTIF(course_data[course_id],role_course_map[[#This Row],[course_id]])=0, "INVALID","VALID")</f>
        <v>VALID</v>
      </c>
    </row>
    <row r="3234" spans="1:14" x14ac:dyDescent="0.35">
      <c r="A3234" t="s">
        <v>260</v>
      </c>
      <c r="B3234" s="5" t="str">
        <f>_xlfn.XLOOKUP(role_course_map[[#This Row],[role_id]], role_data[role_id], role_data[Role],"")</f>
        <v>Training and Development Compliance Manager</v>
      </c>
      <c r="C3234">
        <v>15249</v>
      </c>
      <c r="D3234" s="5" t="str">
        <f>_xlfn.XLOOKUP(role_course_map[[#This Row],[course_id]],course_data[course_id],course_data[title],"")</f>
        <v>Human trafficking</v>
      </c>
      <c r="E3234" s="5" t="str">
        <f>_xlfn.XLOOKUP(role_course_map[[#This Row],[course_id]],course_data[course_id],course_data[topic],"")</f>
        <v>SAS : Public Protection</v>
      </c>
      <c r="F3234" s="5" t="str">
        <f>_xlfn.XLOOKUP(role_course_map[[#This Row],[course_id]],course_data[course_id],course_data[type],"")</f>
        <v>eLearning</v>
      </c>
      <c r="K3234" t="str">
        <f>role_course_map[[#This Row],[role_id]] &amp; "|" &amp; role_course_map[[#This Row],[course_id]]</f>
        <v>R0124|15249</v>
      </c>
      <c r="L3234" t="str">
        <f>IF(COUNTIF(role_course_map[mapping_key],role_course_map[[#This Row],[mapping_key]])&gt;1,"DUPLICATE","OK")</f>
        <v>OK</v>
      </c>
      <c r="M3234" t="str">
        <f>IF(COUNTIF(role_data[role_id],role_course_map[[#This Row],[role_id]])=0, "INVALID","VALID")</f>
        <v>VALID</v>
      </c>
      <c r="N3234" t="str">
        <f>IF(COUNTIF(course_data[course_id],role_course_map[[#This Row],[course_id]])=0, "INVALID","VALID")</f>
        <v>VALID</v>
      </c>
    </row>
    <row r="3235" spans="1:14" x14ac:dyDescent="0.35">
      <c r="A3235" t="s">
        <v>260</v>
      </c>
      <c r="B3235" s="5" t="str">
        <f>_xlfn.XLOOKUP(role_course_map[[#This Row],[role_id]], role_data[role_id], role_data[Role],"")</f>
        <v>Training and Development Compliance Manager</v>
      </c>
      <c r="C3235">
        <v>89161</v>
      </c>
      <c r="D3235" s="5" t="str">
        <f>_xlfn.XLOOKUP(role_course_map[[#This Row],[course_id]],course_data[course_id],course_data[title],"")</f>
        <v>Personal Protective Equipment</v>
      </c>
      <c r="E3235" s="5" t="str">
        <f>_xlfn.XLOOKUP(role_course_map[[#This Row],[course_id]],course_data[course_id],course_data[topic],"")</f>
        <v>SAS : Infection Prevention and Control (IPC)</v>
      </c>
      <c r="F3235" s="5" t="str">
        <f>_xlfn.XLOOKUP(role_course_map[[#This Row],[course_id]],course_data[course_id],course_data[type],"")</f>
        <v>eLearning</v>
      </c>
      <c r="K3235" t="str">
        <f>role_course_map[[#This Row],[role_id]] &amp; "|" &amp; role_course_map[[#This Row],[course_id]]</f>
        <v>R0124|89161</v>
      </c>
      <c r="L3235" t="str">
        <f>IF(COUNTIF(role_course_map[mapping_key],role_course_map[[#This Row],[mapping_key]])&gt;1,"DUPLICATE","OK")</f>
        <v>OK</v>
      </c>
      <c r="M3235" t="str">
        <f>IF(COUNTIF(role_data[role_id],role_course_map[[#This Row],[role_id]])=0, "INVALID","VALID")</f>
        <v>VALID</v>
      </c>
      <c r="N3235" t="str">
        <f>IF(COUNTIF(course_data[course_id],role_course_map[[#This Row],[course_id]])=0, "INVALID","VALID")</f>
        <v>VALID</v>
      </c>
    </row>
    <row r="3236" spans="1:14" x14ac:dyDescent="0.35">
      <c r="A3236" t="s">
        <v>260</v>
      </c>
      <c r="B3236" s="5" t="str">
        <f>_xlfn.XLOOKUP(role_course_map[[#This Row],[role_id]], role_data[role_id], role_data[Role],"")</f>
        <v>Training and Development Compliance Manager</v>
      </c>
      <c r="C3236">
        <v>89157</v>
      </c>
      <c r="D3236" s="5" t="str">
        <f>_xlfn.XLOOKUP(role_course_map[[#This Row],[course_id]],course_data[course_id],course_data[title],"")</f>
        <v>Safe Management of Care Equipment</v>
      </c>
      <c r="E3236" s="5" t="str">
        <f>_xlfn.XLOOKUP(role_course_map[[#This Row],[course_id]],course_data[course_id],course_data[topic],"")</f>
        <v>SAS : Infection Prevention and Control (IPC)</v>
      </c>
      <c r="F3236" s="5" t="str">
        <f>_xlfn.XLOOKUP(role_course_map[[#This Row],[course_id]],course_data[course_id],course_data[type],"")</f>
        <v>eLearning</v>
      </c>
      <c r="K3236" t="str">
        <f>role_course_map[[#This Row],[role_id]] &amp; "|" &amp; role_course_map[[#This Row],[course_id]]</f>
        <v>R0124|89157</v>
      </c>
      <c r="L3236" t="str">
        <f>IF(COUNTIF(role_course_map[mapping_key],role_course_map[[#This Row],[mapping_key]])&gt;1,"DUPLICATE","OK")</f>
        <v>OK</v>
      </c>
      <c r="M3236" t="str">
        <f>IF(COUNTIF(role_data[role_id],role_course_map[[#This Row],[role_id]])=0, "INVALID","VALID")</f>
        <v>VALID</v>
      </c>
      <c r="N3236" t="str">
        <f>IF(COUNTIF(course_data[course_id],role_course_map[[#This Row],[course_id]])=0, "INVALID","VALID")</f>
        <v>VALID</v>
      </c>
    </row>
    <row r="3237" spans="1:14" x14ac:dyDescent="0.35">
      <c r="A3237" t="s">
        <v>260</v>
      </c>
      <c r="B3237" s="5" t="str">
        <f>_xlfn.XLOOKUP(role_course_map[[#This Row],[role_id]], role_data[role_id], role_data[Role],"")</f>
        <v>Training and Development Compliance Manager</v>
      </c>
      <c r="C3237">
        <v>89158</v>
      </c>
      <c r="D3237" s="5" t="str">
        <f>_xlfn.XLOOKUP(role_course_map[[#This Row],[course_id]],course_data[course_id],course_data[title],"")</f>
        <v>Safe Management of Care Environment</v>
      </c>
      <c r="E3237" s="5" t="str">
        <f>_xlfn.XLOOKUP(role_course_map[[#This Row],[course_id]],course_data[course_id],course_data[topic],"")</f>
        <v>SAS : Infection Prevention and Control (IPC)</v>
      </c>
      <c r="F3237" s="5" t="str">
        <f>_xlfn.XLOOKUP(role_course_map[[#This Row],[course_id]],course_data[course_id],course_data[type],"")</f>
        <v>eLearning</v>
      </c>
      <c r="K3237" t="str">
        <f>role_course_map[[#This Row],[role_id]] &amp; "|" &amp; role_course_map[[#This Row],[course_id]]</f>
        <v>R0124|89158</v>
      </c>
      <c r="L3237" t="str">
        <f>IF(COUNTIF(role_course_map[mapping_key],role_course_map[[#This Row],[mapping_key]])&gt;1,"DUPLICATE","OK")</f>
        <v>OK</v>
      </c>
      <c r="M3237" t="str">
        <f>IF(COUNTIF(role_data[role_id],role_course_map[[#This Row],[role_id]])=0, "INVALID","VALID")</f>
        <v>VALID</v>
      </c>
      <c r="N3237" t="str">
        <f>IF(COUNTIF(course_data[course_id],role_course_map[[#This Row],[course_id]])=0, "INVALID","VALID")</f>
        <v>VALID</v>
      </c>
    </row>
    <row r="3238" spans="1:14" x14ac:dyDescent="0.35">
      <c r="A3238" t="s">
        <v>260</v>
      </c>
      <c r="B3238" s="5" t="str">
        <f>_xlfn.XLOOKUP(role_course_map[[#This Row],[role_id]], role_data[role_id], role_data[Role],"")</f>
        <v>Training and Development Compliance Manager</v>
      </c>
      <c r="C3238">
        <v>89159</v>
      </c>
      <c r="D3238" s="5" t="str">
        <f>_xlfn.XLOOKUP(role_course_map[[#This Row],[course_id]],course_data[course_id],course_data[title],"")</f>
        <v>Safe Management of Linen</v>
      </c>
      <c r="E3238" s="5" t="str">
        <f>_xlfn.XLOOKUP(role_course_map[[#This Row],[course_id]],course_data[course_id],course_data[topic],"")</f>
        <v>SAS : Infection Prevention and Control (IPC)</v>
      </c>
      <c r="F3238" s="5" t="str">
        <f>_xlfn.XLOOKUP(role_course_map[[#This Row],[course_id]],course_data[course_id],course_data[type],"")</f>
        <v>eLearning</v>
      </c>
      <c r="K3238" t="str">
        <f>role_course_map[[#This Row],[role_id]] &amp; "|" &amp; role_course_map[[#This Row],[course_id]]</f>
        <v>R0124|89159</v>
      </c>
      <c r="L3238" t="str">
        <f>IF(COUNTIF(role_course_map[mapping_key],role_course_map[[#This Row],[mapping_key]])&gt;1,"DUPLICATE","OK")</f>
        <v>OK</v>
      </c>
      <c r="M3238" t="str">
        <f>IF(COUNTIF(role_data[role_id],role_course_map[[#This Row],[role_id]])=0, "INVALID","VALID")</f>
        <v>VALID</v>
      </c>
      <c r="N3238" t="str">
        <f>IF(COUNTIF(course_data[course_id],role_course_map[[#This Row],[course_id]])=0, "INVALID","VALID")</f>
        <v>VALID</v>
      </c>
    </row>
    <row r="3239" spans="1:14" x14ac:dyDescent="0.35">
      <c r="A3239" t="s">
        <v>260</v>
      </c>
      <c r="B3239" s="5" t="str">
        <f>_xlfn.XLOOKUP(role_course_map[[#This Row],[role_id]], role_data[role_id], role_data[Role],"")</f>
        <v>Training and Development Compliance Manager</v>
      </c>
      <c r="C3239">
        <v>89160</v>
      </c>
      <c r="D3239" s="5" t="str">
        <f>_xlfn.XLOOKUP(role_course_map[[#This Row],[course_id]],course_data[course_id],course_data[title],"")</f>
        <v>Safe Management of blood and body fluids</v>
      </c>
      <c r="E3239" s="5" t="str">
        <f>_xlfn.XLOOKUP(role_course_map[[#This Row],[course_id]],course_data[course_id],course_data[topic],"")</f>
        <v>SAS : Infection Prevention and Control (IPC)</v>
      </c>
      <c r="F3239" s="5" t="str">
        <f>_xlfn.XLOOKUP(role_course_map[[#This Row],[course_id]],course_data[course_id],course_data[type],"")</f>
        <v>eLearning</v>
      </c>
      <c r="K3239" t="str">
        <f>role_course_map[[#This Row],[role_id]] &amp; "|" &amp; role_course_map[[#This Row],[course_id]]</f>
        <v>R0124|89160</v>
      </c>
      <c r="L3239" t="str">
        <f>IF(COUNTIF(role_course_map[mapping_key],role_course_map[[#This Row],[mapping_key]])&gt;1,"DUPLICATE","OK")</f>
        <v>OK</v>
      </c>
      <c r="M3239" t="str">
        <f>IF(COUNTIF(role_data[role_id],role_course_map[[#This Row],[role_id]])=0, "INVALID","VALID")</f>
        <v>VALID</v>
      </c>
      <c r="N3239" t="str">
        <f>IF(COUNTIF(course_data[course_id],role_course_map[[#This Row],[course_id]])=0, "INVALID","VALID")</f>
        <v>VALID</v>
      </c>
    </row>
    <row r="3240" spans="1:14" x14ac:dyDescent="0.35">
      <c r="A3240" t="s">
        <v>260</v>
      </c>
      <c r="B3240" s="5" t="str">
        <f>_xlfn.XLOOKUP(role_course_map[[#This Row],[role_id]], role_data[role_id], role_data[Role],"")</f>
        <v>Training and Development Compliance Manager</v>
      </c>
      <c r="C3240">
        <v>89154</v>
      </c>
      <c r="D3240" s="5" t="str">
        <f>_xlfn.XLOOKUP(role_course_map[[#This Row],[course_id]],course_data[course_id],course_data[title],"")</f>
        <v>Safe disposal of waste</v>
      </c>
      <c r="E3240" s="5" t="str">
        <f>_xlfn.XLOOKUP(role_course_map[[#This Row],[course_id]],course_data[course_id],course_data[topic],"")</f>
        <v>SAS : Infection Prevention and Control (IPC)</v>
      </c>
      <c r="F3240" s="5" t="str">
        <f>_xlfn.XLOOKUP(role_course_map[[#This Row],[course_id]],course_data[course_id],course_data[type],"")</f>
        <v>eLearning</v>
      </c>
      <c r="K3240" t="str">
        <f>role_course_map[[#This Row],[role_id]] &amp; "|" &amp; role_course_map[[#This Row],[course_id]]</f>
        <v>R0124|89154</v>
      </c>
      <c r="L3240" t="str">
        <f>IF(COUNTIF(role_course_map[mapping_key],role_course_map[[#This Row],[mapping_key]])&gt;1,"DUPLICATE","OK")</f>
        <v>OK</v>
      </c>
      <c r="M3240" t="str">
        <f>IF(COUNTIF(role_data[role_id],role_course_map[[#This Row],[role_id]])=0, "INVALID","VALID")</f>
        <v>VALID</v>
      </c>
      <c r="N3240" t="str">
        <f>IF(COUNTIF(course_data[course_id],role_course_map[[#This Row],[course_id]])=0, "INVALID","VALID")</f>
        <v>VALID</v>
      </c>
    </row>
    <row r="3241" spans="1:14" x14ac:dyDescent="0.35">
      <c r="A3241" t="s">
        <v>260</v>
      </c>
      <c r="B3241" s="5" t="str">
        <f>_xlfn.XLOOKUP(role_course_map[[#This Row],[role_id]], role_data[role_id], role_data[Role],"")</f>
        <v>Training and Development Compliance Manager</v>
      </c>
      <c r="C3241">
        <v>89155</v>
      </c>
      <c r="D3241" s="5" t="str">
        <f>_xlfn.XLOOKUP(role_course_map[[#This Row],[course_id]],course_data[course_id],course_data[title],"")</f>
        <v>Prevention &amp; management of occupational exposure</v>
      </c>
      <c r="E3241" s="5" t="str">
        <f>_xlfn.XLOOKUP(role_course_map[[#This Row],[course_id]],course_data[course_id],course_data[topic],"")</f>
        <v>SAS : Infection Prevention and Control (IPC)</v>
      </c>
      <c r="F3241" s="5" t="str">
        <f>_xlfn.XLOOKUP(role_course_map[[#This Row],[course_id]],course_data[course_id],course_data[type],"")</f>
        <v>eLearning</v>
      </c>
      <c r="K3241" t="str">
        <f>role_course_map[[#This Row],[role_id]] &amp; "|" &amp; role_course_map[[#This Row],[course_id]]</f>
        <v>R0124|89155</v>
      </c>
      <c r="L3241" t="str">
        <f>IF(COUNTIF(role_course_map[mapping_key],role_course_map[[#This Row],[mapping_key]])&gt;1,"DUPLICATE","OK")</f>
        <v>OK</v>
      </c>
      <c r="M3241" t="str">
        <f>IF(COUNTIF(role_data[role_id],role_course_map[[#This Row],[role_id]])=0, "INVALID","VALID")</f>
        <v>VALID</v>
      </c>
      <c r="N3241" t="str">
        <f>IF(COUNTIF(course_data[course_id],role_course_map[[#This Row],[course_id]])=0, "INVALID","VALID")</f>
        <v>VALID</v>
      </c>
    </row>
    <row r="3242" spans="1:14" x14ac:dyDescent="0.35">
      <c r="A3242" t="s">
        <v>260</v>
      </c>
      <c r="B3242" s="5" t="str">
        <f>_xlfn.XLOOKUP(role_course_map[[#This Row],[role_id]], role_data[role_id], role_data[Role],"")</f>
        <v>Training and Development Compliance Manager</v>
      </c>
      <c r="C3242">
        <v>999064</v>
      </c>
      <c r="D3242" s="5" t="str">
        <f>_xlfn.XLOOKUP(role_course_map[[#This Row],[course_id]],course_data[course_id],course_data[title],"")</f>
        <v>Infection prevention and control: Clostridioides difficile infection</v>
      </c>
      <c r="E3242" s="5" t="str">
        <f>_xlfn.XLOOKUP(role_course_map[[#This Row],[course_id]],course_data[course_id],course_data[topic],"")</f>
        <v>SAS : Infection Prevention and Control (IPC)</v>
      </c>
      <c r="F3242" s="5" t="str">
        <f>_xlfn.XLOOKUP(role_course_map[[#This Row],[course_id]],course_data[course_id],course_data[type],"")</f>
        <v>eLearning</v>
      </c>
      <c r="K3242" t="str">
        <f>role_course_map[[#This Row],[role_id]] &amp; "|" &amp; role_course_map[[#This Row],[course_id]]</f>
        <v>R0124|999064</v>
      </c>
      <c r="L3242" t="str">
        <f>IF(COUNTIF(role_course_map[mapping_key],role_course_map[[#This Row],[mapping_key]])&gt;1,"DUPLICATE","OK")</f>
        <v>OK</v>
      </c>
      <c r="M3242" t="str">
        <f>IF(COUNTIF(role_data[role_id],role_course_map[[#This Row],[role_id]])=0, "INVALID","VALID")</f>
        <v>VALID</v>
      </c>
      <c r="N3242" t="str">
        <f>IF(COUNTIF(course_data[course_id],role_course_map[[#This Row],[course_id]])=0, "INVALID","VALID")</f>
        <v>VALID</v>
      </c>
    </row>
    <row r="3243" spans="1:14" x14ac:dyDescent="0.35">
      <c r="A3243" t="s">
        <v>260</v>
      </c>
      <c r="B3243" s="5" t="str">
        <f>_xlfn.XLOOKUP(role_course_map[[#This Row],[role_id]], role_data[role_id], role_data[Role],"")</f>
        <v>Training and Development Compliance Manager</v>
      </c>
      <c r="C3243">
        <v>3588</v>
      </c>
      <c r="D3243" s="5" t="str">
        <f>_xlfn.XLOOKUP(role_course_map[[#This Row],[course_id]],course_data[course_id],course_data[title],"")</f>
        <v>Antibiotic management</v>
      </c>
      <c r="E3243" s="5" t="str">
        <f>_xlfn.XLOOKUP(role_course_map[[#This Row],[course_id]],course_data[course_id],course_data[topic],"")</f>
        <v>SAS : Clinical Practice</v>
      </c>
      <c r="F3243" s="5" t="str">
        <f>_xlfn.XLOOKUP(role_course_map[[#This Row],[course_id]],course_data[course_id],course_data[type],"")</f>
        <v>Page</v>
      </c>
      <c r="K3243" t="str">
        <f>role_course_map[[#This Row],[role_id]] &amp; "|" &amp; role_course_map[[#This Row],[course_id]]</f>
        <v>R0124|3588</v>
      </c>
      <c r="L3243" t="str">
        <f>IF(COUNTIF(role_course_map[mapping_key],role_course_map[[#This Row],[mapping_key]])&gt;1,"DUPLICATE","OK")</f>
        <v>OK</v>
      </c>
      <c r="M3243" t="str">
        <f>IF(COUNTIF(role_data[role_id],role_course_map[[#This Row],[role_id]])=0, "INVALID","VALID")</f>
        <v>VALID</v>
      </c>
      <c r="N3243" t="str">
        <f>IF(COUNTIF(course_data[course_id],role_course_map[[#This Row],[course_id]])=0, "INVALID","VALID")</f>
        <v>VALID</v>
      </c>
    </row>
    <row r="3244" spans="1:14" x14ac:dyDescent="0.35">
      <c r="A3244" t="s">
        <v>260</v>
      </c>
      <c r="B3244" s="5" t="str">
        <f>_xlfn.XLOOKUP(role_course_map[[#This Row],[role_id]], role_data[role_id], role_data[Role],"")</f>
        <v>Training and Development Compliance Manager</v>
      </c>
      <c r="C3244">
        <v>82383</v>
      </c>
      <c r="D3244" s="5" t="str">
        <f>_xlfn.XLOOKUP(role_course_map[[#This Row],[course_id]],course_data[course_id],course_data[title],"")</f>
        <v>Aseptic technique</v>
      </c>
      <c r="E3244" s="5" t="str">
        <f>_xlfn.XLOOKUP(role_course_map[[#This Row],[course_id]],course_data[course_id],course_data[topic],"")</f>
        <v>SAS : Infection Prevention and Control (IPC)</v>
      </c>
      <c r="F3244" s="5" t="str">
        <f>_xlfn.XLOOKUP(role_course_map[[#This Row],[course_id]],course_data[course_id],course_data[type],"")</f>
        <v>eLearning</v>
      </c>
      <c r="K3244" t="str">
        <f>role_course_map[[#This Row],[role_id]] &amp; "|" &amp; role_course_map[[#This Row],[course_id]]</f>
        <v>R0124|82383</v>
      </c>
      <c r="L3244" t="str">
        <f>IF(COUNTIF(role_course_map[mapping_key],role_course_map[[#This Row],[mapping_key]])&gt;1,"DUPLICATE","OK")</f>
        <v>OK</v>
      </c>
      <c r="M3244" t="str">
        <f>IF(COUNTIF(role_data[role_id],role_course_map[[#This Row],[role_id]])=0, "INVALID","VALID")</f>
        <v>VALID</v>
      </c>
      <c r="N3244" t="str">
        <f>IF(COUNTIF(course_data[course_id],role_course_map[[#This Row],[course_id]])=0, "INVALID","VALID")</f>
        <v>VALID</v>
      </c>
    </row>
    <row r="3245" spans="1:14" x14ac:dyDescent="0.35">
      <c r="A3245" t="s">
        <v>260</v>
      </c>
      <c r="B3245" s="5" t="str">
        <f>_xlfn.XLOOKUP(role_course_map[[#This Row],[role_id]], role_data[role_id], role_data[Role],"")</f>
        <v>Training and Development Compliance Manager</v>
      </c>
      <c r="C3245">
        <v>3886</v>
      </c>
      <c r="D3245" s="5" t="str">
        <f>_xlfn.XLOOKUP(role_course_map[[#This Row],[course_id]],course_data[course_id],course_data[title],"")</f>
        <v>Prevention and management of pressure ulcers</v>
      </c>
      <c r="E3245" s="5" t="str">
        <f>_xlfn.XLOOKUP(role_course_map[[#This Row],[course_id]],course_data[course_id],course_data[topic],"")</f>
        <v>SAS : Clinical Practice</v>
      </c>
      <c r="F3245" s="5" t="str">
        <f>_xlfn.XLOOKUP(role_course_map[[#This Row],[course_id]],course_data[course_id],course_data[type],"")</f>
        <v>Page</v>
      </c>
      <c r="K3245" t="str">
        <f>role_course_map[[#This Row],[role_id]] &amp; "|" &amp; role_course_map[[#This Row],[course_id]]</f>
        <v>R0124|3886</v>
      </c>
      <c r="L3245" t="str">
        <f>IF(COUNTIF(role_course_map[mapping_key],role_course_map[[#This Row],[mapping_key]])&gt;1,"DUPLICATE","OK")</f>
        <v>OK</v>
      </c>
      <c r="M3245" t="str">
        <f>IF(COUNTIF(role_data[role_id],role_course_map[[#This Row],[role_id]])=0, "INVALID","VALID")</f>
        <v>VALID</v>
      </c>
      <c r="N3245" t="str">
        <f>IF(COUNTIF(course_data[course_id],role_course_map[[#This Row],[course_id]])=0, "INVALID","VALID")</f>
        <v>VALID</v>
      </c>
    </row>
    <row r="3246" spans="1:14" x14ac:dyDescent="0.35">
      <c r="A3246" t="s">
        <v>260</v>
      </c>
      <c r="B3246" s="5" t="str">
        <f>_xlfn.XLOOKUP(role_course_map[[#This Row],[role_id]], role_data[role_id], role_data[Role],"")</f>
        <v>Training and Development Compliance Manager</v>
      </c>
      <c r="C3246">
        <v>999092</v>
      </c>
      <c r="D3246" s="5" t="str">
        <f>_xlfn.XLOOKUP(role_course_map[[#This Row],[course_id]],course_data[course_id],course_data[title],"")</f>
        <v>Health &amp; Wellbeing Awareness for Managers</v>
      </c>
      <c r="E3246" s="5" t="str">
        <f>_xlfn.XLOOKUP(role_course_map[[#This Row],[course_id]],course_data[course_id],course_data[topic],"")</f>
        <v>SAS: Staff development and experience</v>
      </c>
      <c r="F3246" s="5" t="str">
        <f>_xlfn.XLOOKUP(role_course_map[[#This Row],[course_id]],course_data[course_id],course_data[type],"")</f>
        <v>eLearning</v>
      </c>
      <c r="K3246" t="str">
        <f>role_course_map[[#This Row],[role_id]] &amp; "|" &amp; role_course_map[[#This Row],[course_id]]</f>
        <v>R0124|999092</v>
      </c>
      <c r="L3246" t="str">
        <f>IF(COUNTIF(role_course_map[mapping_key],role_course_map[[#This Row],[mapping_key]])&gt;1,"DUPLICATE","OK")</f>
        <v>OK</v>
      </c>
      <c r="M3246" t="str">
        <f>IF(COUNTIF(role_data[role_id],role_course_map[[#This Row],[role_id]])=0, "INVALID","VALID")</f>
        <v>VALID</v>
      </c>
      <c r="N3246" t="str">
        <f>IF(COUNTIF(course_data[course_id],role_course_map[[#This Row],[course_id]])=0, "INVALID","VALID")</f>
        <v>VALID</v>
      </c>
    </row>
    <row r="3247" spans="1:14" x14ac:dyDescent="0.35">
      <c r="A3247" t="s">
        <v>260</v>
      </c>
      <c r="B3247" s="5" t="str">
        <f>_xlfn.XLOOKUP(role_course_map[[#This Row],[role_id]], role_data[role_id], role_data[Role],"")</f>
        <v>Training and Development Compliance Manager</v>
      </c>
      <c r="C3247">
        <v>999093</v>
      </c>
      <c r="D3247" s="5" t="str">
        <f>_xlfn.XLOOKUP(role_course_map[[#This Row],[course_id]],course_data[course_id],course_data[title],"")</f>
        <v>Managing Wellbeing Refresher for Managers</v>
      </c>
      <c r="E3247" s="5" t="str">
        <f>_xlfn.XLOOKUP(role_course_map[[#This Row],[course_id]],course_data[course_id],course_data[topic],"")</f>
        <v>SAS: Staff development and experience</v>
      </c>
      <c r="F3247" s="5" t="str">
        <f>_xlfn.XLOOKUP(role_course_map[[#This Row],[course_id]],course_data[course_id],course_data[type],"")</f>
        <v>eLearning</v>
      </c>
      <c r="K3247" t="str">
        <f>role_course_map[[#This Row],[role_id]] &amp; "|" &amp; role_course_map[[#This Row],[course_id]]</f>
        <v>R0124|999093</v>
      </c>
      <c r="L3247" t="str">
        <f>IF(COUNTIF(role_course_map[mapping_key],role_course_map[[#This Row],[mapping_key]])&gt;1,"DUPLICATE","OK")</f>
        <v>OK</v>
      </c>
      <c r="M3247" t="str">
        <f>IF(COUNTIF(role_data[role_id],role_course_map[[#This Row],[role_id]])=0, "INVALID","VALID")</f>
        <v>VALID</v>
      </c>
      <c r="N3247" t="str">
        <f>IF(COUNTIF(course_data[course_id],role_course_map[[#This Row],[course_id]])=0, "INVALID","VALID")</f>
        <v>VALID</v>
      </c>
    </row>
    <row r="3248" spans="1:14" x14ac:dyDescent="0.35">
      <c r="A3248" t="s">
        <v>260</v>
      </c>
      <c r="B3248" s="5" t="str">
        <f>_xlfn.XLOOKUP(role_course_map[[#This Row],[role_id]], role_data[role_id], role_data[Role],"")</f>
        <v>Training and Development Compliance Manager</v>
      </c>
      <c r="C3248">
        <v>999094</v>
      </c>
      <c r="D3248" s="5" t="str">
        <f>_xlfn.XLOOKUP(role_course_map[[#This Row],[course_id]],course_data[course_id],course_data[title],"")</f>
        <v>Being well, Mind, Body &amp; Workplace</v>
      </c>
      <c r="E3248" s="5" t="str">
        <f>_xlfn.XLOOKUP(role_course_map[[#This Row],[course_id]],course_data[course_id],course_data[topic],"")</f>
        <v>SAS: Staff development and experience</v>
      </c>
      <c r="F3248" s="5" t="str">
        <f>_xlfn.XLOOKUP(role_course_map[[#This Row],[course_id]],course_data[course_id],course_data[type],"")</f>
        <v>eLearning</v>
      </c>
      <c r="K3248" t="str">
        <f>role_course_map[[#This Row],[role_id]] &amp; "|" &amp; role_course_map[[#This Row],[course_id]]</f>
        <v>R0124|999094</v>
      </c>
      <c r="L3248" t="str">
        <f>IF(COUNTIF(role_course_map[mapping_key],role_course_map[[#This Row],[mapping_key]])&gt;1,"DUPLICATE","OK")</f>
        <v>OK</v>
      </c>
      <c r="M3248" t="str">
        <f>IF(COUNTIF(role_data[role_id],role_course_map[[#This Row],[role_id]])=0, "INVALID","VALID")</f>
        <v>VALID</v>
      </c>
      <c r="N3248" t="str">
        <f>IF(COUNTIF(course_data[course_id],role_course_map[[#This Row],[course_id]])=0, "INVALID","VALID")</f>
        <v>VALID</v>
      </c>
    </row>
    <row r="3249" spans="1:14" x14ac:dyDescent="0.35">
      <c r="A3249" t="s">
        <v>260</v>
      </c>
      <c r="B3249" s="5" t="str">
        <f>_xlfn.XLOOKUP(role_course_map[[#This Row],[role_id]], role_data[role_id], role_data[Role],"")</f>
        <v>Training and Development Compliance Manager</v>
      </c>
      <c r="D3249" s="5" t="s">
        <v>1062</v>
      </c>
      <c r="E3249" s="5" t="str">
        <f>_xlfn.XLOOKUP(role_course_map[[#This Row],[course_id]],course_data[course_id],course_data[topic],"")</f>
        <v/>
      </c>
      <c r="F3249" s="5" t="str">
        <f>_xlfn.XLOOKUP(role_course_map[[#This Row],[course_id]],course_data[course_id],course_data[type],"")</f>
        <v/>
      </c>
      <c r="K3249" t="str">
        <f>role_course_map[[#This Row],[role_id]] &amp; "|" &amp; role_course_map[[#This Row],[course_id]]</f>
        <v>R0124|</v>
      </c>
      <c r="L3249" t="str">
        <f>IF(COUNTIF(role_course_map[mapping_key],role_course_map[[#This Row],[mapping_key]])&gt;1,"DUPLICATE","OK")</f>
        <v>OK</v>
      </c>
      <c r="M3249" t="str">
        <f>IF(COUNTIF(role_data[role_id],role_course_map[[#This Row],[role_id]])=0, "INVALID","VALID")</f>
        <v>VALID</v>
      </c>
      <c r="N3249" t="str">
        <f>IF(COUNTIF(course_data[course_id],role_course_map[[#This Row],[course_id]])=0, "INVALID","VALID")</f>
        <v>INVALID</v>
      </c>
    </row>
    <row r="3250" spans="1:14" x14ac:dyDescent="0.35">
      <c r="A3250" t="s">
        <v>260</v>
      </c>
      <c r="B3250" s="5" t="str">
        <f>_xlfn.XLOOKUP(role_course_map[[#This Row],[role_id]], role_data[role_id], role_data[Role],"")</f>
        <v>Training and Development Compliance Manager</v>
      </c>
      <c r="C3250">
        <v>82211</v>
      </c>
      <c r="D3250" s="5" t="str">
        <f>_xlfn.XLOOKUP(role_course_map[[#This Row],[course_id]],course_data[course_id],course_data[title],"")</f>
        <v>MTA Command &amp; Control</v>
      </c>
      <c r="E3250" s="5" t="str">
        <f>_xlfn.XLOOKUP(role_course_map[[#This Row],[course_id]],course_data[course_id],course_data[topic],"")</f>
        <v>SAS : National Risk and Resilience Department (NRRD)</v>
      </c>
      <c r="F3250" s="5" t="str">
        <f>_xlfn.XLOOKUP(role_course_map[[#This Row],[course_id]],course_data[course_id],course_data[type],"")</f>
        <v>eLearning</v>
      </c>
      <c r="K3250" t="str">
        <f>role_course_map[[#This Row],[role_id]] &amp; "|" &amp; role_course_map[[#This Row],[course_id]]</f>
        <v>R0124|82211</v>
      </c>
      <c r="L3250" t="str">
        <f>IF(COUNTIF(role_course_map[mapping_key],role_course_map[[#This Row],[mapping_key]])&gt;1,"DUPLICATE","OK")</f>
        <v>OK</v>
      </c>
      <c r="M3250" t="str">
        <f>IF(COUNTIF(role_data[role_id],role_course_map[[#This Row],[role_id]])=0, "INVALID","VALID")</f>
        <v>VALID</v>
      </c>
      <c r="N3250" t="str">
        <f>IF(COUNTIF(course_data[course_id],role_course_map[[#This Row],[course_id]])=0, "INVALID","VALID")</f>
        <v>VALID</v>
      </c>
    </row>
    <row r="3251" spans="1:14" x14ac:dyDescent="0.35">
      <c r="A3251" t="s">
        <v>260</v>
      </c>
      <c r="B3251" s="5" t="str">
        <f>_xlfn.XLOOKUP(role_course_map[[#This Row],[role_id]], role_data[role_id], role_data[Role],"")</f>
        <v>Training and Development Compliance Manager</v>
      </c>
      <c r="C3251">
        <v>999067</v>
      </c>
      <c r="D3251" s="5" t="str">
        <f>_xlfn.XLOOKUP(role_course_map[[#This Row],[course_id]],course_data[course_id],course_data[title],"")</f>
        <v>Major incident awareness - Course overview</v>
      </c>
      <c r="E3251" s="5" t="str">
        <f>_xlfn.XLOOKUP(role_course_map[[#This Row],[course_id]],course_data[course_id],course_data[topic],"")</f>
        <v>SAS : National Risk and Resilience Department (NRRD)</v>
      </c>
      <c r="F3251" s="5" t="str">
        <f>_xlfn.XLOOKUP(role_course_map[[#This Row],[course_id]],course_data[course_id],course_data[type],"")</f>
        <v>eLearning</v>
      </c>
      <c r="K3251" t="str">
        <f>role_course_map[[#This Row],[role_id]] &amp; "|" &amp; role_course_map[[#This Row],[course_id]]</f>
        <v>R0124|999067</v>
      </c>
      <c r="L3251" t="str">
        <f>IF(COUNTIF(role_course_map[mapping_key],role_course_map[[#This Row],[mapping_key]])&gt;1,"DUPLICATE","OK")</f>
        <v>OK</v>
      </c>
      <c r="M3251" t="str">
        <f>IF(COUNTIF(role_data[role_id],role_course_map[[#This Row],[role_id]])=0, "INVALID","VALID")</f>
        <v>VALID</v>
      </c>
      <c r="N3251" t="str">
        <f>IF(COUNTIF(course_data[course_id],role_course_map[[#This Row],[course_id]])=0, "INVALID","VALID")</f>
        <v>VALID</v>
      </c>
    </row>
    <row r="3252" spans="1:14" x14ac:dyDescent="0.35">
      <c r="A3252" t="s">
        <v>260</v>
      </c>
      <c r="B3252" s="5" t="str">
        <f>_xlfn.XLOOKUP(role_course_map[[#This Row],[role_id]], role_data[role_id], role_data[Role],"")</f>
        <v>Training and Development Compliance Manager</v>
      </c>
      <c r="C3252">
        <v>999068</v>
      </c>
      <c r="D3252" s="5" t="str">
        <f>_xlfn.XLOOKUP(role_course_map[[#This Row],[course_id]],course_data[course_id],course_data[title],"")</f>
        <v xml:space="preserve">Major incident awareness for responders </v>
      </c>
      <c r="E3252" s="5" t="str">
        <f>_xlfn.XLOOKUP(role_course_map[[#This Row],[course_id]],course_data[course_id],course_data[topic],"")</f>
        <v>SAS : National Risk and Resilience Department (NRRD)</v>
      </c>
      <c r="F3252" s="5" t="str">
        <f>_xlfn.XLOOKUP(role_course_map[[#This Row],[course_id]],course_data[course_id],course_data[type],"")</f>
        <v>eLearning</v>
      </c>
      <c r="K3252" t="str">
        <f>role_course_map[[#This Row],[role_id]] &amp; "|" &amp; role_course_map[[#This Row],[course_id]]</f>
        <v>R0124|999068</v>
      </c>
      <c r="L3252" t="str">
        <f>IF(COUNTIF(role_course_map[mapping_key],role_course_map[[#This Row],[mapping_key]])&gt;1,"DUPLICATE","OK")</f>
        <v>OK</v>
      </c>
      <c r="M3252" t="str">
        <f>IF(COUNTIF(role_data[role_id],role_course_map[[#This Row],[role_id]])=0, "INVALID","VALID")</f>
        <v>VALID</v>
      </c>
      <c r="N3252" t="str">
        <f>IF(COUNTIF(course_data[course_id],role_course_map[[#This Row],[course_id]])=0, "INVALID","VALID")</f>
        <v>VALID</v>
      </c>
    </row>
    <row r="3253" spans="1:14" x14ac:dyDescent="0.35">
      <c r="A3253" t="s">
        <v>260</v>
      </c>
      <c r="B3253" s="5" t="str">
        <f>_xlfn.XLOOKUP(role_course_map[[#This Row],[role_id]], role_data[role_id], role_data[Role],"")</f>
        <v>Training and Development Compliance Manager</v>
      </c>
      <c r="C3253">
        <v>999069</v>
      </c>
      <c r="D3253" s="5" t="str">
        <f>_xlfn.XLOOKUP(role_course_map[[#This Row],[course_id]],course_data[course_id],course_data[title],"")</f>
        <v>Non-specialist MTFA response (JOPS3)</v>
      </c>
      <c r="E3253" s="5" t="str">
        <f>_xlfn.XLOOKUP(role_course_map[[#This Row],[course_id]],course_data[course_id],course_data[topic],"")</f>
        <v>SAS : National Risk and Resilience Department (NRRD)</v>
      </c>
      <c r="F3253" s="5" t="str">
        <f>_xlfn.XLOOKUP(role_course_map[[#This Row],[course_id]],course_data[course_id],course_data[type],"")</f>
        <v>eLearning</v>
      </c>
      <c r="K3253" t="str">
        <f>role_course_map[[#This Row],[role_id]] &amp; "|" &amp; role_course_map[[#This Row],[course_id]]</f>
        <v>R0124|999069</v>
      </c>
      <c r="L3253" t="str">
        <f>IF(COUNTIF(role_course_map[mapping_key],role_course_map[[#This Row],[mapping_key]])&gt;1,"DUPLICATE","OK")</f>
        <v>OK</v>
      </c>
      <c r="M3253" t="str">
        <f>IF(COUNTIF(role_data[role_id],role_course_map[[#This Row],[role_id]])=0, "INVALID","VALID")</f>
        <v>VALID</v>
      </c>
      <c r="N3253" t="str">
        <f>IF(COUNTIF(course_data[course_id],role_course_map[[#This Row],[course_id]])=0, "INVALID","VALID")</f>
        <v>VALID</v>
      </c>
    </row>
    <row r="3254" spans="1:14" x14ac:dyDescent="0.35">
      <c r="A3254" t="s">
        <v>260</v>
      </c>
      <c r="B3254" s="5" t="str">
        <f>_xlfn.XLOOKUP(role_course_map[[#This Row],[role_id]], role_data[role_id], role_data[Role],"")</f>
        <v>Training and Development Compliance Manager</v>
      </c>
      <c r="C3254">
        <v>999070</v>
      </c>
      <c r="D3254" s="5" t="str">
        <f>_xlfn.XLOOKUP(role_course_map[[#This Row],[course_id]],course_data[course_id],course_data[title],"")</f>
        <v xml:space="preserve">SAS: JESIP (NEW) </v>
      </c>
      <c r="E3254" s="5" t="str">
        <f>_xlfn.XLOOKUP(role_course_map[[#This Row],[course_id]],course_data[course_id],course_data[topic],"")</f>
        <v>SAS : National Risk and Resilience Department (NRRD)</v>
      </c>
      <c r="F3254" s="5" t="str">
        <f>_xlfn.XLOOKUP(role_course_map[[#This Row],[course_id]],course_data[course_id],course_data[type],"")</f>
        <v>eLearning</v>
      </c>
      <c r="K3254" t="str">
        <f>role_course_map[[#This Row],[role_id]] &amp; "|" &amp; role_course_map[[#This Row],[course_id]]</f>
        <v>R0124|999070</v>
      </c>
      <c r="L3254" t="str">
        <f>IF(COUNTIF(role_course_map[mapping_key],role_course_map[[#This Row],[mapping_key]])&gt;1,"DUPLICATE","OK")</f>
        <v>OK</v>
      </c>
      <c r="M3254" t="str">
        <f>IF(COUNTIF(role_data[role_id],role_course_map[[#This Row],[role_id]])=0, "INVALID","VALID")</f>
        <v>VALID</v>
      </c>
      <c r="N3254" t="str">
        <f>IF(COUNTIF(course_data[course_id],role_course_map[[#This Row],[course_id]])=0, "INVALID","VALID")</f>
        <v>VALID</v>
      </c>
    </row>
    <row r="3255" spans="1:14" x14ac:dyDescent="0.35">
      <c r="A3255" t="s">
        <v>260</v>
      </c>
      <c r="B3255" s="5" t="str">
        <f>_xlfn.XLOOKUP(role_course_map[[#This Row],[role_id]], role_data[role_id], role_data[Role],"")</f>
        <v>Training and Development Compliance Manager</v>
      </c>
      <c r="C3255">
        <v>89568</v>
      </c>
      <c r="D3255" s="5" t="str">
        <f>_xlfn.XLOOKUP(role_course_map[[#This Row],[course_id]],course_data[course_id],course_data[title],"")</f>
        <v>C3 for SOMs</v>
      </c>
      <c r="E3255" s="5" t="str">
        <f>_xlfn.XLOOKUP(role_course_map[[#This Row],[course_id]],course_data[course_id],course_data[topic],"")</f>
        <v>SAS: Systems Training</v>
      </c>
      <c r="F3255" s="5" t="str">
        <f>_xlfn.XLOOKUP(role_course_map[[#This Row],[course_id]],course_data[course_id],course_data[type],"")</f>
        <v>Course</v>
      </c>
      <c r="K3255" t="str">
        <f>role_course_map[[#This Row],[role_id]] &amp; "|" &amp; role_course_map[[#This Row],[course_id]]</f>
        <v>R0124|89568</v>
      </c>
      <c r="L3255" t="str">
        <f>IF(COUNTIF(role_course_map[mapping_key],role_course_map[[#This Row],[mapping_key]])&gt;1,"DUPLICATE","OK")</f>
        <v>OK</v>
      </c>
      <c r="M3255" t="str">
        <f>IF(COUNTIF(role_data[role_id],role_course_map[[#This Row],[role_id]])=0, "INVALID","VALID")</f>
        <v>VALID</v>
      </c>
      <c r="N3255" t="str">
        <f>IF(COUNTIF(course_data[course_id],role_course_map[[#This Row],[course_id]])=0, "INVALID","VALID")</f>
        <v>VALID</v>
      </c>
    </row>
    <row r="3256" spans="1:14" x14ac:dyDescent="0.35">
      <c r="A3256" t="s">
        <v>262</v>
      </c>
      <c r="B3256" s="5" t="str">
        <f>_xlfn.XLOOKUP(role_course_map[[#This Row],[role_id]], role_data[role_id], role_data[Role],"")</f>
        <v>Training and Development Manager</v>
      </c>
      <c r="C3256">
        <v>79218</v>
      </c>
      <c r="D3256" s="5" t="str">
        <f>_xlfn.XLOOKUP(role_course_map[[#This Row],[course_id]],course_data[course_id],course_data[title],"")</f>
        <v>Life support</v>
      </c>
      <c r="E3256" s="5" t="str">
        <f>_xlfn.XLOOKUP(role_course_map[[#This Row],[course_id]],course_data[course_id],course_data[topic],"")</f>
        <v>SAS : Clinical Practice</v>
      </c>
      <c r="F3256" s="5" t="str">
        <f>_xlfn.XLOOKUP(role_course_map[[#This Row],[course_id]],course_data[course_id],course_data[type],"")</f>
        <v>Page</v>
      </c>
      <c r="K3256" t="str">
        <f>role_course_map[[#This Row],[role_id]] &amp; "|" &amp; role_course_map[[#This Row],[course_id]]</f>
        <v>R0125|79218</v>
      </c>
      <c r="L3256" t="str">
        <f>IF(COUNTIF(role_course_map[mapping_key],role_course_map[[#This Row],[mapping_key]])&gt;1,"DUPLICATE","OK")</f>
        <v>OK</v>
      </c>
      <c r="M3256" t="str">
        <f>IF(COUNTIF(role_data[role_id],role_course_map[[#This Row],[role_id]])=0, "INVALID","VALID")</f>
        <v>VALID</v>
      </c>
      <c r="N3256" t="str">
        <f>IF(COUNTIF(course_data[course_id],role_course_map[[#This Row],[course_id]])=0, "INVALID","VALID")</f>
        <v>VALID</v>
      </c>
    </row>
    <row r="3257" spans="1:14" x14ac:dyDescent="0.35">
      <c r="A3257" t="s">
        <v>262</v>
      </c>
      <c r="B3257" s="5" t="str">
        <f>_xlfn.XLOOKUP(role_course_map[[#This Row],[role_id]], role_data[role_id], role_data[Role],"")</f>
        <v>Training and Development Manager</v>
      </c>
      <c r="C3257">
        <v>999009</v>
      </c>
      <c r="D3257" s="5" t="str">
        <f>_xlfn.XLOOKUP(role_course_map[[#This Row],[course_id]],course_data[course_id],course_data[title],"")</f>
        <v>Life Support</v>
      </c>
      <c r="E3257" s="5" t="str">
        <f>_xlfn.XLOOKUP(role_course_map[[#This Row],[course_id]],course_data[course_id],course_data[topic],"")</f>
        <v>SAS : Clinical Practice</v>
      </c>
      <c r="F3257" s="5" t="str">
        <f>_xlfn.XLOOKUP(role_course_map[[#This Row],[course_id]],course_data[course_id],course_data[type],"")</f>
        <v>Course</v>
      </c>
      <c r="K3257" t="str">
        <f>role_course_map[[#This Row],[role_id]] &amp; "|" &amp; role_course_map[[#This Row],[course_id]]</f>
        <v>R0125|999009</v>
      </c>
      <c r="L3257" t="str">
        <f>IF(COUNTIF(role_course_map[mapping_key],role_course_map[[#This Row],[mapping_key]])&gt;1,"DUPLICATE","OK")</f>
        <v>OK</v>
      </c>
      <c r="M3257" t="str">
        <f>IF(COUNTIF(role_data[role_id],role_course_map[[#This Row],[role_id]])=0, "INVALID","VALID")</f>
        <v>VALID</v>
      </c>
      <c r="N3257" t="str">
        <f>IF(COUNTIF(course_data[course_id],role_course_map[[#This Row],[course_id]])=0, "INVALID","VALID")</f>
        <v>VALID</v>
      </c>
    </row>
    <row r="3258" spans="1:14" x14ac:dyDescent="0.35">
      <c r="A3258" t="s">
        <v>262</v>
      </c>
      <c r="B3258" s="5" t="str">
        <f>_xlfn.XLOOKUP(role_course_map[[#This Row],[role_id]], role_data[role_id], role_data[Role],"")</f>
        <v>Training and Development Manager</v>
      </c>
      <c r="C3258">
        <v>999007</v>
      </c>
      <c r="D3258" s="5" t="str">
        <f>_xlfn.XLOOKUP(role_course_map[[#This Row],[course_id]],course_data[course_id],course_data[title],"")</f>
        <v>Obstetrics</v>
      </c>
      <c r="E3258" s="5" t="str">
        <f>_xlfn.XLOOKUP(role_course_map[[#This Row],[course_id]],course_data[course_id],course_data[topic],"")</f>
        <v>SAS : Clinical Practice</v>
      </c>
      <c r="F3258" s="5" t="str">
        <f>_xlfn.XLOOKUP(role_course_map[[#This Row],[course_id]],course_data[course_id],course_data[type],"")</f>
        <v>Course</v>
      </c>
      <c r="K3258" t="str">
        <f>role_course_map[[#This Row],[role_id]] &amp; "|" &amp; role_course_map[[#This Row],[course_id]]</f>
        <v>R0125|999007</v>
      </c>
      <c r="L3258" t="str">
        <f>IF(COUNTIF(role_course_map[mapping_key],role_course_map[[#This Row],[mapping_key]])&gt;1,"DUPLICATE","OK")</f>
        <v>OK</v>
      </c>
      <c r="M3258" t="str">
        <f>IF(COUNTIF(role_data[role_id],role_course_map[[#This Row],[role_id]])=0, "INVALID","VALID")</f>
        <v>VALID</v>
      </c>
      <c r="N3258" t="str">
        <f>IF(COUNTIF(course_data[course_id],role_course_map[[#This Row],[course_id]])=0, "INVALID","VALID")</f>
        <v>VALID</v>
      </c>
    </row>
    <row r="3259" spans="1:14" x14ac:dyDescent="0.35">
      <c r="A3259" t="s">
        <v>262</v>
      </c>
      <c r="B3259" s="5" t="str">
        <f>_xlfn.XLOOKUP(role_course_map[[#This Row],[role_id]], role_data[role_id], role_data[Role],"")</f>
        <v>Training and Development Manager</v>
      </c>
      <c r="C3259">
        <v>999008</v>
      </c>
      <c r="D3259" s="5" t="str">
        <f>_xlfn.XLOOKUP(role_course_map[[#This Row],[course_id]],course_data[course_id],course_data[title],"")</f>
        <v>Obstetrics</v>
      </c>
      <c r="E3259" s="5" t="str">
        <f>_xlfn.XLOOKUP(role_course_map[[#This Row],[course_id]],course_data[course_id],course_data[topic],"")</f>
        <v>SAS : Clinical Practice</v>
      </c>
      <c r="F3259" s="5" t="str">
        <f>_xlfn.XLOOKUP(role_course_map[[#This Row],[course_id]],course_data[course_id],course_data[type],"")</f>
        <v>eLearning</v>
      </c>
      <c r="K3259" t="str">
        <f>role_course_map[[#This Row],[role_id]] &amp; "|" &amp; role_course_map[[#This Row],[course_id]]</f>
        <v>R0125|999008</v>
      </c>
      <c r="L3259" t="str">
        <f>IF(COUNTIF(role_course_map[mapping_key],role_course_map[[#This Row],[mapping_key]])&gt;1,"DUPLICATE","OK")</f>
        <v>OK</v>
      </c>
      <c r="M3259" t="str">
        <f>IF(COUNTIF(role_data[role_id],role_course_map[[#This Row],[role_id]])=0, "INVALID","VALID")</f>
        <v>VALID</v>
      </c>
      <c r="N3259" t="str">
        <f>IF(COUNTIF(course_data[course_id],role_course_map[[#This Row],[course_id]])=0, "INVALID","VALID")</f>
        <v>VALID</v>
      </c>
    </row>
    <row r="3260" spans="1:14" x14ac:dyDescent="0.35">
      <c r="A3260" t="s">
        <v>262</v>
      </c>
      <c r="B3260" s="5" t="str">
        <f>_xlfn.XLOOKUP(role_course_map[[#This Row],[role_id]], role_data[role_id], role_data[Role],"")</f>
        <v>Training and Development Manager</v>
      </c>
      <c r="C3260">
        <v>999010</v>
      </c>
      <c r="D3260" s="5" t="str">
        <f>_xlfn.XLOOKUP(role_course_map[[#This Row],[course_id]],course_data[course_id],course_data[title],"")</f>
        <v>Paediatrics</v>
      </c>
      <c r="E3260" s="5" t="str">
        <f>_xlfn.XLOOKUP(role_course_map[[#This Row],[course_id]],course_data[course_id],course_data[topic],"")</f>
        <v>SAS : Clinical Practice</v>
      </c>
      <c r="F3260" s="5" t="str">
        <f>_xlfn.XLOOKUP(role_course_map[[#This Row],[course_id]],course_data[course_id],course_data[type],"")</f>
        <v>Course</v>
      </c>
      <c r="K3260" t="str">
        <f>role_course_map[[#This Row],[role_id]] &amp; "|" &amp; role_course_map[[#This Row],[course_id]]</f>
        <v>R0125|999010</v>
      </c>
      <c r="L3260" t="str">
        <f>IF(COUNTIF(role_course_map[mapping_key],role_course_map[[#This Row],[mapping_key]])&gt;1,"DUPLICATE","OK")</f>
        <v>OK</v>
      </c>
      <c r="M3260" t="str">
        <f>IF(COUNTIF(role_data[role_id],role_course_map[[#This Row],[role_id]])=0, "INVALID","VALID")</f>
        <v>VALID</v>
      </c>
      <c r="N3260" t="str">
        <f>IF(COUNTIF(course_data[course_id],role_course_map[[#This Row],[course_id]])=0, "INVALID","VALID")</f>
        <v>VALID</v>
      </c>
    </row>
    <row r="3261" spans="1:14" x14ac:dyDescent="0.35">
      <c r="A3261" t="s">
        <v>262</v>
      </c>
      <c r="B3261" s="5" t="str">
        <f>_xlfn.XLOOKUP(role_course_map[[#This Row],[role_id]], role_data[role_id], role_data[Role],"")</f>
        <v>Training and Development Manager</v>
      </c>
      <c r="C3261">
        <v>999011</v>
      </c>
      <c r="D3261" s="5" t="str">
        <f>_xlfn.XLOOKUP(role_course_map[[#This Row],[course_id]],course_data[course_id],course_data[title],"")</f>
        <v>Paediatrics</v>
      </c>
      <c r="E3261" s="5" t="str">
        <f>_xlfn.XLOOKUP(role_course_map[[#This Row],[course_id]],course_data[course_id],course_data[topic],"")</f>
        <v>SAS : Clinical Practice</v>
      </c>
      <c r="F3261" s="5" t="str">
        <f>_xlfn.XLOOKUP(role_course_map[[#This Row],[course_id]],course_data[course_id],course_data[type],"")</f>
        <v>eLearning</v>
      </c>
      <c r="K3261" t="str">
        <f>role_course_map[[#This Row],[role_id]] &amp; "|" &amp; role_course_map[[#This Row],[course_id]]</f>
        <v>R0125|999011</v>
      </c>
      <c r="L3261" t="str">
        <f>IF(COUNTIF(role_course_map[mapping_key],role_course_map[[#This Row],[mapping_key]])&gt;1,"DUPLICATE","OK")</f>
        <v>OK</v>
      </c>
      <c r="M3261" t="str">
        <f>IF(COUNTIF(role_data[role_id],role_course_map[[#This Row],[role_id]])=0, "INVALID","VALID")</f>
        <v>VALID</v>
      </c>
      <c r="N3261" t="str">
        <f>IF(COUNTIF(course_data[course_id],role_course_map[[#This Row],[course_id]])=0, "INVALID","VALID")</f>
        <v>VALID</v>
      </c>
    </row>
    <row r="3262" spans="1:14" x14ac:dyDescent="0.35">
      <c r="A3262" t="s">
        <v>262</v>
      </c>
      <c r="B3262" s="5" t="str">
        <f>_xlfn.XLOOKUP(role_course_map[[#This Row],[role_id]], role_data[role_id], role_data[Role],"")</f>
        <v>Training and Development Manager</v>
      </c>
      <c r="C3262">
        <v>999012</v>
      </c>
      <c r="D3262" s="5" t="str">
        <f>_xlfn.XLOOKUP(role_course_map[[#This Row],[course_id]],course_data[course_id],course_data[title],"")</f>
        <v>Trauma</v>
      </c>
      <c r="E3262" s="5" t="str">
        <f>_xlfn.XLOOKUP(role_course_map[[#This Row],[course_id]],course_data[course_id],course_data[topic],"")</f>
        <v>SAS : Clinical Practice</v>
      </c>
      <c r="F3262" s="5" t="str">
        <f>_xlfn.XLOOKUP(role_course_map[[#This Row],[course_id]],course_data[course_id],course_data[type],"")</f>
        <v>Course</v>
      </c>
      <c r="K3262" t="str">
        <f>role_course_map[[#This Row],[role_id]] &amp; "|" &amp; role_course_map[[#This Row],[course_id]]</f>
        <v>R0125|999012</v>
      </c>
      <c r="L3262" t="str">
        <f>IF(COUNTIF(role_course_map[mapping_key],role_course_map[[#This Row],[mapping_key]])&gt;1,"DUPLICATE","OK")</f>
        <v>OK</v>
      </c>
      <c r="M3262" t="str">
        <f>IF(COUNTIF(role_data[role_id],role_course_map[[#This Row],[role_id]])=0, "INVALID","VALID")</f>
        <v>VALID</v>
      </c>
      <c r="N3262" t="str">
        <f>IF(COUNTIF(course_data[course_id],role_course_map[[#This Row],[course_id]])=0, "INVALID","VALID")</f>
        <v>VALID</v>
      </c>
    </row>
    <row r="3263" spans="1:14" x14ac:dyDescent="0.35">
      <c r="A3263" t="s">
        <v>262</v>
      </c>
      <c r="B3263" s="5" t="str">
        <f>_xlfn.XLOOKUP(role_course_map[[#This Row],[role_id]], role_data[role_id], role_data[Role],"")</f>
        <v>Training and Development Manager</v>
      </c>
      <c r="C3263">
        <v>999013</v>
      </c>
      <c r="D3263" s="5" t="str">
        <f>_xlfn.XLOOKUP(role_course_map[[#This Row],[course_id]],course_data[course_id],course_data[title],"")</f>
        <v>Trauma</v>
      </c>
      <c r="E3263" s="5" t="str">
        <f>_xlfn.XLOOKUP(role_course_map[[#This Row],[course_id]],course_data[course_id],course_data[topic],"")</f>
        <v>SAS : Clinical Practice</v>
      </c>
      <c r="F3263" s="5" t="str">
        <f>_xlfn.XLOOKUP(role_course_map[[#This Row],[course_id]],course_data[course_id],course_data[type],"")</f>
        <v>eLearning</v>
      </c>
      <c r="K3263" t="str">
        <f>role_course_map[[#This Row],[role_id]] &amp; "|" &amp; role_course_map[[#This Row],[course_id]]</f>
        <v>R0125|999013</v>
      </c>
      <c r="L3263" t="str">
        <f>IF(COUNTIF(role_course_map[mapping_key],role_course_map[[#This Row],[mapping_key]])&gt;1,"DUPLICATE","OK")</f>
        <v>OK</v>
      </c>
      <c r="M3263" t="str">
        <f>IF(COUNTIF(role_data[role_id],role_course_map[[#This Row],[role_id]])=0, "INVALID","VALID")</f>
        <v>VALID</v>
      </c>
      <c r="N3263" t="str">
        <f>IF(COUNTIF(course_data[course_id],role_course_map[[#This Row],[course_id]])=0, "INVALID","VALID")</f>
        <v>VALID</v>
      </c>
    </row>
    <row r="3264" spans="1:14" x14ac:dyDescent="0.35">
      <c r="A3264" t="s">
        <v>262</v>
      </c>
      <c r="B3264" s="5" t="str">
        <f>_xlfn.XLOOKUP(role_course_map[[#This Row],[role_id]], role_data[role_id], role_data[Role],"")</f>
        <v>Training and Development Manager</v>
      </c>
      <c r="C3264">
        <v>999014</v>
      </c>
      <c r="D3264" s="5" t="str">
        <f>_xlfn.XLOOKUP(role_course_map[[#This Row],[course_id]],course_data[course_id],course_data[title],"")</f>
        <v>Patient Assessment</v>
      </c>
      <c r="E3264" s="5" t="str">
        <f>_xlfn.XLOOKUP(role_course_map[[#This Row],[course_id]],course_data[course_id],course_data[topic],"")</f>
        <v>SAS : Clinical Practice</v>
      </c>
      <c r="F3264" s="5" t="str">
        <f>_xlfn.XLOOKUP(role_course_map[[#This Row],[course_id]],course_data[course_id],course_data[type],"")</f>
        <v>Course</v>
      </c>
      <c r="K3264" t="str">
        <f>role_course_map[[#This Row],[role_id]] &amp; "|" &amp; role_course_map[[#This Row],[course_id]]</f>
        <v>R0125|999014</v>
      </c>
      <c r="L3264" t="str">
        <f>IF(COUNTIF(role_course_map[mapping_key],role_course_map[[#This Row],[mapping_key]])&gt;1,"DUPLICATE","OK")</f>
        <v>OK</v>
      </c>
      <c r="M3264" t="str">
        <f>IF(COUNTIF(role_data[role_id],role_course_map[[#This Row],[role_id]])=0, "INVALID","VALID")</f>
        <v>VALID</v>
      </c>
      <c r="N3264" t="str">
        <f>IF(COUNTIF(course_data[course_id],role_course_map[[#This Row],[course_id]])=0, "INVALID","VALID")</f>
        <v>VALID</v>
      </c>
    </row>
    <row r="3265" spans="1:14" x14ac:dyDescent="0.35">
      <c r="A3265" t="s">
        <v>262</v>
      </c>
      <c r="B3265" s="5" t="str">
        <f>_xlfn.XLOOKUP(role_course_map[[#This Row],[role_id]], role_data[role_id], role_data[Role],"")</f>
        <v>Training and Development Manager</v>
      </c>
      <c r="C3265">
        <v>999015</v>
      </c>
      <c r="D3265" s="5" t="str">
        <f>_xlfn.XLOOKUP(role_course_map[[#This Row],[course_id]],course_data[course_id],course_data[title],"")</f>
        <v>Patient Assessment</v>
      </c>
      <c r="E3265" s="5" t="str">
        <f>_xlfn.XLOOKUP(role_course_map[[#This Row],[course_id]],course_data[course_id],course_data[topic],"")</f>
        <v>SAS : Clinical Practice</v>
      </c>
      <c r="F3265" s="5" t="str">
        <f>_xlfn.XLOOKUP(role_course_map[[#This Row],[course_id]],course_data[course_id],course_data[type],"")</f>
        <v>eLearning</v>
      </c>
      <c r="K3265" t="str">
        <f>role_course_map[[#This Row],[role_id]] &amp; "|" &amp; role_course_map[[#This Row],[course_id]]</f>
        <v>R0125|999015</v>
      </c>
      <c r="L3265" t="str">
        <f>IF(COUNTIF(role_course_map[mapping_key],role_course_map[[#This Row],[mapping_key]])&gt;1,"DUPLICATE","OK")</f>
        <v>OK</v>
      </c>
      <c r="M3265" t="str">
        <f>IF(COUNTIF(role_data[role_id],role_course_map[[#This Row],[role_id]])=0, "INVALID","VALID")</f>
        <v>VALID</v>
      </c>
      <c r="N3265" t="str">
        <f>IF(COUNTIF(course_data[course_id],role_course_map[[#This Row],[course_id]])=0, "INVALID","VALID")</f>
        <v>VALID</v>
      </c>
    </row>
    <row r="3266" spans="1:14" x14ac:dyDescent="0.35">
      <c r="A3266" t="s">
        <v>262</v>
      </c>
      <c r="B3266" s="5" t="str">
        <f>_xlfn.XLOOKUP(role_course_map[[#This Row],[role_id]], role_data[role_id], role_data[Role],"")</f>
        <v>Training and Development Manager</v>
      </c>
      <c r="C3266">
        <v>999016</v>
      </c>
      <c r="D3266" s="5" t="str">
        <f>_xlfn.XLOOKUP(role_course_map[[#This Row],[course_id]],course_data[course_id],course_data[title],"")</f>
        <v>Clinical Skills</v>
      </c>
      <c r="E3266" s="5" t="str">
        <f>_xlfn.XLOOKUP(role_course_map[[#This Row],[course_id]],course_data[course_id],course_data[topic],"")</f>
        <v>SAS : Clinical Practice</v>
      </c>
      <c r="F3266" s="5" t="str">
        <f>_xlfn.XLOOKUP(role_course_map[[#This Row],[course_id]],course_data[course_id],course_data[type],"")</f>
        <v>Course</v>
      </c>
      <c r="K3266" t="str">
        <f>role_course_map[[#This Row],[role_id]] &amp; "|" &amp; role_course_map[[#This Row],[course_id]]</f>
        <v>R0125|999016</v>
      </c>
      <c r="L3266" t="str">
        <f>IF(COUNTIF(role_course_map[mapping_key],role_course_map[[#This Row],[mapping_key]])&gt;1,"DUPLICATE","OK")</f>
        <v>OK</v>
      </c>
      <c r="M3266" t="str">
        <f>IF(COUNTIF(role_data[role_id],role_course_map[[#This Row],[role_id]])=0, "INVALID","VALID")</f>
        <v>VALID</v>
      </c>
      <c r="N3266" t="str">
        <f>IF(COUNTIF(course_data[course_id],role_course_map[[#This Row],[course_id]])=0, "INVALID","VALID")</f>
        <v>VALID</v>
      </c>
    </row>
    <row r="3267" spans="1:14" x14ac:dyDescent="0.35">
      <c r="A3267" t="s">
        <v>262</v>
      </c>
      <c r="B3267" s="5" t="str">
        <f>_xlfn.XLOOKUP(role_course_map[[#This Row],[role_id]], role_data[role_id], role_data[Role],"")</f>
        <v>Training and Development Manager</v>
      </c>
      <c r="C3267">
        <v>999017</v>
      </c>
      <c r="D3267" s="5" t="str">
        <f>_xlfn.XLOOKUP(role_course_map[[#This Row],[course_id]],course_data[course_id],course_data[title],"")</f>
        <v>Clinical Skills</v>
      </c>
      <c r="E3267" s="5" t="str">
        <f>_xlfn.XLOOKUP(role_course_map[[#This Row],[course_id]],course_data[course_id],course_data[topic],"")</f>
        <v>SAS : Clinical Practice</v>
      </c>
      <c r="F3267" s="5" t="str">
        <f>_xlfn.XLOOKUP(role_course_map[[#This Row],[course_id]],course_data[course_id],course_data[type],"")</f>
        <v>eLearning</v>
      </c>
      <c r="K3267" t="str">
        <f>role_course_map[[#This Row],[role_id]] &amp; "|" &amp; role_course_map[[#This Row],[course_id]]</f>
        <v>R0125|999017</v>
      </c>
      <c r="L3267" t="str">
        <f>IF(COUNTIF(role_course_map[mapping_key],role_course_map[[#This Row],[mapping_key]])&gt;1,"DUPLICATE","OK")</f>
        <v>OK</v>
      </c>
      <c r="M3267" t="str">
        <f>IF(COUNTIF(role_data[role_id],role_course_map[[#This Row],[role_id]])=0, "INVALID","VALID")</f>
        <v>VALID</v>
      </c>
      <c r="N3267" t="str">
        <f>IF(COUNTIF(course_data[course_id],role_course_map[[#This Row],[course_id]])=0, "INVALID","VALID")</f>
        <v>VALID</v>
      </c>
    </row>
    <row r="3268" spans="1:14" x14ac:dyDescent="0.35">
      <c r="A3268" t="s">
        <v>262</v>
      </c>
      <c r="B3268" s="5" t="str">
        <f>_xlfn.XLOOKUP(role_course_map[[#This Row],[role_id]], role_data[role_id], role_data[Role],"")</f>
        <v>Training and Development Manager</v>
      </c>
      <c r="C3268">
        <v>999018</v>
      </c>
      <c r="D3268" s="5" t="str">
        <f>_xlfn.XLOOKUP(role_course_map[[#This Row],[course_id]],course_data[course_id],course_data[title],"")</f>
        <v>Learning from Events</v>
      </c>
      <c r="E3268" s="5" t="str">
        <f>_xlfn.XLOOKUP(role_course_map[[#This Row],[course_id]],course_data[course_id],course_data[topic],"")</f>
        <v>SAS : Clinical Practice</v>
      </c>
      <c r="F3268" s="5" t="str">
        <f>_xlfn.XLOOKUP(role_course_map[[#This Row],[course_id]],course_data[course_id],course_data[type],"")</f>
        <v>eLearning</v>
      </c>
      <c r="K3268" t="str">
        <f>role_course_map[[#This Row],[role_id]] &amp; "|" &amp; role_course_map[[#This Row],[course_id]]</f>
        <v>R0125|999018</v>
      </c>
      <c r="L3268" t="str">
        <f>IF(COUNTIF(role_course_map[mapping_key],role_course_map[[#This Row],[mapping_key]])&gt;1,"DUPLICATE","OK")</f>
        <v>OK</v>
      </c>
      <c r="M3268" t="str">
        <f>IF(COUNTIF(role_data[role_id],role_course_map[[#This Row],[role_id]])=0, "INVALID","VALID")</f>
        <v>VALID</v>
      </c>
      <c r="N3268" t="str">
        <f>IF(COUNTIF(course_data[course_id],role_course_map[[#This Row],[course_id]])=0, "INVALID","VALID")</f>
        <v>VALID</v>
      </c>
    </row>
    <row r="3269" spans="1:14" x14ac:dyDescent="0.35">
      <c r="A3269" t="s">
        <v>262</v>
      </c>
      <c r="B3269" s="5" t="str">
        <f>_xlfn.XLOOKUP(role_course_map[[#This Row],[role_id]], role_data[role_id], role_data[Role],"")</f>
        <v>Training and Development Manager</v>
      </c>
      <c r="C3269">
        <v>999019</v>
      </c>
      <c r="D3269" s="5" t="str">
        <f>_xlfn.XLOOKUP(role_course_map[[#This Row],[course_id]],course_data[course_id],course_data[title],"")</f>
        <v>Medicines Management</v>
      </c>
      <c r="E3269" s="5" t="str">
        <f>_xlfn.XLOOKUP(role_course_map[[#This Row],[course_id]],course_data[course_id],course_data[topic],"")</f>
        <v>SAS : Clinical Practice</v>
      </c>
      <c r="F3269" s="5" t="str">
        <f>_xlfn.XLOOKUP(role_course_map[[#This Row],[course_id]],course_data[course_id],course_data[type],"")</f>
        <v>eLearning</v>
      </c>
      <c r="K3269" t="str">
        <f>role_course_map[[#This Row],[role_id]] &amp; "|" &amp; role_course_map[[#This Row],[course_id]]</f>
        <v>R0125|999019</v>
      </c>
      <c r="L3269" t="str">
        <f>IF(COUNTIF(role_course_map[mapping_key],role_course_map[[#This Row],[mapping_key]])&gt;1,"DUPLICATE","OK")</f>
        <v>OK</v>
      </c>
      <c r="M3269" t="str">
        <f>IF(COUNTIF(role_data[role_id],role_course_map[[#This Row],[role_id]])=0, "INVALID","VALID")</f>
        <v>VALID</v>
      </c>
      <c r="N3269" t="str">
        <f>IF(COUNTIF(course_data[course_id],role_course_map[[#This Row],[course_id]])=0, "INVALID","VALID")</f>
        <v>VALID</v>
      </c>
    </row>
    <row r="3270" spans="1:14" x14ac:dyDescent="0.35">
      <c r="A3270" t="s">
        <v>262</v>
      </c>
      <c r="B3270" s="5" t="str">
        <f>_xlfn.XLOOKUP(role_course_map[[#This Row],[role_id]], role_data[role_id], role_data[Role],"")</f>
        <v>Training and Development Manager</v>
      </c>
      <c r="C3270">
        <v>999020</v>
      </c>
      <c r="D3270" s="5" t="str">
        <f>_xlfn.XLOOKUP(role_course_map[[#This Row],[course_id]],course_data[course_id],course_data[title],"")</f>
        <v>JRCALC Update</v>
      </c>
      <c r="E3270" s="5" t="str">
        <f>_xlfn.XLOOKUP(role_course_map[[#This Row],[course_id]],course_data[course_id],course_data[topic],"")</f>
        <v>SAS : Clinical Practice</v>
      </c>
      <c r="F3270" s="5" t="str">
        <f>_xlfn.XLOOKUP(role_course_map[[#This Row],[course_id]],course_data[course_id],course_data[type],"")</f>
        <v>eLearning</v>
      </c>
      <c r="K3270" t="str">
        <f>role_course_map[[#This Row],[role_id]] &amp; "|" &amp; role_course_map[[#This Row],[course_id]]</f>
        <v>R0125|999020</v>
      </c>
      <c r="L3270" t="str">
        <f>IF(COUNTIF(role_course_map[mapping_key],role_course_map[[#This Row],[mapping_key]])&gt;1,"DUPLICATE","OK")</f>
        <v>OK</v>
      </c>
      <c r="M3270" t="str">
        <f>IF(COUNTIF(role_data[role_id],role_course_map[[#This Row],[role_id]])=0, "INVALID","VALID")</f>
        <v>VALID</v>
      </c>
      <c r="N3270" t="str">
        <f>IF(COUNTIF(course_data[course_id],role_course_map[[#This Row],[course_id]])=0, "INVALID","VALID")</f>
        <v>VALID</v>
      </c>
    </row>
    <row r="3271" spans="1:14" x14ac:dyDescent="0.35">
      <c r="A3271" t="s">
        <v>262</v>
      </c>
      <c r="B3271" s="5" t="str">
        <f>_xlfn.XLOOKUP(role_course_map[[#This Row],[role_id]], role_data[role_id], role_data[Role],"")</f>
        <v>Training and Development Manager</v>
      </c>
      <c r="C3271">
        <v>999021</v>
      </c>
      <c r="D3271" s="5" t="str">
        <f>_xlfn.XLOOKUP(role_course_map[[#This Row],[course_id]],course_data[course_id],course_data[title],"")</f>
        <v>Mental Health</v>
      </c>
      <c r="E3271" s="5" t="str">
        <f>_xlfn.XLOOKUP(role_course_map[[#This Row],[course_id]],course_data[course_id],course_data[topic],"")</f>
        <v>SAS : Clinical Practice</v>
      </c>
      <c r="F3271" s="5" t="str">
        <f>_xlfn.XLOOKUP(role_course_map[[#This Row],[course_id]],course_data[course_id],course_data[type],"")</f>
        <v>eLearning</v>
      </c>
      <c r="K3271" t="str">
        <f>role_course_map[[#This Row],[role_id]] &amp; "|" &amp; role_course_map[[#This Row],[course_id]]</f>
        <v>R0125|999021</v>
      </c>
      <c r="L3271" t="str">
        <f>IF(COUNTIF(role_course_map[mapping_key],role_course_map[[#This Row],[mapping_key]])&gt;1,"DUPLICATE","OK")</f>
        <v>OK</v>
      </c>
      <c r="M3271" t="str">
        <f>IF(COUNTIF(role_data[role_id],role_course_map[[#This Row],[role_id]])=0, "INVALID","VALID")</f>
        <v>VALID</v>
      </c>
      <c r="N3271" t="str">
        <f>IF(COUNTIF(course_data[course_id],role_course_map[[#This Row],[course_id]])=0, "INVALID","VALID")</f>
        <v>VALID</v>
      </c>
    </row>
    <row r="3272" spans="1:14" x14ac:dyDescent="0.35">
      <c r="A3272" t="s">
        <v>262</v>
      </c>
      <c r="B3272" s="5" t="str">
        <f>_xlfn.XLOOKUP(role_course_map[[#This Row],[role_id]], role_data[role_id], role_data[Role],"")</f>
        <v>Training and Development Manager</v>
      </c>
      <c r="C3272">
        <v>999022</v>
      </c>
      <c r="D3272" s="5" t="str">
        <f>_xlfn.XLOOKUP(role_course_map[[#This Row],[course_id]],course_data[course_id],course_data[title],"")</f>
        <v>Learning Disabilities</v>
      </c>
      <c r="E3272" s="5" t="str">
        <f>_xlfn.XLOOKUP(role_course_map[[#This Row],[course_id]],course_data[course_id],course_data[topic],"")</f>
        <v>SAS : Clinical Practice</v>
      </c>
      <c r="F3272" s="5" t="str">
        <f>_xlfn.XLOOKUP(role_course_map[[#This Row],[course_id]],course_data[course_id],course_data[type],"")</f>
        <v>eLearning</v>
      </c>
      <c r="K3272" t="str">
        <f>role_course_map[[#This Row],[role_id]] &amp; "|" &amp; role_course_map[[#This Row],[course_id]]</f>
        <v>R0125|999022</v>
      </c>
      <c r="L3272" t="str">
        <f>IF(COUNTIF(role_course_map[mapping_key],role_course_map[[#This Row],[mapping_key]])&gt;1,"DUPLICATE","OK")</f>
        <v>OK</v>
      </c>
      <c r="M3272" t="str">
        <f>IF(COUNTIF(role_data[role_id],role_course_map[[#This Row],[role_id]])=0, "INVALID","VALID")</f>
        <v>VALID</v>
      </c>
      <c r="N3272" t="str">
        <f>IF(COUNTIF(course_data[course_id],role_course_map[[#This Row],[course_id]])=0, "INVALID","VALID")</f>
        <v>VALID</v>
      </c>
    </row>
    <row r="3273" spans="1:14" x14ac:dyDescent="0.35">
      <c r="A3273" t="s">
        <v>262</v>
      </c>
      <c r="B3273" s="5" t="str">
        <f>_xlfn.XLOOKUP(role_course_map[[#This Row],[role_id]], role_data[role_id], role_data[Role],"")</f>
        <v>Training and Development Manager</v>
      </c>
      <c r="C3273">
        <v>75202</v>
      </c>
      <c r="D3273" s="5" t="str">
        <f>_xlfn.XLOOKUP(role_course_map[[#This Row],[course_id]],course_data[course_id],course_data[title],"")</f>
        <v>SAS : Clinical Practice</v>
      </c>
      <c r="E3273" s="5" t="str">
        <f>_xlfn.XLOOKUP(role_course_map[[#This Row],[course_id]],course_data[course_id],course_data[topic],"")</f>
        <v>SAS : Clinical Practice</v>
      </c>
      <c r="F3273" s="5" t="str">
        <f>_xlfn.XLOOKUP(role_course_map[[#This Row],[course_id]],course_data[course_id],course_data[type],"")</f>
        <v>Page</v>
      </c>
      <c r="K3273" t="str">
        <f>role_course_map[[#This Row],[role_id]] &amp; "|" &amp; role_course_map[[#This Row],[course_id]]</f>
        <v>R0125|75202</v>
      </c>
      <c r="L3273" t="str">
        <f>IF(COUNTIF(role_course_map[mapping_key],role_course_map[[#This Row],[mapping_key]])&gt;1,"DUPLICATE","OK")</f>
        <v>OK</v>
      </c>
      <c r="M3273" t="str">
        <f>IF(COUNTIF(role_data[role_id],role_course_map[[#This Row],[role_id]])=0, "INVALID","VALID")</f>
        <v>VALID</v>
      </c>
      <c r="N3273" t="str">
        <f>IF(COUNTIF(course_data[course_id],role_course_map[[#This Row],[course_id]])=0, "INVALID","VALID")</f>
        <v>VALID</v>
      </c>
    </row>
    <row r="3274" spans="1:14" x14ac:dyDescent="0.35">
      <c r="A3274" t="s">
        <v>262</v>
      </c>
      <c r="B3274" s="5" t="str">
        <f>_xlfn.XLOOKUP(role_course_map[[#This Row],[role_id]], role_data[role_id], role_data[Role],"")</f>
        <v>Training and Development Manager</v>
      </c>
      <c r="C3274">
        <v>999023</v>
      </c>
      <c r="D3274" s="5" t="str">
        <f>_xlfn.XLOOKUP(role_course_map[[#This Row],[course_id]],course_data[course_id],course_data[title],"")</f>
        <v>Dementia</v>
      </c>
      <c r="E3274" s="5" t="str">
        <f>_xlfn.XLOOKUP(role_course_map[[#This Row],[course_id]],course_data[course_id],course_data[topic],"")</f>
        <v>SAS : Clinical Practice</v>
      </c>
      <c r="F3274" s="5" t="str">
        <f>_xlfn.XLOOKUP(role_course_map[[#This Row],[course_id]],course_data[course_id],course_data[type],"")</f>
        <v>eLearning</v>
      </c>
      <c r="K3274" t="str">
        <f>role_course_map[[#This Row],[role_id]] &amp; "|" &amp; role_course_map[[#This Row],[course_id]]</f>
        <v>R0125|999023</v>
      </c>
      <c r="L3274" t="str">
        <f>IF(COUNTIF(role_course_map[mapping_key],role_course_map[[#This Row],[mapping_key]])&gt;1,"DUPLICATE","OK")</f>
        <v>OK</v>
      </c>
      <c r="M3274" t="str">
        <f>IF(COUNTIF(role_data[role_id],role_course_map[[#This Row],[role_id]])=0, "INVALID","VALID")</f>
        <v>VALID</v>
      </c>
      <c r="N3274" t="str">
        <f>IF(COUNTIF(course_data[course_id],role_course_map[[#This Row],[course_id]])=0, "INVALID","VALID")</f>
        <v>VALID</v>
      </c>
    </row>
    <row r="3275" spans="1:14" x14ac:dyDescent="0.35">
      <c r="A3275" t="s">
        <v>262</v>
      </c>
      <c r="B3275" s="5" t="str">
        <f>_xlfn.XLOOKUP(role_course_map[[#This Row],[role_id]], role_data[role_id], role_data[Role],"")</f>
        <v>Training and Development Manager</v>
      </c>
      <c r="C3275">
        <v>999024</v>
      </c>
      <c r="D3275" s="5" t="str">
        <f>_xlfn.XLOOKUP(role_course_map[[#This Row],[course_id]],course_data[course_id],course_data[title],"")</f>
        <v>Conditions requiring specific hospital management. I.e. Parkinsons</v>
      </c>
      <c r="E3275" s="5" t="str">
        <f>_xlfn.XLOOKUP(role_course_map[[#This Row],[course_id]],course_data[course_id],course_data[topic],"")</f>
        <v>SAS : Clinical Practice</v>
      </c>
      <c r="F3275" s="5" t="str">
        <f>_xlfn.XLOOKUP(role_course_map[[#This Row],[course_id]],course_data[course_id],course_data[type],"")</f>
        <v>eLearning</v>
      </c>
      <c r="K3275" t="str">
        <f>role_course_map[[#This Row],[role_id]] &amp; "|" &amp; role_course_map[[#This Row],[course_id]]</f>
        <v>R0125|999024</v>
      </c>
      <c r="L3275" t="str">
        <f>IF(COUNTIF(role_course_map[mapping_key],role_course_map[[#This Row],[mapping_key]])&gt;1,"DUPLICATE","OK")</f>
        <v>OK</v>
      </c>
      <c r="M3275" t="str">
        <f>IF(COUNTIF(role_data[role_id],role_course_map[[#This Row],[role_id]])=0, "INVALID","VALID")</f>
        <v>VALID</v>
      </c>
      <c r="N3275" t="str">
        <f>IF(COUNTIF(course_data[course_id],role_course_map[[#This Row],[course_id]])=0, "INVALID","VALID")</f>
        <v>VALID</v>
      </c>
    </row>
    <row r="3276" spans="1:14" x14ac:dyDescent="0.35">
      <c r="A3276" t="s">
        <v>262</v>
      </c>
      <c r="B3276" s="5" t="str">
        <f>_xlfn.XLOOKUP(role_course_map[[#This Row],[role_id]], role_data[role_id], role_data[Role],"")</f>
        <v>Training and Development Manager</v>
      </c>
      <c r="C3276">
        <v>999095</v>
      </c>
      <c r="D3276" s="5" t="str">
        <f>_xlfn.XLOOKUP(role_course_map[[#This Row],[course_id]],course_data[course_id],course_data[title],"")</f>
        <v>Mentoring</v>
      </c>
      <c r="E3276" s="5" t="str">
        <f>_xlfn.XLOOKUP(role_course_map[[#This Row],[course_id]],course_data[course_id],course_data[topic],"")</f>
        <v>SAS: Staff development and experience</v>
      </c>
      <c r="F3276" s="5" t="str">
        <f>_xlfn.XLOOKUP(role_course_map[[#This Row],[course_id]],course_data[course_id],course_data[type],"")</f>
        <v>eLearning</v>
      </c>
      <c r="K3276" t="str">
        <f>role_course_map[[#This Row],[role_id]] &amp; "|" &amp; role_course_map[[#This Row],[course_id]]</f>
        <v>R0125|999095</v>
      </c>
      <c r="L3276" t="str">
        <f>IF(COUNTIF(role_course_map[mapping_key],role_course_map[[#This Row],[mapping_key]])&gt;1,"DUPLICATE","OK")</f>
        <v>OK</v>
      </c>
      <c r="M3276" t="str">
        <f>IF(COUNTIF(role_data[role_id],role_course_map[[#This Row],[role_id]])=0, "INVALID","VALID")</f>
        <v>VALID</v>
      </c>
      <c r="N3276" t="str">
        <f>IF(COUNTIF(course_data[course_id],role_course_map[[#This Row],[course_id]])=0, "INVALID","VALID")</f>
        <v>VALID</v>
      </c>
    </row>
    <row r="3277" spans="1:14" x14ac:dyDescent="0.35">
      <c r="A3277" t="s">
        <v>262</v>
      </c>
      <c r="B3277" s="5" t="str">
        <f>_xlfn.XLOOKUP(role_course_map[[#This Row],[role_id]], role_data[role_id], role_data[Role],"")</f>
        <v>Training and Development Manager</v>
      </c>
      <c r="C3277">
        <v>999096</v>
      </c>
      <c r="D3277" s="5" t="str">
        <f>_xlfn.XLOOKUP(role_course_map[[#This Row],[course_id]],course_data[course_id],course_data[title],"")</f>
        <v>Supporting others in practice (Supervision)</v>
      </c>
      <c r="E3277" s="5" t="str">
        <f>_xlfn.XLOOKUP(role_course_map[[#This Row],[course_id]],course_data[course_id],course_data[topic],"")</f>
        <v>SAS: Staff development and experience</v>
      </c>
      <c r="F3277" s="5" t="str">
        <f>_xlfn.XLOOKUP(role_course_map[[#This Row],[course_id]],course_data[course_id],course_data[type],"")</f>
        <v>Course</v>
      </c>
      <c r="K3277" t="str">
        <f>role_course_map[[#This Row],[role_id]] &amp; "|" &amp; role_course_map[[#This Row],[course_id]]</f>
        <v>R0125|999096</v>
      </c>
      <c r="L3277" t="str">
        <f>IF(COUNTIF(role_course_map[mapping_key],role_course_map[[#This Row],[mapping_key]])&gt;1,"DUPLICATE","OK")</f>
        <v>OK</v>
      </c>
      <c r="M3277" t="str">
        <f>IF(COUNTIF(role_data[role_id],role_course_map[[#This Row],[role_id]])=0, "INVALID","VALID")</f>
        <v>VALID</v>
      </c>
      <c r="N3277" t="str">
        <f>IF(COUNTIF(course_data[course_id],role_course_map[[#This Row],[course_id]])=0, "INVALID","VALID")</f>
        <v>VALID</v>
      </c>
    </row>
    <row r="3278" spans="1:14" x14ac:dyDescent="0.35">
      <c r="A3278" t="s">
        <v>262</v>
      </c>
      <c r="B3278" s="5" t="str">
        <f>_xlfn.XLOOKUP(role_course_map[[#This Row],[role_id]], role_data[role_id], role_data[Role],"")</f>
        <v>Training and Development Manager</v>
      </c>
      <c r="C3278">
        <v>999097</v>
      </c>
      <c r="D3278" s="5" t="str">
        <f>_xlfn.XLOOKUP(role_course_map[[#This Row],[course_id]],course_data[course_id],course_data[title],"")</f>
        <v>Personal Wellbeing</v>
      </c>
      <c r="E3278" s="5" t="str">
        <f>_xlfn.XLOOKUP(role_course_map[[#This Row],[course_id]],course_data[course_id],course_data[topic],"")</f>
        <v>SAS: Staff development and experience</v>
      </c>
      <c r="F3278" s="5" t="str">
        <f>_xlfn.XLOOKUP(role_course_map[[#This Row],[course_id]],course_data[course_id],course_data[type],"")</f>
        <v>eLearning</v>
      </c>
      <c r="K3278" t="str">
        <f>role_course_map[[#This Row],[role_id]] &amp; "|" &amp; role_course_map[[#This Row],[course_id]]</f>
        <v>R0125|999097</v>
      </c>
      <c r="L3278" t="str">
        <f>IF(COUNTIF(role_course_map[mapping_key],role_course_map[[#This Row],[mapping_key]])&gt;1,"DUPLICATE","OK")</f>
        <v>OK</v>
      </c>
      <c r="M3278" t="str">
        <f>IF(COUNTIF(role_data[role_id],role_course_map[[#This Row],[role_id]])=0, "INVALID","VALID")</f>
        <v>VALID</v>
      </c>
      <c r="N3278" t="str">
        <f>IF(COUNTIF(course_data[course_id],role_course_map[[#This Row],[course_id]])=0, "INVALID","VALID")</f>
        <v>VALID</v>
      </c>
    </row>
    <row r="3279" spans="1:14" x14ac:dyDescent="0.35">
      <c r="A3279" t="s">
        <v>262</v>
      </c>
      <c r="B3279" s="5" t="str">
        <f>_xlfn.XLOOKUP(role_course_map[[#This Row],[role_id]], role_data[role_id], role_data[Role],"")</f>
        <v>Training and Development Manager</v>
      </c>
      <c r="C3279">
        <v>999091</v>
      </c>
      <c r="D3279" s="5" t="str">
        <f>_xlfn.XLOOKUP(role_course_map[[#This Row],[course_id]],course_data[course_id],course_data[title],"")</f>
        <v>Intermediate Leadership Development Programme</v>
      </c>
      <c r="E3279" s="5" t="str">
        <f>_xlfn.XLOOKUP(role_course_map[[#This Row],[course_id]],course_data[course_id],course_data[topic],"")</f>
        <v>SAS: Staff development and experience</v>
      </c>
      <c r="F3279" s="5">
        <f>_xlfn.XLOOKUP(role_course_map[[#This Row],[course_id]],course_data[course_id],course_data[type],"")</f>
        <v>0</v>
      </c>
      <c r="K3279" t="str">
        <f>role_course_map[[#This Row],[role_id]] &amp; "|" &amp; role_course_map[[#This Row],[course_id]]</f>
        <v>R0125|999091</v>
      </c>
      <c r="L3279" t="str">
        <f>IF(COUNTIF(role_course_map[mapping_key],role_course_map[[#This Row],[mapping_key]])&gt;1,"DUPLICATE","OK")</f>
        <v>OK</v>
      </c>
      <c r="M3279" t="str">
        <f>IF(COUNTIF(role_data[role_id],role_course_map[[#This Row],[role_id]])=0, "INVALID","VALID")</f>
        <v>VALID</v>
      </c>
      <c r="N3279" t="str">
        <f>IF(COUNTIF(course_data[course_id],role_course_map[[#This Row],[course_id]])=0, "INVALID","VALID")</f>
        <v>VALID</v>
      </c>
    </row>
    <row r="3280" spans="1:14" x14ac:dyDescent="0.35">
      <c r="A3280" t="s">
        <v>262</v>
      </c>
      <c r="B3280" s="5" t="str">
        <f>_xlfn.XLOOKUP(role_course_map[[#This Row],[role_id]], role_data[role_id], role_data[Role],"")</f>
        <v>Training and Development Manager</v>
      </c>
      <c r="C3280">
        <v>79147</v>
      </c>
      <c r="D3280" s="5" t="str">
        <f>_xlfn.XLOOKUP(role_course_map[[#This Row],[course_id]],course_data[course_id],course_data[title],"")</f>
        <v>Driving risks at work</v>
      </c>
      <c r="E3280" s="5" t="str">
        <f>_xlfn.XLOOKUP(role_course_map[[#This Row],[course_id]],course_data[course_id],course_data[topic],"")</f>
        <v>SAS : Health and Safety</v>
      </c>
      <c r="F3280" s="5" t="str">
        <f>_xlfn.XLOOKUP(role_course_map[[#This Row],[course_id]],course_data[course_id],course_data[type],"")</f>
        <v>eLearning</v>
      </c>
      <c r="K3280" t="str">
        <f>role_course_map[[#This Row],[role_id]] &amp; "|" &amp; role_course_map[[#This Row],[course_id]]</f>
        <v>R0125|79147</v>
      </c>
      <c r="L3280" t="str">
        <f>IF(COUNTIF(role_course_map[mapping_key],role_course_map[[#This Row],[mapping_key]])&gt;1,"DUPLICATE","OK")</f>
        <v>OK</v>
      </c>
      <c r="M3280" t="str">
        <f>IF(COUNTIF(role_data[role_id],role_course_map[[#This Row],[role_id]])=0, "INVALID","VALID")</f>
        <v>VALID</v>
      </c>
      <c r="N3280" t="str">
        <f>IF(COUNTIF(course_data[course_id],role_course_map[[#This Row],[course_id]])=0, "INVALID","VALID")</f>
        <v>VALID</v>
      </c>
    </row>
    <row r="3281" spans="1:14" x14ac:dyDescent="0.35">
      <c r="A3281" t="s">
        <v>262</v>
      </c>
      <c r="B3281" s="5" t="str">
        <f>_xlfn.XLOOKUP(role_course_map[[#This Row],[role_id]], role_data[role_id], role_data[Role],"")</f>
        <v>Training and Development Manager</v>
      </c>
      <c r="C3281">
        <v>999060</v>
      </c>
      <c r="D3281" s="5" t="str">
        <f>_xlfn.XLOOKUP(role_course_map[[#This Row],[course_id]],course_data[course_id],course_data[title],"")</f>
        <v>COSHH</v>
      </c>
      <c r="E3281" s="5" t="str">
        <f>_xlfn.XLOOKUP(role_course_map[[#This Row],[course_id]],course_data[course_id],course_data[topic],"")</f>
        <v>SAS : Health and Safety</v>
      </c>
      <c r="F3281" s="5" t="str">
        <f>_xlfn.XLOOKUP(role_course_map[[#This Row],[course_id]],course_data[course_id],course_data[type],"")</f>
        <v>eLearning</v>
      </c>
      <c r="K3281" t="str">
        <f>role_course_map[[#This Row],[role_id]] &amp; "|" &amp; role_course_map[[#This Row],[course_id]]</f>
        <v>R0125|999060</v>
      </c>
      <c r="L3281" t="str">
        <f>IF(COUNTIF(role_course_map[mapping_key],role_course_map[[#This Row],[mapping_key]])&gt;1,"DUPLICATE","OK")</f>
        <v>OK</v>
      </c>
      <c r="M3281" t="str">
        <f>IF(COUNTIF(role_data[role_id],role_course_map[[#This Row],[role_id]])=0, "INVALID","VALID")</f>
        <v>VALID</v>
      </c>
      <c r="N3281" t="str">
        <f>IF(COUNTIF(course_data[course_id],role_course_map[[#This Row],[course_id]])=0, "INVALID","VALID")</f>
        <v>VALID</v>
      </c>
    </row>
    <row r="3282" spans="1:14" x14ac:dyDescent="0.35">
      <c r="A3282" t="s">
        <v>262</v>
      </c>
      <c r="B3282" s="5" t="str">
        <f>_xlfn.XLOOKUP(role_course_map[[#This Row],[role_id]], role_data[role_id], role_data[Role],"")</f>
        <v>Training and Development Manager</v>
      </c>
      <c r="C3282">
        <v>999066</v>
      </c>
      <c r="D3282" s="5" t="str">
        <f>_xlfn.XLOOKUP(role_course_map[[#This Row],[course_id]],course_data[course_id],course_data[title],"")</f>
        <v>NRRD Update i.e. Major Incidents/Methane/ Multiple Casualities</v>
      </c>
      <c r="E3282" s="5" t="str">
        <f>_xlfn.XLOOKUP(role_course_map[[#This Row],[course_id]],course_data[course_id],course_data[topic],"")</f>
        <v>SAS : National Risk and Resilience Department (NRRD)</v>
      </c>
      <c r="F3282" s="5" t="str">
        <f>_xlfn.XLOOKUP(role_course_map[[#This Row],[course_id]],course_data[course_id],course_data[type],"")</f>
        <v>eLearning</v>
      </c>
      <c r="K3282" t="str">
        <f>role_course_map[[#This Row],[role_id]] &amp; "|" &amp; role_course_map[[#This Row],[course_id]]</f>
        <v>R0125|999066</v>
      </c>
      <c r="L3282" t="str">
        <f>IF(COUNTIF(role_course_map[mapping_key],role_course_map[[#This Row],[mapping_key]])&gt;1,"DUPLICATE","OK")</f>
        <v>OK</v>
      </c>
      <c r="M3282" t="str">
        <f>IF(COUNTIF(role_data[role_id],role_course_map[[#This Row],[role_id]])=0, "INVALID","VALID")</f>
        <v>VALID</v>
      </c>
      <c r="N3282" t="str">
        <f>IF(COUNTIF(course_data[course_id],role_course_map[[#This Row],[course_id]])=0, "INVALID","VALID")</f>
        <v>VALID</v>
      </c>
    </row>
    <row r="3283" spans="1:14" x14ac:dyDescent="0.35">
      <c r="A3283" t="s">
        <v>262</v>
      </c>
      <c r="B3283" s="5" t="str">
        <f>_xlfn.XLOOKUP(role_course_map[[#This Row],[role_id]], role_data[role_id], role_data[Role],"")</f>
        <v>Training and Development Manager</v>
      </c>
      <c r="C3283">
        <v>999025</v>
      </c>
      <c r="D3283" s="5" t="str">
        <f>_xlfn.XLOOKUP(role_course_map[[#This Row],[course_id]],course_data[course_id],course_data[title],"")</f>
        <v>Professional Standards</v>
      </c>
      <c r="E3283" s="5" t="str">
        <f>_xlfn.XLOOKUP(role_course_map[[#This Row],[course_id]],course_data[course_id],course_data[topic],"")</f>
        <v>SAS : Clinical Practice</v>
      </c>
      <c r="F3283" s="5" t="str">
        <f>_xlfn.XLOOKUP(role_course_map[[#This Row],[course_id]],course_data[course_id],course_data[type],"")</f>
        <v>eLearning</v>
      </c>
      <c r="K3283" t="str">
        <f>role_course_map[[#This Row],[role_id]] &amp; "|" &amp; role_course_map[[#This Row],[course_id]]</f>
        <v>R0125|999025</v>
      </c>
      <c r="L3283" t="str">
        <f>IF(COUNTIF(role_course_map[mapping_key],role_course_map[[#This Row],[mapping_key]])&gt;1,"DUPLICATE","OK")</f>
        <v>OK</v>
      </c>
      <c r="M3283" t="str">
        <f>IF(COUNTIF(role_data[role_id],role_course_map[[#This Row],[role_id]])=0, "INVALID","VALID")</f>
        <v>VALID</v>
      </c>
      <c r="N3283" t="str">
        <f>IF(COUNTIF(course_data[course_id],role_course_map[[#This Row],[course_id]])=0, "INVALID","VALID")</f>
        <v>VALID</v>
      </c>
    </row>
    <row r="3284" spans="1:14" x14ac:dyDescent="0.35">
      <c r="A3284" t="s">
        <v>262</v>
      </c>
      <c r="B3284" s="5" t="str">
        <f>_xlfn.XLOOKUP(role_course_map[[#This Row],[role_id]], role_data[role_id], role_data[Role],"")</f>
        <v>Training and Development Manager</v>
      </c>
      <c r="C3284">
        <v>999026</v>
      </c>
      <c r="D3284" s="5" t="str">
        <f>_xlfn.XLOOKUP(role_course_map[[#This Row],[course_id]],course_data[course_id],course_data[title],"")</f>
        <v>Communication Standards</v>
      </c>
      <c r="E3284" s="5" t="str">
        <f>_xlfn.XLOOKUP(role_course_map[[#This Row],[course_id]],course_data[course_id],course_data[topic],"")</f>
        <v>SAS : Clinical Practice</v>
      </c>
      <c r="F3284" s="5" t="str">
        <f>_xlfn.XLOOKUP(role_course_map[[#This Row],[course_id]],course_data[course_id],course_data[type],"")</f>
        <v>eLearning</v>
      </c>
      <c r="K3284" t="str">
        <f>role_course_map[[#This Row],[role_id]] &amp; "|" &amp; role_course_map[[#This Row],[course_id]]</f>
        <v>R0125|999026</v>
      </c>
      <c r="L3284" t="str">
        <f>IF(COUNTIF(role_course_map[mapping_key],role_course_map[[#This Row],[mapping_key]])&gt;1,"DUPLICATE","OK")</f>
        <v>OK</v>
      </c>
      <c r="M3284" t="str">
        <f>IF(COUNTIF(role_data[role_id],role_course_map[[#This Row],[role_id]])=0, "INVALID","VALID")</f>
        <v>VALID</v>
      </c>
      <c r="N3284" t="str">
        <f>IF(COUNTIF(course_data[course_id],role_course_map[[#This Row],[course_id]])=0, "INVALID","VALID")</f>
        <v>VALID</v>
      </c>
    </row>
    <row r="3285" spans="1:14" x14ac:dyDescent="0.35">
      <c r="A3285" t="s">
        <v>262</v>
      </c>
      <c r="B3285" s="5" t="str">
        <f>_xlfn.XLOOKUP(role_course_map[[#This Row],[role_id]], role_data[role_id], role_data[Role],"")</f>
        <v>Training and Development Manager</v>
      </c>
      <c r="C3285">
        <v>999062</v>
      </c>
      <c r="D3285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3285" s="5" t="str">
        <f>_xlfn.XLOOKUP(role_course_map[[#This Row],[course_id]],course_data[course_id],course_data[topic],"")</f>
        <v>SAS : Health and Safety</v>
      </c>
      <c r="F3285" s="5" t="str">
        <f>_xlfn.XLOOKUP(role_course_map[[#This Row],[course_id]],course_data[course_id],course_data[type],"")</f>
        <v>Course</v>
      </c>
      <c r="K3285" t="str">
        <f>role_course_map[[#This Row],[role_id]] &amp; "|" &amp; role_course_map[[#This Row],[course_id]]</f>
        <v>R0125|999062</v>
      </c>
      <c r="L3285" t="str">
        <f>IF(COUNTIF(role_course_map[mapping_key],role_course_map[[#This Row],[mapping_key]])&gt;1,"DUPLICATE","OK")</f>
        <v>OK</v>
      </c>
      <c r="M3285" t="str">
        <f>IF(COUNTIF(role_data[role_id],role_course_map[[#This Row],[role_id]])=0, "INVALID","VALID")</f>
        <v>VALID</v>
      </c>
      <c r="N3285" t="str">
        <f>IF(COUNTIF(course_data[course_id],role_course_map[[#This Row],[course_id]])=0, "INVALID","VALID")</f>
        <v>VALID</v>
      </c>
    </row>
    <row r="3286" spans="1:14" x14ac:dyDescent="0.35">
      <c r="A3286" t="s">
        <v>262</v>
      </c>
      <c r="B3286" s="5" t="str">
        <f>_xlfn.XLOOKUP(role_course_map[[#This Row],[role_id]], role_data[role_id], role_data[Role],"")</f>
        <v>Training and Development Manager</v>
      </c>
      <c r="C3286">
        <v>999056</v>
      </c>
      <c r="D3286" s="5" t="str">
        <f>_xlfn.XLOOKUP(role_course_map[[#This Row],[course_id]],course_data[course_id],course_data[title],"")</f>
        <v>Driver Assessment &amp; Training</v>
      </c>
      <c r="E3286" s="5" t="str">
        <f>_xlfn.XLOOKUP(role_course_map[[#This Row],[course_id]],course_data[course_id],course_data[topic],"")</f>
        <v>SAS : Health and Safety</v>
      </c>
      <c r="F3286" s="5" t="str">
        <f>_xlfn.XLOOKUP(role_course_map[[#This Row],[course_id]],course_data[course_id],course_data[type],"")</f>
        <v>eLearning</v>
      </c>
      <c r="K3286" t="str">
        <f>role_course_map[[#This Row],[role_id]] &amp; "|" &amp; role_course_map[[#This Row],[course_id]]</f>
        <v>R0125|999056</v>
      </c>
      <c r="L3286" t="str">
        <f>IF(COUNTIF(role_course_map[mapping_key],role_course_map[[#This Row],[mapping_key]])&gt;1,"DUPLICATE","OK")</f>
        <v>OK</v>
      </c>
      <c r="M3286" t="str">
        <f>IF(COUNTIF(role_data[role_id],role_course_map[[#This Row],[role_id]])=0, "INVALID","VALID")</f>
        <v>VALID</v>
      </c>
      <c r="N3286" t="str">
        <f>IF(COUNTIF(course_data[course_id],role_course_map[[#This Row],[course_id]])=0, "INVALID","VALID")</f>
        <v>VALID</v>
      </c>
    </row>
    <row r="3287" spans="1:14" x14ac:dyDescent="0.35">
      <c r="A3287" t="s">
        <v>262</v>
      </c>
      <c r="B3287" s="5" t="str">
        <f>_xlfn.XLOOKUP(role_course_map[[#This Row],[role_id]], role_data[role_id], role_data[Role],"")</f>
        <v>Training and Development Manager</v>
      </c>
      <c r="C3287">
        <v>999057</v>
      </c>
      <c r="D3287" s="5" t="str">
        <f>_xlfn.XLOOKUP(role_course_map[[#This Row],[course_id]],course_data[course_id],course_data[title],"")</f>
        <v>Fatigue Awareness</v>
      </c>
      <c r="E3287" s="5" t="str">
        <f>_xlfn.XLOOKUP(role_course_map[[#This Row],[course_id]],course_data[course_id],course_data[topic],"")</f>
        <v>SAS : Health and Safety</v>
      </c>
      <c r="F3287" s="5" t="str">
        <f>_xlfn.XLOOKUP(role_course_map[[#This Row],[course_id]],course_data[course_id],course_data[type],"")</f>
        <v>eLearning</v>
      </c>
      <c r="K3287" t="str">
        <f>role_course_map[[#This Row],[role_id]] &amp; "|" &amp; role_course_map[[#This Row],[course_id]]</f>
        <v>R0125|999057</v>
      </c>
      <c r="L3287" t="str">
        <f>IF(COUNTIF(role_course_map[mapping_key],role_course_map[[#This Row],[mapping_key]])&gt;1,"DUPLICATE","OK")</f>
        <v>OK</v>
      </c>
      <c r="M3287" t="str">
        <f>IF(COUNTIF(role_data[role_id],role_course_map[[#This Row],[role_id]])=0, "INVALID","VALID")</f>
        <v>VALID</v>
      </c>
      <c r="N3287" t="str">
        <f>IF(COUNTIF(course_data[course_id],role_course_map[[#This Row],[course_id]])=0, "INVALID","VALID")</f>
        <v>VALID</v>
      </c>
    </row>
    <row r="3288" spans="1:14" x14ac:dyDescent="0.35">
      <c r="A3288" t="s">
        <v>262</v>
      </c>
      <c r="B3288" s="5" t="str">
        <f>_xlfn.XLOOKUP(role_course_map[[#This Row],[role_id]], role_data[role_id], role_data[Role],"")</f>
        <v>Training and Development Manager</v>
      </c>
      <c r="C3288">
        <v>999058</v>
      </c>
      <c r="D3288" s="5" t="str">
        <f>_xlfn.XLOOKUP(role_course_map[[#This Row],[course_id]],course_data[course_id],course_data[title],"")</f>
        <v>Stress Identification &amp; Stress Management</v>
      </c>
      <c r="E3288" s="5" t="str">
        <f>_xlfn.XLOOKUP(role_course_map[[#This Row],[course_id]],course_data[course_id],course_data[topic],"")</f>
        <v>SAS : Health and Safety</v>
      </c>
      <c r="F3288" s="5" t="str">
        <f>_xlfn.XLOOKUP(role_course_map[[#This Row],[course_id]],course_data[course_id],course_data[type],"")</f>
        <v>eLearning</v>
      </c>
      <c r="K3288" t="str">
        <f>role_course_map[[#This Row],[role_id]] &amp; "|" &amp; role_course_map[[#This Row],[course_id]]</f>
        <v>R0125|999058</v>
      </c>
      <c r="L3288" t="str">
        <f>IF(COUNTIF(role_course_map[mapping_key],role_course_map[[#This Row],[mapping_key]])&gt;1,"DUPLICATE","OK")</f>
        <v>OK</v>
      </c>
      <c r="M3288" t="str">
        <f>IF(COUNTIF(role_data[role_id],role_course_map[[#This Row],[role_id]])=0, "INVALID","VALID")</f>
        <v>VALID</v>
      </c>
      <c r="N3288" t="str">
        <f>IF(COUNTIF(course_data[course_id],role_course_map[[#This Row],[course_id]])=0, "INVALID","VALID")</f>
        <v>VALID</v>
      </c>
    </row>
    <row r="3289" spans="1:14" x14ac:dyDescent="0.35">
      <c r="A3289" t="s">
        <v>262</v>
      </c>
      <c r="B3289" s="5" t="str">
        <f>_xlfn.XLOOKUP(role_course_map[[#This Row],[role_id]], role_data[role_id], role_data[Role],"")</f>
        <v>Training and Development Manager</v>
      </c>
      <c r="C3289">
        <v>999061</v>
      </c>
      <c r="D3289" s="5" t="str">
        <f>_xlfn.XLOOKUP(role_course_map[[#This Row],[course_id]],course_data[course_id],course_data[title],"")</f>
        <v>Skin Awareness</v>
      </c>
      <c r="E3289" s="5" t="str">
        <f>_xlfn.XLOOKUP(role_course_map[[#This Row],[course_id]],course_data[course_id],course_data[topic],"")</f>
        <v>SAS : Health and Safety</v>
      </c>
      <c r="F3289" s="5" t="str">
        <f>_xlfn.XLOOKUP(role_course_map[[#This Row],[course_id]],course_data[course_id],course_data[type],"")</f>
        <v>eLearning</v>
      </c>
      <c r="K3289" t="str">
        <f>role_course_map[[#This Row],[role_id]] &amp; "|" &amp; role_course_map[[#This Row],[course_id]]</f>
        <v>R0125|999061</v>
      </c>
      <c r="L3289" t="str">
        <f>IF(COUNTIF(role_course_map[mapping_key],role_course_map[[#This Row],[mapping_key]])&gt;1,"DUPLICATE","OK")</f>
        <v>OK</v>
      </c>
      <c r="M3289" t="str">
        <f>IF(COUNTIF(role_data[role_id],role_course_map[[#This Row],[role_id]])=0, "INVALID","VALID")</f>
        <v>VALID</v>
      </c>
      <c r="N3289" t="str">
        <f>IF(COUNTIF(course_data[course_id],role_course_map[[#This Row],[course_id]])=0, "INVALID","VALID")</f>
        <v>VALID</v>
      </c>
    </row>
    <row r="3290" spans="1:14" x14ac:dyDescent="0.35">
      <c r="A3290" t="s">
        <v>262</v>
      </c>
      <c r="B3290" s="5" t="str">
        <f>_xlfn.XLOOKUP(role_course_map[[#This Row],[role_id]], role_data[role_id], role_data[Role],"")</f>
        <v>Training and Development Manager</v>
      </c>
      <c r="C3290">
        <v>999027</v>
      </c>
      <c r="D3290" s="5" t="str">
        <f>_xlfn.XLOOKUP(role_course_map[[#This Row],[course_id]],course_data[course_id],course_data[title],"")</f>
        <v>Manual and Patient Handling Foundation Training - Level 2</v>
      </c>
      <c r="E3290" s="5" t="str">
        <f>_xlfn.XLOOKUP(role_course_map[[#This Row],[course_id]],course_data[course_id],course_data[topic],"")</f>
        <v>SAS : Clinical Practice</v>
      </c>
      <c r="F3290" s="5" t="str">
        <f>_xlfn.XLOOKUP(role_course_map[[#This Row],[course_id]],course_data[course_id],course_data[type],"")</f>
        <v>Course</v>
      </c>
      <c r="K3290" t="str">
        <f>role_course_map[[#This Row],[role_id]] &amp; "|" &amp; role_course_map[[#This Row],[course_id]]</f>
        <v>R0125|999027</v>
      </c>
      <c r="L3290" t="str">
        <f>IF(COUNTIF(role_course_map[mapping_key],role_course_map[[#This Row],[mapping_key]])&gt;1,"DUPLICATE","OK")</f>
        <v>OK</v>
      </c>
      <c r="M3290" t="str">
        <f>IF(COUNTIF(role_data[role_id],role_course_map[[#This Row],[role_id]])=0, "INVALID","VALID")</f>
        <v>VALID</v>
      </c>
      <c r="N3290" t="str">
        <f>IF(COUNTIF(course_data[course_id],role_course_map[[#This Row],[course_id]])=0, "INVALID","VALID")</f>
        <v>VALID</v>
      </c>
    </row>
    <row r="3291" spans="1:14" x14ac:dyDescent="0.35">
      <c r="A3291" t="s">
        <v>262</v>
      </c>
      <c r="B3291" s="5" t="str">
        <f>_xlfn.XLOOKUP(role_course_map[[#This Row],[role_id]], role_data[role_id], role_data[Role],"")</f>
        <v>Training and Development Manager</v>
      </c>
      <c r="C3291">
        <v>999028</v>
      </c>
      <c r="D3291" s="5" t="str">
        <f>_xlfn.XLOOKUP(role_course_map[[#This Row],[course_id]],course_data[course_id],course_data[title],"")</f>
        <v>Manual and Patient Handling Competency Assessment - Level 3</v>
      </c>
      <c r="E3291" s="5" t="str">
        <f>_xlfn.XLOOKUP(role_course_map[[#This Row],[course_id]],course_data[course_id],course_data[topic],"")</f>
        <v>SAS : Clinical Practice</v>
      </c>
      <c r="F3291" s="5" t="str">
        <f>_xlfn.XLOOKUP(role_course_map[[#This Row],[course_id]],course_data[course_id],course_data[type],"")</f>
        <v>Course</v>
      </c>
      <c r="K3291" t="str">
        <f>role_course_map[[#This Row],[role_id]] &amp; "|" &amp; role_course_map[[#This Row],[course_id]]</f>
        <v>R0125|999028</v>
      </c>
      <c r="L3291" t="str">
        <f>IF(COUNTIF(role_course_map[mapping_key],role_course_map[[#This Row],[mapping_key]])&gt;1,"DUPLICATE","OK")</f>
        <v>OK</v>
      </c>
      <c r="M3291" t="str">
        <f>IF(COUNTIF(role_data[role_id],role_course_map[[#This Row],[role_id]])=0, "INVALID","VALID")</f>
        <v>VALID</v>
      </c>
      <c r="N3291" t="str">
        <f>IF(COUNTIF(course_data[course_id],role_course_map[[#This Row],[course_id]])=0, "INVALID","VALID")</f>
        <v>VALID</v>
      </c>
    </row>
    <row r="3292" spans="1:14" x14ac:dyDescent="0.35">
      <c r="A3292" t="s">
        <v>262</v>
      </c>
      <c r="B3292" s="5" t="str">
        <f>_xlfn.XLOOKUP(role_course_map[[#This Row],[role_id]], role_data[role_id], role_data[Role],"")</f>
        <v>Training and Development Manager</v>
      </c>
      <c r="C3292">
        <v>999029</v>
      </c>
      <c r="D3292" s="5" t="str">
        <f>_xlfn.XLOOKUP(role_course_map[[#This Row],[course_id]],course_data[course_id],course_data[title],"")</f>
        <v>Manual and Patient Handling Competency Assessment Theory - Level 3</v>
      </c>
      <c r="E3292" s="5" t="str">
        <f>_xlfn.XLOOKUP(role_course_map[[#This Row],[course_id]],course_data[course_id],course_data[topic],"")</f>
        <v>SAS : Clinical Practice</v>
      </c>
      <c r="F3292" s="5" t="str">
        <f>_xlfn.XLOOKUP(role_course_map[[#This Row],[course_id]],course_data[course_id],course_data[type],"")</f>
        <v>Course</v>
      </c>
      <c r="K3292" t="str">
        <f>role_course_map[[#This Row],[role_id]] &amp; "|" &amp; role_course_map[[#This Row],[course_id]]</f>
        <v>R0125|999029</v>
      </c>
      <c r="L3292" t="str">
        <f>IF(COUNTIF(role_course_map[mapping_key],role_course_map[[#This Row],[mapping_key]])&gt;1,"DUPLICATE","OK")</f>
        <v>OK</v>
      </c>
      <c r="M3292" t="str">
        <f>IF(COUNTIF(role_data[role_id],role_course_map[[#This Row],[role_id]])=0, "INVALID","VALID")</f>
        <v>VALID</v>
      </c>
      <c r="N3292" t="str">
        <f>IF(COUNTIF(course_data[course_id],role_course_map[[#This Row],[course_id]])=0, "INVALID","VALID")</f>
        <v>VALID</v>
      </c>
    </row>
    <row r="3293" spans="1:14" x14ac:dyDescent="0.35">
      <c r="A3293" t="s">
        <v>262</v>
      </c>
      <c r="B3293" s="5" t="str">
        <f>_xlfn.XLOOKUP(role_course_map[[#This Row],[role_id]], role_data[role_id], role_data[Role],"")</f>
        <v>Training and Development Manager</v>
      </c>
      <c r="C3293" t="s">
        <v>659</v>
      </c>
      <c r="D3293" s="5" t="str">
        <f>_xlfn.XLOOKUP(role_course_map[[#This Row],[course_id]],course_data[course_id],course_data[title],"")</f>
        <v>Prevention and Management of Violence and Aggression - Breakaway training Level 2 /Restrictive movement Level 3</v>
      </c>
      <c r="E3293" s="5" t="str">
        <f>_xlfn.XLOOKUP(role_course_map[[#This Row],[course_id]],course_data[course_id],course_data[topic],"")</f>
        <v>SAS : Health and Safety</v>
      </c>
      <c r="F3293" s="5" t="str">
        <f>_xlfn.XLOOKUP(role_course_map[[#This Row],[course_id]],course_data[course_id],course_data[type],"")</f>
        <v>Course</v>
      </c>
      <c r="K3293" t="str">
        <f>role_course_map[[#This Row],[role_id]] &amp; "|" &amp; role_course_map[[#This Row],[course_id]]</f>
        <v>R0125|2025-6 edition</v>
      </c>
      <c r="L3293" t="str">
        <f>IF(COUNTIF(role_course_map[mapping_key],role_course_map[[#This Row],[mapping_key]])&gt;1,"DUPLICATE","OK")</f>
        <v>OK</v>
      </c>
      <c r="M3293" t="str">
        <f>IF(COUNTIF(role_data[role_id],role_course_map[[#This Row],[role_id]])=0, "INVALID","VALID")</f>
        <v>VALID</v>
      </c>
      <c r="N3293" t="str">
        <f>IF(COUNTIF(course_data[course_id],role_course_map[[#This Row],[course_id]])=0, "INVALID","VALID")</f>
        <v>VALID</v>
      </c>
    </row>
    <row r="3294" spans="1:14" x14ac:dyDescent="0.35">
      <c r="A3294" t="s">
        <v>262</v>
      </c>
      <c r="B3294" s="5" t="str">
        <f>_xlfn.XLOOKUP(role_course_map[[#This Row],[role_id]], role_data[role_id], role_data[Role],"")</f>
        <v>Training and Development Manager</v>
      </c>
      <c r="C3294">
        <v>999055</v>
      </c>
      <c r="D3294" s="5" t="str">
        <f>_xlfn.XLOOKUP(role_course_map[[#This Row],[course_id]],course_data[course_id],course_data[title],"")</f>
        <v>Prevention and Management of Violence and Aggression - Refresher</v>
      </c>
      <c r="E3294" s="5" t="str">
        <f>_xlfn.XLOOKUP(role_course_map[[#This Row],[course_id]],course_data[course_id],course_data[topic],"")</f>
        <v>SAS : Health and Safety</v>
      </c>
      <c r="F3294" s="5" t="str">
        <f>_xlfn.XLOOKUP(role_course_map[[#This Row],[course_id]],course_data[course_id],course_data[type],"")</f>
        <v>Course</v>
      </c>
      <c r="K3294" t="str">
        <f>role_course_map[[#This Row],[role_id]] &amp; "|" &amp; role_course_map[[#This Row],[course_id]]</f>
        <v>R0125|999055</v>
      </c>
      <c r="L3294" t="str">
        <f>IF(COUNTIF(role_course_map[mapping_key],role_course_map[[#This Row],[mapping_key]])&gt;1,"DUPLICATE","OK")</f>
        <v>OK</v>
      </c>
      <c r="M3294" t="str">
        <f>IF(COUNTIF(role_data[role_id],role_course_map[[#This Row],[role_id]])=0, "INVALID","VALID")</f>
        <v>VALID</v>
      </c>
      <c r="N3294" t="str">
        <f>IF(COUNTIF(course_data[course_id],role_course_map[[#This Row],[course_id]])=0, "INVALID","VALID")</f>
        <v>VALID</v>
      </c>
    </row>
    <row r="3295" spans="1:14" x14ac:dyDescent="0.35">
      <c r="A3295" t="s">
        <v>262</v>
      </c>
      <c r="B3295" s="5" t="str">
        <f>_xlfn.XLOOKUP(role_course_map[[#This Row],[role_id]], role_data[role_id], role_data[Role],"")</f>
        <v>Training and Development Manager</v>
      </c>
      <c r="C3295">
        <v>64322</v>
      </c>
      <c r="D3295" s="5" t="str">
        <f>_xlfn.XLOOKUP(role_course_map[[#This Row],[course_id]],course_data[course_id],course_data[title],"")</f>
        <v>Adult support and protection: practice level 2 [skilled]</v>
      </c>
      <c r="E3295" s="5" t="str">
        <f>_xlfn.XLOOKUP(role_course_map[[#This Row],[course_id]],course_data[course_id],course_data[topic],"")</f>
        <v>SAS : Public Protection</v>
      </c>
      <c r="F3295" s="5" t="str">
        <f>_xlfn.XLOOKUP(role_course_map[[#This Row],[course_id]],course_data[course_id],course_data[type],"")</f>
        <v>eLearning</v>
      </c>
      <c r="K3295" t="str">
        <f>role_course_map[[#This Row],[role_id]] &amp; "|" &amp; role_course_map[[#This Row],[course_id]]</f>
        <v>R0125|64322</v>
      </c>
      <c r="L3295" t="str">
        <f>IF(COUNTIF(role_course_map[mapping_key],role_course_map[[#This Row],[mapping_key]])&gt;1,"DUPLICATE","OK")</f>
        <v>OK</v>
      </c>
      <c r="M3295" t="str">
        <f>IF(COUNTIF(role_data[role_id],role_course_map[[#This Row],[role_id]])=0, "INVALID","VALID")</f>
        <v>VALID</v>
      </c>
      <c r="N3295" t="str">
        <f>IF(COUNTIF(course_data[course_id],role_course_map[[#This Row],[course_id]])=0, "INVALID","VALID")</f>
        <v>VALID</v>
      </c>
    </row>
    <row r="3296" spans="1:14" x14ac:dyDescent="0.35">
      <c r="A3296" t="s">
        <v>262</v>
      </c>
      <c r="B3296" s="5" t="str">
        <f>_xlfn.XLOOKUP(role_course_map[[#This Row],[role_id]], role_data[role_id], role_data[Role],"")</f>
        <v>Training and Development Manager</v>
      </c>
      <c r="C3296">
        <v>64324</v>
      </c>
      <c r="D3296" s="5" t="str">
        <f>_xlfn.XLOOKUP(role_course_map[[#This Row],[course_id]],course_data[course_id],course_data[title],"")</f>
        <v>Child protection: practice level 2 [skilled]</v>
      </c>
      <c r="E3296" s="5" t="str">
        <f>_xlfn.XLOOKUP(role_course_map[[#This Row],[course_id]],course_data[course_id],course_data[topic],"")</f>
        <v>SAS : Public Protection</v>
      </c>
      <c r="F3296" s="5" t="str">
        <f>_xlfn.XLOOKUP(role_course_map[[#This Row],[course_id]],course_data[course_id],course_data[type],"")</f>
        <v>eLearning</v>
      </c>
      <c r="K3296" t="str">
        <f>role_course_map[[#This Row],[role_id]] &amp; "|" &amp; role_course_map[[#This Row],[course_id]]</f>
        <v>R0125|64324</v>
      </c>
      <c r="L3296" t="str">
        <f>IF(COUNTIF(role_course_map[mapping_key],role_course_map[[#This Row],[mapping_key]])&gt;1,"DUPLICATE","OK")</f>
        <v>OK</v>
      </c>
      <c r="M3296" t="str">
        <f>IF(COUNTIF(role_data[role_id],role_course_map[[#This Row],[role_id]])=0, "INVALID","VALID")</f>
        <v>VALID</v>
      </c>
      <c r="N3296" t="str">
        <f>IF(COUNTIF(course_data[course_id],role_course_map[[#This Row],[course_id]])=0, "INVALID","VALID")</f>
        <v>VALID</v>
      </c>
    </row>
    <row r="3297" spans="1:14" x14ac:dyDescent="0.35">
      <c r="A3297" t="s">
        <v>262</v>
      </c>
      <c r="B3297" s="5" t="str">
        <f>_xlfn.XLOOKUP(role_course_map[[#This Row],[role_id]], role_data[role_id], role_data[Role],"")</f>
        <v>Training and Development Manager</v>
      </c>
      <c r="C3297">
        <v>76716</v>
      </c>
      <c r="D3297" s="5" t="str">
        <f>_xlfn.XLOOKUP(role_course_map[[#This Row],[course_id]],course_data[course_id],course_data[title],"")</f>
        <v>Domestic abuse awareness training tool (DAART)</v>
      </c>
      <c r="E3297" s="5" t="str">
        <f>_xlfn.XLOOKUP(role_course_map[[#This Row],[course_id]],course_data[course_id],course_data[topic],"")</f>
        <v>SAS : Public Protection</v>
      </c>
      <c r="F3297" s="5" t="str">
        <f>_xlfn.XLOOKUP(role_course_map[[#This Row],[course_id]],course_data[course_id],course_data[type],"")</f>
        <v>eLearning</v>
      </c>
      <c r="K3297" t="str">
        <f>role_course_map[[#This Row],[role_id]] &amp; "|" &amp; role_course_map[[#This Row],[course_id]]</f>
        <v>R0125|76716</v>
      </c>
      <c r="L3297" t="str">
        <f>IF(COUNTIF(role_course_map[mapping_key],role_course_map[[#This Row],[mapping_key]])&gt;1,"DUPLICATE","OK")</f>
        <v>OK</v>
      </c>
      <c r="M3297" t="str">
        <f>IF(COUNTIF(role_data[role_id],role_course_map[[#This Row],[role_id]])=0, "INVALID","VALID")</f>
        <v>VALID</v>
      </c>
      <c r="N3297" t="str">
        <f>IF(COUNTIF(course_data[course_id],role_course_map[[#This Row],[course_id]])=0, "INVALID","VALID")</f>
        <v>VALID</v>
      </c>
    </row>
    <row r="3298" spans="1:14" x14ac:dyDescent="0.35">
      <c r="A3298" t="s">
        <v>262</v>
      </c>
      <c r="B3298" s="5" t="str">
        <f>_xlfn.XLOOKUP(role_course_map[[#This Row],[role_id]], role_data[role_id], role_data[Role],"")</f>
        <v>Training and Development Manager</v>
      </c>
      <c r="C3298">
        <v>79666</v>
      </c>
      <c r="D3298" s="5" t="str">
        <f>_xlfn.XLOOKUP(role_course_map[[#This Row],[course_id]],course_data[course_id],course_data[title],"")</f>
        <v>Getting it right for every child (GIRFEC): informed level</v>
      </c>
      <c r="E3298" s="5" t="str">
        <f>_xlfn.XLOOKUP(role_course_map[[#This Row],[course_id]],course_data[course_id],course_data[topic],"")</f>
        <v>SAS : Public Protection</v>
      </c>
      <c r="F3298" s="5" t="str">
        <f>_xlfn.XLOOKUP(role_course_map[[#This Row],[course_id]],course_data[course_id],course_data[type],"")</f>
        <v>eLearning</v>
      </c>
      <c r="K3298" t="str">
        <f>role_course_map[[#This Row],[role_id]] &amp; "|" &amp; role_course_map[[#This Row],[course_id]]</f>
        <v>R0125|79666</v>
      </c>
      <c r="L3298" t="str">
        <f>IF(COUNTIF(role_course_map[mapping_key],role_course_map[[#This Row],[mapping_key]])&gt;1,"DUPLICATE","OK")</f>
        <v>OK</v>
      </c>
      <c r="M3298" t="str">
        <f>IF(COUNTIF(role_data[role_id],role_course_map[[#This Row],[role_id]])=0, "INVALID","VALID")</f>
        <v>VALID</v>
      </c>
      <c r="N3298" t="str">
        <f>IF(COUNTIF(course_data[course_id],role_course_map[[#This Row],[course_id]])=0, "INVALID","VALID")</f>
        <v>VALID</v>
      </c>
    </row>
    <row r="3299" spans="1:14" x14ac:dyDescent="0.35">
      <c r="A3299" t="s">
        <v>262</v>
      </c>
      <c r="B3299" s="5" t="str">
        <f>_xlfn.XLOOKUP(role_course_map[[#This Row],[role_id]], role_data[role_id], role_data[Role],"")</f>
        <v>Training and Development Manager</v>
      </c>
      <c r="C3299">
        <v>999074</v>
      </c>
      <c r="D3299" s="5" t="str">
        <f>_xlfn.XLOOKUP(role_course_map[[#This Row],[course_id]],course_data[course_id],course_data[title],"")</f>
        <v>SAS-specific Children’s rights</v>
      </c>
      <c r="E3299" s="5" t="str">
        <f>_xlfn.XLOOKUP(role_course_map[[#This Row],[course_id]],course_data[course_id],course_data[topic],"")</f>
        <v>SAS : Public Protection</v>
      </c>
      <c r="F3299" s="5" t="str">
        <f>_xlfn.XLOOKUP(role_course_map[[#This Row],[course_id]],course_data[course_id],course_data[type],"")</f>
        <v>eLearning</v>
      </c>
      <c r="K3299" t="str">
        <f>role_course_map[[#This Row],[role_id]] &amp; "|" &amp; role_course_map[[#This Row],[course_id]]</f>
        <v>R0125|999074</v>
      </c>
      <c r="L3299" t="str">
        <f>IF(COUNTIF(role_course_map[mapping_key],role_course_map[[#This Row],[mapping_key]])&gt;1,"DUPLICATE","OK")</f>
        <v>OK</v>
      </c>
      <c r="M3299" t="str">
        <f>IF(COUNTIF(role_data[role_id],role_course_map[[#This Row],[role_id]])=0, "INVALID","VALID")</f>
        <v>VALID</v>
      </c>
      <c r="N3299" t="str">
        <f>IF(COUNTIF(course_data[course_id],role_course_map[[#This Row],[course_id]])=0, "INVALID","VALID")</f>
        <v>VALID</v>
      </c>
    </row>
    <row r="3300" spans="1:14" x14ac:dyDescent="0.35">
      <c r="A3300" t="s">
        <v>262</v>
      </c>
      <c r="B3300" s="5" t="str">
        <f>_xlfn.XLOOKUP(role_course_map[[#This Row],[role_id]], role_data[role_id], role_data[Role],"")</f>
        <v>Training and Development Manager</v>
      </c>
      <c r="C3300">
        <v>999075</v>
      </c>
      <c r="D3300" s="5" t="str">
        <f>_xlfn.XLOOKUP(role_course_map[[#This Row],[course_id]],course_data[course_id],course_data[title],"")</f>
        <v>Multiagency local or bespoke Level 3 delivery training</v>
      </c>
      <c r="E3300" s="5" t="str">
        <f>_xlfn.XLOOKUP(role_course_map[[#This Row],[course_id]],course_data[course_id],course_data[topic],"")</f>
        <v>SAS : Public Protection</v>
      </c>
      <c r="F3300" s="5" t="str">
        <f>_xlfn.XLOOKUP(role_course_map[[#This Row],[course_id]],course_data[course_id],course_data[type],"")</f>
        <v>eLearning</v>
      </c>
      <c r="K3300" t="str">
        <f>role_course_map[[#This Row],[role_id]] &amp; "|" &amp; role_course_map[[#This Row],[course_id]]</f>
        <v>R0125|999075</v>
      </c>
      <c r="L3300" t="str">
        <f>IF(COUNTIF(role_course_map[mapping_key],role_course_map[[#This Row],[mapping_key]])&gt;1,"DUPLICATE","OK")</f>
        <v>OK</v>
      </c>
      <c r="M3300" t="str">
        <f>IF(COUNTIF(role_data[role_id],role_course_map[[#This Row],[role_id]])=0, "INVALID","VALID")</f>
        <v>VALID</v>
      </c>
      <c r="N3300" t="str">
        <f>IF(COUNTIF(course_data[course_id],role_course_map[[#This Row],[course_id]])=0, "INVALID","VALID")</f>
        <v>VALID</v>
      </c>
    </row>
    <row r="3301" spans="1:14" x14ac:dyDescent="0.35">
      <c r="A3301" t="s">
        <v>262</v>
      </c>
      <c r="B3301" s="5" t="str">
        <f>_xlfn.XLOOKUP(role_course_map[[#This Row],[role_id]], role_data[role_id], role_data[Role],"")</f>
        <v>Training and Development Manager</v>
      </c>
      <c r="C3301">
        <v>15249</v>
      </c>
      <c r="D3301" s="5" t="str">
        <f>_xlfn.XLOOKUP(role_course_map[[#This Row],[course_id]],course_data[course_id],course_data[title],"")</f>
        <v>Human trafficking</v>
      </c>
      <c r="E3301" s="5" t="str">
        <f>_xlfn.XLOOKUP(role_course_map[[#This Row],[course_id]],course_data[course_id],course_data[topic],"")</f>
        <v>SAS : Public Protection</v>
      </c>
      <c r="F3301" s="5" t="str">
        <f>_xlfn.XLOOKUP(role_course_map[[#This Row],[course_id]],course_data[course_id],course_data[type],"")</f>
        <v>eLearning</v>
      </c>
      <c r="K3301" t="str">
        <f>role_course_map[[#This Row],[role_id]] &amp; "|" &amp; role_course_map[[#This Row],[course_id]]</f>
        <v>R0125|15249</v>
      </c>
      <c r="L3301" t="str">
        <f>IF(COUNTIF(role_course_map[mapping_key],role_course_map[[#This Row],[mapping_key]])&gt;1,"DUPLICATE","OK")</f>
        <v>OK</v>
      </c>
      <c r="M3301" t="str">
        <f>IF(COUNTIF(role_data[role_id],role_course_map[[#This Row],[role_id]])=0, "INVALID","VALID")</f>
        <v>VALID</v>
      </c>
      <c r="N3301" t="str">
        <f>IF(COUNTIF(course_data[course_id],role_course_map[[#This Row],[course_id]])=0, "INVALID","VALID")</f>
        <v>VALID</v>
      </c>
    </row>
    <row r="3302" spans="1:14" x14ac:dyDescent="0.35">
      <c r="A3302" t="s">
        <v>262</v>
      </c>
      <c r="B3302" s="5" t="str">
        <f>_xlfn.XLOOKUP(role_course_map[[#This Row],[role_id]], role_data[role_id], role_data[Role],"")</f>
        <v>Training and Development Manager</v>
      </c>
      <c r="C3302">
        <v>89161</v>
      </c>
      <c r="D3302" s="5" t="str">
        <f>_xlfn.XLOOKUP(role_course_map[[#This Row],[course_id]],course_data[course_id],course_data[title],"")</f>
        <v>Personal Protective Equipment</v>
      </c>
      <c r="E3302" s="5" t="str">
        <f>_xlfn.XLOOKUP(role_course_map[[#This Row],[course_id]],course_data[course_id],course_data[topic],"")</f>
        <v>SAS : Infection Prevention and Control (IPC)</v>
      </c>
      <c r="F3302" s="5" t="str">
        <f>_xlfn.XLOOKUP(role_course_map[[#This Row],[course_id]],course_data[course_id],course_data[type],"")</f>
        <v>eLearning</v>
      </c>
      <c r="K3302" t="str">
        <f>role_course_map[[#This Row],[role_id]] &amp; "|" &amp; role_course_map[[#This Row],[course_id]]</f>
        <v>R0125|89161</v>
      </c>
      <c r="L3302" t="str">
        <f>IF(COUNTIF(role_course_map[mapping_key],role_course_map[[#This Row],[mapping_key]])&gt;1,"DUPLICATE","OK")</f>
        <v>OK</v>
      </c>
      <c r="M3302" t="str">
        <f>IF(COUNTIF(role_data[role_id],role_course_map[[#This Row],[role_id]])=0, "INVALID","VALID")</f>
        <v>VALID</v>
      </c>
      <c r="N3302" t="str">
        <f>IF(COUNTIF(course_data[course_id],role_course_map[[#This Row],[course_id]])=0, "INVALID","VALID")</f>
        <v>VALID</v>
      </c>
    </row>
    <row r="3303" spans="1:14" x14ac:dyDescent="0.35">
      <c r="A3303" t="s">
        <v>262</v>
      </c>
      <c r="B3303" s="5" t="str">
        <f>_xlfn.XLOOKUP(role_course_map[[#This Row],[role_id]], role_data[role_id], role_data[Role],"")</f>
        <v>Training and Development Manager</v>
      </c>
      <c r="C3303">
        <v>89157</v>
      </c>
      <c r="D3303" s="5" t="str">
        <f>_xlfn.XLOOKUP(role_course_map[[#This Row],[course_id]],course_data[course_id],course_data[title],"")</f>
        <v>Safe Management of Care Equipment</v>
      </c>
      <c r="E3303" s="5" t="str">
        <f>_xlfn.XLOOKUP(role_course_map[[#This Row],[course_id]],course_data[course_id],course_data[topic],"")</f>
        <v>SAS : Infection Prevention and Control (IPC)</v>
      </c>
      <c r="F3303" s="5" t="str">
        <f>_xlfn.XLOOKUP(role_course_map[[#This Row],[course_id]],course_data[course_id],course_data[type],"")</f>
        <v>eLearning</v>
      </c>
      <c r="K3303" t="str">
        <f>role_course_map[[#This Row],[role_id]] &amp; "|" &amp; role_course_map[[#This Row],[course_id]]</f>
        <v>R0125|89157</v>
      </c>
      <c r="L3303" t="str">
        <f>IF(COUNTIF(role_course_map[mapping_key],role_course_map[[#This Row],[mapping_key]])&gt;1,"DUPLICATE","OK")</f>
        <v>OK</v>
      </c>
      <c r="M3303" t="str">
        <f>IF(COUNTIF(role_data[role_id],role_course_map[[#This Row],[role_id]])=0, "INVALID","VALID")</f>
        <v>VALID</v>
      </c>
      <c r="N3303" t="str">
        <f>IF(COUNTIF(course_data[course_id],role_course_map[[#This Row],[course_id]])=0, "INVALID","VALID")</f>
        <v>VALID</v>
      </c>
    </row>
    <row r="3304" spans="1:14" x14ac:dyDescent="0.35">
      <c r="A3304" t="s">
        <v>262</v>
      </c>
      <c r="B3304" s="5" t="str">
        <f>_xlfn.XLOOKUP(role_course_map[[#This Row],[role_id]], role_data[role_id], role_data[Role],"")</f>
        <v>Training and Development Manager</v>
      </c>
      <c r="C3304">
        <v>89158</v>
      </c>
      <c r="D3304" s="5" t="str">
        <f>_xlfn.XLOOKUP(role_course_map[[#This Row],[course_id]],course_data[course_id],course_data[title],"")</f>
        <v>Safe Management of Care Environment</v>
      </c>
      <c r="E3304" s="5" t="str">
        <f>_xlfn.XLOOKUP(role_course_map[[#This Row],[course_id]],course_data[course_id],course_data[topic],"")</f>
        <v>SAS : Infection Prevention and Control (IPC)</v>
      </c>
      <c r="F3304" s="5" t="str">
        <f>_xlfn.XLOOKUP(role_course_map[[#This Row],[course_id]],course_data[course_id],course_data[type],"")</f>
        <v>eLearning</v>
      </c>
      <c r="K3304" t="str">
        <f>role_course_map[[#This Row],[role_id]] &amp; "|" &amp; role_course_map[[#This Row],[course_id]]</f>
        <v>R0125|89158</v>
      </c>
      <c r="L3304" t="str">
        <f>IF(COUNTIF(role_course_map[mapping_key],role_course_map[[#This Row],[mapping_key]])&gt;1,"DUPLICATE","OK")</f>
        <v>OK</v>
      </c>
      <c r="M3304" t="str">
        <f>IF(COUNTIF(role_data[role_id],role_course_map[[#This Row],[role_id]])=0, "INVALID","VALID")</f>
        <v>VALID</v>
      </c>
      <c r="N3304" t="str">
        <f>IF(COUNTIF(course_data[course_id],role_course_map[[#This Row],[course_id]])=0, "INVALID","VALID")</f>
        <v>VALID</v>
      </c>
    </row>
    <row r="3305" spans="1:14" x14ac:dyDescent="0.35">
      <c r="A3305" t="s">
        <v>262</v>
      </c>
      <c r="B3305" s="5" t="str">
        <f>_xlfn.XLOOKUP(role_course_map[[#This Row],[role_id]], role_data[role_id], role_data[Role],"")</f>
        <v>Training and Development Manager</v>
      </c>
      <c r="C3305">
        <v>89159</v>
      </c>
      <c r="D3305" s="5" t="str">
        <f>_xlfn.XLOOKUP(role_course_map[[#This Row],[course_id]],course_data[course_id],course_data[title],"")</f>
        <v>Safe Management of Linen</v>
      </c>
      <c r="E3305" s="5" t="str">
        <f>_xlfn.XLOOKUP(role_course_map[[#This Row],[course_id]],course_data[course_id],course_data[topic],"")</f>
        <v>SAS : Infection Prevention and Control (IPC)</v>
      </c>
      <c r="F3305" s="5" t="str">
        <f>_xlfn.XLOOKUP(role_course_map[[#This Row],[course_id]],course_data[course_id],course_data[type],"")</f>
        <v>eLearning</v>
      </c>
      <c r="K3305" t="str">
        <f>role_course_map[[#This Row],[role_id]] &amp; "|" &amp; role_course_map[[#This Row],[course_id]]</f>
        <v>R0125|89159</v>
      </c>
      <c r="L3305" t="str">
        <f>IF(COUNTIF(role_course_map[mapping_key],role_course_map[[#This Row],[mapping_key]])&gt;1,"DUPLICATE","OK")</f>
        <v>OK</v>
      </c>
      <c r="M3305" t="str">
        <f>IF(COUNTIF(role_data[role_id],role_course_map[[#This Row],[role_id]])=0, "INVALID","VALID")</f>
        <v>VALID</v>
      </c>
      <c r="N3305" t="str">
        <f>IF(COUNTIF(course_data[course_id],role_course_map[[#This Row],[course_id]])=0, "INVALID","VALID")</f>
        <v>VALID</v>
      </c>
    </row>
    <row r="3306" spans="1:14" x14ac:dyDescent="0.35">
      <c r="A3306" t="s">
        <v>262</v>
      </c>
      <c r="B3306" s="5" t="str">
        <f>_xlfn.XLOOKUP(role_course_map[[#This Row],[role_id]], role_data[role_id], role_data[Role],"")</f>
        <v>Training and Development Manager</v>
      </c>
      <c r="C3306">
        <v>89160</v>
      </c>
      <c r="D3306" s="5" t="str">
        <f>_xlfn.XLOOKUP(role_course_map[[#This Row],[course_id]],course_data[course_id],course_data[title],"")</f>
        <v>Safe Management of blood and body fluids</v>
      </c>
      <c r="E3306" s="5" t="str">
        <f>_xlfn.XLOOKUP(role_course_map[[#This Row],[course_id]],course_data[course_id],course_data[topic],"")</f>
        <v>SAS : Infection Prevention and Control (IPC)</v>
      </c>
      <c r="F3306" s="5" t="str">
        <f>_xlfn.XLOOKUP(role_course_map[[#This Row],[course_id]],course_data[course_id],course_data[type],"")</f>
        <v>eLearning</v>
      </c>
      <c r="K3306" t="str">
        <f>role_course_map[[#This Row],[role_id]] &amp; "|" &amp; role_course_map[[#This Row],[course_id]]</f>
        <v>R0125|89160</v>
      </c>
      <c r="L3306" t="str">
        <f>IF(COUNTIF(role_course_map[mapping_key],role_course_map[[#This Row],[mapping_key]])&gt;1,"DUPLICATE","OK")</f>
        <v>OK</v>
      </c>
      <c r="M3306" t="str">
        <f>IF(COUNTIF(role_data[role_id],role_course_map[[#This Row],[role_id]])=0, "INVALID","VALID")</f>
        <v>VALID</v>
      </c>
      <c r="N3306" t="str">
        <f>IF(COUNTIF(course_data[course_id],role_course_map[[#This Row],[course_id]])=0, "INVALID","VALID")</f>
        <v>VALID</v>
      </c>
    </row>
    <row r="3307" spans="1:14" x14ac:dyDescent="0.35">
      <c r="A3307" t="s">
        <v>262</v>
      </c>
      <c r="B3307" s="5" t="str">
        <f>_xlfn.XLOOKUP(role_course_map[[#This Row],[role_id]], role_data[role_id], role_data[Role],"")</f>
        <v>Training and Development Manager</v>
      </c>
      <c r="C3307">
        <v>89154</v>
      </c>
      <c r="D3307" s="5" t="str">
        <f>_xlfn.XLOOKUP(role_course_map[[#This Row],[course_id]],course_data[course_id],course_data[title],"")</f>
        <v>Safe disposal of waste</v>
      </c>
      <c r="E3307" s="5" t="str">
        <f>_xlfn.XLOOKUP(role_course_map[[#This Row],[course_id]],course_data[course_id],course_data[topic],"")</f>
        <v>SAS : Infection Prevention and Control (IPC)</v>
      </c>
      <c r="F3307" s="5" t="str">
        <f>_xlfn.XLOOKUP(role_course_map[[#This Row],[course_id]],course_data[course_id],course_data[type],"")</f>
        <v>eLearning</v>
      </c>
      <c r="K3307" t="str">
        <f>role_course_map[[#This Row],[role_id]] &amp; "|" &amp; role_course_map[[#This Row],[course_id]]</f>
        <v>R0125|89154</v>
      </c>
      <c r="L3307" t="str">
        <f>IF(COUNTIF(role_course_map[mapping_key],role_course_map[[#This Row],[mapping_key]])&gt;1,"DUPLICATE","OK")</f>
        <v>OK</v>
      </c>
      <c r="M3307" t="str">
        <f>IF(COUNTIF(role_data[role_id],role_course_map[[#This Row],[role_id]])=0, "INVALID","VALID")</f>
        <v>VALID</v>
      </c>
      <c r="N3307" t="str">
        <f>IF(COUNTIF(course_data[course_id],role_course_map[[#This Row],[course_id]])=0, "INVALID","VALID")</f>
        <v>VALID</v>
      </c>
    </row>
    <row r="3308" spans="1:14" x14ac:dyDescent="0.35">
      <c r="A3308" t="s">
        <v>262</v>
      </c>
      <c r="B3308" s="5" t="str">
        <f>_xlfn.XLOOKUP(role_course_map[[#This Row],[role_id]], role_data[role_id], role_data[Role],"")</f>
        <v>Training and Development Manager</v>
      </c>
      <c r="C3308">
        <v>89155</v>
      </c>
      <c r="D3308" s="5" t="str">
        <f>_xlfn.XLOOKUP(role_course_map[[#This Row],[course_id]],course_data[course_id],course_data[title],"")</f>
        <v>Prevention &amp; management of occupational exposure</v>
      </c>
      <c r="E3308" s="5" t="str">
        <f>_xlfn.XLOOKUP(role_course_map[[#This Row],[course_id]],course_data[course_id],course_data[topic],"")</f>
        <v>SAS : Infection Prevention and Control (IPC)</v>
      </c>
      <c r="F3308" s="5" t="str">
        <f>_xlfn.XLOOKUP(role_course_map[[#This Row],[course_id]],course_data[course_id],course_data[type],"")</f>
        <v>eLearning</v>
      </c>
      <c r="K3308" t="str">
        <f>role_course_map[[#This Row],[role_id]] &amp; "|" &amp; role_course_map[[#This Row],[course_id]]</f>
        <v>R0125|89155</v>
      </c>
      <c r="L3308" t="str">
        <f>IF(COUNTIF(role_course_map[mapping_key],role_course_map[[#This Row],[mapping_key]])&gt;1,"DUPLICATE","OK")</f>
        <v>OK</v>
      </c>
      <c r="M3308" t="str">
        <f>IF(COUNTIF(role_data[role_id],role_course_map[[#This Row],[role_id]])=0, "INVALID","VALID")</f>
        <v>VALID</v>
      </c>
      <c r="N3308" t="str">
        <f>IF(COUNTIF(course_data[course_id],role_course_map[[#This Row],[course_id]])=0, "INVALID","VALID")</f>
        <v>VALID</v>
      </c>
    </row>
    <row r="3309" spans="1:14" x14ac:dyDescent="0.35">
      <c r="A3309" t="s">
        <v>262</v>
      </c>
      <c r="B3309" s="5" t="str">
        <f>_xlfn.XLOOKUP(role_course_map[[#This Row],[role_id]], role_data[role_id], role_data[Role],"")</f>
        <v>Training and Development Manager</v>
      </c>
      <c r="C3309">
        <v>999064</v>
      </c>
      <c r="D3309" s="5" t="str">
        <f>_xlfn.XLOOKUP(role_course_map[[#This Row],[course_id]],course_data[course_id],course_data[title],"")</f>
        <v>Infection prevention and control: Clostridioides difficile infection</v>
      </c>
      <c r="E3309" s="5" t="str">
        <f>_xlfn.XLOOKUP(role_course_map[[#This Row],[course_id]],course_data[course_id],course_data[topic],"")</f>
        <v>SAS : Infection Prevention and Control (IPC)</v>
      </c>
      <c r="F3309" s="5" t="str">
        <f>_xlfn.XLOOKUP(role_course_map[[#This Row],[course_id]],course_data[course_id],course_data[type],"")</f>
        <v>eLearning</v>
      </c>
      <c r="K3309" t="str">
        <f>role_course_map[[#This Row],[role_id]] &amp; "|" &amp; role_course_map[[#This Row],[course_id]]</f>
        <v>R0125|999064</v>
      </c>
      <c r="L3309" t="str">
        <f>IF(COUNTIF(role_course_map[mapping_key],role_course_map[[#This Row],[mapping_key]])&gt;1,"DUPLICATE","OK")</f>
        <v>OK</v>
      </c>
      <c r="M3309" t="str">
        <f>IF(COUNTIF(role_data[role_id],role_course_map[[#This Row],[role_id]])=0, "INVALID","VALID")</f>
        <v>VALID</v>
      </c>
      <c r="N3309" t="str">
        <f>IF(COUNTIF(course_data[course_id],role_course_map[[#This Row],[course_id]])=0, "INVALID","VALID")</f>
        <v>VALID</v>
      </c>
    </row>
    <row r="3310" spans="1:14" x14ac:dyDescent="0.35">
      <c r="A3310" t="s">
        <v>262</v>
      </c>
      <c r="B3310" s="5" t="str">
        <f>_xlfn.XLOOKUP(role_course_map[[#This Row],[role_id]], role_data[role_id], role_data[Role],"")</f>
        <v>Training and Development Manager</v>
      </c>
      <c r="C3310">
        <v>3588</v>
      </c>
      <c r="D3310" s="5" t="str">
        <f>_xlfn.XLOOKUP(role_course_map[[#This Row],[course_id]],course_data[course_id],course_data[title],"")</f>
        <v>Antibiotic management</v>
      </c>
      <c r="E3310" s="5" t="str">
        <f>_xlfn.XLOOKUP(role_course_map[[#This Row],[course_id]],course_data[course_id],course_data[topic],"")</f>
        <v>SAS : Clinical Practice</v>
      </c>
      <c r="F3310" s="5" t="str">
        <f>_xlfn.XLOOKUP(role_course_map[[#This Row],[course_id]],course_data[course_id],course_data[type],"")</f>
        <v>Page</v>
      </c>
      <c r="K3310" t="str">
        <f>role_course_map[[#This Row],[role_id]] &amp; "|" &amp; role_course_map[[#This Row],[course_id]]</f>
        <v>R0125|3588</v>
      </c>
      <c r="L3310" t="str">
        <f>IF(COUNTIF(role_course_map[mapping_key],role_course_map[[#This Row],[mapping_key]])&gt;1,"DUPLICATE","OK")</f>
        <v>OK</v>
      </c>
      <c r="M3310" t="str">
        <f>IF(COUNTIF(role_data[role_id],role_course_map[[#This Row],[role_id]])=0, "INVALID","VALID")</f>
        <v>VALID</v>
      </c>
      <c r="N3310" t="str">
        <f>IF(COUNTIF(course_data[course_id],role_course_map[[#This Row],[course_id]])=0, "INVALID","VALID")</f>
        <v>VALID</v>
      </c>
    </row>
    <row r="3311" spans="1:14" x14ac:dyDescent="0.35">
      <c r="A3311" t="s">
        <v>262</v>
      </c>
      <c r="B3311" s="5" t="str">
        <f>_xlfn.XLOOKUP(role_course_map[[#This Row],[role_id]], role_data[role_id], role_data[Role],"")</f>
        <v>Training and Development Manager</v>
      </c>
      <c r="C3311">
        <v>82383</v>
      </c>
      <c r="D3311" s="5" t="str">
        <f>_xlfn.XLOOKUP(role_course_map[[#This Row],[course_id]],course_data[course_id],course_data[title],"")</f>
        <v>Aseptic technique</v>
      </c>
      <c r="E3311" s="5" t="str">
        <f>_xlfn.XLOOKUP(role_course_map[[#This Row],[course_id]],course_data[course_id],course_data[topic],"")</f>
        <v>SAS : Infection Prevention and Control (IPC)</v>
      </c>
      <c r="F3311" s="5" t="str">
        <f>_xlfn.XLOOKUP(role_course_map[[#This Row],[course_id]],course_data[course_id],course_data[type],"")</f>
        <v>eLearning</v>
      </c>
      <c r="K3311" t="str">
        <f>role_course_map[[#This Row],[role_id]] &amp; "|" &amp; role_course_map[[#This Row],[course_id]]</f>
        <v>R0125|82383</v>
      </c>
      <c r="L3311" t="str">
        <f>IF(COUNTIF(role_course_map[mapping_key],role_course_map[[#This Row],[mapping_key]])&gt;1,"DUPLICATE","OK")</f>
        <v>OK</v>
      </c>
      <c r="M3311" t="str">
        <f>IF(COUNTIF(role_data[role_id],role_course_map[[#This Row],[role_id]])=0, "INVALID","VALID")</f>
        <v>VALID</v>
      </c>
      <c r="N3311" t="str">
        <f>IF(COUNTIF(course_data[course_id],role_course_map[[#This Row],[course_id]])=0, "INVALID","VALID")</f>
        <v>VALID</v>
      </c>
    </row>
    <row r="3312" spans="1:14" x14ac:dyDescent="0.35">
      <c r="A3312" t="s">
        <v>262</v>
      </c>
      <c r="B3312" s="5" t="str">
        <f>_xlfn.XLOOKUP(role_course_map[[#This Row],[role_id]], role_data[role_id], role_data[Role],"")</f>
        <v>Training and Development Manager</v>
      </c>
      <c r="C3312">
        <v>3886</v>
      </c>
      <c r="D3312" s="5" t="str">
        <f>_xlfn.XLOOKUP(role_course_map[[#This Row],[course_id]],course_data[course_id],course_data[title],"")</f>
        <v>Prevention and management of pressure ulcers</v>
      </c>
      <c r="E3312" s="5" t="str">
        <f>_xlfn.XLOOKUP(role_course_map[[#This Row],[course_id]],course_data[course_id],course_data[topic],"")</f>
        <v>SAS : Clinical Practice</v>
      </c>
      <c r="F3312" s="5" t="str">
        <f>_xlfn.XLOOKUP(role_course_map[[#This Row],[course_id]],course_data[course_id],course_data[type],"")</f>
        <v>Page</v>
      </c>
      <c r="K3312" t="str">
        <f>role_course_map[[#This Row],[role_id]] &amp; "|" &amp; role_course_map[[#This Row],[course_id]]</f>
        <v>R0125|3886</v>
      </c>
      <c r="L3312" t="str">
        <f>IF(COUNTIF(role_course_map[mapping_key],role_course_map[[#This Row],[mapping_key]])&gt;1,"DUPLICATE","OK")</f>
        <v>OK</v>
      </c>
      <c r="M3312" t="str">
        <f>IF(COUNTIF(role_data[role_id],role_course_map[[#This Row],[role_id]])=0, "INVALID","VALID")</f>
        <v>VALID</v>
      </c>
      <c r="N3312" t="str">
        <f>IF(COUNTIF(course_data[course_id],role_course_map[[#This Row],[course_id]])=0, "INVALID","VALID")</f>
        <v>VALID</v>
      </c>
    </row>
    <row r="3313" spans="1:14" x14ac:dyDescent="0.35">
      <c r="A3313" t="s">
        <v>262</v>
      </c>
      <c r="B3313" s="5" t="str">
        <f>_xlfn.XLOOKUP(role_course_map[[#This Row],[role_id]], role_data[role_id], role_data[Role],"")</f>
        <v>Training and Development Manager</v>
      </c>
      <c r="C3313">
        <v>999092</v>
      </c>
      <c r="D3313" s="5" t="str">
        <f>_xlfn.XLOOKUP(role_course_map[[#This Row],[course_id]],course_data[course_id],course_data[title],"")</f>
        <v>Health &amp; Wellbeing Awareness for Managers</v>
      </c>
      <c r="E3313" s="5" t="str">
        <f>_xlfn.XLOOKUP(role_course_map[[#This Row],[course_id]],course_data[course_id],course_data[topic],"")</f>
        <v>SAS: Staff development and experience</v>
      </c>
      <c r="F3313" s="5" t="str">
        <f>_xlfn.XLOOKUP(role_course_map[[#This Row],[course_id]],course_data[course_id],course_data[type],"")</f>
        <v>eLearning</v>
      </c>
      <c r="K3313" t="str">
        <f>role_course_map[[#This Row],[role_id]] &amp; "|" &amp; role_course_map[[#This Row],[course_id]]</f>
        <v>R0125|999092</v>
      </c>
      <c r="L3313" t="str">
        <f>IF(COUNTIF(role_course_map[mapping_key],role_course_map[[#This Row],[mapping_key]])&gt;1,"DUPLICATE","OK")</f>
        <v>OK</v>
      </c>
      <c r="M3313" t="str">
        <f>IF(COUNTIF(role_data[role_id],role_course_map[[#This Row],[role_id]])=0, "INVALID","VALID")</f>
        <v>VALID</v>
      </c>
      <c r="N3313" t="str">
        <f>IF(COUNTIF(course_data[course_id],role_course_map[[#This Row],[course_id]])=0, "INVALID","VALID")</f>
        <v>VALID</v>
      </c>
    </row>
    <row r="3314" spans="1:14" x14ac:dyDescent="0.35">
      <c r="A3314" t="s">
        <v>262</v>
      </c>
      <c r="B3314" s="5" t="str">
        <f>_xlfn.XLOOKUP(role_course_map[[#This Row],[role_id]], role_data[role_id], role_data[Role],"")</f>
        <v>Training and Development Manager</v>
      </c>
      <c r="C3314">
        <v>999093</v>
      </c>
      <c r="D3314" s="5" t="str">
        <f>_xlfn.XLOOKUP(role_course_map[[#This Row],[course_id]],course_data[course_id],course_data[title],"")</f>
        <v>Managing Wellbeing Refresher for Managers</v>
      </c>
      <c r="E3314" s="5" t="str">
        <f>_xlfn.XLOOKUP(role_course_map[[#This Row],[course_id]],course_data[course_id],course_data[topic],"")</f>
        <v>SAS: Staff development and experience</v>
      </c>
      <c r="F3314" s="5" t="str">
        <f>_xlfn.XLOOKUP(role_course_map[[#This Row],[course_id]],course_data[course_id],course_data[type],"")</f>
        <v>eLearning</v>
      </c>
      <c r="K3314" t="str">
        <f>role_course_map[[#This Row],[role_id]] &amp; "|" &amp; role_course_map[[#This Row],[course_id]]</f>
        <v>R0125|999093</v>
      </c>
      <c r="L3314" t="str">
        <f>IF(COUNTIF(role_course_map[mapping_key],role_course_map[[#This Row],[mapping_key]])&gt;1,"DUPLICATE","OK")</f>
        <v>OK</v>
      </c>
      <c r="M3314" t="str">
        <f>IF(COUNTIF(role_data[role_id],role_course_map[[#This Row],[role_id]])=0, "INVALID","VALID")</f>
        <v>VALID</v>
      </c>
      <c r="N3314" t="str">
        <f>IF(COUNTIF(course_data[course_id],role_course_map[[#This Row],[course_id]])=0, "INVALID","VALID")</f>
        <v>VALID</v>
      </c>
    </row>
    <row r="3315" spans="1:14" x14ac:dyDescent="0.35">
      <c r="A3315" t="s">
        <v>262</v>
      </c>
      <c r="B3315" s="5" t="str">
        <f>_xlfn.XLOOKUP(role_course_map[[#This Row],[role_id]], role_data[role_id], role_data[Role],"")</f>
        <v>Training and Development Manager</v>
      </c>
      <c r="C3315">
        <v>999094</v>
      </c>
      <c r="D3315" s="5" t="str">
        <f>_xlfn.XLOOKUP(role_course_map[[#This Row],[course_id]],course_data[course_id],course_data[title],"")</f>
        <v>Being well, Mind, Body &amp; Workplace</v>
      </c>
      <c r="E3315" s="5" t="str">
        <f>_xlfn.XLOOKUP(role_course_map[[#This Row],[course_id]],course_data[course_id],course_data[topic],"")</f>
        <v>SAS: Staff development and experience</v>
      </c>
      <c r="F3315" s="5" t="str">
        <f>_xlfn.XLOOKUP(role_course_map[[#This Row],[course_id]],course_data[course_id],course_data[type],"")</f>
        <v>eLearning</v>
      </c>
      <c r="K3315" t="str">
        <f>role_course_map[[#This Row],[role_id]] &amp; "|" &amp; role_course_map[[#This Row],[course_id]]</f>
        <v>R0125|999094</v>
      </c>
      <c r="L3315" t="str">
        <f>IF(COUNTIF(role_course_map[mapping_key],role_course_map[[#This Row],[mapping_key]])&gt;1,"DUPLICATE","OK")</f>
        <v>OK</v>
      </c>
      <c r="M3315" t="str">
        <f>IF(COUNTIF(role_data[role_id],role_course_map[[#This Row],[role_id]])=0, "INVALID","VALID")</f>
        <v>VALID</v>
      </c>
      <c r="N3315" t="str">
        <f>IF(COUNTIF(course_data[course_id],role_course_map[[#This Row],[course_id]])=0, "INVALID","VALID")</f>
        <v>VALID</v>
      </c>
    </row>
    <row r="3316" spans="1:14" x14ac:dyDescent="0.35">
      <c r="A3316" t="s">
        <v>262</v>
      </c>
      <c r="B3316" s="5" t="str">
        <f>_xlfn.XLOOKUP(role_course_map[[#This Row],[role_id]], role_data[role_id], role_data[Role],"")</f>
        <v>Training and Development Manager</v>
      </c>
      <c r="D3316" s="5" t="s">
        <v>1062</v>
      </c>
      <c r="E3316" s="5" t="str">
        <f>_xlfn.XLOOKUP(role_course_map[[#This Row],[course_id]],course_data[course_id],course_data[topic],"")</f>
        <v/>
      </c>
      <c r="F3316" s="5" t="str">
        <f>_xlfn.XLOOKUP(role_course_map[[#This Row],[course_id]],course_data[course_id],course_data[type],"")</f>
        <v/>
      </c>
      <c r="K3316" t="str">
        <f>role_course_map[[#This Row],[role_id]] &amp; "|" &amp; role_course_map[[#This Row],[course_id]]</f>
        <v>R0125|</v>
      </c>
      <c r="L3316" t="str">
        <f>IF(COUNTIF(role_course_map[mapping_key],role_course_map[[#This Row],[mapping_key]])&gt;1,"DUPLICATE","OK")</f>
        <v>OK</v>
      </c>
      <c r="M3316" t="str">
        <f>IF(COUNTIF(role_data[role_id],role_course_map[[#This Row],[role_id]])=0, "INVALID","VALID")</f>
        <v>VALID</v>
      </c>
      <c r="N3316" t="str">
        <f>IF(COUNTIF(course_data[course_id],role_course_map[[#This Row],[course_id]])=0, "INVALID","VALID")</f>
        <v>INVALID</v>
      </c>
    </row>
    <row r="3317" spans="1:14" x14ac:dyDescent="0.35">
      <c r="A3317" t="s">
        <v>262</v>
      </c>
      <c r="B3317" s="5" t="str">
        <f>_xlfn.XLOOKUP(role_course_map[[#This Row],[role_id]], role_data[role_id], role_data[Role],"")</f>
        <v>Training and Development Manager</v>
      </c>
      <c r="C3317">
        <v>82211</v>
      </c>
      <c r="D3317" s="5" t="str">
        <f>_xlfn.XLOOKUP(role_course_map[[#This Row],[course_id]],course_data[course_id],course_data[title],"")</f>
        <v>MTA Command &amp; Control</v>
      </c>
      <c r="E3317" s="5" t="str">
        <f>_xlfn.XLOOKUP(role_course_map[[#This Row],[course_id]],course_data[course_id],course_data[topic],"")</f>
        <v>SAS : National Risk and Resilience Department (NRRD)</v>
      </c>
      <c r="F3317" s="5" t="str">
        <f>_xlfn.XLOOKUP(role_course_map[[#This Row],[course_id]],course_data[course_id],course_data[type],"")</f>
        <v>eLearning</v>
      </c>
      <c r="K3317" t="str">
        <f>role_course_map[[#This Row],[role_id]] &amp; "|" &amp; role_course_map[[#This Row],[course_id]]</f>
        <v>R0125|82211</v>
      </c>
      <c r="L3317" t="str">
        <f>IF(COUNTIF(role_course_map[mapping_key],role_course_map[[#This Row],[mapping_key]])&gt;1,"DUPLICATE","OK")</f>
        <v>OK</v>
      </c>
      <c r="M3317" t="str">
        <f>IF(COUNTIF(role_data[role_id],role_course_map[[#This Row],[role_id]])=0, "INVALID","VALID")</f>
        <v>VALID</v>
      </c>
      <c r="N3317" t="str">
        <f>IF(COUNTIF(course_data[course_id],role_course_map[[#This Row],[course_id]])=0, "INVALID","VALID")</f>
        <v>VALID</v>
      </c>
    </row>
    <row r="3318" spans="1:14" x14ac:dyDescent="0.35">
      <c r="A3318" t="s">
        <v>262</v>
      </c>
      <c r="B3318" s="5" t="str">
        <f>_xlfn.XLOOKUP(role_course_map[[#This Row],[role_id]], role_data[role_id], role_data[Role],"")</f>
        <v>Training and Development Manager</v>
      </c>
      <c r="C3318">
        <v>999067</v>
      </c>
      <c r="D3318" s="5" t="str">
        <f>_xlfn.XLOOKUP(role_course_map[[#This Row],[course_id]],course_data[course_id],course_data[title],"")</f>
        <v>Major incident awareness - Course overview</v>
      </c>
      <c r="E3318" s="5" t="str">
        <f>_xlfn.XLOOKUP(role_course_map[[#This Row],[course_id]],course_data[course_id],course_data[topic],"")</f>
        <v>SAS : National Risk and Resilience Department (NRRD)</v>
      </c>
      <c r="F3318" s="5" t="str">
        <f>_xlfn.XLOOKUP(role_course_map[[#This Row],[course_id]],course_data[course_id],course_data[type],"")</f>
        <v>eLearning</v>
      </c>
      <c r="K3318" t="str">
        <f>role_course_map[[#This Row],[role_id]] &amp; "|" &amp; role_course_map[[#This Row],[course_id]]</f>
        <v>R0125|999067</v>
      </c>
      <c r="L3318" t="str">
        <f>IF(COUNTIF(role_course_map[mapping_key],role_course_map[[#This Row],[mapping_key]])&gt;1,"DUPLICATE","OK")</f>
        <v>OK</v>
      </c>
      <c r="M3318" t="str">
        <f>IF(COUNTIF(role_data[role_id],role_course_map[[#This Row],[role_id]])=0, "INVALID","VALID")</f>
        <v>VALID</v>
      </c>
      <c r="N3318" t="str">
        <f>IF(COUNTIF(course_data[course_id],role_course_map[[#This Row],[course_id]])=0, "INVALID","VALID")</f>
        <v>VALID</v>
      </c>
    </row>
    <row r="3319" spans="1:14" x14ac:dyDescent="0.35">
      <c r="A3319" t="s">
        <v>262</v>
      </c>
      <c r="B3319" s="5" t="str">
        <f>_xlfn.XLOOKUP(role_course_map[[#This Row],[role_id]], role_data[role_id], role_data[Role],"")</f>
        <v>Training and Development Manager</v>
      </c>
      <c r="C3319">
        <v>999068</v>
      </c>
      <c r="D3319" s="5" t="str">
        <f>_xlfn.XLOOKUP(role_course_map[[#This Row],[course_id]],course_data[course_id],course_data[title],"")</f>
        <v xml:space="preserve">Major incident awareness for responders </v>
      </c>
      <c r="E3319" s="5" t="str">
        <f>_xlfn.XLOOKUP(role_course_map[[#This Row],[course_id]],course_data[course_id],course_data[topic],"")</f>
        <v>SAS : National Risk and Resilience Department (NRRD)</v>
      </c>
      <c r="F3319" s="5" t="str">
        <f>_xlfn.XLOOKUP(role_course_map[[#This Row],[course_id]],course_data[course_id],course_data[type],"")</f>
        <v>eLearning</v>
      </c>
      <c r="K3319" t="str">
        <f>role_course_map[[#This Row],[role_id]] &amp; "|" &amp; role_course_map[[#This Row],[course_id]]</f>
        <v>R0125|999068</v>
      </c>
      <c r="L3319" t="str">
        <f>IF(COUNTIF(role_course_map[mapping_key],role_course_map[[#This Row],[mapping_key]])&gt;1,"DUPLICATE","OK")</f>
        <v>OK</v>
      </c>
      <c r="M3319" t="str">
        <f>IF(COUNTIF(role_data[role_id],role_course_map[[#This Row],[role_id]])=0, "INVALID","VALID")</f>
        <v>VALID</v>
      </c>
      <c r="N3319" t="str">
        <f>IF(COUNTIF(course_data[course_id],role_course_map[[#This Row],[course_id]])=0, "INVALID","VALID")</f>
        <v>VALID</v>
      </c>
    </row>
    <row r="3320" spans="1:14" x14ac:dyDescent="0.35">
      <c r="A3320" t="s">
        <v>262</v>
      </c>
      <c r="B3320" s="5" t="str">
        <f>_xlfn.XLOOKUP(role_course_map[[#This Row],[role_id]], role_data[role_id], role_data[Role],"")</f>
        <v>Training and Development Manager</v>
      </c>
      <c r="C3320">
        <v>999069</v>
      </c>
      <c r="D3320" s="5" t="str">
        <f>_xlfn.XLOOKUP(role_course_map[[#This Row],[course_id]],course_data[course_id],course_data[title],"")</f>
        <v>Non-specialist MTFA response (JOPS3)</v>
      </c>
      <c r="E3320" s="5" t="str">
        <f>_xlfn.XLOOKUP(role_course_map[[#This Row],[course_id]],course_data[course_id],course_data[topic],"")</f>
        <v>SAS : National Risk and Resilience Department (NRRD)</v>
      </c>
      <c r="F3320" s="5" t="str">
        <f>_xlfn.XLOOKUP(role_course_map[[#This Row],[course_id]],course_data[course_id],course_data[type],"")</f>
        <v>eLearning</v>
      </c>
      <c r="K3320" t="str">
        <f>role_course_map[[#This Row],[role_id]] &amp; "|" &amp; role_course_map[[#This Row],[course_id]]</f>
        <v>R0125|999069</v>
      </c>
      <c r="L3320" t="str">
        <f>IF(COUNTIF(role_course_map[mapping_key],role_course_map[[#This Row],[mapping_key]])&gt;1,"DUPLICATE","OK")</f>
        <v>OK</v>
      </c>
      <c r="M3320" t="str">
        <f>IF(COUNTIF(role_data[role_id],role_course_map[[#This Row],[role_id]])=0, "INVALID","VALID")</f>
        <v>VALID</v>
      </c>
      <c r="N3320" t="str">
        <f>IF(COUNTIF(course_data[course_id],role_course_map[[#This Row],[course_id]])=0, "INVALID","VALID")</f>
        <v>VALID</v>
      </c>
    </row>
    <row r="3321" spans="1:14" x14ac:dyDescent="0.35">
      <c r="A3321" t="s">
        <v>262</v>
      </c>
      <c r="B3321" s="5" t="str">
        <f>_xlfn.XLOOKUP(role_course_map[[#This Row],[role_id]], role_data[role_id], role_data[Role],"")</f>
        <v>Training and Development Manager</v>
      </c>
      <c r="C3321">
        <v>999070</v>
      </c>
      <c r="D3321" s="5" t="str">
        <f>_xlfn.XLOOKUP(role_course_map[[#This Row],[course_id]],course_data[course_id],course_data[title],"")</f>
        <v xml:space="preserve">SAS: JESIP (NEW) </v>
      </c>
      <c r="E3321" s="5" t="str">
        <f>_xlfn.XLOOKUP(role_course_map[[#This Row],[course_id]],course_data[course_id],course_data[topic],"")</f>
        <v>SAS : National Risk and Resilience Department (NRRD)</v>
      </c>
      <c r="F3321" s="5" t="str">
        <f>_xlfn.XLOOKUP(role_course_map[[#This Row],[course_id]],course_data[course_id],course_data[type],"")</f>
        <v>eLearning</v>
      </c>
      <c r="K3321" t="str">
        <f>role_course_map[[#This Row],[role_id]] &amp; "|" &amp; role_course_map[[#This Row],[course_id]]</f>
        <v>R0125|999070</v>
      </c>
      <c r="L3321" t="str">
        <f>IF(COUNTIF(role_course_map[mapping_key],role_course_map[[#This Row],[mapping_key]])&gt;1,"DUPLICATE","OK")</f>
        <v>OK</v>
      </c>
      <c r="M3321" t="str">
        <f>IF(COUNTIF(role_data[role_id],role_course_map[[#This Row],[role_id]])=0, "INVALID","VALID")</f>
        <v>VALID</v>
      </c>
      <c r="N3321" t="str">
        <f>IF(COUNTIF(course_data[course_id],role_course_map[[#This Row],[course_id]])=0, "INVALID","VALID")</f>
        <v>VALID</v>
      </c>
    </row>
    <row r="3322" spans="1:14" x14ac:dyDescent="0.35">
      <c r="A3322" t="s">
        <v>262</v>
      </c>
      <c r="B3322" s="5" t="str">
        <f>_xlfn.XLOOKUP(role_course_map[[#This Row],[role_id]], role_data[role_id], role_data[Role],"")</f>
        <v>Training and Development Manager</v>
      </c>
      <c r="C3322">
        <v>89568</v>
      </c>
      <c r="D3322" s="5" t="str">
        <f>_xlfn.XLOOKUP(role_course_map[[#This Row],[course_id]],course_data[course_id],course_data[title],"")</f>
        <v>C3 for SOMs</v>
      </c>
      <c r="E3322" s="5" t="str">
        <f>_xlfn.XLOOKUP(role_course_map[[#This Row],[course_id]],course_data[course_id],course_data[topic],"")</f>
        <v>SAS: Systems Training</v>
      </c>
      <c r="F3322" s="5" t="str">
        <f>_xlfn.XLOOKUP(role_course_map[[#This Row],[course_id]],course_data[course_id],course_data[type],"")</f>
        <v>Course</v>
      </c>
      <c r="K3322" t="str">
        <f>role_course_map[[#This Row],[role_id]] &amp; "|" &amp; role_course_map[[#This Row],[course_id]]</f>
        <v>R0125|89568</v>
      </c>
      <c r="L3322" t="str">
        <f>IF(COUNTIF(role_course_map[mapping_key],role_course_map[[#This Row],[mapping_key]])&gt;1,"DUPLICATE","OK")</f>
        <v>OK</v>
      </c>
      <c r="M3322" t="str">
        <f>IF(COUNTIF(role_data[role_id],role_course_map[[#This Row],[role_id]])=0, "INVALID","VALID")</f>
        <v>VALID</v>
      </c>
      <c r="N3322" t="str">
        <f>IF(COUNTIF(course_data[course_id],role_course_map[[#This Row],[course_id]])=0, "INVALID","VALID")</f>
        <v>VALID</v>
      </c>
    </row>
    <row r="3323" spans="1:14" x14ac:dyDescent="0.35">
      <c r="A3323" t="s">
        <v>206</v>
      </c>
      <c r="B3323" s="5" t="str">
        <f>_xlfn.XLOOKUP(role_course_map[[#This Row],[role_id]], role_data[role_id], role_data[Role],"")</f>
        <v>GP</v>
      </c>
      <c r="C3323">
        <v>78279</v>
      </c>
      <c r="D3323" s="5" t="str">
        <f>_xlfn.XLOOKUP(role_course_map[[#This Row],[course_id]],course_data[course_id],course_data[title],"")</f>
        <v>Airwave Terminal</v>
      </c>
      <c r="E3323" s="5" t="str">
        <f>_xlfn.XLOOKUP(role_course_map[[#This Row],[course_id]],course_data[course_id],course_data[topic],"")</f>
        <v>SAS: Systems Training</v>
      </c>
      <c r="F3323" s="5" t="str">
        <f>_xlfn.XLOOKUP(role_course_map[[#This Row],[course_id]],course_data[course_id],course_data[type],"")</f>
        <v>Course</v>
      </c>
      <c r="K3323" t="str">
        <f>role_course_map[[#This Row],[role_id]] &amp; "|" &amp; role_course_map[[#This Row],[course_id]]</f>
        <v>R0096|78279</v>
      </c>
      <c r="L3323" t="str">
        <f>IF(COUNTIF(role_course_map[mapping_key],role_course_map[[#This Row],[mapping_key]])&gt;1,"DUPLICATE","OK")</f>
        <v>OK</v>
      </c>
      <c r="M3323" t="str">
        <f>IF(COUNTIF(role_data[role_id],role_course_map[[#This Row],[role_id]])=0, "INVALID","VALID")</f>
        <v>VALID</v>
      </c>
      <c r="N3323" t="str">
        <f>IF(COUNTIF(course_data[course_id],role_course_map[[#This Row],[course_id]])=0, "INVALID","VALID")</f>
        <v>VALID</v>
      </c>
    </row>
    <row r="3324" spans="1:14" x14ac:dyDescent="0.35">
      <c r="A3324" t="s">
        <v>206</v>
      </c>
      <c r="B3324" s="5" t="str">
        <f>_xlfn.XLOOKUP(role_course_map[[#This Row],[role_id]], role_data[role_id], role_data[Role],"")</f>
        <v>GP</v>
      </c>
      <c r="C3324">
        <v>75937</v>
      </c>
      <c r="D3324" s="5" t="str">
        <f>_xlfn.XLOOKUP(role_course_map[[#This Row],[course_id]],course_data[course_id],course_data[title],"")</f>
        <v>C3 for Clinicians</v>
      </c>
      <c r="E3324" s="5" t="str">
        <f>_xlfn.XLOOKUP(role_course_map[[#This Row],[course_id]],course_data[course_id],course_data[topic],"")</f>
        <v>SAS: Systems Training</v>
      </c>
      <c r="F3324" s="5" t="str">
        <f>_xlfn.XLOOKUP(role_course_map[[#This Row],[course_id]],course_data[course_id],course_data[type],"")</f>
        <v>Course</v>
      </c>
      <c r="K3324" t="str">
        <f>role_course_map[[#This Row],[role_id]] &amp; "|" &amp; role_course_map[[#This Row],[course_id]]</f>
        <v>R0096|75937</v>
      </c>
      <c r="L3324" t="str">
        <f>IF(COUNTIF(role_course_map[mapping_key],role_course_map[[#This Row],[mapping_key]])&gt;1,"DUPLICATE","OK")</f>
        <v>OK</v>
      </c>
      <c r="M3324" t="str">
        <f>IF(COUNTIF(role_data[role_id],role_course_map[[#This Row],[role_id]])=0, "INVALID","VALID")</f>
        <v>VALID</v>
      </c>
      <c r="N3324" t="str">
        <f>IF(COUNTIF(course_data[course_id],role_course_map[[#This Row],[course_id]])=0, "INVALID","VALID")</f>
        <v>VALID</v>
      </c>
    </row>
    <row r="3325" spans="1:14" x14ac:dyDescent="0.35">
      <c r="A3325" t="s">
        <v>206</v>
      </c>
      <c r="B3325" s="5" t="str">
        <f>_xlfn.XLOOKUP(role_course_map[[#This Row],[role_id]], role_data[role_id], role_data[Role],"")</f>
        <v>GP</v>
      </c>
      <c r="C3325">
        <v>999058</v>
      </c>
      <c r="D3325" s="5" t="str">
        <f>_xlfn.XLOOKUP(role_course_map[[#This Row],[course_id]],course_data[course_id],course_data[title],"")</f>
        <v>Stress Identification &amp; Stress Management</v>
      </c>
      <c r="E3325" s="5" t="str">
        <f>_xlfn.XLOOKUP(role_course_map[[#This Row],[course_id]],course_data[course_id],course_data[topic],"")</f>
        <v>SAS : Health and Safety</v>
      </c>
      <c r="F3325" s="5" t="str">
        <f>_xlfn.XLOOKUP(role_course_map[[#This Row],[course_id]],course_data[course_id],course_data[type],"")</f>
        <v>eLearning</v>
      </c>
      <c r="K3325" t="str">
        <f>role_course_map[[#This Row],[role_id]] &amp; "|" &amp; role_course_map[[#This Row],[course_id]]</f>
        <v>R0096|999058</v>
      </c>
      <c r="L3325" t="str">
        <f>IF(COUNTIF(role_course_map[mapping_key],role_course_map[[#This Row],[mapping_key]])&gt;1,"DUPLICATE","OK")</f>
        <v>OK</v>
      </c>
      <c r="M3325" t="str">
        <f>IF(COUNTIF(role_data[role_id],role_course_map[[#This Row],[role_id]])=0, "INVALID","VALID")</f>
        <v>VALID</v>
      </c>
      <c r="N3325" t="str">
        <f>IF(COUNTIF(course_data[course_id],role_course_map[[#This Row],[course_id]])=0, "INVALID","VALID")</f>
        <v>VALID</v>
      </c>
    </row>
    <row r="3326" spans="1:14" x14ac:dyDescent="0.35">
      <c r="A3326" t="s">
        <v>206</v>
      </c>
      <c r="B3326" s="5" t="str">
        <f>_xlfn.XLOOKUP(role_course_map[[#This Row],[role_id]], role_data[role_id], role_data[Role],"")</f>
        <v>GP</v>
      </c>
      <c r="C3326">
        <v>999056</v>
      </c>
      <c r="D3326" s="5" t="str">
        <f>_xlfn.XLOOKUP(role_course_map[[#This Row],[course_id]],course_data[course_id],course_data[title],"")</f>
        <v>Driver Assessment &amp; Training</v>
      </c>
      <c r="E3326" s="5" t="str">
        <f>_xlfn.XLOOKUP(role_course_map[[#This Row],[course_id]],course_data[course_id],course_data[topic],"")</f>
        <v>SAS : Health and Safety</v>
      </c>
      <c r="F3326" s="5" t="str">
        <f>_xlfn.XLOOKUP(role_course_map[[#This Row],[course_id]],course_data[course_id],course_data[type],"")</f>
        <v>eLearning</v>
      </c>
      <c r="K3326" t="str">
        <f>role_course_map[[#This Row],[role_id]] &amp; "|" &amp; role_course_map[[#This Row],[course_id]]</f>
        <v>R0096|999056</v>
      </c>
      <c r="L3326" t="str">
        <f>IF(COUNTIF(role_course_map[mapping_key],role_course_map[[#This Row],[mapping_key]])&gt;1,"DUPLICATE","OK")</f>
        <v>OK</v>
      </c>
      <c r="M3326" t="str">
        <f>IF(COUNTIF(role_data[role_id],role_course_map[[#This Row],[role_id]])=0, "INVALID","VALID")</f>
        <v>VALID</v>
      </c>
      <c r="N3326" t="str">
        <f>IF(COUNTIF(course_data[course_id],role_course_map[[#This Row],[course_id]])=0, "INVALID","VALID")</f>
        <v>VALID</v>
      </c>
    </row>
    <row r="3327" spans="1:14" x14ac:dyDescent="0.35">
      <c r="A3327" t="s">
        <v>206</v>
      </c>
      <c r="B3327" s="5" t="str">
        <f>_xlfn.XLOOKUP(role_course_map[[#This Row],[role_id]], role_data[role_id], role_data[Role],"")</f>
        <v>GP</v>
      </c>
      <c r="C3327">
        <v>999057</v>
      </c>
      <c r="D3327" s="5" t="str">
        <f>_xlfn.XLOOKUP(role_course_map[[#This Row],[course_id]],course_data[course_id],course_data[title],"")</f>
        <v>Fatigue Awareness</v>
      </c>
      <c r="E3327" s="5" t="str">
        <f>_xlfn.XLOOKUP(role_course_map[[#This Row],[course_id]],course_data[course_id],course_data[topic],"")</f>
        <v>SAS : Health and Safety</v>
      </c>
      <c r="F3327" s="5" t="str">
        <f>_xlfn.XLOOKUP(role_course_map[[#This Row],[course_id]],course_data[course_id],course_data[type],"")</f>
        <v>eLearning</v>
      </c>
      <c r="K3327" t="str">
        <f>role_course_map[[#This Row],[role_id]] &amp; "|" &amp; role_course_map[[#This Row],[course_id]]</f>
        <v>R0096|999057</v>
      </c>
      <c r="L3327" t="str">
        <f>IF(COUNTIF(role_course_map[mapping_key],role_course_map[[#This Row],[mapping_key]])&gt;1,"DUPLICATE","OK")</f>
        <v>OK</v>
      </c>
      <c r="M3327" t="str">
        <f>IF(COUNTIF(role_data[role_id],role_course_map[[#This Row],[role_id]])=0, "INVALID","VALID")</f>
        <v>VALID</v>
      </c>
      <c r="N3327" t="str">
        <f>IF(COUNTIF(course_data[course_id],role_course_map[[#This Row],[course_id]])=0, "INVALID","VALID")</f>
        <v>VALID</v>
      </c>
    </row>
    <row r="3328" spans="1:14" x14ac:dyDescent="0.35">
      <c r="A3328" t="s">
        <v>206</v>
      </c>
      <c r="B3328" s="5" t="str">
        <f>_xlfn.XLOOKUP(role_course_map[[#This Row],[role_id]], role_data[role_id], role_data[Role],"")</f>
        <v>GP</v>
      </c>
      <c r="C3328">
        <v>64322</v>
      </c>
      <c r="D3328" s="5" t="str">
        <f>_xlfn.XLOOKUP(role_course_map[[#This Row],[course_id]],course_data[course_id],course_data[title],"")</f>
        <v>Adult support and protection: practice level 2 [skilled]</v>
      </c>
      <c r="E3328" s="5" t="str">
        <f>_xlfn.XLOOKUP(role_course_map[[#This Row],[course_id]],course_data[course_id],course_data[topic],"")</f>
        <v>SAS : Public Protection</v>
      </c>
      <c r="F3328" s="5" t="str">
        <f>_xlfn.XLOOKUP(role_course_map[[#This Row],[course_id]],course_data[course_id],course_data[type],"")</f>
        <v>eLearning</v>
      </c>
      <c r="K3328" t="str">
        <f>role_course_map[[#This Row],[role_id]] &amp; "|" &amp; role_course_map[[#This Row],[course_id]]</f>
        <v>R0096|64322</v>
      </c>
      <c r="L3328" t="str">
        <f>IF(COUNTIF(role_course_map[mapping_key],role_course_map[[#This Row],[mapping_key]])&gt;1,"DUPLICATE","OK")</f>
        <v>OK</v>
      </c>
      <c r="M3328" t="str">
        <f>IF(COUNTIF(role_data[role_id],role_course_map[[#This Row],[role_id]])=0, "INVALID","VALID")</f>
        <v>VALID</v>
      </c>
      <c r="N3328" t="str">
        <f>IF(COUNTIF(course_data[course_id],role_course_map[[#This Row],[course_id]])=0, "INVALID","VALID")</f>
        <v>VALID</v>
      </c>
    </row>
    <row r="3329" spans="1:14" x14ac:dyDescent="0.35">
      <c r="A3329" t="s">
        <v>206</v>
      </c>
      <c r="B3329" s="5" t="str">
        <f>_xlfn.XLOOKUP(role_course_map[[#This Row],[role_id]], role_data[role_id], role_data[Role],"")</f>
        <v>GP</v>
      </c>
      <c r="C3329">
        <v>64324</v>
      </c>
      <c r="D3329" s="5" t="str">
        <f>_xlfn.XLOOKUP(role_course_map[[#This Row],[course_id]],course_data[course_id],course_data[title],"")</f>
        <v>Child protection: practice level 2 [skilled]</v>
      </c>
      <c r="E3329" s="5" t="str">
        <f>_xlfn.XLOOKUP(role_course_map[[#This Row],[course_id]],course_data[course_id],course_data[topic],"")</f>
        <v>SAS : Public Protection</v>
      </c>
      <c r="F3329" s="5" t="str">
        <f>_xlfn.XLOOKUP(role_course_map[[#This Row],[course_id]],course_data[course_id],course_data[type],"")</f>
        <v>eLearning</v>
      </c>
      <c r="K3329" t="str">
        <f>role_course_map[[#This Row],[role_id]] &amp; "|" &amp; role_course_map[[#This Row],[course_id]]</f>
        <v>R0096|64324</v>
      </c>
      <c r="L3329" t="str">
        <f>IF(COUNTIF(role_course_map[mapping_key],role_course_map[[#This Row],[mapping_key]])&gt;1,"DUPLICATE","OK")</f>
        <v>OK</v>
      </c>
      <c r="M3329" t="str">
        <f>IF(COUNTIF(role_data[role_id],role_course_map[[#This Row],[role_id]])=0, "INVALID","VALID")</f>
        <v>VALID</v>
      </c>
      <c r="N3329" t="str">
        <f>IF(COUNTIF(course_data[course_id],role_course_map[[#This Row],[course_id]])=0, "INVALID","VALID")</f>
        <v>VALID</v>
      </c>
    </row>
    <row r="3330" spans="1:14" x14ac:dyDescent="0.35">
      <c r="A3330" t="s">
        <v>206</v>
      </c>
      <c r="B3330" s="5" t="str">
        <f>_xlfn.XLOOKUP(role_course_map[[#This Row],[role_id]], role_data[role_id], role_data[Role],"")</f>
        <v>GP</v>
      </c>
      <c r="C3330">
        <v>76716</v>
      </c>
      <c r="D3330" s="5" t="str">
        <f>_xlfn.XLOOKUP(role_course_map[[#This Row],[course_id]],course_data[course_id],course_data[title],"")</f>
        <v>Domestic abuse awareness training tool (DAART)</v>
      </c>
      <c r="E3330" s="5" t="str">
        <f>_xlfn.XLOOKUP(role_course_map[[#This Row],[course_id]],course_data[course_id],course_data[topic],"")</f>
        <v>SAS : Public Protection</v>
      </c>
      <c r="F3330" s="5" t="str">
        <f>_xlfn.XLOOKUP(role_course_map[[#This Row],[course_id]],course_data[course_id],course_data[type],"")</f>
        <v>eLearning</v>
      </c>
      <c r="K3330" t="str">
        <f>role_course_map[[#This Row],[role_id]] &amp; "|" &amp; role_course_map[[#This Row],[course_id]]</f>
        <v>R0096|76716</v>
      </c>
      <c r="L3330" t="str">
        <f>IF(COUNTIF(role_course_map[mapping_key],role_course_map[[#This Row],[mapping_key]])&gt;1,"DUPLICATE","OK")</f>
        <v>OK</v>
      </c>
      <c r="M3330" t="str">
        <f>IF(COUNTIF(role_data[role_id],role_course_map[[#This Row],[role_id]])=0, "INVALID","VALID")</f>
        <v>VALID</v>
      </c>
      <c r="N3330" t="str">
        <f>IF(COUNTIF(course_data[course_id],role_course_map[[#This Row],[course_id]])=0, "INVALID","VALID")</f>
        <v>VALID</v>
      </c>
    </row>
    <row r="3331" spans="1:14" x14ac:dyDescent="0.35">
      <c r="A3331" t="s">
        <v>206</v>
      </c>
      <c r="B3331" s="5" t="str">
        <f>_xlfn.XLOOKUP(role_course_map[[#This Row],[role_id]], role_data[role_id], role_data[Role],"")</f>
        <v>GP</v>
      </c>
      <c r="C3331">
        <v>79666</v>
      </c>
      <c r="D3331" s="5" t="str">
        <f>_xlfn.XLOOKUP(role_course_map[[#This Row],[course_id]],course_data[course_id],course_data[title],"")</f>
        <v>Getting it right for every child (GIRFEC): informed level</v>
      </c>
      <c r="E3331" s="5" t="str">
        <f>_xlfn.XLOOKUP(role_course_map[[#This Row],[course_id]],course_data[course_id],course_data[topic],"")</f>
        <v>SAS : Public Protection</v>
      </c>
      <c r="F3331" s="5" t="str">
        <f>_xlfn.XLOOKUP(role_course_map[[#This Row],[course_id]],course_data[course_id],course_data[type],"")</f>
        <v>eLearning</v>
      </c>
      <c r="K3331" t="str">
        <f>role_course_map[[#This Row],[role_id]] &amp; "|" &amp; role_course_map[[#This Row],[course_id]]</f>
        <v>R0096|79666</v>
      </c>
      <c r="L3331" t="str">
        <f>IF(COUNTIF(role_course_map[mapping_key],role_course_map[[#This Row],[mapping_key]])&gt;1,"DUPLICATE","OK")</f>
        <v>OK</v>
      </c>
      <c r="M3331" t="str">
        <f>IF(COUNTIF(role_data[role_id],role_course_map[[#This Row],[role_id]])=0, "INVALID","VALID")</f>
        <v>VALID</v>
      </c>
      <c r="N3331" t="str">
        <f>IF(COUNTIF(course_data[course_id],role_course_map[[#This Row],[course_id]])=0, "INVALID","VALID")</f>
        <v>VALID</v>
      </c>
    </row>
    <row r="3332" spans="1:14" x14ac:dyDescent="0.35">
      <c r="A3332" t="s">
        <v>206</v>
      </c>
      <c r="B3332" s="5" t="str">
        <f>_xlfn.XLOOKUP(role_course_map[[#This Row],[role_id]], role_data[role_id], role_data[Role],"")</f>
        <v>GP</v>
      </c>
      <c r="C3332">
        <v>999074</v>
      </c>
      <c r="D3332" s="5" t="str">
        <f>_xlfn.XLOOKUP(role_course_map[[#This Row],[course_id]],course_data[course_id],course_data[title],"")</f>
        <v>SAS-specific Children’s rights</v>
      </c>
      <c r="E3332" s="5" t="str">
        <f>_xlfn.XLOOKUP(role_course_map[[#This Row],[course_id]],course_data[course_id],course_data[topic],"")</f>
        <v>SAS : Public Protection</v>
      </c>
      <c r="F3332" s="5" t="str">
        <f>_xlfn.XLOOKUP(role_course_map[[#This Row],[course_id]],course_data[course_id],course_data[type],"")</f>
        <v>eLearning</v>
      </c>
      <c r="K3332" t="str">
        <f>role_course_map[[#This Row],[role_id]] &amp; "|" &amp; role_course_map[[#This Row],[course_id]]</f>
        <v>R0096|999074</v>
      </c>
      <c r="L3332" t="str">
        <f>IF(COUNTIF(role_course_map[mapping_key],role_course_map[[#This Row],[mapping_key]])&gt;1,"DUPLICATE","OK")</f>
        <v>OK</v>
      </c>
      <c r="M3332" t="str">
        <f>IF(COUNTIF(role_data[role_id],role_course_map[[#This Row],[role_id]])=0, "INVALID","VALID")</f>
        <v>VALID</v>
      </c>
      <c r="N3332" t="str">
        <f>IF(COUNTIF(course_data[course_id],role_course_map[[#This Row],[course_id]])=0, "INVALID","VALID")</f>
        <v>VALID</v>
      </c>
    </row>
    <row r="3333" spans="1:14" x14ac:dyDescent="0.35">
      <c r="A3333" t="s">
        <v>206</v>
      </c>
      <c r="B3333" s="5" t="str">
        <f>_xlfn.XLOOKUP(role_course_map[[#This Row],[role_id]], role_data[role_id], role_data[Role],"")</f>
        <v>GP</v>
      </c>
      <c r="C3333">
        <v>999075</v>
      </c>
      <c r="D3333" s="5" t="str">
        <f>_xlfn.XLOOKUP(role_course_map[[#This Row],[course_id]],course_data[course_id],course_data[title],"")</f>
        <v>Multiagency local or bespoke Level 3 delivery training</v>
      </c>
      <c r="E3333" s="5" t="str">
        <f>_xlfn.XLOOKUP(role_course_map[[#This Row],[course_id]],course_data[course_id],course_data[topic],"")</f>
        <v>SAS : Public Protection</v>
      </c>
      <c r="F3333" s="5" t="str">
        <f>_xlfn.XLOOKUP(role_course_map[[#This Row],[course_id]],course_data[course_id],course_data[type],"")</f>
        <v>eLearning</v>
      </c>
      <c r="K3333" t="str">
        <f>role_course_map[[#This Row],[role_id]] &amp; "|" &amp; role_course_map[[#This Row],[course_id]]</f>
        <v>R0096|999075</v>
      </c>
      <c r="L3333" t="str">
        <f>IF(COUNTIF(role_course_map[mapping_key],role_course_map[[#This Row],[mapping_key]])&gt;1,"DUPLICATE","OK")</f>
        <v>OK</v>
      </c>
      <c r="M3333" t="str">
        <f>IF(COUNTIF(role_data[role_id],role_course_map[[#This Row],[role_id]])=0, "INVALID","VALID")</f>
        <v>VALID</v>
      </c>
      <c r="N3333" t="str">
        <f>IF(COUNTIF(course_data[course_id],role_course_map[[#This Row],[course_id]])=0, "INVALID","VALID")</f>
        <v>VALID</v>
      </c>
    </row>
    <row r="3334" spans="1:14" x14ac:dyDescent="0.35">
      <c r="A3334" t="s">
        <v>206</v>
      </c>
      <c r="B3334" s="5" t="str">
        <f>_xlfn.XLOOKUP(role_course_map[[#This Row],[role_id]], role_data[role_id], role_data[Role],"")</f>
        <v>GP</v>
      </c>
      <c r="C3334">
        <v>15249</v>
      </c>
      <c r="D3334" s="5" t="str">
        <f>_xlfn.XLOOKUP(role_course_map[[#This Row],[course_id]],course_data[course_id],course_data[title],"")</f>
        <v>Human trafficking</v>
      </c>
      <c r="E3334" s="5" t="str">
        <f>_xlfn.XLOOKUP(role_course_map[[#This Row],[course_id]],course_data[course_id],course_data[topic],"")</f>
        <v>SAS : Public Protection</v>
      </c>
      <c r="F3334" s="5" t="str">
        <f>_xlfn.XLOOKUP(role_course_map[[#This Row],[course_id]],course_data[course_id],course_data[type],"")</f>
        <v>eLearning</v>
      </c>
      <c r="K3334" t="str">
        <f>role_course_map[[#This Row],[role_id]] &amp; "|" &amp; role_course_map[[#This Row],[course_id]]</f>
        <v>R0096|15249</v>
      </c>
      <c r="L3334" t="str">
        <f>IF(COUNTIF(role_course_map[mapping_key],role_course_map[[#This Row],[mapping_key]])&gt;1,"DUPLICATE","OK")</f>
        <v>OK</v>
      </c>
      <c r="M3334" t="str">
        <f>IF(COUNTIF(role_data[role_id],role_course_map[[#This Row],[role_id]])=0, "INVALID","VALID")</f>
        <v>VALID</v>
      </c>
      <c r="N3334" t="str">
        <f>IF(COUNTIF(course_data[course_id],role_course_map[[#This Row],[course_id]])=0, "INVALID","VALID")</f>
        <v>VALID</v>
      </c>
    </row>
    <row r="3335" spans="1:14" x14ac:dyDescent="0.35">
      <c r="A3335" t="s">
        <v>206</v>
      </c>
      <c r="B3335" s="5" t="str">
        <f>_xlfn.XLOOKUP(role_course_map[[#This Row],[role_id]], role_data[role_id], role_data[Role],"")</f>
        <v>GP</v>
      </c>
      <c r="C3335">
        <v>999092</v>
      </c>
      <c r="D3335" s="5" t="str">
        <f>_xlfn.XLOOKUP(role_course_map[[#This Row],[course_id]],course_data[course_id],course_data[title],"")</f>
        <v>Health &amp; Wellbeing Awareness for Managers</v>
      </c>
      <c r="E3335" s="5" t="str">
        <f>_xlfn.XLOOKUP(role_course_map[[#This Row],[course_id]],course_data[course_id],course_data[topic],"")</f>
        <v>SAS: Staff development and experience</v>
      </c>
      <c r="F3335" s="5" t="str">
        <f>_xlfn.XLOOKUP(role_course_map[[#This Row],[course_id]],course_data[course_id],course_data[type],"")</f>
        <v>eLearning</v>
      </c>
      <c r="K3335" t="str">
        <f>role_course_map[[#This Row],[role_id]] &amp; "|" &amp; role_course_map[[#This Row],[course_id]]</f>
        <v>R0096|999092</v>
      </c>
      <c r="L3335" t="str">
        <f>IF(COUNTIF(role_course_map[mapping_key],role_course_map[[#This Row],[mapping_key]])&gt;1,"DUPLICATE","OK")</f>
        <v>OK</v>
      </c>
      <c r="M3335" t="str">
        <f>IF(COUNTIF(role_data[role_id],role_course_map[[#This Row],[role_id]])=0, "INVALID","VALID")</f>
        <v>VALID</v>
      </c>
      <c r="N3335" t="str">
        <f>IF(COUNTIF(course_data[course_id],role_course_map[[#This Row],[course_id]])=0, "INVALID","VALID")</f>
        <v>VALID</v>
      </c>
    </row>
    <row r="3336" spans="1:14" x14ac:dyDescent="0.35">
      <c r="A3336" t="s">
        <v>206</v>
      </c>
      <c r="B3336" s="5" t="str">
        <f>_xlfn.XLOOKUP(role_course_map[[#This Row],[role_id]], role_data[role_id], role_data[Role],"")</f>
        <v>GP</v>
      </c>
      <c r="C3336">
        <v>999093</v>
      </c>
      <c r="D3336" s="5" t="str">
        <f>_xlfn.XLOOKUP(role_course_map[[#This Row],[course_id]],course_data[course_id],course_data[title],"")</f>
        <v>Managing Wellbeing Refresher for Managers</v>
      </c>
      <c r="E3336" s="5" t="str">
        <f>_xlfn.XLOOKUP(role_course_map[[#This Row],[course_id]],course_data[course_id],course_data[topic],"")</f>
        <v>SAS: Staff development and experience</v>
      </c>
      <c r="F3336" s="5" t="str">
        <f>_xlfn.XLOOKUP(role_course_map[[#This Row],[course_id]],course_data[course_id],course_data[type],"")</f>
        <v>eLearning</v>
      </c>
      <c r="K3336" t="str">
        <f>role_course_map[[#This Row],[role_id]] &amp; "|" &amp; role_course_map[[#This Row],[course_id]]</f>
        <v>R0096|999093</v>
      </c>
      <c r="L3336" t="str">
        <f>IF(COUNTIF(role_course_map[mapping_key],role_course_map[[#This Row],[mapping_key]])&gt;1,"DUPLICATE","OK")</f>
        <v>OK</v>
      </c>
      <c r="M3336" t="str">
        <f>IF(COUNTIF(role_data[role_id],role_course_map[[#This Row],[role_id]])=0, "INVALID","VALID")</f>
        <v>VALID</v>
      </c>
      <c r="N3336" t="str">
        <f>IF(COUNTIF(course_data[course_id],role_course_map[[#This Row],[course_id]])=0, "INVALID","VALID")</f>
        <v>VALID</v>
      </c>
    </row>
    <row r="3337" spans="1:14" x14ac:dyDescent="0.35">
      <c r="A3337" t="s">
        <v>206</v>
      </c>
      <c r="B3337" s="5" t="str">
        <f>_xlfn.XLOOKUP(role_course_map[[#This Row],[role_id]], role_data[role_id], role_data[Role],"")</f>
        <v>GP</v>
      </c>
      <c r="C3337">
        <v>999094</v>
      </c>
      <c r="D3337" s="5" t="str">
        <f>_xlfn.XLOOKUP(role_course_map[[#This Row],[course_id]],course_data[course_id],course_data[title],"")</f>
        <v>Being well, Mind, Body &amp; Workplace</v>
      </c>
      <c r="E3337" s="5" t="str">
        <f>_xlfn.XLOOKUP(role_course_map[[#This Row],[course_id]],course_data[course_id],course_data[topic],"")</f>
        <v>SAS: Staff development and experience</v>
      </c>
      <c r="F3337" s="5" t="str">
        <f>_xlfn.XLOOKUP(role_course_map[[#This Row],[course_id]],course_data[course_id],course_data[type],"")</f>
        <v>eLearning</v>
      </c>
      <c r="K3337" t="str">
        <f>role_course_map[[#This Row],[role_id]] &amp; "|" &amp; role_course_map[[#This Row],[course_id]]</f>
        <v>R0096|999094</v>
      </c>
      <c r="L3337" t="str">
        <f>IF(COUNTIF(role_course_map[mapping_key],role_course_map[[#This Row],[mapping_key]])&gt;1,"DUPLICATE","OK")</f>
        <v>OK</v>
      </c>
      <c r="M3337" t="str">
        <f>IF(COUNTIF(role_data[role_id],role_course_map[[#This Row],[role_id]])=0, "INVALID","VALID")</f>
        <v>VALID</v>
      </c>
      <c r="N3337" t="str">
        <f>IF(COUNTIF(course_data[course_id],role_course_map[[#This Row],[course_id]])=0, "INVALID","VALID")</f>
        <v>VALID</v>
      </c>
    </row>
    <row r="3338" spans="1:14" x14ac:dyDescent="0.35">
      <c r="A3338" t="s">
        <v>204</v>
      </c>
      <c r="B3338" s="5" t="str">
        <f>_xlfn.XLOOKUP(role_course_map[[#This Row],[role_id]], role_data[role_id], role_data[Role],"")</f>
        <v>Clinical Quality Lead</v>
      </c>
      <c r="C3338">
        <v>89569</v>
      </c>
      <c r="D3338" s="5" t="str">
        <f>_xlfn.XLOOKUP(role_course_map[[#This Row],[course_id]],course_data[course_id],course_data[title],"")</f>
        <v>LifeX for Supervisors</v>
      </c>
      <c r="E3338" s="5" t="str">
        <f>_xlfn.XLOOKUP(role_course_map[[#This Row],[course_id]],course_data[course_id],course_data[topic],"")</f>
        <v>SAS: Systems Training</v>
      </c>
      <c r="F3338" s="5" t="str">
        <f>_xlfn.XLOOKUP(role_course_map[[#This Row],[course_id]],course_data[course_id],course_data[type],"")</f>
        <v>Course</v>
      </c>
      <c r="K3338" t="str">
        <f>role_course_map[[#This Row],[role_id]] &amp; "|" &amp; role_course_map[[#This Row],[course_id]]</f>
        <v>R0095|89569</v>
      </c>
      <c r="L3338" t="str">
        <f>IF(COUNTIF(role_course_map[mapping_key],role_course_map[[#This Row],[mapping_key]])&gt;1,"DUPLICATE","OK")</f>
        <v>OK</v>
      </c>
      <c r="M3338" t="str">
        <f>IF(COUNTIF(role_data[role_id],role_course_map[[#This Row],[role_id]])=0, "INVALID","VALID")</f>
        <v>VALID</v>
      </c>
      <c r="N3338" t="str">
        <f>IF(COUNTIF(course_data[course_id],role_course_map[[#This Row],[course_id]])=0, "INVALID","VALID")</f>
        <v>VALID</v>
      </c>
    </row>
    <row r="3339" spans="1:14" x14ac:dyDescent="0.35">
      <c r="A3339" t="s">
        <v>204</v>
      </c>
      <c r="B3339" s="5" t="str">
        <f>_xlfn.XLOOKUP(role_course_map[[#This Row],[role_id]], role_data[role_id], role_data[Role],"")</f>
        <v>Clinical Quality Lead</v>
      </c>
      <c r="C3339">
        <v>999001</v>
      </c>
      <c r="D3339" s="5" t="str">
        <f>_xlfn.XLOOKUP(role_course_map[[#This Row],[course_id]],course_data[course_id],course_data[title],"")</f>
        <v>IAED - EMD</v>
      </c>
      <c r="E3339" s="5" t="str">
        <f>_xlfn.XLOOKUP(role_course_map[[#This Row],[course_id]],course_data[course_id],course_data[topic],"")</f>
        <v>SAS : Ambulance Control Centre (ACC)</v>
      </c>
      <c r="F3339" s="5" t="str">
        <f>_xlfn.XLOOKUP(role_course_map[[#This Row],[course_id]],course_data[course_id],course_data[type],"")</f>
        <v>Course</v>
      </c>
      <c r="K3339" t="str">
        <f>role_course_map[[#This Row],[role_id]] &amp; "|" &amp; role_course_map[[#This Row],[course_id]]</f>
        <v>R0095|999001</v>
      </c>
      <c r="L3339" t="str">
        <f>IF(COUNTIF(role_course_map[mapping_key],role_course_map[[#This Row],[mapping_key]])&gt;1,"DUPLICATE","OK")</f>
        <v>OK</v>
      </c>
      <c r="M3339" t="str">
        <f>IF(COUNTIF(role_data[role_id],role_course_map[[#This Row],[role_id]])=0, "INVALID","VALID")</f>
        <v>VALID</v>
      </c>
      <c r="N3339" t="str">
        <f>IF(COUNTIF(course_data[course_id],role_course_map[[#This Row],[course_id]])=0, "INVALID","VALID")</f>
        <v>VALID</v>
      </c>
    </row>
    <row r="3340" spans="1:14" x14ac:dyDescent="0.35">
      <c r="A3340" t="s">
        <v>204</v>
      </c>
      <c r="B3340" s="5" t="str">
        <f>_xlfn.XLOOKUP(role_course_map[[#This Row],[role_id]], role_data[role_id], role_data[Role],"")</f>
        <v>Clinical Quality Lead</v>
      </c>
      <c r="C3340">
        <v>999058</v>
      </c>
      <c r="D3340" s="5" t="str">
        <f>_xlfn.XLOOKUP(role_course_map[[#This Row],[course_id]],course_data[course_id],course_data[title],"")</f>
        <v>Stress Identification &amp; Stress Management</v>
      </c>
      <c r="E3340" s="5" t="str">
        <f>_xlfn.XLOOKUP(role_course_map[[#This Row],[course_id]],course_data[course_id],course_data[topic],"")</f>
        <v>SAS : Health and Safety</v>
      </c>
      <c r="F3340" s="5" t="str">
        <f>_xlfn.XLOOKUP(role_course_map[[#This Row],[course_id]],course_data[course_id],course_data[type],"")</f>
        <v>eLearning</v>
      </c>
      <c r="K3340" t="str">
        <f>role_course_map[[#This Row],[role_id]] &amp; "|" &amp; role_course_map[[#This Row],[course_id]]</f>
        <v>R0095|999058</v>
      </c>
      <c r="L3340" t="str">
        <f>IF(COUNTIF(role_course_map[mapping_key],role_course_map[[#This Row],[mapping_key]])&gt;1,"DUPLICATE","OK")</f>
        <v>OK</v>
      </c>
      <c r="M3340" t="str">
        <f>IF(COUNTIF(role_data[role_id],role_course_map[[#This Row],[role_id]])=0, "INVALID","VALID")</f>
        <v>VALID</v>
      </c>
      <c r="N3340" t="str">
        <f>IF(COUNTIF(course_data[course_id],role_course_map[[#This Row],[course_id]])=0, "INVALID","VALID")</f>
        <v>VALID</v>
      </c>
    </row>
    <row r="3341" spans="1:14" x14ac:dyDescent="0.35">
      <c r="A3341" t="s">
        <v>204</v>
      </c>
      <c r="B3341" s="5" t="str">
        <f>_xlfn.XLOOKUP(role_course_map[[#This Row],[role_id]], role_data[role_id], role_data[Role],"")</f>
        <v>Clinical Quality Lead</v>
      </c>
      <c r="C3341">
        <v>999056</v>
      </c>
      <c r="D3341" s="5" t="str">
        <f>_xlfn.XLOOKUP(role_course_map[[#This Row],[course_id]],course_data[course_id],course_data[title],"")</f>
        <v>Driver Assessment &amp; Training</v>
      </c>
      <c r="E3341" s="5" t="str">
        <f>_xlfn.XLOOKUP(role_course_map[[#This Row],[course_id]],course_data[course_id],course_data[topic],"")</f>
        <v>SAS : Health and Safety</v>
      </c>
      <c r="F3341" s="5" t="str">
        <f>_xlfn.XLOOKUP(role_course_map[[#This Row],[course_id]],course_data[course_id],course_data[type],"")</f>
        <v>eLearning</v>
      </c>
      <c r="K3341" t="str">
        <f>role_course_map[[#This Row],[role_id]] &amp; "|" &amp; role_course_map[[#This Row],[course_id]]</f>
        <v>R0095|999056</v>
      </c>
      <c r="L3341" t="str">
        <f>IF(COUNTIF(role_course_map[mapping_key],role_course_map[[#This Row],[mapping_key]])&gt;1,"DUPLICATE","OK")</f>
        <v>OK</v>
      </c>
      <c r="M3341" t="str">
        <f>IF(COUNTIF(role_data[role_id],role_course_map[[#This Row],[role_id]])=0, "INVALID","VALID")</f>
        <v>VALID</v>
      </c>
      <c r="N3341" t="str">
        <f>IF(COUNTIF(course_data[course_id],role_course_map[[#This Row],[course_id]])=0, "INVALID","VALID")</f>
        <v>VALID</v>
      </c>
    </row>
    <row r="3342" spans="1:14" x14ac:dyDescent="0.35">
      <c r="A3342" t="s">
        <v>204</v>
      </c>
      <c r="B3342" s="5" t="str">
        <f>_xlfn.XLOOKUP(role_course_map[[#This Row],[role_id]], role_data[role_id], role_data[Role],"")</f>
        <v>Clinical Quality Lead</v>
      </c>
      <c r="C3342">
        <v>999057</v>
      </c>
      <c r="D3342" s="5" t="str">
        <f>_xlfn.XLOOKUP(role_course_map[[#This Row],[course_id]],course_data[course_id],course_data[title],"")</f>
        <v>Fatigue Awareness</v>
      </c>
      <c r="E3342" s="5" t="str">
        <f>_xlfn.XLOOKUP(role_course_map[[#This Row],[course_id]],course_data[course_id],course_data[topic],"")</f>
        <v>SAS : Health and Safety</v>
      </c>
      <c r="F3342" s="5" t="str">
        <f>_xlfn.XLOOKUP(role_course_map[[#This Row],[course_id]],course_data[course_id],course_data[type],"")</f>
        <v>eLearning</v>
      </c>
      <c r="K3342" t="str">
        <f>role_course_map[[#This Row],[role_id]] &amp; "|" &amp; role_course_map[[#This Row],[course_id]]</f>
        <v>R0095|999057</v>
      </c>
      <c r="L3342" t="str">
        <f>IF(COUNTIF(role_course_map[mapping_key],role_course_map[[#This Row],[mapping_key]])&gt;1,"DUPLICATE","OK")</f>
        <v>OK</v>
      </c>
      <c r="M3342" t="str">
        <f>IF(COUNTIF(role_data[role_id],role_course_map[[#This Row],[role_id]])=0, "INVALID","VALID")</f>
        <v>VALID</v>
      </c>
      <c r="N3342" t="str">
        <f>IF(COUNTIF(course_data[course_id],role_course_map[[#This Row],[course_id]])=0, "INVALID","VALID")</f>
        <v>VALID</v>
      </c>
    </row>
    <row r="3343" spans="1:14" x14ac:dyDescent="0.35">
      <c r="A3343" t="s">
        <v>204</v>
      </c>
      <c r="B3343" s="5" t="str">
        <f>_xlfn.XLOOKUP(role_course_map[[#This Row],[role_id]], role_data[role_id], role_data[Role],"")</f>
        <v>Clinical Quality Lead</v>
      </c>
      <c r="C3343">
        <v>64322</v>
      </c>
      <c r="D3343" s="5" t="str">
        <f>_xlfn.XLOOKUP(role_course_map[[#This Row],[course_id]],course_data[course_id],course_data[title],"")</f>
        <v>Adult support and protection: practice level 2 [skilled]</v>
      </c>
      <c r="E3343" s="5" t="str">
        <f>_xlfn.XLOOKUP(role_course_map[[#This Row],[course_id]],course_data[course_id],course_data[topic],"")</f>
        <v>SAS : Public Protection</v>
      </c>
      <c r="F3343" s="5" t="str">
        <f>_xlfn.XLOOKUP(role_course_map[[#This Row],[course_id]],course_data[course_id],course_data[type],"")</f>
        <v>eLearning</v>
      </c>
      <c r="K3343" t="str">
        <f>role_course_map[[#This Row],[role_id]] &amp; "|" &amp; role_course_map[[#This Row],[course_id]]</f>
        <v>R0095|64322</v>
      </c>
      <c r="L3343" t="str">
        <f>IF(COUNTIF(role_course_map[mapping_key],role_course_map[[#This Row],[mapping_key]])&gt;1,"DUPLICATE","OK")</f>
        <v>OK</v>
      </c>
      <c r="M3343" t="str">
        <f>IF(COUNTIF(role_data[role_id],role_course_map[[#This Row],[role_id]])=0, "INVALID","VALID")</f>
        <v>VALID</v>
      </c>
      <c r="N3343" t="str">
        <f>IF(COUNTIF(course_data[course_id],role_course_map[[#This Row],[course_id]])=0, "INVALID","VALID")</f>
        <v>VALID</v>
      </c>
    </row>
    <row r="3344" spans="1:14" x14ac:dyDescent="0.35">
      <c r="A3344" t="s">
        <v>204</v>
      </c>
      <c r="B3344" s="5" t="str">
        <f>_xlfn.XLOOKUP(role_course_map[[#This Row],[role_id]], role_data[role_id], role_data[Role],"")</f>
        <v>Clinical Quality Lead</v>
      </c>
      <c r="C3344">
        <v>64324</v>
      </c>
      <c r="D3344" s="5" t="str">
        <f>_xlfn.XLOOKUP(role_course_map[[#This Row],[course_id]],course_data[course_id],course_data[title],"")</f>
        <v>Child protection: practice level 2 [skilled]</v>
      </c>
      <c r="E3344" s="5" t="str">
        <f>_xlfn.XLOOKUP(role_course_map[[#This Row],[course_id]],course_data[course_id],course_data[topic],"")</f>
        <v>SAS : Public Protection</v>
      </c>
      <c r="F3344" s="5" t="str">
        <f>_xlfn.XLOOKUP(role_course_map[[#This Row],[course_id]],course_data[course_id],course_data[type],"")</f>
        <v>eLearning</v>
      </c>
      <c r="K3344" t="str">
        <f>role_course_map[[#This Row],[role_id]] &amp; "|" &amp; role_course_map[[#This Row],[course_id]]</f>
        <v>R0095|64324</v>
      </c>
      <c r="L3344" t="str">
        <f>IF(COUNTIF(role_course_map[mapping_key],role_course_map[[#This Row],[mapping_key]])&gt;1,"DUPLICATE","OK")</f>
        <v>OK</v>
      </c>
      <c r="M3344" t="str">
        <f>IF(COUNTIF(role_data[role_id],role_course_map[[#This Row],[role_id]])=0, "INVALID","VALID")</f>
        <v>VALID</v>
      </c>
      <c r="N3344" t="str">
        <f>IF(COUNTIF(course_data[course_id],role_course_map[[#This Row],[course_id]])=0, "INVALID","VALID")</f>
        <v>VALID</v>
      </c>
    </row>
    <row r="3345" spans="1:14" x14ac:dyDescent="0.35">
      <c r="A3345" t="s">
        <v>204</v>
      </c>
      <c r="B3345" s="5" t="str">
        <f>_xlfn.XLOOKUP(role_course_map[[#This Row],[role_id]], role_data[role_id], role_data[Role],"")</f>
        <v>Clinical Quality Lead</v>
      </c>
      <c r="C3345">
        <v>76716</v>
      </c>
      <c r="D3345" s="5" t="str">
        <f>_xlfn.XLOOKUP(role_course_map[[#This Row],[course_id]],course_data[course_id],course_data[title],"")</f>
        <v>Domestic abuse awareness training tool (DAART)</v>
      </c>
      <c r="E3345" s="5" t="str">
        <f>_xlfn.XLOOKUP(role_course_map[[#This Row],[course_id]],course_data[course_id],course_data[topic],"")</f>
        <v>SAS : Public Protection</v>
      </c>
      <c r="F3345" s="5" t="str">
        <f>_xlfn.XLOOKUP(role_course_map[[#This Row],[course_id]],course_data[course_id],course_data[type],"")</f>
        <v>eLearning</v>
      </c>
      <c r="K3345" t="str">
        <f>role_course_map[[#This Row],[role_id]] &amp; "|" &amp; role_course_map[[#This Row],[course_id]]</f>
        <v>R0095|76716</v>
      </c>
      <c r="L3345" t="str">
        <f>IF(COUNTIF(role_course_map[mapping_key],role_course_map[[#This Row],[mapping_key]])&gt;1,"DUPLICATE","OK")</f>
        <v>OK</v>
      </c>
      <c r="M3345" t="str">
        <f>IF(COUNTIF(role_data[role_id],role_course_map[[#This Row],[role_id]])=0, "INVALID","VALID")</f>
        <v>VALID</v>
      </c>
      <c r="N3345" t="str">
        <f>IF(COUNTIF(course_data[course_id],role_course_map[[#This Row],[course_id]])=0, "INVALID","VALID")</f>
        <v>VALID</v>
      </c>
    </row>
    <row r="3346" spans="1:14" x14ac:dyDescent="0.35">
      <c r="A3346" t="s">
        <v>204</v>
      </c>
      <c r="B3346" s="5" t="str">
        <f>_xlfn.XLOOKUP(role_course_map[[#This Row],[role_id]], role_data[role_id], role_data[Role],"")</f>
        <v>Clinical Quality Lead</v>
      </c>
      <c r="C3346">
        <v>79666</v>
      </c>
      <c r="D3346" s="5" t="str">
        <f>_xlfn.XLOOKUP(role_course_map[[#This Row],[course_id]],course_data[course_id],course_data[title],"")</f>
        <v>Getting it right for every child (GIRFEC): informed level</v>
      </c>
      <c r="E3346" s="5" t="str">
        <f>_xlfn.XLOOKUP(role_course_map[[#This Row],[course_id]],course_data[course_id],course_data[topic],"")</f>
        <v>SAS : Public Protection</v>
      </c>
      <c r="F3346" s="5" t="str">
        <f>_xlfn.XLOOKUP(role_course_map[[#This Row],[course_id]],course_data[course_id],course_data[type],"")</f>
        <v>eLearning</v>
      </c>
      <c r="K3346" t="str">
        <f>role_course_map[[#This Row],[role_id]] &amp; "|" &amp; role_course_map[[#This Row],[course_id]]</f>
        <v>R0095|79666</v>
      </c>
      <c r="L3346" t="str">
        <f>IF(COUNTIF(role_course_map[mapping_key],role_course_map[[#This Row],[mapping_key]])&gt;1,"DUPLICATE","OK")</f>
        <v>OK</v>
      </c>
      <c r="M3346" t="str">
        <f>IF(COUNTIF(role_data[role_id],role_course_map[[#This Row],[role_id]])=0, "INVALID","VALID")</f>
        <v>VALID</v>
      </c>
      <c r="N3346" t="str">
        <f>IF(COUNTIF(course_data[course_id],role_course_map[[#This Row],[course_id]])=0, "INVALID","VALID")</f>
        <v>VALID</v>
      </c>
    </row>
    <row r="3347" spans="1:14" x14ac:dyDescent="0.35">
      <c r="A3347" t="s">
        <v>204</v>
      </c>
      <c r="B3347" s="5" t="str">
        <f>_xlfn.XLOOKUP(role_course_map[[#This Row],[role_id]], role_data[role_id], role_data[Role],"")</f>
        <v>Clinical Quality Lead</v>
      </c>
      <c r="C3347">
        <v>999074</v>
      </c>
      <c r="D3347" s="5" t="str">
        <f>_xlfn.XLOOKUP(role_course_map[[#This Row],[course_id]],course_data[course_id],course_data[title],"")</f>
        <v>SAS-specific Children’s rights</v>
      </c>
      <c r="E3347" s="5" t="str">
        <f>_xlfn.XLOOKUP(role_course_map[[#This Row],[course_id]],course_data[course_id],course_data[topic],"")</f>
        <v>SAS : Public Protection</v>
      </c>
      <c r="F3347" s="5" t="str">
        <f>_xlfn.XLOOKUP(role_course_map[[#This Row],[course_id]],course_data[course_id],course_data[type],"")</f>
        <v>eLearning</v>
      </c>
      <c r="K3347" t="str">
        <f>role_course_map[[#This Row],[role_id]] &amp; "|" &amp; role_course_map[[#This Row],[course_id]]</f>
        <v>R0095|999074</v>
      </c>
      <c r="L3347" t="str">
        <f>IF(COUNTIF(role_course_map[mapping_key],role_course_map[[#This Row],[mapping_key]])&gt;1,"DUPLICATE","OK")</f>
        <v>OK</v>
      </c>
      <c r="M3347" t="str">
        <f>IF(COUNTIF(role_data[role_id],role_course_map[[#This Row],[role_id]])=0, "INVALID","VALID")</f>
        <v>VALID</v>
      </c>
      <c r="N3347" t="str">
        <f>IF(COUNTIF(course_data[course_id],role_course_map[[#This Row],[course_id]])=0, "INVALID","VALID")</f>
        <v>VALID</v>
      </c>
    </row>
    <row r="3348" spans="1:14" x14ac:dyDescent="0.35">
      <c r="A3348" t="s">
        <v>204</v>
      </c>
      <c r="B3348" s="5" t="str">
        <f>_xlfn.XLOOKUP(role_course_map[[#This Row],[role_id]], role_data[role_id], role_data[Role],"")</f>
        <v>Clinical Quality Lead</v>
      </c>
      <c r="C3348">
        <v>999075</v>
      </c>
      <c r="D3348" s="5" t="str">
        <f>_xlfn.XLOOKUP(role_course_map[[#This Row],[course_id]],course_data[course_id],course_data[title],"")</f>
        <v>Multiagency local or bespoke Level 3 delivery training</v>
      </c>
      <c r="E3348" s="5" t="str">
        <f>_xlfn.XLOOKUP(role_course_map[[#This Row],[course_id]],course_data[course_id],course_data[topic],"")</f>
        <v>SAS : Public Protection</v>
      </c>
      <c r="F3348" s="5" t="str">
        <f>_xlfn.XLOOKUP(role_course_map[[#This Row],[course_id]],course_data[course_id],course_data[type],"")</f>
        <v>eLearning</v>
      </c>
      <c r="K3348" t="str">
        <f>role_course_map[[#This Row],[role_id]] &amp; "|" &amp; role_course_map[[#This Row],[course_id]]</f>
        <v>R0095|999075</v>
      </c>
      <c r="L3348" t="str">
        <f>IF(COUNTIF(role_course_map[mapping_key],role_course_map[[#This Row],[mapping_key]])&gt;1,"DUPLICATE","OK")</f>
        <v>OK</v>
      </c>
      <c r="M3348" t="str">
        <f>IF(COUNTIF(role_data[role_id],role_course_map[[#This Row],[role_id]])=0, "INVALID","VALID")</f>
        <v>VALID</v>
      </c>
      <c r="N3348" t="str">
        <f>IF(COUNTIF(course_data[course_id],role_course_map[[#This Row],[course_id]])=0, "INVALID","VALID")</f>
        <v>VALID</v>
      </c>
    </row>
    <row r="3349" spans="1:14" x14ac:dyDescent="0.35">
      <c r="A3349" t="s">
        <v>204</v>
      </c>
      <c r="B3349" s="5" t="str">
        <f>_xlfn.XLOOKUP(role_course_map[[#This Row],[role_id]], role_data[role_id], role_data[Role],"")</f>
        <v>Clinical Quality Lead</v>
      </c>
      <c r="C3349">
        <v>15249</v>
      </c>
      <c r="D3349" s="5" t="str">
        <f>_xlfn.XLOOKUP(role_course_map[[#This Row],[course_id]],course_data[course_id],course_data[title],"")</f>
        <v>Human trafficking</v>
      </c>
      <c r="E3349" s="5" t="str">
        <f>_xlfn.XLOOKUP(role_course_map[[#This Row],[course_id]],course_data[course_id],course_data[topic],"")</f>
        <v>SAS : Public Protection</v>
      </c>
      <c r="F3349" s="5" t="str">
        <f>_xlfn.XLOOKUP(role_course_map[[#This Row],[course_id]],course_data[course_id],course_data[type],"")</f>
        <v>eLearning</v>
      </c>
      <c r="K3349" t="str">
        <f>role_course_map[[#This Row],[role_id]] &amp; "|" &amp; role_course_map[[#This Row],[course_id]]</f>
        <v>R0095|15249</v>
      </c>
      <c r="L3349" t="str">
        <f>IF(COUNTIF(role_course_map[mapping_key],role_course_map[[#This Row],[mapping_key]])&gt;1,"DUPLICATE","OK")</f>
        <v>OK</v>
      </c>
      <c r="M3349" t="str">
        <f>IF(COUNTIF(role_data[role_id],role_course_map[[#This Row],[role_id]])=0, "INVALID","VALID")</f>
        <v>VALID</v>
      </c>
      <c r="N3349" t="str">
        <f>IF(COUNTIF(course_data[course_id],role_course_map[[#This Row],[course_id]])=0, "INVALID","VALID")</f>
        <v>VALID</v>
      </c>
    </row>
    <row r="3350" spans="1:14" x14ac:dyDescent="0.35">
      <c r="A3350" t="s">
        <v>204</v>
      </c>
      <c r="B3350" s="5" t="str">
        <f>_xlfn.XLOOKUP(role_course_map[[#This Row],[role_id]], role_data[role_id], role_data[Role],"")</f>
        <v>Clinical Quality Lead</v>
      </c>
      <c r="C3350">
        <v>999094</v>
      </c>
      <c r="D3350" s="5" t="str">
        <f>_xlfn.XLOOKUP(role_course_map[[#This Row],[course_id]],course_data[course_id],course_data[title],"")</f>
        <v>Being well, Mind, Body &amp; Workplace</v>
      </c>
      <c r="E3350" s="5" t="str">
        <f>_xlfn.XLOOKUP(role_course_map[[#This Row],[course_id]],course_data[course_id],course_data[topic],"")</f>
        <v>SAS: Staff development and experience</v>
      </c>
      <c r="F3350" s="5" t="str">
        <f>_xlfn.XLOOKUP(role_course_map[[#This Row],[course_id]],course_data[course_id],course_data[type],"")</f>
        <v>eLearning</v>
      </c>
      <c r="K3350" t="str">
        <f>role_course_map[[#This Row],[role_id]] &amp; "|" &amp; role_course_map[[#This Row],[course_id]]</f>
        <v>R0095|999094</v>
      </c>
      <c r="L3350" t="str">
        <f>IF(COUNTIF(role_course_map[mapping_key],role_course_map[[#This Row],[mapping_key]])&gt;1,"DUPLICATE","OK")</f>
        <v>OK</v>
      </c>
      <c r="M3350" t="str">
        <f>IF(COUNTIF(role_data[role_id],role_course_map[[#This Row],[role_id]])=0, "INVALID","VALID")</f>
        <v>VALID</v>
      </c>
      <c r="N3350" t="str">
        <f>IF(COUNTIF(course_data[course_id],role_course_map[[#This Row],[course_id]])=0, "INVALID","VALID")</f>
        <v>VALID</v>
      </c>
    </row>
    <row r="3351" spans="1:14" x14ac:dyDescent="0.35">
      <c r="A3351" t="s">
        <v>201</v>
      </c>
      <c r="B3351" s="5" t="str">
        <f>_xlfn.XLOOKUP(role_course_map[[#This Row],[role_id]], role_data[role_id], role_data[Role],"")</f>
        <v>Clinical Development Manager</v>
      </c>
      <c r="C3351">
        <v>999001</v>
      </c>
      <c r="D3351" s="5" t="str">
        <f>_xlfn.XLOOKUP(role_course_map[[#This Row],[course_id]],course_data[course_id],course_data[title],"")</f>
        <v>IAED - EMD</v>
      </c>
      <c r="E3351" s="5" t="str">
        <f>_xlfn.XLOOKUP(role_course_map[[#This Row],[course_id]],course_data[course_id],course_data[topic],"")</f>
        <v>SAS : Ambulance Control Centre (ACC)</v>
      </c>
      <c r="F3351" s="5" t="str">
        <f>_xlfn.XLOOKUP(role_course_map[[#This Row],[course_id]],course_data[course_id],course_data[type],"")</f>
        <v>Course</v>
      </c>
      <c r="K3351" t="str">
        <f>role_course_map[[#This Row],[role_id]] &amp; "|" &amp; role_course_map[[#This Row],[course_id]]</f>
        <v>R0094|999001</v>
      </c>
      <c r="L3351" t="str">
        <f>IF(COUNTIF(role_course_map[mapping_key],role_course_map[[#This Row],[mapping_key]])&gt;1,"DUPLICATE","OK")</f>
        <v>OK</v>
      </c>
      <c r="M3351" t="str">
        <f>IF(COUNTIF(role_data[role_id],role_course_map[[#This Row],[role_id]])=0, "INVALID","VALID")</f>
        <v>VALID</v>
      </c>
      <c r="N3351" t="str">
        <f>IF(COUNTIF(course_data[course_id],role_course_map[[#This Row],[course_id]])=0, "INVALID","VALID")</f>
        <v>VALID</v>
      </c>
    </row>
    <row r="3352" spans="1:14" x14ac:dyDescent="0.35">
      <c r="A3352" t="s">
        <v>201</v>
      </c>
      <c r="B3352" s="5" t="str">
        <f>_xlfn.XLOOKUP(role_course_map[[#This Row],[role_id]], role_data[role_id], role_data[Role],"")</f>
        <v>Clinical Development Manager</v>
      </c>
      <c r="C3352">
        <v>75406</v>
      </c>
      <c r="D3352" s="5" t="str">
        <f>_xlfn.XLOOKUP(role_course_map[[#This Row],[course_id]],course_data[course_id],course_data[title],"")</f>
        <v>Foundation Leadership and Management Programme (FLMP)</v>
      </c>
      <c r="E3352" s="5" t="str">
        <f>_xlfn.XLOOKUP(role_course_map[[#This Row],[course_id]],course_data[course_id],course_data[topic],"")</f>
        <v>SAS: Staff development and experience</v>
      </c>
      <c r="F3352" s="5" t="str">
        <f>_xlfn.XLOOKUP(role_course_map[[#This Row],[course_id]],course_data[course_id],course_data[type],"")</f>
        <v>Page</v>
      </c>
      <c r="K3352" t="str">
        <f>role_course_map[[#This Row],[role_id]] &amp; "|" &amp; role_course_map[[#This Row],[course_id]]</f>
        <v>R0094|75406</v>
      </c>
      <c r="L3352" t="str">
        <f>IF(COUNTIF(role_course_map[mapping_key],role_course_map[[#This Row],[mapping_key]])&gt;1,"DUPLICATE","OK")</f>
        <v>OK</v>
      </c>
      <c r="M3352" t="str">
        <f>IF(COUNTIF(role_data[role_id],role_course_map[[#This Row],[role_id]])=0, "INVALID","VALID")</f>
        <v>VALID</v>
      </c>
      <c r="N3352" t="str">
        <f>IF(COUNTIF(course_data[course_id],role_course_map[[#This Row],[course_id]])=0, "INVALID","VALID")</f>
        <v>VALID</v>
      </c>
    </row>
    <row r="3353" spans="1:14" x14ac:dyDescent="0.35">
      <c r="A3353" t="s">
        <v>201</v>
      </c>
      <c r="B3353" s="5" t="str">
        <f>_xlfn.XLOOKUP(role_course_map[[#This Row],[role_id]], role_data[role_id], role_data[Role],"")</f>
        <v>Clinical Development Manager</v>
      </c>
      <c r="C3353">
        <v>999058</v>
      </c>
      <c r="D3353" s="5" t="str">
        <f>_xlfn.XLOOKUP(role_course_map[[#This Row],[course_id]],course_data[course_id],course_data[title],"")</f>
        <v>Stress Identification &amp; Stress Management</v>
      </c>
      <c r="E3353" s="5" t="str">
        <f>_xlfn.XLOOKUP(role_course_map[[#This Row],[course_id]],course_data[course_id],course_data[topic],"")</f>
        <v>SAS : Health and Safety</v>
      </c>
      <c r="F3353" s="5" t="str">
        <f>_xlfn.XLOOKUP(role_course_map[[#This Row],[course_id]],course_data[course_id],course_data[type],"")</f>
        <v>eLearning</v>
      </c>
      <c r="K3353" t="str">
        <f>role_course_map[[#This Row],[role_id]] &amp; "|" &amp; role_course_map[[#This Row],[course_id]]</f>
        <v>R0094|999058</v>
      </c>
      <c r="L3353" t="str">
        <f>IF(COUNTIF(role_course_map[mapping_key],role_course_map[[#This Row],[mapping_key]])&gt;1,"DUPLICATE","OK")</f>
        <v>OK</v>
      </c>
      <c r="M3353" t="str">
        <f>IF(COUNTIF(role_data[role_id],role_course_map[[#This Row],[role_id]])=0, "INVALID","VALID")</f>
        <v>VALID</v>
      </c>
      <c r="N3353" t="str">
        <f>IF(COUNTIF(course_data[course_id],role_course_map[[#This Row],[course_id]])=0, "INVALID","VALID")</f>
        <v>VALID</v>
      </c>
    </row>
    <row r="3354" spans="1:14" x14ac:dyDescent="0.35">
      <c r="A3354" t="s">
        <v>201</v>
      </c>
      <c r="B3354" s="5" t="str">
        <f>_xlfn.XLOOKUP(role_course_map[[#This Row],[role_id]], role_data[role_id], role_data[Role],"")</f>
        <v>Clinical Development Manager</v>
      </c>
      <c r="C3354">
        <v>999056</v>
      </c>
      <c r="D3354" s="5" t="str">
        <f>_xlfn.XLOOKUP(role_course_map[[#This Row],[course_id]],course_data[course_id],course_data[title],"")</f>
        <v>Driver Assessment &amp; Training</v>
      </c>
      <c r="E3354" s="5" t="str">
        <f>_xlfn.XLOOKUP(role_course_map[[#This Row],[course_id]],course_data[course_id],course_data[topic],"")</f>
        <v>SAS : Health and Safety</v>
      </c>
      <c r="F3354" s="5" t="str">
        <f>_xlfn.XLOOKUP(role_course_map[[#This Row],[course_id]],course_data[course_id],course_data[type],"")</f>
        <v>eLearning</v>
      </c>
      <c r="K3354" t="str">
        <f>role_course_map[[#This Row],[role_id]] &amp; "|" &amp; role_course_map[[#This Row],[course_id]]</f>
        <v>R0094|999056</v>
      </c>
      <c r="L3354" t="str">
        <f>IF(COUNTIF(role_course_map[mapping_key],role_course_map[[#This Row],[mapping_key]])&gt;1,"DUPLICATE","OK")</f>
        <v>OK</v>
      </c>
      <c r="M3354" t="str">
        <f>IF(COUNTIF(role_data[role_id],role_course_map[[#This Row],[role_id]])=0, "INVALID","VALID")</f>
        <v>VALID</v>
      </c>
      <c r="N3354" t="str">
        <f>IF(COUNTIF(course_data[course_id],role_course_map[[#This Row],[course_id]])=0, "INVALID","VALID")</f>
        <v>VALID</v>
      </c>
    </row>
    <row r="3355" spans="1:14" x14ac:dyDescent="0.35">
      <c r="A3355" t="s">
        <v>201</v>
      </c>
      <c r="B3355" s="5" t="str">
        <f>_xlfn.XLOOKUP(role_course_map[[#This Row],[role_id]], role_data[role_id], role_data[Role],"")</f>
        <v>Clinical Development Manager</v>
      </c>
      <c r="C3355">
        <v>999057</v>
      </c>
      <c r="D3355" s="5" t="str">
        <f>_xlfn.XLOOKUP(role_course_map[[#This Row],[course_id]],course_data[course_id],course_data[title],"")</f>
        <v>Fatigue Awareness</v>
      </c>
      <c r="E3355" s="5" t="str">
        <f>_xlfn.XLOOKUP(role_course_map[[#This Row],[course_id]],course_data[course_id],course_data[topic],"")</f>
        <v>SAS : Health and Safety</v>
      </c>
      <c r="F3355" s="5" t="str">
        <f>_xlfn.XLOOKUP(role_course_map[[#This Row],[course_id]],course_data[course_id],course_data[type],"")</f>
        <v>eLearning</v>
      </c>
      <c r="K3355" t="str">
        <f>role_course_map[[#This Row],[role_id]] &amp; "|" &amp; role_course_map[[#This Row],[course_id]]</f>
        <v>R0094|999057</v>
      </c>
      <c r="L3355" t="str">
        <f>IF(COUNTIF(role_course_map[mapping_key],role_course_map[[#This Row],[mapping_key]])&gt;1,"DUPLICATE","OK")</f>
        <v>OK</v>
      </c>
      <c r="M3355" t="str">
        <f>IF(COUNTIF(role_data[role_id],role_course_map[[#This Row],[role_id]])=0, "INVALID","VALID")</f>
        <v>VALID</v>
      </c>
      <c r="N3355" t="str">
        <f>IF(COUNTIF(course_data[course_id],role_course_map[[#This Row],[course_id]])=0, "INVALID","VALID")</f>
        <v>VALID</v>
      </c>
    </row>
    <row r="3356" spans="1:14" x14ac:dyDescent="0.35">
      <c r="A3356" t="s">
        <v>201</v>
      </c>
      <c r="B3356" s="5" t="str">
        <f>_xlfn.XLOOKUP(role_course_map[[#This Row],[role_id]], role_data[role_id], role_data[Role],"")</f>
        <v>Clinical Development Manager</v>
      </c>
      <c r="C3356">
        <v>64322</v>
      </c>
      <c r="D3356" s="5" t="str">
        <f>_xlfn.XLOOKUP(role_course_map[[#This Row],[course_id]],course_data[course_id],course_data[title],"")</f>
        <v>Adult support and protection: practice level 2 [skilled]</v>
      </c>
      <c r="E3356" s="5" t="str">
        <f>_xlfn.XLOOKUP(role_course_map[[#This Row],[course_id]],course_data[course_id],course_data[topic],"")</f>
        <v>SAS : Public Protection</v>
      </c>
      <c r="F3356" s="5" t="str">
        <f>_xlfn.XLOOKUP(role_course_map[[#This Row],[course_id]],course_data[course_id],course_data[type],"")</f>
        <v>eLearning</v>
      </c>
      <c r="K3356" t="str">
        <f>role_course_map[[#This Row],[role_id]] &amp; "|" &amp; role_course_map[[#This Row],[course_id]]</f>
        <v>R0094|64322</v>
      </c>
      <c r="L3356" t="str">
        <f>IF(COUNTIF(role_course_map[mapping_key],role_course_map[[#This Row],[mapping_key]])&gt;1,"DUPLICATE","OK")</f>
        <v>OK</v>
      </c>
      <c r="M3356" t="str">
        <f>IF(COUNTIF(role_data[role_id],role_course_map[[#This Row],[role_id]])=0, "INVALID","VALID")</f>
        <v>VALID</v>
      </c>
      <c r="N3356" t="str">
        <f>IF(COUNTIF(course_data[course_id],role_course_map[[#This Row],[course_id]])=0, "INVALID","VALID")</f>
        <v>VALID</v>
      </c>
    </row>
    <row r="3357" spans="1:14" x14ac:dyDescent="0.35">
      <c r="A3357" t="s">
        <v>201</v>
      </c>
      <c r="B3357" s="5" t="str">
        <f>_xlfn.XLOOKUP(role_course_map[[#This Row],[role_id]], role_data[role_id], role_data[Role],"")</f>
        <v>Clinical Development Manager</v>
      </c>
      <c r="C3357">
        <v>64324</v>
      </c>
      <c r="D3357" s="5" t="str">
        <f>_xlfn.XLOOKUP(role_course_map[[#This Row],[course_id]],course_data[course_id],course_data[title],"")</f>
        <v>Child protection: practice level 2 [skilled]</v>
      </c>
      <c r="E3357" s="5" t="str">
        <f>_xlfn.XLOOKUP(role_course_map[[#This Row],[course_id]],course_data[course_id],course_data[topic],"")</f>
        <v>SAS : Public Protection</v>
      </c>
      <c r="F3357" s="5" t="str">
        <f>_xlfn.XLOOKUP(role_course_map[[#This Row],[course_id]],course_data[course_id],course_data[type],"")</f>
        <v>eLearning</v>
      </c>
      <c r="K3357" t="str">
        <f>role_course_map[[#This Row],[role_id]] &amp; "|" &amp; role_course_map[[#This Row],[course_id]]</f>
        <v>R0094|64324</v>
      </c>
      <c r="L3357" t="str">
        <f>IF(COUNTIF(role_course_map[mapping_key],role_course_map[[#This Row],[mapping_key]])&gt;1,"DUPLICATE","OK")</f>
        <v>OK</v>
      </c>
      <c r="M3357" t="str">
        <f>IF(COUNTIF(role_data[role_id],role_course_map[[#This Row],[role_id]])=0, "INVALID","VALID")</f>
        <v>VALID</v>
      </c>
      <c r="N3357" t="str">
        <f>IF(COUNTIF(course_data[course_id],role_course_map[[#This Row],[course_id]])=0, "INVALID","VALID")</f>
        <v>VALID</v>
      </c>
    </row>
    <row r="3358" spans="1:14" x14ac:dyDescent="0.35">
      <c r="A3358" t="s">
        <v>201</v>
      </c>
      <c r="B3358" s="5" t="str">
        <f>_xlfn.XLOOKUP(role_course_map[[#This Row],[role_id]], role_data[role_id], role_data[Role],"")</f>
        <v>Clinical Development Manager</v>
      </c>
      <c r="C3358">
        <v>76716</v>
      </c>
      <c r="D3358" s="5" t="str">
        <f>_xlfn.XLOOKUP(role_course_map[[#This Row],[course_id]],course_data[course_id],course_data[title],"")</f>
        <v>Domestic abuse awareness training tool (DAART)</v>
      </c>
      <c r="E3358" s="5" t="str">
        <f>_xlfn.XLOOKUP(role_course_map[[#This Row],[course_id]],course_data[course_id],course_data[topic],"")</f>
        <v>SAS : Public Protection</v>
      </c>
      <c r="F3358" s="5" t="str">
        <f>_xlfn.XLOOKUP(role_course_map[[#This Row],[course_id]],course_data[course_id],course_data[type],"")</f>
        <v>eLearning</v>
      </c>
      <c r="K3358" t="str">
        <f>role_course_map[[#This Row],[role_id]] &amp; "|" &amp; role_course_map[[#This Row],[course_id]]</f>
        <v>R0094|76716</v>
      </c>
      <c r="L3358" t="str">
        <f>IF(COUNTIF(role_course_map[mapping_key],role_course_map[[#This Row],[mapping_key]])&gt;1,"DUPLICATE","OK")</f>
        <v>OK</v>
      </c>
      <c r="M3358" t="str">
        <f>IF(COUNTIF(role_data[role_id],role_course_map[[#This Row],[role_id]])=0, "INVALID","VALID")</f>
        <v>VALID</v>
      </c>
      <c r="N3358" t="str">
        <f>IF(COUNTIF(course_data[course_id],role_course_map[[#This Row],[course_id]])=0, "INVALID","VALID")</f>
        <v>VALID</v>
      </c>
    </row>
    <row r="3359" spans="1:14" x14ac:dyDescent="0.35">
      <c r="A3359" t="s">
        <v>201</v>
      </c>
      <c r="B3359" s="5" t="str">
        <f>_xlfn.XLOOKUP(role_course_map[[#This Row],[role_id]], role_data[role_id], role_data[Role],"")</f>
        <v>Clinical Development Manager</v>
      </c>
      <c r="C3359">
        <v>79666</v>
      </c>
      <c r="D3359" s="5" t="str">
        <f>_xlfn.XLOOKUP(role_course_map[[#This Row],[course_id]],course_data[course_id],course_data[title],"")</f>
        <v>Getting it right for every child (GIRFEC): informed level</v>
      </c>
      <c r="E3359" s="5" t="str">
        <f>_xlfn.XLOOKUP(role_course_map[[#This Row],[course_id]],course_data[course_id],course_data[topic],"")</f>
        <v>SAS : Public Protection</v>
      </c>
      <c r="F3359" s="5" t="str">
        <f>_xlfn.XLOOKUP(role_course_map[[#This Row],[course_id]],course_data[course_id],course_data[type],"")</f>
        <v>eLearning</v>
      </c>
      <c r="K3359" t="str">
        <f>role_course_map[[#This Row],[role_id]] &amp; "|" &amp; role_course_map[[#This Row],[course_id]]</f>
        <v>R0094|79666</v>
      </c>
      <c r="L3359" t="str">
        <f>IF(COUNTIF(role_course_map[mapping_key],role_course_map[[#This Row],[mapping_key]])&gt;1,"DUPLICATE","OK")</f>
        <v>OK</v>
      </c>
      <c r="M3359" t="str">
        <f>IF(COUNTIF(role_data[role_id],role_course_map[[#This Row],[role_id]])=0, "INVALID","VALID")</f>
        <v>VALID</v>
      </c>
      <c r="N3359" t="str">
        <f>IF(COUNTIF(course_data[course_id],role_course_map[[#This Row],[course_id]])=0, "INVALID","VALID")</f>
        <v>VALID</v>
      </c>
    </row>
    <row r="3360" spans="1:14" x14ac:dyDescent="0.35">
      <c r="A3360" t="s">
        <v>201</v>
      </c>
      <c r="B3360" s="5" t="str">
        <f>_xlfn.XLOOKUP(role_course_map[[#This Row],[role_id]], role_data[role_id], role_data[Role],"")</f>
        <v>Clinical Development Manager</v>
      </c>
      <c r="C3360">
        <v>999074</v>
      </c>
      <c r="D3360" s="5" t="str">
        <f>_xlfn.XLOOKUP(role_course_map[[#This Row],[course_id]],course_data[course_id],course_data[title],"")</f>
        <v>SAS-specific Children’s rights</v>
      </c>
      <c r="E3360" s="5" t="str">
        <f>_xlfn.XLOOKUP(role_course_map[[#This Row],[course_id]],course_data[course_id],course_data[topic],"")</f>
        <v>SAS : Public Protection</v>
      </c>
      <c r="F3360" s="5" t="str">
        <f>_xlfn.XLOOKUP(role_course_map[[#This Row],[course_id]],course_data[course_id],course_data[type],"")</f>
        <v>eLearning</v>
      </c>
      <c r="K3360" t="str">
        <f>role_course_map[[#This Row],[role_id]] &amp; "|" &amp; role_course_map[[#This Row],[course_id]]</f>
        <v>R0094|999074</v>
      </c>
      <c r="L3360" t="str">
        <f>IF(COUNTIF(role_course_map[mapping_key],role_course_map[[#This Row],[mapping_key]])&gt;1,"DUPLICATE","OK")</f>
        <v>OK</v>
      </c>
      <c r="M3360" t="str">
        <f>IF(COUNTIF(role_data[role_id],role_course_map[[#This Row],[role_id]])=0, "INVALID","VALID")</f>
        <v>VALID</v>
      </c>
      <c r="N3360" t="str">
        <f>IF(COUNTIF(course_data[course_id],role_course_map[[#This Row],[course_id]])=0, "INVALID","VALID")</f>
        <v>VALID</v>
      </c>
    </row>
    <row r="3361" spans="1:14" x14ac:dyDescent="0.35">
      <c r="A3361" t="s">
        <v>201</v>
      </c>
      <c r="B3361" s="5" t="str">
        <f>_xlfn.XLOOKUP(role_course_map[[#This Row],[role_id]], role_data[role_id], role_data[Role],"")</f>
        <v>Clinical Development Manager</v>
      </c>
      <c r="C3361">
        <v>999075</v>
      </c>
      <c r="D3361" s="5" t="str">
        <f>_xlfn.XLOOKUP(role_course_map[[#This Row],[course_id]],course_data[course_id],course_data[title],"")</f>
        <v>Multiagency local or bespoke Level 3 delivery training</v>
      </c>
      <c r="E3361" s="5" t="str">
        <f>_xlfn.XLOOKUP(role_course_map[[#This Row],[course_id]],course_data[course_id],course_data[topic],"")</f>
        <v>SAS : Public Protection</v>
      </c>
      <c r="F3361" s="5" t="str">
        <f>_xlfn.XLOOKUP(role_course_map[[#This Row],[course_id]],course_data[course_id],course_data[type],"")</f>
        <v>eLearning</v>
      </c>
      <c r="K3361" t="str">
        <f>role_course_map[[#This Row],[role_id]] &amp; "|" &amp; role_course_map[[#This Row],[course_id]]</f>
        <v>R0094|999075</v>
      </c>
      <c r="L3361" t="str">
        <f>IF(COUNTIF(role_course_map[mapping_key],role_course_map[[#This Row],[mapping_key]])&gt;1,"DUPLICATE","OK")</f>
        <v>OK</v>
      </c>
      <c r="M3361" t="str">
        <f>IF(COUNTIF(role_data[role_id],role_course_map[[#This Row],[role_id]])=0, "INVALID","VALID")</f>
        <v>VALID</v>
      </c>
      <c r="N3361" t="str">
        <f>IF(COUNTIF(course_data[course_id],role_course_map[[#This Row],[course_id]])=0, "INVALID","VALID")</f>
        <v>VALID</v>
      </c>
    </row>
    <row r="3362" spans="1:14" x14ac:dyDescent="0.35">
      <c r="A3362" t="s">
        <v>201</v>
      </c>
      <c r="B3362" s="5" t="str">
        <f>_xlfn.XLOOKUP(role_course_map[[#This Row],[role_id]], role_data[role_id], role_data[Role],"")</f>
        <v>Clinical Development Manager</v>
      </c>
      <c r="C3362">
        <v>15249</v>
      </c>
      <c r="D3362" s="5" t="str">
        <f>_xlfn.XLOOKUP(role_course_map[[#This Row],[course_id]],course_data[course_id],course_data[title],"")</f>
        <v>Human trafficking</v>
      </c>
      <c r="E3362" s="5" t="str">
        <f>_xlfn.XLOOKUP(role_course_map[[#This Row],[course_id]],course_data[course_id],course_data[topic],"")</f>
        <v>SAS : Public Protection</v>
      </c>
      <c r="F3362" s="5" t="str">
        <f>_xlfn.XLOOKUP(role_course_map[[#This Row],[course_id]],course_data[course_id],course_data[type],"")</f>
        <v>eLearning</v>
      </c>
      <c r="K3362" t="str">
        <f>role_course_map[[#This Row],[role_id]] &amp; "|" &amp; role_course_map[[#This Row],[course_id]]</f>
        <v>R0094|15249</v>
      </c>
      <c r="L3362" t="str">
        <f>IF(COUNTIF(role_course_map[mapping_key],role_course_map[[#This Row],[mapping_key]])&gt;1,"DUPLICATE","OK")</f>
        <v>OK</v>
      </c>
      <c r="M3362" t="str">
        <f>IF(COUNTIF(role_data[role_id],role_course_map[[#This Row],[role_id]])=0, "INVALID","VALID")</f>
        <v>VALID</v>
      </c>
      <c r="N3362" t="str">
        <f>IF(COUNTIF(course_data[course_id],role_course_map[[#This Row],[course_id]])=0, "INVALID","VALID")</f>
        <v>VALID</v>
      </c>
    </row>
    <row r="3363" spans="1:14" x14ac:dyDescent="0.35">
      <c r="A3363" t="s">
        <v>201</v>
      </c>
      <c r="B3363" s="5" t="str">
        <f>_xlfn.XLOOKUP(role_course_map[[#This Row],[role_id]], role_data[role_id], role_data[Role],"")</f>
        <v>Clinical Development Manager</v>
      </c>
      <c r="C3363">
        <v>999092</v>
      </c>
      <c r="D3363" s="5" t="str">
        <f>_xlfn.XLOOKUP(role_course_map[[#This Row],[course_id]],course_data[course_id],course_data[title],"")</f>
        <v>Health &amp; Wellbeing Awareness for Managers</v>
      </c>
      <c r="E3363" s="5" t="str">
        <f>_xlfn.XLOOKUP(role_course_map[[#This Row],[course_id]],course_data[course_id],course_data[topic],"")</f>
        <v>SAS: Staff development and experience</v>
      </c>
      <c r="F3363" s="5" t="str">
        <f>_xlfn.XLOOKUP(role_course_map[[#This Row],[course_id]],course_data[course_id],course_data[type],"")</f>
        <v>eLearning</v>
      </c>
      <c r="K3363" t="str">
        <f>role_course_map[[#This Row],[role_id]] &amp; "|" &amp; role_course_map[[#This Row],[course_id]]</f>
        <v>R0094|999092</v>
      </c>
      <c r="L3363" t="str">
        <f>IF(COUNTIF(role_course_map[mapping_key],role_course_map[[#This Row],[mapping_key]])&gt;1,"DUPLICATE","OK")</f>
        <v>OK</v>
      </c>
      <c r="M3363" t="str">
        <f>IF(COUNTIF(role_data[role_id],role_course_map[[#This Row],[role_id]])=0, "INVALID","VALID")</f>
        <v>VALID</v>
      </c>
      <c r="N3363" t="str">
        <f>IF(COUNTIF(course_data[course_id],role_course_map[[#This Row],[course_id]])=0, "INVALID","VALID")</f>
        <v>VALID</v>
      </c>
    </row>
    <row r="3364" spans="1:14" x14ac:dyDescent="0.35">
      <c r="A3364" t="s">
        <v>201</v>
      </c>
      <c r="B3364" s="5" t="str">
        <f>_xlfn.XLOOKUP(role_course_map[[#This Row],[role_id]], role_data[role_id], role_data[Role],"")</f>
        <v>Clinical Development Manager</v>
      </c>
      <c r="C3364">
        <v>999093</v>
      </c>
      <c r="D3364" s="5" t="str">
        <f>_xlfn.XLOOKUP(role_course_map[[#This Row],[course_id]],course_data[course_id],course_data[title],"")</f>
        <v>Managing Wellbeing Refresher for Managers</v>
      </c>
      <c r="E3364" s="5" t="str">
        <f>_xlfn.XLOOKUP(role_course_map[[#This Row],[course_id]],course_data[course_id],course_data[topic],"")</f>
        <v>SAS: Staff development and experience</v>
      </c>
      <c r="F3364" s="5" t="str">
        <f>_xlfn.XLOOKUP(role_course_map[[#This Row],[course_id]],course_data[course_id],course_data[type],"")</f>
        <v>eLearning</v>
      </c>
      <c r="K3364" t="str">
        <f>role_course_map[[#This Row],[role_id]] &amp; "|" &amp; role_course_map[[#This Row],[course_id]]</f>
        <v>R0094|999093</v>
      </c>
      <c r="L3364" t="str">
        <f>IF(COUNTIF(role_course_map[mapping_key],role_course_map[[#This Row],[mapping_key]])&gt;1,"DUPLICATE","OK")</f>
        <v>OK</v>
      </c>
      <c r="M3364" t="str">
        <f>IF(COUNTIF(role_data[role_id],role_course_map[[#This Row],[role_id]])=0, "INVALID","VALID")</f>
        <v>VALID</v>
      </c>
      <c r="N3364" t="str">
        <f>IF(COUNTIF(course_data[course_id],role_course_map[[#This Row],[course_id]])=0, "INVALID","VALID")</f>
        <v>VALID</v>
      </c>
    </row>
    <row r="3365" spans="1:14" x14ac:dyDescent="0.35">
      <c r="A3365" t="s">
        <v>201</v>
      </c>
      <c r="B3365" s="5" t="str">
        <f>_xlfn.XLOOKUP(role_course_map[[#This Row],[role_id]], role_data[role_id], role_data[Role],"")</f>
        <v>Clinical Development Manager</v>
      </c>
      <c r="C3365">
        <v>999094</v>
      </c>
      <c r="D3365" s="5" t="str">
        <f>_xlfn.XLOOKUP(role_course_map[[#This Row],[course_id]],course_data[course_id],course_data[title],"")</f>
        <v>Being well, Mind, Body &amp; Workplace</v>
      </c>
      <c r="E3365" s="5" t="str">
        <f>_xlfn.XLOOKUP(role_course_map[[#This Row],[course_id]],course_data[course_id],course_data[topic],"")</f>
        <v>SAS: Staff development and experience</v>
      </c>
      <c r="F3365" s="5" t="str">
        <f>_xlfn.XLOOKUP(role_course_map[[#This Row],[course_id]],course_data[course_id],course_data[type],"")</f>
        <v>eLearning</v>
      </c>
      <c r="K3365" t="str">
        <f>role_course_map[[#This Row],[role_id]] &amp; "|" &amp; role_course_map[[#This Row],[course_id]]</f>
        <v>R0094|999094</v>
      </c>
      <c r="L3365" t="str">
        <f>IF(COUNTIF(role_course_map[mapping_key],role_course_map[[#This Row],[mapping_key]])&gt;1,"DUPLICATE","OK")</f>
        <v>OK</v>
      </c>
      <c r="M3365" t="str">
        <f>IF(COUNTIF(role_data[role_id],role_course_map[[#This Row],[role_id]])=0, "INVALID","VALID")</f>
        <v>VALID</v>
      </c>
      <c r="N3365" t="str">
        <f>IF(COUNTIF(course_data[course_id],role_course_map[[#This Row],[course_id]])=0, "INVALID","VALID")</f>
        <v>VALID</v>
      </c>
    </row>
    <row r="3366" spans="1:14" x14ac:dyDescent="0.35">
      <c r="A3366" t="s">
        <v>208</v>
      </c>
      <c r="B3366" s="5" t="str">
        <f>_xlfn.XLOOKUP(role_course_map[[#This Row],[role_id]], role_data[role_id], role_data[Role],"")</f>
        <v>ICH Clinician</v>
      </c>
      <c r="C3366">
        <v>78279</v>
      </c>
      <c r="D3366" s="5" t="str">
        <f>_xlfn.XLOOKUP(role_course_map[[#This Row],[course_id]],course_data[course_id],course_data[title],"")</f>
        <v>Airwave Terminal</v>
      </c>
      <c r="E3366" s="5" t="str">
        <f>_xlfn.XLOOKUP(role_course_map[[#This Row],[course_id]],course_data[course_id],course_data[topic],"")</f>
        <v>SAS: Systems Training</v>
      </c>
      <c r="F3366" s="5" t="str">
        <f>_xlfn.XLOOKUP(role_course_map[[#This Row],[course_id]],course_data[course_id],course_data[type],"")</f>
        <v>Course</v>
      </c>
      <c r="K3366" t="str">
        <f>role_course_map[[#This Row],[role_id]] &amp; "|" &amp; role_course_map[[#This Row],[course_id]]</f>
        <v>R0097|78279</v>
      </c>
      <c r="L3366" t="str">
        <f>IF(COUNTIF(role_course_map[mapping_key],role_course_map[[#This Row],[mapping_key]])&gt;1,"DUPLICATE","OK")</f>
        <v>OK</v>
      </c>
      <c r="M3366" t="str">
        <f>IF(COUNTIF(role_data[role_id],role_course_map[[#This Row],[role_id]])=0, "INVALID","VALID")</f>
        <v>VALID</v>
      </c>
      <c r="N3366" t="str">
        <f>IF(COUNTIF(course_data[course_id],role_course_map[[#This Row],[course_id]])=0, "INVALID","VALID")</f>
        <v>VALID</v>
      </c>
    </row>
    <row r="3367" spans="1:14" x14ac:dyDescent="0.35">
      <c r="A3367" t="s">
        <v>208</v>
      </c>
      <c r="B3367" s="5" t="str">
        <f>_xlfn.XLOOKUP(role_course_map[[#This Row],[role_id]], role_data[role_id], role_data[Role],"")</f>
        <v>ICH Clinician</v>
      </c>
      <c r="C3367">
        <v>75937</v>
      </c>
      <c r="D3367" s="5" t="str">
        <f>_xlfn.XLOOKUP(role_course_map[[#This Row],[course_id]],course_data[course_id],course_data[title],"")</f>
        <v>C3 for Clinicians</v>
      </c>
      <c r="E3367" s="5" t="str">
        <f>_xlfn.XLOOKUP(role_course_map[[#This Row],[course_id]],course_data[course_id],course_data[topic],"")</f>
        <v>SAS: Systems Training</v>
      </c>
      <c r="F3367" s="5" t="str">
        <f>_xlfn.XLOOKUP(role_course_map[[#This Row],[course_id]],course_data[course_id],course_data[type],"")</f>
        <v>Course</v>
      </c>
      <c r="K3367" t="str">
        <f>role_course_map[[#This Row],[role_id]] &amp; "|" &amp; role_course_map[[#This Row],[course_id]]</f>
        <v>R0097|75937</v>
      </c>
      <c r="L3367" t="str">
        <f>IF(COUNTIF(role_course_map[mapping_key],role_course_map[[#This Row],[mapping_key]])&gt;1,"DUPLICATE","OK")</f>
        <v>OK</v>
      </c>
      <c r="M3367" t="str">
        <f>IF(COUNTIF(role_data[role_id],role_course_map[[#This Row],[role_id]])=0, "INVALID","VALID")</f>
        <v>VALID</v>
      </c>
      <c r="N3367" t="str">
        <f>IF(COUNTIF(course_data[course_id],role_course_map[[#This Row],[course_id]])=0, "INVALID","VALID")</f>
        <v>VALID</v>
      </c>
    </row>
    <row r="3368" spans="1:14" x14ac:dyDescent="0.35">
      <c r="A3368" t="s">
        <v>208</v>
      </c>
      <c r="B3368" s="5" t="str">
        <f>_xlfn.XLOOKUP(role_course_map[[#This Row],[role_id]], role_data[role_id], role_data[Role],"")</f>
        <v>ICH Clinician</v>
      </c>
      <c r="C3368">
        <v>999058</v>
      </c>
      <c r="D3368" s="5" t="str">
        <f>_xlfn.XLOOKUP(role_course_map[[#This Row],[course_id]],course_data[course_id],course_data[title],"")</f>
        <v>Stress Identification &amp; Stress Management</v>
      </c>
      <c r="E3368" s="5" t="str">
        <f>_xlfn.XLOOKUP(role_course_map[[#This Row],[course_id]],course_data[course_id],course_data[topic],"")</f>
        <v>SAS : Health and Safety</v>
      </c>
      <c r="F3368" s="5" t="str">
        <f>_xlfn.XLOOKUP(role_course_map[[#This Row],[course_id]],course_data[course_id],course_data[type],"")</f>
        <v>eLearning</v>
      </c>
      <c r="K3368" t="str">
        <f>role_course_map[[#This Row],[role_id]] &amp; "|" &amp; role_course_map[[#This Row],[course_id]]</f>
        <v>R0097|999058</v>
      </c>
      <c r="L3368" t="str">
        <f>IF(COUNTIF(role_course_map[mapping_key],role_course_map[[#This Row],[mapping_key]])&gt;1,"DUPLICATE","OK")</f>
        <v>OK</v>
      </c>
      <c r="M3368" t="str">
        <f>IF(COUNTIF(role_data[role_id],role_course_map[[#This Row],[role_id]])=0, "INVALID","VALID")</f>
        <v>VALID</v>
      </c>
      <c r="N3368" t="str">
        <f>IF(COUNTIF(course_data[course_id],role_course_map[[#This Row],[course_id]])=0, "INVALID","VALID")</f>
        <v>VALID</v>
      </c>
    </row>
    <row r="3369" spans="1:14" x14ac:dyDescent="0.35">
      <c r="A3369" t="s">
        <v>208</v>
      </c>
      <c r="B3369" s="5" t="str">
        <f>_xlfn.XLOOKUP(role_course_map[[#This Row],[role_id]], role_data[role_id], role_data[Role],"")</f>
        <v>ICH Clinician</v>
      </c>
      <c r="C3369">
        <v>999056</v>
      </c>
      <c r="D3369" s="5" t="str">
        <f>_xlfn.XLOOKUP(role_course_map[[#This Row],[course_id]],course_data[course_id],course_data[title],"")</f>
        <v>Driver Assessment &amp; Training</v>
      </c>
      <c r="E3369" s="5" t="str">
        <f>_xlfn.XLOOKUP(role_course_map[[#This Row],[course_id]],course_data[course_id],course_data[topic],"")</f>
        <v>SAS : Health and Safety</v>
      </c>
      <c r="F3369" s="5" t="str">
        <f>_xlfn.XLOOKUP(role_course_map[[#This Row],[course_id]],course_data[course_id],course_data[type],"")</f>
        <v>eLearning</v>
      </c>
      <c r="K3369" t="str">
        <f>role_course_map[[#This Row],[role_id]] &amp; "|" &amp; role_course_map[[#This Row],[course_id]]</f>
        <v>R0097|999056</v>
      </c>
      <c r="L3369" t="str">
        <f>IF(COUNTIF(role_course_map[mapping_key],role_course_map[[#This Row],[mapping_key]])&gt;1,"DUPLICATE","OK")</f>
        <v>OK</v>
      </c>
      <c r="M3369" t="str">
        <f>IF(COUNTIF(role_data[role_id],role_course_map[[#This Row],[role_id]])=0, "INVALID","VALID")</f>
        <v>VALID</v>
      </c>
      <c r="N3369" t="str">
        <f>IF(COUNTIF(course_data[course_id],role_course_map[[#This Row],[course_id]])=0, "INVALID","VALID")</f>
        <v>VALID</v>
      </c>
    </row>
    <row r="3370" spans="1:14" x14ac:dyDescent="0.35">
      <c r="A3370" t="s">
        <v>208</v>
      </c>
      <c r="B3370" s="5" t="str">
        <f>_xlfn.XLOOKUP(role_course_map[[#This Row],[role_id]], role_data[role_id], role_data[Role],"")</f>
        <v>ICH Clinician</v>
      </c>
      <c r="C3370">
        <v>999057</v>
      </c>
      <c r="D3370" s="5" t="str">
        <f>_xlfn.XLOOKUP(role_course_map[[#This Row],[course_id]],course_data[course_id],course_data[title],"")</f>
        <v>Fatigue Awareness</v>
      </c>
      <c r="E3370" s="5" t="str">
        <f>_xlfn.XLOOKUP(role_course_map[[#This Row],[course_id]],course_data[course_id],course_data[topic],"")</f>
        <v>SAS : Health and Safety</v>
      </c>
      <c r="F3370" s="5" t="str">
        <f>_xlfn.XLOOKUP(role_course_map[[#This Row],[course_id]],course_data[course_id],course_data[type],"")</f>
        <v>eLearning</v>
      </c>
      <c r="K3370" t="str">
        <f>role_course_map[[#This Row],[role_id]] &amp; "|" &amp; role_course_map[[#This Row],[course_id]]</f>
        <v>R0097|999057</v>
      </c>
      <c r="L3370" t="str">
        <f>IF(COUNTIF(role_course_map[mapping_key],role_course_map[[#This Row],[mapping_key]])&gt;1,"DUPLICATE","OK")</f>
        <v>OK</v>
      </c>
      <c r="M3370" t="str">
        <f>IF(COUNTIF(role_data[role_id],role_course_map[[#This Row],[role_id]])=0, "INVALID","VALID")</f>
        <v>VALID</v>
      </c>
      <c r="N3370" t="str">
        <f>IF(COUNTIF(course_data[course_id],role_course_map[[#This Row],[course_id]])=0, "INVALID","VALID")</f>
        <v>VALID</v>
      </c>
    </row>
    <row r="3371" spans="1:14" x14ac:dyDescent="0.35">
      <c r="A3371" t="s">
        <v>208</v>
      </c>
      <c r="B3371" s="5" t="str">
        <f>_xlfn.XLOOKUP(role_course_map[[#This Row],[role_id]], role_data[role_id], role_data[Role],"")</f>
        <v>ICH Clinician</v>
      </c>
      <c r="C3371">
        <v>64322</v>
      </c>
      <c r="D3371" s="5" t="str">
        <f>_xlfn.XLOOKUP(role_course_map[[#This Row],[course_id]],course_data[course_id],course_data[title],"")</f>
        <v>Adult support and protection: practice level 2 [skilled]</v>
      </c>
      <c r="E3371" s="5" t="str">
        <f>_xlfn.XLOOKUP(role_course_map[[#This Row],[course_id]],course_data[course_id],course_data[topic],"")</f>
        <v>SAS : Public Protection</v>
      </c>
      <c r="F3371" s="5" t="str">
        <f>_xlfn.XLOOKUP(role_course_map[[#This Row],[course_id]],course_data[course_id],course_data[type],"")</f>
        <v>eLearning</v>
      </c>
      <c r="K3371" t="str">
        <f>role_course_map[[#This Row],[role_id]] &amp; "|" &amp; role_course_map[[#This Row],[course_id]]</f>
        <v>R0097|64322</v>
      </c>
      <c r="L3371" t="str">
        <f>IF(COUNTIF(role_course_map[mapping_key],role_course_map[[#This Row],[mapping_key]])&gt;1,"DUPLICATE","OK")</f>
        <v>OK</v>
      </c>
      <c r="M3371" t="str">
        <f>IF(COUNTIF(role_data[role_id],role_course_map[[#This Row],[role_id]])=0, "INVALID","VALID")</f>
        <v>VALID</v>
      </c>
      <c r="N3371" t="str">
        <f>IF(COUNTIF(course_data[course_id],role_course_map[[#This Row],[course_id]])=0, "INVALID","VALID")</f>
        <v>VALID</v>
      </c>
    </row>
    <row r="3372" spans="1:14" x14ac:dyDescent="0.35">
      <c r="A3372" t="s">
        <v>208</v>
      </c>
      <c r="B3372" s="5" t="str">
        <f>_xlfn.XLOOKUP(role_course_map[[#This Row],[role_id]], role_data[role_id], role_data[Role],"")</f>
        <v>ICH Clinician</v>
      </c>
      <c r="C3372">
        <v>64324</v>
      </c>
      <c r="D3372" s="5" t="str">
        <f>_xlfn.XLOOKUP(role_course_map[[#This Row],[course_id]],course_data[course_id],course_data[title],"")</f>
        <v>Child protection: practice level 2 [skilled]</v>
      </c>
      <c r="E3372" s="5" t="str">
        <f>_xlfn.XLOOKUP(role_course_map[[#This Row],[course_id]],course_data[course_id],course_data[topic],"")</f>
        <v>SAS : Public Protection</v>
      </c>
      <c r="F3372" s="5" t="str">
        <f>_xlfn.XLOOKUP(role_course_map[[#This Row],[course_id]],course_data[course_id],course_data[type],"")</f>
        <v>eLearning</v>
      </c>
      <c r="K3372" t="str">
        <f>role_course_map[[#This Row],[role_id]] &amp; "|" &amp; role_course_map[[#This Row],[course_id]]</f>
        <v>R0097|64324</v>
      </c>
      <c r="L3372" t="str">
        <f>IF(COUNTIF(role_course_map[mapping_key],role_course_map[[#This Row],[mapping_key]])&gt;1,"DUPLICATE","OK")</f>
        <v>OK</v>
      </c>
      <c r="M3372" t="str">
        <f>IF(COUNTIF(role_data[role_id],role_course_map[[#This Row],[role_id]])=0, "INVALID","VALID")</f>
        <v>VALID</v>
      </c>
      <c r="N3372" t="str">
        <f>IF(COUNTIF(course_data[course_id],role_course_map[[#This Row],[course_id]])=0, "INVALID","VALID")</f>
        <v>VALID</v>
      </c>
    </row>
    <row r="3373" spans="1:14" x14ac:dyDescent="0.35">
      <c r="A3373" t="s">
        <v>208</v>
      </c>
      <c r="B3373" s="5" t="str">
        <f>_xlfn.XLOOKUP(role_course_map[[#This Row],[role_id]], role_data[role_id], role_data[Role],"")</f>
        <v>ICH Clinician</v>
      </c>
      <c r="C3373">
        <v>76716</v>
      </c>
      <c r="D3373" s="5" t="str">
        <f>_xlfn.XLOOKUP(role_course_map[[#This Row],[course_id]],course_data[course_id],course_data[title],"")</f>
        <v>Domestic abuse awareness training tool (DAART)</v>
      </c>
      <c r="E3373" s="5" t="str">
        <f>_xlfn.XLOOKUP(role_course_map[[#This Row],[course_id]],course_data[course_id],course_data[topic],"")</f>
        <v>SAS : Public Protection</v>
      </c>
      <c r="F3373" s="5" t="str">
        <f>_xlfn.XLOOKUP(role_course_map[[#This Row],[course_id]],course_data[course_id],course_data[type],"")</f>
        <v>eLearning</v>
      </c>
      <c r="K3373" t="str">
        <f>role_course_map[[#This Row],[role_id]] &amp; "|" &amp; role_course_map[[#This Row],[course_id]]</f>
        <v>R0097|76716</v>
      </c>
      <c r="L3373" t="str">
        <f>IF(COUNTIF(role_course_map[mapping_key],role_course_map[[#This Row],[mapping_key]])&gt;1,"DUPLICATE","OK")</f>
        <v>OK</v>
      </c>
      <c r="M3373" t="str">
        <f>IF(COUNTIF(role_data[role_id],role_course_map[[#This Row],[role_id]])=0, "INVALID","VALID")</f>
        <v>VALID</v>
      </c>
      <c r="N3373" t="str">
        <f>IF(COUNTIF(course_data[course_id],role_course_map[[#This Row],[course_id]])=0, "INVALID","VALID")</f>
        <v>VALID</v>
      </c>
    </row>
    <row r="3374" spans="1:14" x14ac:dyDescent="0.35">
      <c r="A3374" t="s">
        <v>208</v>
      </c>
      <c r="B3374" s="5" t="str">
        <f>_xlfn.XLOOKUP(role_course_map[[#This Row],[role_id]], role_data[role_id], role_data[Role],"")</f>
        <v>ICH Clinician</v>
      </c>
      <c r="C3374">
        <v>79666</v>
      </c>
      <c r="D3374" s="5" t="str">
        <f>_xlfn.XLOOKUP(role_course_map[[#This Row],[course_id]],course_data[course_id],course_data[title],"")</f>
        <v>Getting it right for every child (GIRFEC): informed level</v>
      </c>
      <c r="E3374" s="5" t="str">
        <f>_xlfn.XLOOKUP(role_course_map[[#This Row],[course_id]],course_data[course_id],course_data[topic],"")</f>
        <v>SAS : Public Protection</v>
      </c>
      <c r="F3374" s="5" t="str">
        <f>_xlfn.XLOOKUP(role_course_map[[#This Row],[course_id]],course_data[course_id],course_data[type],"")</f>
        <v>eLearning</v>
      </c>
      <c r="K3374" t="str">
        <f>role_course_map[[#This Row],[role_id]] &amp; "|" &amp; role_course_map[[#This Row],[course_id]]</f>
        <v>R0097|79666</v>
      </c>
      <c r="L3374" t="str">
        <f>IF(COUNTIF(role_course_map[mapping_key],role_course_map[[#This Row],[mapping_key]])&gt;1,"DUPLICATE","OK")</f>
        <v>OK</v>
      </c>
      <c r="M3374" t="str">
        <f>IF(COUNTIF(role_data[role_id],role_course_map[[#This Row],[role_id]])=0, "INVALID","VALID")</f>
        <v>VALID</v>
      </c>
      <c r="N3374" t="str">
        <f>IF(COUNTIF(course_data[course_id],role_course_map[[#This Row],[course_id]])=0, "INVALID","VALID")</f>
        <v>VALID</v>
      </c>
    </row>
    <row r="3375" spans="1:14" x14ac:dyDescent="0.35">
      <c r="A3375" t="s">
        <v>208</v>
      </c>
      <c r="B3375" s="5" t="str">
        <f>_xlfn.XLOOKUP(role_course_map[[#This Row],[role_id]], role_data[role_id], role_data[Role],"")</f>
        <v>ICH Clinician</v>
      </c>
      <c r="C3375">
        <v>999074</v>
      </c>
      <c r="D3375" s="5" t="str">
        <f>_xlfn.XLOOKUP(role_course_map[[#This Row],[course_id]],course_data[course_id],course_data[title],"")</f>
        <v>SAS-specific Children’s rights</v>
      </c>
      <c r="E3375" s="5" t="str">
        <f>_xlfn.XLOOKUP(role_course_map[[#This Row],[course_id]],course_data[course_id],course_data[topic],"")</f>
        <v>SAS : Public Protection</v>
      </c>
      <c r="F3375" s="5" t="str">
        <f>_xlfn.XLOOKUP(role_course_map[[#This Row],[course_id]],course_data[course_id],course_data[type],"")</f>
        <v>eLearning</v>
      </c>
      <c r="K3375" t="str">
        <f>role_course_map[[#This Row],[role_id]] &amp; "|" &amp; role_course_map[[#This Row],[course_id]]</f>
        <v>R0097|999074</v>
      </c>
      <c r="L3375" t="str">
        <f>IF(COUNTIF(role_course_map[mapping_key],role_course_map[[#This Row],[mapping_key]])&gt;1,"DUPLICATE","OK")</f>
        <v>OK</v>
      </c>
      <c r="M3375" t="str">
        <f>IF(COUNTIF(role_data[role_id],role_course_map[[#This Row],[role_id]])=0, "INVALID","VALID")</f>
        <v>VALID</v>
      </c>
      <c r="N3375" t="str">
        <f>IF(COUNTIF(course_data[course_id],role_course_map[[#This Row],[course_id]])=0, "INVALID","VALID")</f>
        <v>VALID</v>
      </c>
    </row>
    <row r="3376" spans="1:14" x14ac:dyDescent="0.35">
      <c r="A3376" t="s">
        <v>208</v>
      </c>
      <c r="B3376" s="5" t="str">
        <f>_xlfn.XLOOKUP(role_course_map[[#This Row],[role_id]], role_data[role_id], role_data[Role],"")</f>
        <v>ICH Clinician</v>
      </c>
      <c r="C3376">
        <v>999075</v>
      </c>
      <c r="D3376" s="5" t="str">
        <f>_xlfn.XLOOKUP(role_course_map[[#This Row],[course_id]],course_data[course_id],course_data[title],"")</f>
        <v>Multiagency local or bespoke Level 3 delivery training</v>
      </c>
      <c r="E3376" s="5" t="str">
        <f>_xlfn.XLOOKUP(role_course_map[[#This Row],[course_id]],course_data[course_id],course_data[topic],"")</f>
        <v>SAS : Public Protection</v>
      </c>
      <c r="F3376" s="5" t="str">
        <f>_xlfn.XLOOKUP(role_course_map[[#This Row],[course_id]],course_data[course_id],course_data[type],"")</f>
        <v>eLearning</v>
      </c>
      <c r="K3376" t="str">
        <f>role_course_map[[#This Row],[role_id]] &amp; "|" &amp; role_course_map[[#This Row],[course_id]]</f>
        <v>R0097|999075</v>
      </c>
      <c r="L3376" t="str">
        <f>IF(COUNTIF(role_course_map[mapping_key],role_course_map[[#This Row],[mapping_key]])&gt;1,"DUPLICATE","OK")</f>
        <v>OK</v>
      </c>
      <c r="M3376" t="str">
        <f>IF(COUNTIF(role_data[role_id],role_course_map[[#This Row],[role_id]])=0, "INVALID","VALID")</f>
        <v>VALID</v>
      </c>
      <c r="N3376" t="str">
        <f>IF(COUNTIF(course_data[course_id],role_course_map[[#This Row],[course_id]])=0, "INVALID","VALID")</f>
        <v>VALID</v>
      </c>
    </row>
    <row r="3377" spans="1:14" x14ac:dyDescent="0.35">
      <c r="A3377" t="s">
        <v>208</v>
      </c>
      <c r="B3377" s="5" t="str">
        <f>_xlfn.XLOOKUP(role_course_map[[#This Row],[role_id]], role_data[role_id], role_data[Role],"")</f>
        <v>ICH Clinician</v>
      </c>
      <c r="C3377">
        <v>15249</v>
      </c>
      <c r="D3377" s="5" t="str">
        <f>_xlfn.XLOOKUP(role_course_map[[#This Row],[course_id]],course_data[course_id],course_data[title],"")</f>
        <v>Human trafficking</v>
      </c>
      <c r="E3377" s="5" t="str">
        <f>_xlfn.XLOOKUP(role_course_map[[#This Row],[course_id]],course_data[course_id],course_data[topic],"")</f>
        <v>SAS : Public Protection</v>
      </c>
      <c r="F3377" s="5" t="str">
        <f>_xlfn.XLOOKUP(role_course_map[[#This Row],[course_id]],course_data[course_id],course_data[type],"")</f>
        <v>eLearning</v>
      </c>
      <c r="K3377" t="str">
        <f>role_course_map[[#This Row],[role_id]] &amp; "|" &amp; role_course_map[[#This Row],[course_id]]</f>
        <v>R0097|15249</v>
      </c>
      <c r="L3377" t="str">
        <f>IF(COUNTIF(role_course_map[mapping_key],role_course_map[[#This Row],[mapping_key]])&gt;1,"DUPLICATE","OK")</f>
        <v>OK</v>
      </c>
      <c r="M3377" t="str">
        <f>IF(COUNTIF(role_data[role_id],role_course_map[[#This Row],[role_id]])=0, "INVALID","VALID")</f>
        <v>VALID</v>
      </c>
      <c r="N3377" t="str">
        <f>IF(COUNTIF(course_data[course_id],role_course_map[[#This Row],[course_id]])=0, "INVALID","VALID")</f>
        <v>VALID</v>
      </c>
    </row>
    <row r="3378" spans="1:14" x14ac:dyDescent="0.35">
      <c r="A3378" t="s">
        <v>208</v>
      </c>
      <c r="B3378" s="5" t="str">
        <f>_xlfn.XLOOKUP(role_course_map[[#This Row],[role_id]], role_data[role_id], role_data[Role],"")</f>
        <v>ICH Clinician</v>
      </c>
      <c r="C3378">
        <v>999094</v>
      </c>
      <c r="D3378" s="5" t="str">
        <f>_xlfn.XLOOKUP(role_course_map[[#This Row],[course_id]],course_data[course_id],course_data[title],"")</f>
        <v>Being well, Mind, Body &amp; Workplace</v>
      </c>
      <c r="E3378" s="5" t="str">
        <f>_xlfn.XLOOKUP(role_course_map[[#This Row],[course_id]],course_data[course_id],course_data[topic],"")</f>
        <v>SAS: Staff development and experience</v>
      </c>
      <c r="F3378" s="5" t="str">
        <f>_xlfn.XLOOKUP(role_course_map[[#This Row],[course_id]],course_data[course_id],course_data[type],"")</f>
        <v>eLearning</v>
      </c>
      <c r="K3378" t="str">
        <f>role_course_map[[#This Row],[role_id]] &amp; "|" &amp; role_course_map[[#This Row],[course_id]]</f>
        <v>R0097|999094</v>
      </c>
      <c r="L3378" t="str">
        <f>IF(COUNTIF(role_course_map[mapping_key],role_course_map[[#This Row],[mapping_key]])&gt;1,"DUPLICATE","OK")</f>
        <v>OK</v>
      </c>
      <c r="M3378" t="str">
        <f>IF(COUNTIF(role_data[role_id],role_course_map[[#This Row],[role_id]])=0, "INVALID","VALID")</f>
        <v>VALID</v>
      </c>
      <c r="N3378" t="str">
        <f>IF(COUNTIF(course_data[course_id],role_course_map[[#This Row],[course_id]])=0, "INVALID","VALID")</f>
        <v>VALID</v>
      </c>
    </row>
    <row r="3379" spans="1:14" x14ac:dyDescent="0.35">
      <c r="A3379" t="s">
        <v>396</v>
      </c>
      <c r="B3379" s="5" t="str">
        <f>_xlfn.XLOOKUP(role_course_map[[#This Row],[role_id]], role_data[role_id], role_data[Role],"")</f>
        <v>Records Management Officer</v>
      </c>
      <c r="C3379">
        <v>999056</v>
      </c>
      <c r="D3379" s="5" t="str">
        <f>_xlfn.XLOOKUP(role_course_map[[#This Row],[course_id]],course_data[course_id],course_data[title],"")</f>
        <v>Driver Assessment &amp; Training</v>
      </c>
      <c r="E3379" s="5" t="str">
        <f>_xlfn.XLOOKUP(role_course_map[[#This Row],[course_id]],course_data[course_id],course_data[topic],"")</f>
        <v>SAS : Health and Safety</v>
      </c>
      <c r="F3379" s="5" t="str">
        <f>_xlfn.XLOOKUP(role_course_map[[#This Row],[course_id]],course_data[course_id],course_data[type],"")</f>
        <v>eLearning</v>
      </c>
      <c r="K3379" t="str">
        <f>role_course_map[[#This Row],[role_id]] &amp; "|" &amp; role_course_map[[#This Row],[course_id]]</f>
        <v>R0188|999056</v>
      </c>
      <c r="L3379" t="str">
        <f>IF(COUNTIF(role_course_map[mapping_key],role_course_map[[#This Row],[mapping_key]])&gt;1,"DUPLICATE","OK")</f>
        <v>OK</v>
      </c>
      <c r="M3379" t="str">
        <f>IF(COUNTIF(role_data[role_id],role_course_map[[#This Row],[role_id]])=0, "INVALID","VALID")</f>
        <v>VALID</v>
      </c>
      <c r="N3379" t="str">
        <f>IF(COUNTIF(course_data[course_id],role_course_map[[#This Row],[course_id]])=0, "INVALID","VALID")</f>
        <v>VALID</v>
      </c>
    </row>
    <row r="3380" spans="1:14" x14ac:dyDescent="0.35">
      <c r="A3380" t="s">
        <v>396</v>
      </c>
      <c r="B3380" s="5" t="str">
        <f>_xlfn.XLOOKUP(role_course_map[[#This Row],[role_id]], role_data[role_id], role_data[Role],"")</f>
        <v>Records Management Officer</v>
      </c>
      <c r="C3380">
        <v>999057</v>
      </c>
      <c r="D3380" s="5" t="str">
        <f>_xlfn.XLOOKUP(role_course_map[[#This Row],[course_id]],course_data[course_id],course_data[title],"")</f>
        <v>Fatigue Awareness</v>
      </c>
      <c r="E3380" s="5" t="str">
        <f>_xlfn.XLOOKUP(role_course_map[[#This Row],[course_id]],course_data[course_id],course_data[topic],"")</f>
        <v>SAS : Health and Safety</v>
      </c>
      <c r="F3380" s="5" t="str">
        <f>_xlfn.XLOOKUP(role_course_map[[#This Row],[course_id]],course_data[course_id],course_data[type],"")</f>
        <v>eLearning</v>
      </c>
      <c r="K3380" t="str">
        <f>role_course_map[[#This Row],[role_id]] &amp; "|" &amp; role_course_map[[#This Row],[course_id]]</f>
        <v>R0188|999057</v>
      </c>
      <c r="L3380" t="str">
        <f>IF(COUNTIF(role_course_map[mapping_key],role_course_map[[#This Row],[mapping_key]])&gt;1,"DUPLICATE","OK")</f>
        <v>OK</v>
      </c>
      <c r="M3380" t="str">
        <f>IF(COUNTIF(role_data[role_id],role_course_map[[#This Row],[role_id]])=0, "INVALID","VALID")</f>
        <v>VALID</v>
      </c>
      <c r="N3380" t="str">
        <f>IF(COUNTIF(course_data[course_id],role_course_map[[#This Row],[course_id]])=0, "INVALID","VALID")</f>
        <v>VALID</v>
      </c>
    </row>
    <row r="3381" spans="1:14" x14ac:dyDescent="0.35">
      <c r="A3381" t="s">
        <v>396</v>
      </c>
      <c r="B3381" s="5" t="str">
        <f>_xlfn.XLOOKUP(role_course_map[[#This Row],[role_id]], role_data[role_id], role_data[Role],"")</f>
        <v>Records Management Officer</v>
      </c>
      <c r="C3381">
        <v>999058</v>
      </c>
      <c r="D3381" s="5" t="str">
        <f>_xlfn.XLOOKUP(role_course_map[[#This Row],[course_id]],course_data[course_id],course_data[title],"")</f>
        <v>Stress Identification &amp; Stress Management</v>
      </c>
      <c r="E3381" s="5" t="str">
        <f>_xlfn.XLOOKUP(role_course_map[[#This Row],[course_id]],course_data[course_id],course_data[topic],"")</f>
        <v>SAS : Health and Safety</v>
      </c>
      <c r="F3381" s="5" t="str">
        <f>_xlfn.XLOOKUP(role_course_map[[#This Row],[course_id]],course_data[course_id],course_data[type],"")</f>
        <v>eLearning</v>
      </c>
      <c r="K3381" t="str">
        <f>role_course_map[[#This Row],[role_id]] &amp; "|" &amp; role_course_map[[#This Row],[course_id]]</f>
        <v>R0188|999058</v>
      </c>
      <c r="L3381" t="str">
        <f>IF(COUNTIF(role_course_map[mapping_key],role_course_map[[#This Row],[mapping_key]])&gt;1,"DUPLICATE","OK")</f>
        <v>OK</v>
      </c>
      <c r="M3381" t="str">
        <f>IF(COUNTIF(role_data[role_id],role_course_map[[#This Row],[role_id]])=0, "INVALID","VALID")</f>
        <v>VALID</v>
      </c>
      <c r="N3381" t="str">
        <f>IF(COUNTIF(course_data[course_id],role_course_map[[#This Row],[course_id]])=0, "INVALID","VALID")</f>
        <v>VALID</v>
      </c>
    </row>
    <row r="3382" spans="1:14" x14ac:dyDescent="0.35">
      <c r="A3382" t="s">
        <v>396</v>
      </c>
      <c r="B3382" s="5" t="str">
        <f>_xlfn.XLOOKUP(role_course_map[[#This Row],[role_id]], role_data[role_id], role_data[Role],"")</f>
        <v>Records Management Officer</v>
      </c>
      <c r="C3382">
        <v>999094</v>
      </c>
      <c r="D3382" s="5" t="str">
        <f>_xlfn.XLOOKUP(role_course_map[[#This Row],[course_id]],course_data[course_id],course_data[title],"")</f>
        <v>Being well, Mind, Body &amp; Workplace</v>
      </c>
      <c r="E3382" s="5" t="str">
        <f>_xlfn.XLOOKUP(role_course_map[[#This Row],[course_id]],course_data[course_id],course_data[topic],"")</f>
        <v>SAS: Staff development and experience</v>
      </c>
      <c r="F3382" s="5" t="str">
        <f>_xlfn.XLOOKUP(role_course_map[[#This Row],[course_id]],course_data[course_id],course_data[type],"")</f>
        <v>eLearning</v>
      </c>
      <c r="K3382" t="str">
        <f>role_course_map[[#This Row],[role_id]] &amp; "|" &amp; role_course_map[[#This Row],[course_id]]</f>
        <v>R0188|999094</v>
      </c>
      <c r="L3382" t="str">
        <f>IF(COUNTIF(role_course_map[mapping_key],role_course_map[[#This Row],[mapping_key]])&gt;1,"DUPLICATE","OK")</f>
        <v>OK</v>
      </c>
      <c r="M3382" t="str">
        <f>IF(COUNTIF(role_data[role_id],role_course_map[[#This Row],[role_id]])=0, "INVALID","VALID")</f>
        <v>VALID</v>
      </c>
      <c r="N3382" t="str">
        <f>IF(COUNTIF(course_data[course_id],role_course_map[[#This Row],[course_id]])=0, "INVALID","VALID")</f>
        <v>VALID</v>
      </c>
    </row>
    <row r="3383" spans="1:14" x14ac:dyDescent="0.35">
      <c r="A3383" t="s">
        <v>394</v>
      </c>
      <c r="B3383" s="5" t="str">
        <f>_xlfn.XLOOKUP(role_course_map[[#This Row],[role_id]], role_data[role_id], role_data[Role],"")</f>
        <v>Information Governance Officer</v>
      </c>
      <c r="C3383">
        <v>999056</v>
      </c>
      <c r="D3383" s="5" t="str">
        <f>_xlfn.XLOOKUP(role_course_map[[#This Row],[course_id]],course_data[course_id],course_data[title],"")</f>
        <v>Driver Assessment &amp; Training</v>
      </c>
      <c r="E3383" s="5" t="str">
        <f>_xlfn.XLOOKUP(role_course_map[[#This Row],[course_id]],course_data[course_id],course_data[topic],"")</f>
        <v>SAS : Health and Safety</v>
      </c>
      <c r="F3383" s="5" t="str">
        <f>_xlfn.XLOOKUP(role_course_map[[#This Row],[course_id]],course_data[course_id],course_data[type],"")</f>
        <v>eLearning</v>
      </c>
      <c r="K3383" t="str">
        <f>role_course_map[[#This Row],[role_id]] &amp; "|" &amp; role_course_map[[#This Row],[course_id]]</f>
        <v>R0187|999056</v>
      </c>
      <c r="L3383" t="str">
        <f>IF(COUNTIF(role_course_map[mapping_key],role_course_map[[#This Row],[mapping_key]])&gt;1,"DUPLICATE","OK")</f>
        <v>OK</v>
      </c>
      <c r="M3383" t="str">
        <f>IF(COUNTIF(role_data[role_id],role_course_map[[#This Row],[role_id]])=0, "INVALID","VALID")</f>
        <v>VALID</v>
      </c>
      <c r="N3383" t="str">
        <f>IF(COUNTIF(course_data[course_id],role_course_map[[#This Row],[course_id]])=0, "INVALID","VALID")</f>
        <v>VALID</v>
      </c>
    </row>
    <row r="3384" spans="1:14" x14ac:dyDescent="0.35">
      <c r="A3384" t="s">
        <v>394</v>
      </c>
      <c r="B3384" s="5" t="str">
        <f>_xlfn.XLOOKUP(role_course_map[[#This Row],[role_id]], role_data[role_id], role_data[Role],"")</f>
        <v>Information Governance Officer</v>
      </c>
      <c r="C3384">
        <v>999057</v>
      </c>
      <c r="D3384" s="5" t="str">
        <f>_xlfn.XLOOKUP(role_course_map[[#This Row],[course_id]],course_data[course_id],course_data[title],"")</f>
        <v>Fatigue Awareness</v>
      </c>
      <c r="E3384" s="5" t="str">
        <f>_xlfn.XLOOKUP(role_course_map[[#This Row],[course_id]],course_data[course_id],course_data[topic],"")</f>
        <v>SAS : Health and Safety</v>
      </c>
      <c r="F3384" s="5" t="str">
        <f>_xlfn.XLOOKUP(role_course_map[[#This Row],[course_id]],course_data[course_id],course_data[type],"")</f>
        <v>eLearning</v>
      </c>
      <c r="K3384" t="str">
        <f>role_course_map[[#This Row],[role_id]] &amp; "|" &amp; role_course_map[[#This Row],[course_id]]</f>
        <v>R0187|999057</v>
      </c>
      <c r="L3384" t="str">
        <f>IF(COUNTIF(role_course_map[mapping_key],role_course_map[[#This Row],[mapping_key]])&gt;1,"DUPLICATE","OK")</f>
        <v>OK</v>
      </c>
      <c r="M3384" t="str">
        <f>IF(COUNTIF(role_data[role_id],role_course_map[[#This Row],[role_id]])=0, "INVALID","VALID")</f>
        <v>VALID</v>
      </c>
      <c r="N3384" t="str">
        <f>IF(COUNTIF(course_data[course_id],role_course_map[[#This Row],[course_id]])=0, "INVALID","VALID")</f>
        <v>VALID</v>
      </c>
    </row>
    <row r="3385" spans="1:14" x14ac:dyDescent="0.35">
      <c r="A3385" t="s">
        <v>394</v>
      </c>
      <c r="B3385" s="5" t="str">
        <f>_xlfn.XLOOKUP(role_course_map[[#This Row],[role_id]], role_data[role_id], role_data[Role],"")</f>
        <v>Information Governance Officer</v>
      </c>
      <c r="C3385">
        <v>999058</v>
      </c>
      <c r="D3385" s="5" t="str">
        <f>_xlfn.XLOOKUP(role_course_map[[#This Row],[course_id]],course_data[course_id],course_data[title],"")</f>
        <v>Stress Identification &amp; Stress Management</v>
      </c>
      <c r="E3385" s="5" t="str">
        <f>_xlfn.XLOOKUP(role_course_map[[#This Row],[course_id]],course_data[course_id],course_data[topic],"")</f>
        <v>SAS : Health and Safety</v>
      </c>
      <c r="F3385" s="5" t="str">
        <f>_xlfn.XLOOKUP(role_course_map[[#This Row],[course_id]],course_data[course_id],course_data[type],"")</f>
        <v>eLearning</v>
      </c>
      <c r="K3385" t="str">
        <f>role_course_map[[#This Row],[role_id]] &amp; "|" &amp; role_course_map[[#This Row],[course_id]]</f>
        <v>R0187|999058</v>
      </c>
      <c r="L3385" t="str">
        <f>IF(COUNTIF(role_course_map[mapping_key],role_course_map[[#This Row],[mapping_key]])&gt;1,"DUPLICATE","OK")</f>
        <v>OK</v>
      </c>
      <c r="M3385" t="str">
        <f>IF(COUNTIF(role_data[role_id],role_course_map[[#This Row],[role_id]])=0, "INVALID","VALID")</f>
        <v>VALID</v>
      </c>
      <c r="N3385" t="str">
        <f>IF(COUNTIF(course_data[course_id],role_course_map[[#This Row],[course_id]])=0, "INVALID","VALID")</f>
        <v>VALID</v>
      </c>
    </row>
    <row r="3386" spans="1:14" x14ac:dyDescent="0.35">
      <c r="A3386" t="s">
        <v>394</v>
      </c>
      <c r="B3386" s="5" t="str">
        <f>_xlfn.XLOOKUP(role_course_map[[#This Row],[role_id]], role_data[role_id], role_data[Role],"")</f>
        <v>Information Governance Officer</v>
      </c>
      <c r="C3386">
        <v>999094</v>
      </c>
      <c r="D3386" s="5" t="str">
        <f>_xlfn.XLOOKUP(role_course_map[[#This Row],[course_id]],course_data[course_id],course_data[title],"")</f>
        <v>Being well, Mind, Body &amp; Workplace</v>
      </c>
      <c r="E3386" s="5" t="str">
        <f>_xlfn.XLOOKUP(role_course_map[[#This Row],[course_id]],course_data[course_id],course_data[topic],"")</f>
        <v>SAS: Staff development and experience</v>
      </c>
      <c r="F3386" s="5" t="str">
        <f>_xlfn.XLOOKUP(role_course_map[[#This Row],[course_id]],course_data[course_id],course_data[type],"")</f>
        <v>eLearning</v>
      </c>
      <c r="K3386" t="str">
        <f>role_course_map[[#This Row],[role_id]] &amp; "|" &amp; role_course_map[[#This Row],[course_id]]</f>
        <v>R0187|999094</v>
      </c>
      <c r="L3386" t="str">
        <f>IF(COUNTIF(role_course_map[mapping_key],role_course_map[[#This Row],[mapping_key]])&gt;1,"DUPLICATE","OK")</f>
        <v>OK</v>
      </c>
      <c r="M3386" t="str">
        <f>IF(COUNTIF(role_data[role_id],role_course_map[[#This Row],[role_id]])=0, "INVALID","VALID")</f>
        <v>VALID</v>
      </c>
      <c r="N3386" t="str">
        <f>IF(COUNTIF(course_data[course_id],role_course_map[[#This Row],[course_id]])=0, "INVALID","VALID")</f>
        <v>VALID</v>
      </c>
    </row>
    <row r="3387" spans="1:14" x14ac:dyDescent="0.35">
      <c r="A3387" t="s">
        <v>392</v>
      </c>
      <c r="B3387" s="5" t="str">
        <f>_xlfn.XLOOKUP(role_course_map[[#This Row],[role_id]], role_data[role_id], role_data[Role],"")</f>
        <v>Information Compliance Officer</v>
      </c>
      <c r="C3387">
        <v>999056</v>
      </c>
      <c r="D3387" s="5" t="str">
        <f>_xlfn.XLOOKUP(role_course_map[[#This Row],[course_id]],course_data[course_id],course_data[title],"")</f>
        <v>Driver Assessment &amp; Training</v>
      </c>
      <c r="E3387" s="5" t="str">
        <f>_xlfn.XLOOKUP(role_course_map[[#This Row],[course_id]],course_data[course_id],course_data[topic],"")</f>
        <v>SAS : Health and Safety</v>
      </c>
      <c r="F3387" s="5" t="str">
        <f>_xlfn.XLOOKUP(role_course_map[[#This Row],[course_id]],course_data[course_id],course_data[type],"")</f>
        <v>eLearning</v>
      </c>
      <c r="K3387" t="str">
        <f>role_course_map[[#This Row],[role_id]] &amp; "|" &amp; role_course_map[[#This Row],[course_id]]</f>
        <v>R0186|999056</v>
      </c>
      <c r="L3387" t="str">
        <f>IF(COUNTIF(role_course_map[mapping_key],role_course_map[[#This Row],[mapping_key]])&gt;1,"DUPLICATE","OK")</f>
        <v>OK</v>
      </c>
      <c r="M3387" t="str">
        <f>IF(COUNTIF(role_data[role_id],role_course_map[[#This Row],[role_id]])=0, "INVALID","VALID")</f>
        <v>VALID</v>
      </c>
      <c r="N3387" t="str">
        <f>IF(COUNTIF(course_data[course_id],role_course_map[[#This Row],[course_id]])=0, "INVALID","VALID")</f>
        <v>VALID</v>
      </c>
    </row>
    <row r="3388" spans="1:14" x14ac:dyDescent="0.35">
      <c r="A3388" t="s">
        <v>392</v>
      </c>
      <c r="B3388" s="5" t="str">
        <f>_xlfn.XLOOKUP(role_course_map[[#This Row],[role_id]], role_data[role_id], role_data[Role],"")</f>
        <v>Information Compliance Officer</v>
      </c>
      <c r="C3388">
        <v>999057</v>
      </c>
      <c r="D3388" s="5" t="str">
        <f>_xlfn.XLOOKUP(role_course_map[[#This Row],[course_id]],course_data[course_id],course_data[title],"")</f>
        <v>Fatigue Awareness</v>
      </c>
      <c r="E3388" s="5" t="str">
        <f>_xlfn.XLOOKUP(role_course_map[[#This Row],[course_id]],course_data[course_id],course_data[topic],"")</f>
        <v>SAS : Health and Safety</v>
      </c>
      <c r="F3388" s="5" t="str">
        <f>_xlfn.XLOOKUP(role_course_map[[#This Row],[course_id]],course_data[course_id],course_data[type],"")</f>
        <v>eLearning</v>
      </c>
      <c r="K3388" t="str">
        <f>role_course_map[[#This Row],[role_id]] &amp; "|" &amp; role_course_map[[#This Row],[course_id]]</f>
        <v>R0186|999057</v>
      </c>
      <c r="L3388" t="str">
        <f>IF(COUNTIF(role_course_map[mapping_key],role_course_map[[#This Row],[mapping_key]])&gt;1,"DUPLICATE","OK")</f>
        <v>OK</v>
      </c>
      <c r="M3388" t="str">
        <f>IF(COUNTIF(role_data[role_id],role_course_map[[#This Row],[role_id]])=0, "INVALID","VALID")</f>
        <v>VALID</v>
      </c>
      <c r="N3388" t="str">
        <f>IF(COUNTIF(course_data[course_id],role_course_map[[#This Row],[course_id]])=0, "INVALID","VALID")</f>
        <v>VALID</v>
      </c>
    </row>
    <row r="3389" spans="1:14" x14ac:dyDescent="0.35">
      <c r="A3389" t="s">
        <v>392</v>
      </c>
      <c r="B3389" s="5" t="str">
        <f>_xlfn.XLOOKUP(role_course_map[[#This Row],[role_id]], role_data[role_id], role_data[Role],"")</f>
        <v>Information Compliance Officer</v>
      </c>
      <c r="C3389">
        <v>999058</v>
      </c>
      <c r="D3389" s="5" t="str">
        <f>_xlfn.XLOOKUP(role_course_map[[#This Row],[course_id]],course_data[course_id],course_data[title],"")</f>
        <v>Stress Identification &amp; Stress Management</v>
      </c>
      <c r="E3389" s="5" t="str">
        <f>_xlfn.XLOOKUP(role_course_map[[#This Row],[course_id]],course_data[course_id],course_data[topic],"")</f>
        <v>SAS : Health and Safety</v>
      </c>
      <c r="F3389" s="5" t="str">
        <f>_xlfn.XLOOKUP(role_course_map[[#This Row],[course_id]],course_data[course_id],course_data[type],"")</f>
        <v>eLearning</v>
      </c>
      <c r="K3389" t="str">
        <f>role_course_map[[#This Row],[role_id]] &amp; "|" &amp; role_course_map[[#This Row],[course_id]]</f>
        <v>R0186|999058</v>
      </c>
      <c r="L3389" t="str">
        <f>IF(COUNTIF(role_course_map[mapping_key],role_course_map[[#This Row],[mapping_key]])&gt;1,"DUPLICATE","OK")</f>
        <v>OK</v>
      </c>
      <c r="M3389" t="str">
        <f>IF(COUNTIF(role_data[role_id],role_course_map[[#This Row],[role_id]])=0, "INVALID","VALID")</f>
        <v>VALID</v>
      </c>
      <c r="N3389" t="str">
        <f>IF(COUNTIF(course_data[course_id],role_course_map[[#This Row],[course_id]])=0, "INVALID","VALID")</f>
        <v>VALID</v>
      </c>
    </row>
    <row r="3390" spans="1:14" x14ac:dyDescent="0.35">
      <c r="A3390" t="s">
        <v>392</v>
      </c>
      <c r="B3390" s="5" t="str">
        <f>_xlfn.XLOOKUP(role_course_map[[#This Row],[role_id]], role_data[role_id], role_data[Role],"")</f>
        <v>Information Compliance Officer</v>
      </c>
      <c r="C3390">
        <v>999094</v>
      </c>
      <c r="D3390" s="5" t="str">
        <f>_xlfn.XLOOKUP(role_course_map[[#This Row],[course_id]],course_data[course_id],course_data[title],"")</f>
        <v>Being well, Mind, Body &amp; Workplace</v>
      </c>
      <c r="E3390" s="5" t="str">
        <f>_xlfn.XLOOKUP(role_course_map[[#This Row],[course_id]],course_data[course_id],course_data[topic],"")</f>
        <v>SAS: Staff development and experience</v>
      </c>
      <c r="F3390" s="5" t="str">
        <f>_xlfn.XLOOKUP(role_course_map[[#This Row],[course_id]],course_data[course_id],course_data[type],"")</f>
        <v>eLearning</v>
      </c>
      <c r="K3390" t="str">
        <f>role_course_map[[#This Row],[role_id]] &amp; "|" &amp; role_course_map[[#This Row],[course_id]]</f>
        <v>R0186|999094</v>
      </c>
      <c r="L3390" t="str">
        <f>IF(COUNTIF(role_course_map[mapping_key],role_course_map[[#This Row],[mapping_key]])&gt;1,"DUPLICATE","OK")</f>
        <v>OK</v>
      </c>
      <c r="M3390" t="str">
        <f>IF(COUNTIF(role_data[role_id],role_course_map[[#This Row],[role_id]])=0, "INVALID","VALID")</f>
        <v>VALID</v>
      </c>
      <c r="N3390" t="str">
        <f>IF(COUNTIF(course_data[course_id],role_course_map[[#This Row],[course_id]])=0, "INVALID","VALID")</f>
        <v>VALID</v>
      </c>
    </row>
    <row r="3391" spans="1:14" x14ac:dyDescent="0.35">
      <c r="A3391" t="s">
        <v>11</v>
      </c>
      <c r="B3391" s="5" t="str">
        <f>_xlfn.XLOOKUP(role_course_map[[#This Row],[role_id]], role_data[role_id], role_data[Role],"")</f>
        <v>Patient Experience Co-ordinator</v>
      </c>
      <c r="C3391">
        <v>999056</v>
      </c>
      <c r="D3391" s="5" t="str">
        <f>_xlfn.XLOOKUP(role_course_map[[#This Row],[course_id]],course_data[course_id],course_data[title],"")</f>
        <v>Driver Assessment &amp; Training</v>
      </c>
      <c r="E3391" s="5" t="str">
        <f>_xlfn.XLOOKUP(role_course_map[[#This Row],[course_id]],course_data[course_id],course_data[topic],"")</f>
        <v>SAS : Health and Safety</v>
      </c>
      <c r="F3391" s="5" t="str">
        <f>_xlfn.XLOOKUP(role_course_map[[#This Row],[course_id]],course_data[course_id],course_data[type],"")</f>
        <v>eLearning</v>
      </c>
      <c r="K3391" t="str">
        <f>role_course_map[[#This Row],[role_id]] &amp; "|" &amp; role_course_map[[#This Row],[course_id]]</f>
        <v>R0004|999056</v>
      </c>
      <c r="L3391" t="str">
        <f>IF(COUNTIF(role_course_map[mapping_key],role_course_map[[#This Row],[mapping_key]])&gt;1,"DUPLICATE","OK")</f>
        <v>OK</v>
      </c>
      <c r="M3391" t="str">
        <f>IF(COUNTIF(role_data[role_id],role_course_map[[#This Row],[role_id]])=0, "INVALID","VALID")</f>
        <v>VALID</v>
      </c>
      <c r="N3391" t="str">
        <f>IF(COUNTIF(course_data[course_id],role_course_map[[#This Row],[course_id]])=0, "INVALID","VALID")</f>
        <v>VALID</v>
      </c>
    </row>
    <row r="3392" spans="1:14" x14ac:dyDescent="0.35">
      <c r="A3392" t="s">
        <v>11</v>
      </c>
      <c r="B3392" s="5" t="str">
        <f>_xlfn.XLOOKUP(role_course_map[[#This Row],[role_id]], role_data[role_id], role_data[Role],"")</f>
        <v>Patient Experience Co-ordinator</v>
      </c>
      <c r="C3392">
        <v>999057</v>
      </c>
      <c r="D3392" s="5" t="str">
        <f>_xlfn.XLOOKUP(role_course_map[[#This Row],[course_id]],course_data[course_id],course_data[title],"")</f>
        <v>Fatigue Awareness</v>
      </c>
      <c r="E3392" s="5" t="str">
        <f>_xlfn.XLOOKUP(role_course_map[[#This Row],[course_id]],course_data[course_id],course_data[topic],"")</f>
        <v>SAS : Health and Safety</v>
      </c>
      <c r="F3392" s="5" t="str">
        <f>_xlfn.XLOOKUP(role_course_map[[#This Row],[course_id]],course_data[course_id],course_data[type],"")</f>
        <v>eLearning</v>
      </c>
      <c r="K3392" t="str">
        <f>role_course_map[[#This Row],[role_id]] &amp; "|" &amp; role_course_map[[#This Row],[course_id]]</f>
        <v>R0004|999057</v>
      </c>
      <c r="L3392" t="str">
        <f>IF(COUNTIF(role_course_map[mapping_key],role_course_map[[#This Row],[mapping_key]])&gt;1,"DUPLICATE","OK")</f>
        <v>OK</v>
      </c>
      <c r="M3392" t="str">
        <f>IF(COUNTIF(role_data[role_id],role_course_map[[#This Row],[role_id]])=0, "INVALID","VALID")</f>
        <v>VALID</v>
      </c>
      <c r="N3392" t="str">
        <f>IF(COUNTIF(course_data[course_id],role_course_map[[#This Row],[course_id]])=0, "INVALID","VALID")</f>
        <v>VALID</v>
      </c>
    </row>
    <row r="3393" spans="1:14" x14ac:dyDescent="0.35">
      <c r="A3393" t="s">
        <v>11</v>
      </c>
      <c r="B3393" s="5" t="str">
        <f>_xlfn.XLOOKUP(role_course_map[[#This Row],[role_id]], role_data[role_id], role_data[Role],"")</f>
        <v>Patient Experience Co-ordinator</v>
      </c>
      <c r="C3393">
        <v>999058</v>
      </c>
      <c r="D3393" s="5" t="str">
        <f>_xlfn.XLOOKUP(role_course_map[[#This Row],[course_id]],course_data[course_id],course_data[title],"")</f>
        <v>Stress Identification &amp; Stress Management</v>
      </c>
      <c r="E3393" s="5" t="str">
        <f>_xlfn.XLOOKUP(role_course_map[[#This Row],[course_id]],course_data[course_id],course_data[topic],"")</f>
        <v>SAS : Health and Safety</v>
      </c>
      <c r="F3393" s="5" t="str">
        <f>_xlfn.XLOOKUP(role_course_map[[#This Row],[course_id]],course_data[course_id],course_data[type],"")</f>
        <v>eLearning</v>
      </c>
      <c r="K3393" t="str">
        <f>role_course_map[[#This Row],[role_id]] &amp; "|" &amp; role_course_map[[#This Row],[course_id]]</f>
        <v>R0004|999058</v>
      </c>
      <c r="L3393" t="str">
        <f>IF(COUNTIF(role_course_map[mapping_key],role_course_map[[#This Row],[mapping_key]])&gt;1,"DUPLICATE","OK")</f>
        <v>OK</v>
      </c>
      <c r="M3393" t="str">
        <f>IF(COUNTIF(role_data[role_id],role_course_map[[#This Row],[role_id]])=0, "INVALID","VALID")</f>
        <v>VALID</v>
      </c>
      <c r="N3393" t="str">
        <f>IF(COUNTIF(course_data[course_id],role_course_map[[#This Row],[course_id]])=0, "INVALID","VALID")</f>
        <v>VALID</v>
      </c>
    </row>
    <row r="3394" spans="1:14" x14ac:dyDescent="0.35">
      <c r="A3394" t="s">
        <v>11</v>
      </c>
      <c r="B3394" s="5" t="str">
        <f>_xlfn.XLOOKUP(role_course_map[[#This Row],[role_id]], role_data[role_id], role_data[Role],"")</f>
        <v>Patient Experience Co-ordinator</v>
      </c>
      <c r="C3394">
        <v>999094</v>
      </c>
      <c r="D3394" s="5" t="str">
        <f>_xlfn.XLOOKUP(role_course_map[[#This Row],[course_id]],course_data[course_id],course_data[title],"")</f>
        <v>Being well, Mind, Body &amp; Workplace</v>
      </c>
      <c r="E3394" s="5" t="str">
        <f>_xlfn.XLOOKUP(role_course_map[[#This Row],[course_id]],course_data[course_id],course_data[topic],"")</f>
        <v>SAS: Staff development and experience</v>
      </c>
      <c r="F3394" s="5" t="str">
        <f>_xlfn.XLOOKUP(role_course_map[[#This Row],[course_id]],course_data[course_id],course_data[type],"")</f>
        <v>eLearning</v>
      </c>
      <c r="K3394" t="str">
        <f>role_course_map[[#This Row],[role_id]] &amp; "|" &amp; role_course_map[[#This Row],[course_id]]</f>
        <v>R0004|999094</v>
      </c>
      <c r="L3394" t="str">
        <f>IF(COUNTIF(role_course_map[mapping_key],role_course_map[[#This Row],[mapping_key]])&gt;1,"DUPLICATE","OK")</f>
        <v>OK</v>
      </c>
      <c r="M3394" t="str">
        <f>IF(COUNTIF(role_data[role_id],role_course_map[[#This Row],[role_id]])=0, "INVALID","VALID")</f>
        <v>VALID</v>
      </c>
      <c r="N3394" t="str">
        <f>IF(COUNTIF(course_data[course_id],role_course_map[[#This Row],[course_id]])=0, "INVALID","VALID")</f>
        <v>VALID</v>
      </c>
    </row>
    <row r="3395" spans="1:14" x14ac:dyDescent="0.35">
      <c r="A3395" t="s">
        <v>385</v>
      </c>
      <c r="B3395" s="5" t="str">
        <f>_xlfn.XLOOKUP(role_course_map[[#This Row],[role_id]], role_data[role_id], role_data[Role],"")</f>
        <v>Information Analyst</v>
      </c>
      <c r="C3395">
        <v>999056</v>
      </c>
      <c r="D3395" s="5" t="str">
        <f>_xlfn.XLOOKUP(role_course_map[[#This Row],[course_id]],course_data[course_id],course_data[title],"")</f>
        <v>Driver Assessment &amp; Training</v>
      </c>
      <c r="E3395" s="5" t="str">
        <f>_xlfn.XLOOKUP(role_course_map[[#This Row],[course_id]],course_data[course_id],course_data[topic],"")</f>
        <v>SAS : Health and Safety</v>
      </c>
      <c r="F3395" s="5" t="str">
        <f>_xlfn.XLOOKUP(role_course_map[[#This Row],[course_id]],course_data[course_id],course_data[type],"")</f>
        <v>eLearning</v>
      </c>
      <c r="K3395" t="str">
        <f>role_course_map[[#This Row],[role_id]] &amp; "|" &amp; role_course_map[[#This Row],[course_id]]</f>
        <v>R0183|999056</v>
      </c>
      <c r="L3395" t="str">
        <f>IF(COUNTIF(role_course_map[mapping_key],role_course_map[[#This Row],[mapping_key]])&gt;1,"DUPLICATE","OK")</f>
        <v>OK</v>
      </c>
      <c r="M3395" t="str">
        <f>IF(COUNTIF(role_data[role_id],role_course_map[[#This Row],[role_id]])=0, "INVALID","VALID")</f>
        <v>VALID</v>
      </c>
      <c r="N3395" t="str">
        <f>IF(COUNTIF(course_data[course_id],role_course_map[[#This Row],[course_id]])=0, "INVALID","VALID")</f>
        <v>VALID</v>
      </c>
    </row>
    <row r="3396" spans="1:14" x14ac:dyDescent="0.35">
      <c r="A3396" t="s">
        <v>385</v>
      </c>
      <c r="B3396" s="5" t="str">
        <f>_xlfn.XLOOKUP(role_course_map[[#This Row],[role_id]], role_data[role_id], role_data[Role],"")</f>
        <v>Information Analyst</v>
      </c>
      <c r="C3396">
        <v>999057</v>
      </c>
      <c r="D3396" s="5" t="str">
        <f>_xlfn.XLOOKUP(role_course_map[[#This Row],[course_id]],course_data[course_id],course_data[title],"")</f>
        <v>Fatigue Awareness</v>
      </c>
      <c r="E3396" s="5" t="str">
        <f>_xlfn.XLOOKUP(role_course_map[[#This Row],[course_id]],course_data[course_id],course_data[topic],"")</f>
        <v>SAS : Health and Safety</v>
      </c>
      <c r="F3396" s="5" t="str">
        <f>_xlfn.XLOOKUP(role_course_map[[#This Row],[course_id]],course_data[course_id],course_data[type],"")</f>
        <v>eLearning</v>
      </c>
      <c r="K3396" t="str">
        <f>role_course_map[[#This Row],[role_id]] &amp; "|" &amp; role_course_map[[#This Row],[course_id]]</f>
        <v>R0183|999057</v>
      </c>
      <c r="L3396" t="str">
        <f>IF(COUNTIF(role_course_map[mapping_key],role_course_map[[#This Row],[mapping_key]])&gt;1,"DUPLICATE","OK")</f>
        <v>OK</v>
      </c>
      <c r="M3396" t="str">
        <f>IF(COUNTIF(role_data[role_id],role_course_map[[#This Row],[role_id]])=0, "INVALID","VALID")</f>
        <v>VALID</v>
      </c>
      <c r="N3396" t="str">
        <f>IF(COUNTIF(course_data[course_id],role_course_map[[#This Row],[course_id]])=0, "INVALID","VALID")</f>
        <v>VALID</v>
      </c>
    </row>
    <row r="3397" spans="1:14" x14ac:dyDescent="0.35">
      <c r="A3397" t="s">
        <v>385</v>
      </c>
      <c r="B3397" s="5" t="str">
        <f>_xlfn.XLOOKUP(role_course_map[[#This Row],[role_id]], role_data[role_id], role_data[Role],"")</f>
        <v>Information Analyst</v>
      </c>
      <c r="C3397">
        <v>999058</v>
      </c>
      <c r="D3397" s="5" t="str">
        <f>_xlfn.XLOOKUP(role_course_map[[#This Row],[course_id]],course_data[course_id],course_data[title],"")</f>
        <v>Stress Identification &amp; Stress Management</v>
      </c>
      <c r="E3397" s="5" t="str">
        <f>_xlfn.XLOOKUP(role_course_map[[#This Row],[course_id]],course_data[course_id],course_data[topic],"")</f>
        <v>SAS : Health and Safety</v>
      </c>
      <c r="F3397" s="5" t="str">
        <f>_xlfn.XLOOKUP(role_course_map[[#This Row],[course_id]],course_data[course_id],course_data[type],"")</f>
        <v>eLearning</v>
      </c>
      <c r="K3397" t="str">
        <f>role_course_map[[#This Row],[role_id]] &amp; "|" &amp; role_course_map[[#This Row],[course_id]]</f>
        <v>R0183|999058</v>
      </c>
      <c r="L3397" t="str">
        <f>IF(COUNTIF(role_course_map[mapping_key],role_course_map[[#This Row],[mapping_key]])&gt;1,"DUPLICATE","OK")</f>
        <v>OK</v>
      </c>
      <c r="M3397" t="str">
        <f>IF(COUNTIF(role_data[role_id],role_course_map[[#This Row],[role_id]])=0, "INVALID","VALID")</f>
        <v>VALID</v>
      </c>
      <c r="N3397" t="str">
        <f>IF(COUNTIF(course_data[course_id],role_course_map[[#This Row],[course_id]])=0, "INVALID","VALID")</f>
        <v>VALID</v>
      </c>
    </row>
    <row r="3398" spans="1:14" x14ac:dyDescent="0.35">
      <c r="A3398" t="s">
        <v>385</v>
      </c>
      <c r="B3398" s="5" t="str">
        <f>_xlfn.XLOOKUP(role_course_map[[#This Row],[role_id]], role_data[role_id], role_data[Role],"")</f>
        <v>Information Analyst</v>
      </c>
      <c r="C3398">
        <v>999094</v>
      </c>
      <c r="D3398" s="5" t="str">
        <f>_xlfn.XLOOKUP(role_course_map[[#This Row],[course_id]],course_data[course_id],course_data[title],"")</f>
        <v>Being well, Mind, Body &amp; Workplace</v>
      </c>
      <c r="E3398" s="5" t="str">
        <f>_xlfn.XLOOKUP(role_course_map[[#This Row],[course_id]],course_data[course_id],course_data[topic],"")</f>
        <v>SAS: Staff development and experience</v>
      </c>
      <c r="F3398" s="5" t="str">
        <f>_xlfn.XLOOKUP(role_course_map[[#This Row],[course_id]],course_data[course_id],course_data[type],"")</f>
        <v>eLearning</v>
      </c>
      <c r="K3398" t="str">
        <f>role_course_map[[#This Row],[role_id]] &amp; "|" &amp; role_course_map[[#This Row],[course_id]]</f>
        <v>R0183|999094</v>
      </c>
      <c r="L3398" t="str">
        <f>IF(COUNTIF(role_course_map[mapping_key],role_course_map[[#This Row],[mapping_key]])&gt;1,"DUPLICATE","OK")</f>
        <v>OK</v>
      </c>
      <c r="M3398" t="str">
        <f>IF(COUNTIF(role_data[role_id],role_course_map[[#This Row],[role_id]])=0, "INVALID","VALID")</f>
        <v>VALID</v>
      </c>
      <c r="N3398" t="str">
        <f>IF(COUNTIF(course_data[course_id],role_course_map[[#This Row],[course_id]])=0, "INVALID","VALID")</f>
        <v>VALID</v>
      </c>
    </row>
    <row r="3399" spans="1:14" x14ac:dyDescent="0.35">
      <c r="A3399" t="s">
        <v>387</v>
      </c>
      <c r="B3399" s="5" t="str">
        <f>_xlfn.XLOOKUP(role_course_map[[#This Row],[role_id]], role_data[role_id], role_data[Role],"")</f>
        <v>Senior Information Analyst Clinical Outcomes</v>
      </c>
      <c r="C3399">
        <v>999056</v>
      </c>
      <c r="D3399" s="5" t="str">
        <f>_xlfn.XLOOKUP(role_course_map[[#This Row],[course_id]],course_data[course_id],course_data[title],"")</f>
        <v>Driver Assessment &amp; Training</v>
      </c>
      <c r="E3399" s="5" t="str">
        <f>_xlfn.XLOOKUP(role_course_map[[#This Row],[course_id]],course_data[course_id],course_data[topic],"")</f>
        <v>SAS : Health and Safety</v>
      </c>
      <c r="F3399" s="5" t="str">
        <f>_xlfn.XLOOKUP(role_course_map[[#This Row],[course_id]],course_data[course_id],course_data[type],"")</f>
        <v>eLearning</v>
      </c>
      <c r="K3399" t="str">
        <f>role_course_map[[#This Row],[role_id]] &amp; "|" &amp; role_course_map[[#This Row],[course_id]]</f>
        <v>R0184|999056</v>
      </c>
      <c r="L3399" t="str">
        <f>IF(COUNTIF(role_course_map[mapping_key],role_course_map[[#This Row],[mapping_key]])&gt;1,"DUPLICATE","OK")</f>
        <v>OK</v>
      </c>
      <c r="M3399" t="str">
        <f>IF(COUNTIF(role_data[role_id],role_course_map[[#This Row],[role_id]])=0, "INVALID","VALID")</f>
        <v>VALID</v>
      </c>
      <c r="N3399" t="str">
        <f>IF(COUNTIF(course_data[course_id],role_course_map[[#This Row],[course_id]])=0, "INVALID","VALID")</f>
        <v>VALID</v>
      </c>
    </row>
    <row r="3400" spans="1:14" x14ac:dyDescent="0.35">
      <c r="A3400" t="s">
        <v>387</v>
      </c>
      <c r="B3400" s="5" t="str">
        <f>_xlfn.XLOOKUP(role_course_map[[#This Row],[role_id]], role_data[role_id], role_data[Role],"")</f>
        <v>Senior Information Analyst Clinical Outcomes</v>
      </c>
      <c r="C3400">
        <v>999057</v>
      </c>
      <c r="D3400" s="5" t="str">
        <f>_xlfn.XLOOKUP(role_course_map[[#This Row],[course_id]],course_data[course_id],course_data[title],"")</f>
        <v>Fatigue Awareness</v>
      </c>
      <c r="E3400" s="5" t="str">
        <f>_xlfn.XLOOKUP(role_course_map[[#This Row],[course_id]],course_data[course_id],course_data[topic],"")</f>
        <v>SAS : Health and Safety</v>
      </c>
      <c r="F3400" s="5" t="str">
        <f>_xlfn.XLOOKUP(role_course_map[[#This Row],[course_id]],course_data[course_id],course_data[type],"")</f>
        <v>eLearning</v>
      </c>
      <c r="K3400" t="str">
        <f>role_course_map[[#This Row],[role_id]] &amp; "|" &amp; role_course_map[[#This Row],[course_id]]</f>
        <v>R0184|999057</v>
      </c>
      <c r="L3400" t="str">
        <f>IF(COUNTIF(role_course_map[mapping_key],role_course_map[[#This Row],[mapping_key]])&gt;1,"DUPLICATE","OK")</f>
        <v>OK</v>
      </c>
      <c r="M3400" t="str">
        <f>IF(COUNTIF(role_data[role_id],role_course_map[[#This Row],[role_id]])=0, "INVALID","VALID")</f>
        <v>VALID</v>
      </c>
      <c r="N3400" t="str">
        <f>IF(COUNTIF(course_data[course_id],role_course_map[[#This Row],[course_id]])=0, "INVALID","VALID")</f>
        <v>VALID</v>
      </c>
    </row>
    <row r="3401" spans="1:14" x14ac:dyDescent="0.35">
      <c r="A3401" t="s">
        <v>387</v>
      </c>
      <c r="B3401" s="5" t="str">
        <f>_xlfn.XLOOKUP(role_course_map[[#This Row],[role_id]], role_data[role_id], role_data[Role],"")</f>
        <v>Senior Information Analyst Clinical Outcomes</v>
      </c>
      <c r="C3401">
        <v>999058</v>
      </c>
      <c r="D3401" s="5" t="str">
        <f>_xlfn.XLOOKUP(role_course_map[[#This Row],[course_id]],course_data[course_id],course_data[title],"")</f>
        <v>Stress Identification &amp; Stress Management</v>
      </c>
      <c r="E3401" s="5" t="str">
        <f>_xlfn.XLOOKUP(role_course_map[[#This Row],[course_id]],course_data[course_id],course_data[topic],"")</f>
        <v>SAS : Health and Safety</v>
      </c>
      <c r="F3401" s="5" t="str">
        <f>_xlfn.XLOOKUP(role_course_map[[#This Row],[course_id]],course_data[course_id],course_data[type],"")</f>
        <v>eLearning</v>
      </c>
      <c r="K3401" t="str">
        <f>role_course_map[[#This Row],[role_id]] &amp; "|" &amp; role_course_map[[#This Row],[course_id]]</f>
        <v>R0184|999058</v>
      </c>
      <c r="L3401" t="str">
        <f>IF(COUNTIF(role_course_map[mapping_key],role_course_map[[#This Row],[mapping_key]])&gt;1,"DUPLICATE","OK")</f>
        <v>OK</v>
      </c>
      <c r="M3401" t="str">
        <f>IF(COUNTIF(role_data[role_id],role_course_map[[#This Row],[role_id]])=0, "INVALID","VALID")</f>
        <v>VALID</v>
      </c>
      <c r="N3401" t="str">
        <f>IF(COUNTIF(course_data[course_id],role_course_map[[#This Row],[course_id]])=0, "INVALID","VALID")</f>
        <v>VALID</v>
      </c>
    </row>
    <row r="3402" spans="1:14" x14ac:dyDescent="0.35">
      <c r="A3402" t="s">
        <v>387</v>
      </c>
      <c r="B3402" s="5" t="str">
        <f>_xlfn.XLOOKUP(role_course_map[[#This Row],[role_id]], role_data[role_id], role_data[Role],"")</f>
        <v>Senior Information Analyst Clinical Outcomes</v>
      </c>
      <c r="C3402">
        <v>999094</v>
      </c>
      <c r="D3402" s="5" t="str">
        <f>_xlfn.XLOOKUP(role_course_map[[#This Row],[course_id]],course_data[course_id],course_data[title],"")</f>
        <v>Being well, Mind, Body &amp; Workplace</v>
      </c>
      <c r="E3402" s="5" t="str">
        <f>_xlfn.XLOOKUP(role_course_map[[#This Row],[course_id]],course_data[course_id],course_data[topic],"")</f>
        <v>SAS: Staff development and experience</v>
      </c>
      <c r="F3402" s="5" t="str">
        <f>_xlfn.XLOOKUP(role_course_map[[#This Row],[course_id]],course_data[course_id],course_data[type],"")</f>
        <v>eLearning</v>
      </c>
      <c r="K3402" t="str">
        <f>role_course_map[[#This Row],[role_id]] &amp; "|" &amp; role_course_map[[#This Row],[course_id]]</f>
        <v>R0184|999094</v>
      </c>
      <c r="L3402" t="str">
        <f>IF(COUNTIF(role_course_map[mapping_key],role_course_map[[#This Row],[mapping_key]])&gt;1,"DUPLICATE","OK")</f>
        <v>OK</v>
      </c>
      <c r="M3402" t="str">
        <f>IF(COUNTIF(role_data[role_id],role_course_map[[#This Row],[role_id]])=0, "INVALID","VALID")</f>
        <v>VALID</v>
      </c>
      <c r="N3402" t="str">
        <f>IF(COUNTIF(course_data[course_id],role_course_map[[#This Row],[course_id]])=0, "INVALID","VALID")</f>
        <v>VALID</v>
      </c>
    </row>
    <row r="3403" spans="1:14" x14ac:dyDescent="0.35">
      <c r="A3403" t="s">
        <v>218</v>
      </c>
      <c r="B3403" s="5" t="str">
        <f>_xlfn.XLOOKUP(role_course_map[[#This Row],[role_id]], role_data[role_id], role_data[Role],"")</f>
        <v>Clinical Training Officer</v>
      </c>
      <c r="C3403">
        <v>79218</v>
      </c>
      <c r="D3403" s="5" t="str">
        <f>_xlfn.XLOOKUP(role_course_map[[#This Row],[course_id]],course_data[course_id],course_data[title],"")</f>
        <v>Life support</v>
      </c>
      <c r="E3403" s="5" t="str">
        <f>_xlfn.XLOOKUP(role_course_map[[#This Row],[course_id]],course_data[course_id],course_data[topic],"")</f>
        <v>SAS : Clinical Practice</v>
      </c>
      <c r="F3403" s="5" t="str">
        <f>_xlfn.XLOOKUP(role_course_map[[#This Row],[course_id]],course_data[course_id],course_data[type],"")</f>
        <v>Page</v>
      </c>
      <c r="K3403" t="str">
        <f>role_course_map[[#This Row],[role_id]] &amp; "|" &amp; role_course_map[[#This Row],[course_id]]</f>
        <v>R0102|79218</v>
      </c>
      <c r="L3403" t="str">
        <f>IF(COUNTIF(role_course_map[mapping_key],role_course_map[[#This Row],[mapping_key]])&gt;1,"DUPLICATE","OK")</f>
        <v>OK</v>
      </c>
      <c r="M3403" t="str">
        <f>IF(COUNTIF(role_data[role_id],role_course_map[[#This Row],[role_id]])=0, "INVALID","VALID")</f>
        <v>VALID</v>
      </c>
      <c r="N3403" t="str">
        <f>IF(COUNTIF(course_data[course_id],role_course_map[[#This Row],[course_id]])=0, "INVALID","VALID")</f>
        <v>VALID</v>
      </c>
    </row>
    <row r="3404" spans="1:14" x14ac:dyDescent="0.35">
      <c r="A3404" t="s">
        <v>218</v>
      </c>
      <c r="B3404" s="5" t="str">
        <f>_xlfn.XLOOKUP(role_course_map[[#This Row],[role_id]], role_data[role_id], role_data[Role],"")</f>
        <v>Clinical Training Officer</v>
      </c>
      <c r="C3404">
        <v>999009</v>
      </c>
      <c r="D3404" s="5" t="str">
        <f>_xlfn.XLOOKUP(role_course_map[[#This Row],[course_id]],course_data[course_id],course_data[title],"")</f>
        <v>Life Support</v>
      </c>
      <c r="E3404" s="5" t="str">
        <f>_xlfn.XLOOKUP(role_course_map[[#This Row],[course_id]],course_data[course_id],course_data[topic],"")</f>
        <v>SAS : Clinical Practice</v>
      </c>
      <c r="F3404" s="5" t="str">
        <f>_xlfn.XLOOKUP(role_course_map[[#This Row],[course_id]],course_data[course_id],course_data[type],"")</f>
        <v>Course</v>
      </c>
      <c r="K3404" t="str">
        <f>role_course_map[[#This Row],[role_id]] &amp; "|" &amp; role_course_map[[#This Row],[course_id]]</f>
        <v>R0102|999009</v>
      </c>
      <c r="L3404" t="str">
        <f>IF(COUNTIF(role_course_map[mapping_key],role_course_map[[#This Row],[mapping_key]])&gt;1,"DUPLICATE","OK")</f>
        <v>OK</v>
      </c>
      <c r="M3404" t="str">
        <f>IF(COUNTIF(role_data[role_id],role_course_map[[#This Row],[role_id]])=0, "INVALID","VALID")</f>
        <v>VALID</v>
      </c>
      <c r="N3404" t="str">
        <f>IF(COUNTIF(course_data[course_id],role_course_map[[#This Row],[course_id]])=0, "INVALID","VALID")</f>
        <v>VALID</v>
      </c>
    </row>
    <row r="3405" spans="1:14" x14ac:dyDescent="0.35">
      <c r="A3405" t="s">
        <v>218</v>
      </c>
      <c r="B3405" s="5" t="str">
        <f>_xlfn.XLOOKUP(role_course_map[[#This Row],[role_id]], role_data[role_id], role_data[Role],"")</f>
        <v>Clinical Training Officer</v>
      </c>
      <c r="C3405">
        <v>999007</v>
      </c>
      <c r="D3405" s="5" t="str">
        <f>_xlfn.XLOOKUP(role_course_map[[#This Row],[course_id]],course_data[course_id],course_data[title],"")</f>
        <v>Obstetrics</v>
      </c>
      <c r="E3405" s="5" t="str">
        <f>_xlfn.XLOOKUP(role_course_map[[#This Row],[course_id]],course_data[course_id],course_data[topic],"")</f>
        <v>SAS : Clinical Practice</v>
      </c>
      <c r="F3405" s="5" t="str">
        <f>_xlfn.XLOOKUP(role_course_map[[#This Row],[course_id]],course_data[course_id],course_data[type],"")</f>
        <v>Course</v>
      </c>
      <c r="K3405" t="str">
        <f>role_course_map[[#This Row],[role_id]] &amp; "|" &amp; role_course_map[[#This Row],[course_id]]</f>
        <v>R0102|999007</v>
      </c>
      <c r="L3405" t="str">
        <f>IF(COUNTIF(role_course_map[mapping_key],role_course_map[[#This Row],[mapping_key]])&gt;1,"DUPLICATE","OK")</f>
        <v>OK</v>
      </c>
      <c r="M3405" t="str">
        <f>IF(COUNTIF(role_data[role_id],role_course_map[[#This Row],[role_id]])=0, "INVALID","VALID")</f>
        <v>VALID</v>
      </c>
      <c r="N3405" t="str">
        <f>IF(COUNTIF(course_data[course_id],role_course_map[[#This Row],[course_id]])=0, "INVALID","VALID")</f>
        <v>VALID</v>
      </c>
    </row>
    <row r="3406" spans="1:14" x14ac:dyDescent="0.35">
      <c r="A3406" t="s">
        <v>218</v>
      </c>
      <c r="B3406" s="5" t="str">
        <f>_xlfn.XLOOKUP(role_course_map[[#This Row],[role_id]], role_data[role_id], role_data[Role],"")</f>
        <v>Clinical Training Officer</v>
      </c>
      <c r="C3406">
        <v>999008</v>
      </c>
      <c r="D3406" s="5" t="str">
        <f>_xlfn.XLOOKUP(role_course_map[[#This Row],[course_id]],course_data[course_id],course_data[title],"")</f>
        <v>Obstetrics</v>
      </c>
      <c r="E3406" s="5" t="str">
        <f>_xlfn.XLOOKUP(role_course_map[[#This Row],[course_id]],course_data[course_id],course_data[topic],"")</f>
        <v>SAS : Clinical Practice</v>
      </c>
      <c r="F3406" s="5" t="str">
        <f>_xlfn.XLOOKUP(role_course_map[[#This Row],[course_id]],course_data[course_id],course_data[type],"")</f>
        <v>eLearning</v>
      </c>
      <c r="K3406" t="str">
        <f>role_course_map[[#This Row],[role_id]] &amp; "|" &amp; role_course_map[[#This Row],[course_id]]</f>
        <v>R0102|999008</v>
      </c>
      <c r="L3406" t="str">
        <f>IF(COUNTIF(role_course_map[mapping_key],role_course_map[[#This Row],[mapping_key]])&gt;1,"DUPLICATE","OK")</f>
        <v>OK</v>
      </c>
      <c r="M3406" t="str">
        <f>IF(COUNTIF(role_data[role_id],role_course_map[[#This Row],[role_id]])=0, "INVALID","VALID")</f>
        <v>VALID</v>
      </c>
      <c r="N3406" t="str">
        <f>IF(COUNTIF(course_data[course_id],role_course_map[[#This Row],[course_id]])=0, "INVALID","VALID")</f>
        <v>VALID</v>
      </c>
    </row>
    <row r="3407" spans="1:14" x14ac:dyDescent="0.35">
      <c r="A3407" t="s">
        <v>218</v>
      </c>
      <c r="B3407" s="5" t="str">
        <f>_xlfn.XLOOKUP(role_course_map[[#This Row],[role_id]], role_data[role_id], role_data[Role],"")</f>
        <v>Clinical Training Officer</v>
      </c>
      <c r="C3407">
        <v>999010</v>
      </c>
      <c r="D3407" s="5" t="str">
        <f>_xlfn.XLOOKUP(role_course_map[[#This Row],[course_id]],course_data[course_id],course_data[title],"")</f>
        <v>Paediatrics</v>
      </c>
      <c r="E3407" s="5" t="str">
        <f>_xlfn.XLOOKUP(role_course_map[[#This Row],[course_id]],course_data[course_id],course_data[topic],"")</f>
        <v>SAS : Clinical Practice</v>
      </c>
      <c r="F3407" s="5" t="str">
        <f>_xlfn.XLOOKUP(role_course_map[[#This Row],[course_id]],course_data[course_id],course_data[type],"")</f>
        <v>Course</v>
      </c>
      <c r="K3407" t="str">
        <f>role_course_map[[#This Row],[role_id]] &amp; "|" &amp; role_course_map[[#This Row],[course_id]]</f>
        <v>R0102|999010</v>
      </c>
      <c r="L3407" t="str">
        <f>IF(COUNTIF(role_course_map[mapping_key],role_course_map[[#This Row],[mapping_key]])&gt;1,"DUPLICATE","OK")</f>
        <v>OK</v>
      </c>
      <c r="M3407" t="str">
        <f>IF(COUNTIF(role_data[role_id],role_course_map[[#This Row],[role_id]])=0, "INVALID","VALID")</f>
        <v>VALID</v>
      </c>
      <c r="N3407" t="str">
        <f>IF(COUNTIF(course_data[course_id],role_course_map[[#This Row],[course_id]])=0, "INVALID","VALID")</f>
        <v>VALID</v>
      </c>
    </row>
    <row r="3408" spans="1:14" x14ac:dyDescent="0.35">
      <c r="A3408" t="s">
        <v>218</v>
      </c>
      <c r="B3408" s="5" t="str">
        <f>_xlfn.XLOOKUP(role_course_map[[#This Row],[role_id]], role_data[role_id], role_data[Role],"")</f>
        <v>Clinical Training Officer</v>
      </c>
      <c r="C3408">
        <v>999011</v>
      </c>
      <c r="D3408" s="5" t="str">
        <f>_xlfn.XLOOKUP(role_course_map[[#This Row],[course_id]],course_data[course_id],course_data[title],"")</f>
        <v>Paediatrics</v>
      </c>
      <c r="E3408" s="5" t="str">
        <f>_xlfn.XLOOKUP(role_course_map[[#This Row],[course_id]],course_data[course_id],course_data[topic],"")</f>
        <v>SAS : Clinical Practice</v>
      </c>
      <c r="F3408" s="5" t="str">
        <f>_xlfn.XLOOKUP(role_course_map[[#This Row],[course_id]],course_data[course_id],course_data[type],"")</f>
        <v>eLearning</v>
      </c>
      <c r="K3408" t="str">
        <f>role_course_map[[#This Row],[role_id]] &amp; "|" &amp; role_course_map[[#This Row],[course_id]]</f>
        <v>R0102|999011</v>
      </c>
      <c r="L3408" t="str">
        <f>IF(COUNTIF(role_course_map[mapping_key],role_course_map[[#This Row],[mapping_key]])&gt;1,"DUPLICATE","OK")</f>
        <v>OK</v>
      </c>
      <c r="M3408" t="str">
        <f>IF(COUNTIF(role_data[role_id],role_course_map[[#This Row],[role_id]])=0, "INVALID","VALID")</f>
        <v>VALID</v>
      </c>
      <c r="N3408" t="str">
        <f>IF(COUNTIF(course_data[course_id],role_course_map[[#This Row],[course_id]])=0, "INVALID","VALID")</f>
        <v>VALID</v>
      </c>
    </row>
    <row r="3409" spans="1:14" x14ac:dyDescent="0.35">
      <c r="A3409" t="s">
        <v>218</v>
      </c>
      <c r="B3409" s="5" t="str">
        <f>_xlfn.XLOOKUP(role_course_map[[#This Row],[role_id]], role_data[role_id], role_data[Role],"")</f>
        <v>Clinical Training Officer</v>
      </c>
      <c r="C3409">
        <v>999012</v>
      </c>
      <c r="D3409" s="5" t="str">
        <f>_xlfn.XLOOKUP(role_course_map[[#This Row],[course_id]],course_data[course_id],course_data[title],"")</f>
        <v>Trauma</v>
      </c>
      <c r="E3409" s="5" t="str">
        <f>_xlfn.XLOOKUP(role_course_map[[#This Row],[course_id]],course_data[course_id],course_data[topic],"")</f>
        <v>SAS : Clinical Practice</v>
      </c>
      <c r="F3409" s="5" t="str">
        <f>_xlfn.XLOOKUP(role_course_map[[#This Row],[course_id]],course_data[course_id],course_data[type],"")</f>
        <v>Course</v>
      </c>
      <c r="K3409" t="str">
        <f>role_course_map[[#This Row],[role_id]] &amp; "|" &amp; role_course_map[[#This Row],[course_id]]</f>
        <v>R0102|999012</v>
      </c>
      <c r="L3409" t="str">
        <f>IF(COUNTIF(role_course_map[mapping_key],role_course_map[[#This Row],[mapping_key]])&gt;1,"DUPLICATE","OK")</f>
        <v>OK</v>
      </c>
      <c r="M3409" t="str">
        <f>IF(COUNTIF(role_data[role_id],role_course_map[[#This Row],[role_id]])=0, "INVALID","VALID")</f>
        <v>VALID</v>
      </c>
      <c r="N3409" t="str">
        <f>IF(COUNTIF(course_data[course_id],role_course_map[[#This Row],[course_id]])=0, "INVALID","VALID")</f>
        <v>VALID</v>
      </c>
    </row>
    <row r="3410" spans="1:14" x14ac:dyDescent="0.35">
      <c r="A3410" t="s">
        <v>218</v>
      </c>
      <c r="B3410" s="5" t="str">
        <f>_xlfn.XLOOKUP(role_course_map[[#This Row],[role_id]], role_data[role_id], role_data[Role],"")</f>
        <v>Clinical Training Officer</v>
      </c>
      <c r="C3410">
        <v>999013</v>
      </c>
      <c r="D3410" s="5" t="str">
        <f>_xlfn.XLOOKUP(role_course_map[[#This Row],[course_id]],course_data[course_id],course_data[title],"")</f>
        <v>Trauma</v>
      </c>
      <c r="E3410" s="5" t="str">
        <f>_xlfn.XLOOKUP(role_course_map[[#This Row],[course_id]],course_data[course_id],course_data[topic],"")</f>
        <v>SAS : Clinical Practice</v>
      </c>
      <c r="F3410" s="5" t="str">
        <f>_xlfn.XLOOKUP(role_course_map[[#This Row],[course_id]],course_data[course_id],course_data[type],"")</f>
        <v>eLearning</v>
      </c>
      <c r="K3410" t="str">
        <f>role_course_map[[#This Row],[role_id]] &amp; "|" &amp; role_course_map[[#This Row],[course_id]]</f>
        <v>R0102|999013</v>
      </c>
      <c r="L3410" t="str">
        <f>IF(COUNTIF(role_course_map[mapping_key],role_course_map[[#This Row],[mapping_key]])&gt;1,"DUPLICATE","OK")</f>
        <v>OK</v>
      </c>
      <c r="M3410" t="str">
        <f>IF(COUNTIF(role_data[role_id],role_course_map[[#This Row],[role_id]])=0, "INVALID","VALID")</f>
        <v>VALID</v>
      </c>
      <c r="N3410" t="str">
        <f>IF(COUNTIF(course_data[course_id],role_course_map[[#This Row],[course_id]])=0, "INVALID","VALID")</f>
        <v>VALID</v>
      </c>
    </row>
    <row r="3411" spans="1:14" x14ac:dyDescent="0.35">
      <c r="A3411" t="s">
        <v>218</v>
      </c>
      <c r="B3411" s="5" t="str">
        <f>_xlfn.XLOOKUP(role_course_map[[#This Row],[role_id]], role_data[role_id], role_data[Role],"")</f>
        <v>Clinical Training Officer</v>
      </c>
      <c r="C3411">
        <v>999014</v>
      </c>
      <c r="D3411" s="5" t="str">
        <f>_xlfn.XLOOKUP(role_course_map[[#This Row],[course_id]],course_data[course_id],course_data[title],"")</f>
        <v>Patient Assessment</v>
      </c>
      <c r="E3411" s="5" t="str">
        <f>_xlfn.XLOOKUP(role_course_map[[#This Row],[course_id]],course_data[course_id],course_data[topic],"")</f>
        <v>SAS : Clinical Practice</v>
      </c>
      <c r="F3411" s="5" t="str">
        <f>_xlfn.XLOOKUP(role_course_map[[#This Row],[course_id]],course_data[course_id],course_data[type],"")</f>
        <v>Course</v>
      </c>
      <c r="K3411" t="str">
        <f>role_course_map[[#This Row],[role_id]] &amp; "|" &amp; role_course_map[[#This Row],[course_id]]</f>
        <v>R0102|999014</v>
      </c>
      <c r="L3411" t="str">
        <f>IF(COUNTIF(role_course_map[mapping_key],role_course_map[[#This Row],[mapping_key]])&gt;1,"DUPLICATE","OK")</f>
        <v>OK</v>
      </c>
      <c r="M3411" t="str">
        <f>IF(COUNTIF(role_data[role_id],role_course_map[[#This Row],[role_id]])=0, "INVALID","VALID")</f>
        <v>VALID</v>
      </c>
      <c r="N3411" t="str">
        <f>IF(COUNTIF(course_data[course_id],role_course_map[[#This Row],[course_id]])=0, "INVALID","VALID")</f>
        <v>VALID</v>
      </c>
    </row>
    <row r="3412" spans="1:14" x14ac:dyDescent="0.35">
      <c r="A3412" t="s">
        <v>218</v>
      </c>
      <c r="B3412" s="5" t="str">
        <f>_xlfn.XLOOKUP(role_course_map[[#This Row],[role_id]], role_data[role_id], role_data[Role],"")</f>
        <v>Clinical Training Officer</v>
      </c>
      <c r="C3412">
        <v>999015</v>
      </c>
      <c r="D3412" s="5" t="str">
        <f>_xlfn.XLOOKUP(role_course_map[[#This Row],[course_id]],course_data[course_id],course_data[title],"")</f>
        <v>Patient Assessment</v>
      </c>
      <c r="E3412" s="5" t="str">
        <f>_xlfn.XLOOKUP(role_course_map[[#This Row],[course_id]],course_data[course_id],course_data[topic],"")</f>
        <v>SAS : Clinical Practice</v>
      </c>
      <c r="F3412" s="5" t="str">
        <f>_xlfn.XLOOKUP(role_course_map[[#This Row],[course_id]],course_data[course_id],course_data[type],"")</f>
        <v>eLearning</v>
      </c>
      <c r="K3412" t="str">
        <f>role_course_map[[#This Row],[role_id]] &amp; "|" &amp; role_course_map[[#This Row],[course_id]]</f>
        <v>R0102|999015</v>
      </c>
      <c r="L3412" t="str">
        <f>IF(COUNTIF(role_course_map[mapping_key],role_course_map[[#This Row],[mapping_key]])&gt;1,"DUPLICATE","OK")</f>
        <v>OK</v>
      </c>
      <c r="M3412" t="str">
        <f>IF(COUNTIF(role_data[role_id],role_course_map[[#This Row],[role_id]])=0, "INVALID","VALID")</f>
        <v>VALID</v>
      </c>
      <c r="N3412" t="str">
        <f>IF(COUNTIF(course_data[course_id],role_course_map[[#This Row],[course_id]])=0, "INVALID","VALID")</f>
        <v>VALID</v>
      </c>
    </row>
    <row r="3413" spans="1:14" x14ac:dyDescent="0.35">
      <c r="A3413" t="s">
        <v>218</v>
      </c>
      <c r="B3413" s="5" t="str">
        <f>_xlfn.XLOOKUP(role_course_map[[#This Row],[role_id]], role_data[role_id], role_data[Role],"")</f>
        <v>Clinical Training Officer</v>
      </c>
      <c r="C3413">
        <v>999016</v>
      </c>
      <c r="D3413" s="5" t="str">
        <f>_xlfn.XLOOKUP(role_course_map[[#This Row],[course_id]],course_data[course_id],course_data[title],"")</f>
        <v>Clinical Skills</v>
      </c>
      <c r="E3413" s="5" t="str">
        <f>_xlfn.XLOOKUP(role_course_map[[#This Row],[course_id]],course_data[course_id],course_data[topic],"")</f>
        <v>SAS : Clinical Practice</v>
      </c>
      <c r="F3413" s="5" t="str">
        <f>_xlfn.XLOOKUP(role_course_map[[#This Row],[course_id]],course_data[course_id],course_data[type],"")</f>
        <v>Course</v>
      </c>
      <c r="K3413" t="str">
        <f>role_course_map[[#This Row],[role_id]] &amp; "|" &amp; role_course_map[[#This Row],[course_id]]</f>
        <v>R0102|999016</v>
      </c>
      <c r="L3413" t="str">
        <f>IF(COUNTIF(role_course_map[mapping_key],role_course_map[[#This Row],[mapping_key]])&gt;1,"DUPLICATE","OK")</f>
        <v>OK</v>
      </c>
      <c r="M3413" t="str">
        <f>IF(COUNTIF(role_data[role_id],role_course_map[[#This Row],[role_id]])=0, "INVALID","VALID")</f>
        <v>VALID</v>
      </c>
      <c r="N3413" t="str">
        <f>IF(COUNTIF(course_data[course_id],role_course_map[[#This Row],[course_id]])=0, "INVALID","VALID")</f>
        <v>VALID</v>
      </c>
    </row>
    <row r="3414" spans="1:14" x14ac:dyDescent="0.35">
      <c r="A3414" t="s">
        <v>218</v>
      </c>
      <c r="B3414" s="5" t="str">
        <f>_xlfn.XLOOKUP(role_course_map[[#This Row],[role_id]], role_data[role_id], role_data[Role],"")</f>
        <v>Clinical Training Officer</v>
      </c>
      <c r="C3414">
        <v>999017</v>
      </c>
      <c r="D3414" s="5" t="str">
        <f>_xlfn.XLOOKUP(role_course_map[[#This Row],[course_id]],course_data[course_id],course_data[title],"")</f>
        <v>Clinical Skills</v>
      </c>
      <c r="E3414" s="5" t="str">
        <f>_xlfn.XLOOKUP(role_course_map[[#This Row],[course_id]],course_data[course_id],course_data[topic],"")</f>
        <v>SAS : Clinical Practice</v>
      </c>
      <c r="F3414" s="5" t="str">
        <f>_xlfn.XLOOKUP(role_course_map[[#This Row],[course_id]],course_data[course_id],course_data[type],"")</f>
        <v>eLearning</v>
      </c>
      <c r="K3414" t="str">
        <f>role_course_map[[#This Row],[role_id]] &amp; "|" &amp; role_course_map[[#This Row],[course_id]]</f>
        <v>R0102|999017</v>
      </c>
      <c r="L3414" t="str">
        <f>IF(COUNTIF(role_course_map[mapping_key],role_course_map[[#This Row],[mapping_key]])&gt;1,"DUPLICATE","OK")</f>
        <v>OK</v>
      </c>
      <c r="M3414" t="str">
        <f>IF(COUNTIF(role_data[role_id],role_course_map[[#This Row],[role_id]])=0, "INVALID","VALID")</f>
        <v>VALID</v>
      </c>
      <c r="N3414" t="str">
        <f>IF(COUNTIF(course_data[course_id],role_course_map[[#This Row],[course_id]])=0, "INVALID","VALID")</f>
        <v>VALID</v>
      </c>
    </row>
    <row r="3415" spans="1:14" x14ac:dyDescent="0.35">
      <c r="A3415" t="s">
        <v>218</v>
      </c>
      <c r="B3415" s="5" t="str">
        <f>_xlfn.XLOOKUP(role_course_map[[#This Row],[role_id]], role_data[role_id], role_data[Role],"")</f>
        <v>Clinical Training Officer</v>
      </c>
      <c r="C3415">
        <v>999018</v>
      </c>
      <c r="D3415" s="5" t="str">
        <f>_xlfn.XLOOKUP(role_course_map[[#This Row],[course_id]],course_data[course_id],course_data[title],"")</f>
        <v>Learning from Events</v>
      </c>
      <c r="E3415" s="5" t="str">
        <f>_xlfn.XLOOKUP(role_course_map[[#This Row],[course_id]],course_data[course_id],course_data[topic],"")</f>
        <v>SAS : Clinical Practice</v>
      </c>
      <c r="F3415" s="5" t="str">
        <f>_xlfn.XLOOKUP(role_course_map[[#This Row],[course_id]],course_data[course_id],course_data[type],"")</f>
        <v>eLearning</v>
      </c>
      <c r="K3415" t="str">
        <f>role_course_map[[#This Row],[role_id]] &amp; "|" &amp; role_course_map[[#This Row],[course_id]]</f>
        <v>R0102|999018</v>
      </c>
      <c r="L3415" t="str">
        <f>IF(COUNTIF(role_course_map[mapping_key],role_course_map[[#This Row],[mapping_key]])&gt;1,"DUPLICATE","OK")</f>
        <v>OK</v>
      </c>
      <c r="M3415" t="str">
        <f>IF(COUNTIF(role_data[role_id],role_course_map[[#This Row],[role_id]])=0, "INVALID","VALID")</f>
        <v>VALID</v>
      </c>
      <c r="N3415" t="str">
        <f>IF(COUNTIF(course_data[course_id],role_course_map[[#This Row],[course_id]])=0, "INVALID","VALID")</f>
        <v>VALID</v>
      </c>
    </row>
    <row r="3416" spans="1:14" x14ac:dyDescent="0.35">
      <c r="A3416" t="s">
        <v>218</v>
      </c>
      <c r="B3416" s="5" t="str">
        <f>_xlfn.XLOOKUP(role_course_map[[#This Row],[role_id]], role_data[role_id], role_data[Role],"")</f>
        <v>Clinical Training Officer</v>
      </c>
      <c r="C3416">
        <v>999019</v>
      </c>
      <c r="D3416" s="5" t="str">
        <f>_xlfn.XLOOKUP(role_course_map[[#This Row],[course_id]],course_data[course_id],course_data[title],"")</f>
        <v>Medicines Management</v>
      </c>
      <c r="E3416" s="5" t="str">
        <f>_xlfn.XLOOKUP(role_course_map[[#This Row],[course_id]],course_data[course_id],course_data[topic],"")</f>
        <v>SAS : Clinical Practice</v>
      </c>
      <c r="F3416" s="5" t="str">
        <f>_xlfn.XLOOKUP(role_course_map[[#This Row],[course_id]],course_data[course_id],course_data[type],"")</f>
        <v>eLearning</v>
      </c>
      <c r="K3416" t="str">
        <f>role_course_map[[#This Row],[role_id]] &amp; "|" &amp; role_course_map[[#This Row],[course_id]]</f>
        <v>R0102|999019</v>
      </c>
      <c r="L3416" t="str">
        <f>IF(COUNTIF(role_course_map[mapping_key],role_course_map[[#This Row],[mapping_key]])&gt;1,"DUPLICATE","OK")</f>
        <v>OK</v>
      </c>
      <c r="M3416" t="str">
        <f>IF(COUNTIF(role_data[role_id],role_course_map[[#This Row],[role_id]])=0, "INVALID","VALID")</f>
        <v>VALID</v>
      </c>
      <c r="N3416" t="str">
        <f>IF(COUNTIF(course_data[course_id],role_course_map[[#This Row],[course_id]])=0, "INVALID","VALID")</f>
        <v>VALID</v>
      </c>
    </row>
    <row r="3417" spans="1:14" x14ac:dyDescent="0.35">
      <c r="A3417" t="s">
        <v>218</v>
      </c>
      <c r="B3417" s="5" t="str">
        <f>_xlfn.XLOOKUP(role_course_map[[#This Row],[role_id]], role_data[role_id], role_data[Role],"")</f>
        <v>Clinical Training Officer</v>
      </c>
      <c r="C3417">
        <v>999020</v>
      </c>
      <c r="D3417" s="5" t="str">
        <f>_xlfn.XLOOKUP(role_course_map[[#This Row],[course_id]],course_data[course_id],course_data[title],"")</f>
        <v>JRCALC Update</v>
      </c>
      <c r="E3417" s="5" t="str">
        <f>_xlfn.XLOOKUP(role_course_map[[#This Row],[course_id]],course_data[course_id],course_data[topic],"")</f>
        <v>SAS : Clinical Practice</v>
      </c>
      <c r="F3417" s="5" t="str">
        <f>_xlfn.XLOOKUP(role_course_map[[#This Row],[course_id]],course_data[course_id],course_data[type],"")</f>
        <v>eLearning</v>
      </c>
      <c r="K3417" t="str">
        <f>role_course_map[[#This Row],[role_id]] &amp; "|" &amp; role_course_map[[#This Row],[course_id]]</f>
        <v>R0102|999020</v>
      </c>
      <c r="L3417" t="str">
        <f>IF(COUNTIF(role_course_map[mapping_key],role_course_map[[#This Row],[mapping_key]])&gt;1,"DUPLICATE","OK")</f>
        <v>OK</v>
      </c>
      <c r="M3417" t="str">
        <f>IF(COUNTIF(role_data[role_id],role_course_map[[#This Row],[role_id]])=0, "INVALID","VALID")</f>
        <v>VALID</v>
      </c>
      <c r="N3417" t="str">
        <f>IF(COUNTIF(course_data[course_id],role_course_map[[#This Row],[course_id]])=0, "INVALID","VALID")</f>
        <v>VALID</v>
      </c>
    </row>
    <row r="3418" spans="1:14" x14ac:dyDescent="0.35">
      <c r="A3418" t="s">
        <v>218</v>
      </c>
      <c r="B3418" s="5" t="str">
        <f>_xlfn.XLOOKUP(role_course_map[[#This Row],[role_id]], role_data[role_id], role_data[Role],"")</f>
        <v>Clinical Training Officer</v>
      </c>
      <c r="C3418">
        <v>999021</v>
      </c>
      <c r="D3418" s="5" t="str">
        <f>_xlfn.XLOOKUP(role_course_map[[#This Row],[course_id]],course_data[course_id],course_data[title],"")</f>
        <v>Mental Health</v>
      </c>
      <c r="E3418" s="5" t="str">
        <f>_xlfn.XLOOKUP(role_course_map[[#This Row],[course_id]],course_data[course_id],course_data[topic],"")</f>
        <v>SAS : Clinical Practice</v>
      </c>
      <c r="F3418" s="5" t="str">
        <f>_xlfn.XLOOKUP(role_course_map[[#This Row],[course_id]],course_data[course_id],course_data[type],"")</f>
        <v>eLearning</v>
      </c>
      <c r="K3418" t="str">
        <f>role_course_map[[#This Row],[role_id]] &amp; "|" &amp; role_course_map[[#This Row],[course_id]]</f>
        <v>R0102|999021</v>
      </c>
      <c r="L3418" t="str">
        <f>IF(COUNTIF(role_course_map[mapping_key],role_course_map[[#This Row],[mapping_key]])&gt;1,"DUPLICATE","OK")</f>
        <v>OK</v>
      </c>
      <c r="M3418" t="str">
        <f>IF(COUNTIF(role_data[role_id],role_course_map[[#This Row],[role_id]])=0, "INVALID","VALID")</f>
        <v>VALID</v>
      </c>
      <c r="N3418" t="str">
        <f>IF(COUNTIF(course_data[course_id],role_course_map[[#This Row],[course_id]])=0, "INVALID","VALID")</f>
        <v>VALID</v>
      </c>
    </row>
    <row r="3419" spans="1:14" x14ac:dyDescent="0.35">
      <c r="A3419" t="s">
        <v>218</v>
      </c>
      <c r="B3419" s="5" t="str">
        <f>_xlfn.XLOOKUP(role_course_map[[#This Row],[role_id]], role_data[role_id], role_data[Role],"")</f>
        <v>Clinical Training Officer</v>
      </c>
      <c r="C3419">
        <v>999022</v>
      </c>
      <c r="D3419" s="5" t="str">
        <f>_xlfn.XLOOKUP(role_course_map[[#This Row],[course_id]],course_data[course_id],course_data[title],"")</f>
        <v>Learning Disabilities</v>
      </c>
      <c r="E3419" s="5" t="str">
        <f>_xlfn.XLOOKUP(role_course_map[[#This Row],[course_id]],course_data[course_id],course_data[topic],"")</f>
        <v>SAS : Clinical Practice</v>
      </c>
      <c r="F3419" s="5" t="str">
        <f>_xlfn.XLOOKUP(role_course_map[[#This Row],[course_id]],course_data[course_id],course_data[type],"")</f>
        <v>eLearning</v>
      </c>
      <c r="K3419" t="str">
        <f>role_course_map[[#This Row],[role_id]] &amp; "|" &amp; role_course_map[[#This Row],[course_id]]</f>
        <v>R0102|999022</v>
      </c>
      <c r="L3419" t="str">
        <f>IF(COUNTIF(role_course_map[mapping_key],role_course_map[[#This Row],[mapping_key]])&gt;1,"DUPLICATE","OK")</f>
        <v>OK</v>
      </c>
      <c r="M3419" t="str">
        <f>IF(COUNTIF(role_data[role_id],role_course_map[[#This Row],[role_id]])=0, "INVALID","VALID")</f>
        <v>VALID</v>
      </c>
      <c r="N3419" t="str">
        <f>IF(COUNTIF(course_data[course_id],role_course_map[[#This Row],[course_id]])=0, "INVALID","VALID")</f>
        <v>VALID</v>
      </c>
    </row>
    <row r="3420" spans="1:14" x14ac:dyDescent="0.35">
      <c r="A3420" t="s">
        <v>218</v>
      </c>
      <c r="B3420" s="5" t="str">
        <f>_xlfn.XLOOKUP(role_course_map[[#This Row],[role_id]], role_data[role_id], role_data[Role],"")</f>
        <v>Clinical Training Officer</v>
      </c>
      <c r="C3420">
        <v>75202</v>
      </c>
      <c r="D3420" s="5" t="str">
        <f>_xlfn.XLOOKUP(role_course_map[[#This Row],[course_id]],course_data[course_id],course_data[title],"")</f>
        <v>SAS : Clinical Practice</v>
      </c>
      <c r="E3420" s="5" t="str">
        <f>_xlfn.XLOOKUP(role_course_map[[#This Row],[course_id]],course_data[course_id],course_data[topic],"")</f>
        <v>SAS : Clinical Practice</v>
      </c>
      <c r="F3420" s="5" t="str">
        <f>_xlfn.XLOOKUP(role_course_map[[#This Row],[course_id]],course_data[course_id],course_data[type],"")</f>
        <v>Page</v>
      </c>
      <c r="K3420" t="str">
        <f>role_course_map[[#This Row],[role_id]] &amp; "|" &amp; role_course_map[[#This Row],[course_id]]</f>
        <v>R0102|75202</v>
      </c>
      <c r="L3420" t="str">
        <f>IF(COUNTIF(role_course_map[mapping_key],role_course_map[[#This Row],[mapping_key]])&gt;1,"DUPLICATE","OK")</f>
        <v>OK</v>
      </c>
      <c r="M3420" t="str">
        <f>IF(COUNTIF(role_data[role_id],role_course_map[[#This Row],[role_id]])=0, "INVALID","VALID")</f>
        <v>VALID</v>
      </c>
      <c r="N3420" t="str">
        <f>IF(COUNTIF(course_data[course_id],role_course_map[[#This Row],[course_id]])=0, "INVALID","VALID")</f>
        <v>VALID</v>
      </c>
    </row>
    <row r="3421" spans="1:14" x14ac:dyDescent="0.35">
      <c r="A3421" t="s">
        <v>218</v>
      </c>
      <c r="B3421" s="5" t="str">
        <f>_xlfn.XLOOKUP(role_course_map[[#This Row],[role_id]], role_data[role_id], role_data[Role],"")</f>
        <v>Clinical Training Officer</v>
      </c>
      <c r="C3421">
        <v>999023</v>
      </c>
      <c r="D3421" s="5" t="str">
        <f>_xlfn.XLOOKUP(role_course_map[[#This Row],[course_id]],course_data[course_id],course_data[title],"")</f>
        <v>Dementia</v>
      </c>
      <c r="E3421" s="5" t="str">
        <f>_xlfn.XLOOKUP(role_course_map[[#This Row],[course_id]],course_data[course_id],course_data[topic],"")</f>
        <v>SAS : Clinical Practice</v>
      </c>
      <c r="F3421" s="5" t="str">
        <f>_xlfn.XLOOKUP(role_course_map[[#This Row],[course_id]],course_data[course_id],course_data[type],"")</f>
        <v>eLearning</v>
      </c>
      <c r="K3421" t="str">
        <f>role_course_map[[#This Row],[role_id]] &amp; "|" &amp; role_course_map[[#This Row],[course_id]]</f>
        <v>R0102|999023</v>
      </c>
      <c r="L3421" t="str">
        <f>IF(COUNTIF(role_course_map[mapping_key],role_course_map[[#This Row],[mapping_key]])&gt;1,"DUPLICATE","OK")</f>
        <v>OK</v>
      </c>
      <c r="M3421" t="str">
        <f>IF(COUNTIF(role_data[role_id],role_course_map[[#This Row],[role_id]])=0, "INVALID","VALID")</f>
        <v>VALID</v>
      </c>
      <c r="N3421" t="str">
        <f>IF(COUNTIF(course_data[course_id],role_course_map[[#This Row],[course_id]])=0, "INVALID","VALID")</f>
        <v>VALID</v>
      </c>
    </row>
    <row r="3422" spans="1:14" x14ac:dyDescent="0.35">
      <c r="A3422" t="s">
        <v>218</v>
      </c>
      <c r="B3422" s="5" t="str">
        <f>_xlfn.XLOOKUP(role_course_map[[#This Row],[role_id]], role_data[role_id], role_data[Role],"")</f>
        <v>Clinical Training Officer</v>
      </c>
      <c r="C3422">
        <v>999024</v>
      </c>
      <c r="D3422" s="5" t="str">
        <f>_xlfn.XLOOKUP(role_course_map[[#This Row],[course_id]],course_data[course_id],course_data[title],"")</f>
        <v>Conditions requiring specific hospital management. I.e. Parkinsons</v>
      </c>
      <c r="E3422" s="5" t="str">
        <f>_xlfn.XLOOKUP(role_course_map[[#This Row],[course_id]],course_data[course_id],course_data[topic],"")</f>
        <v>SAS : Clinical Practice</v>
      </c>
      <c r="F3422" s="5" t="str">
        <f>_xlfn.XLOOKUP(role_course_map[[#This Row],[course_id]],course_data[course_id],course_data[type],"")</f>
        <v>eLearning</v>
      </c>
      <c r="K3422" t="str">
        <f>role_course_map[[#This Row],[role_id]] &amp; "|" &amp; role_course_map[[#This Row],[course_id]]</f>
        <v>R0102|999024</v>
      </c>
      <c r="L3422" t="str">
        <f>IF(COUNTIF(role_course_map[mapping_key],role_course_map[[#This Row],[mapping_key]])&gt;1,"DUPLICATE","OK")</f>
        <v>OK</v>
      </c>
      <c r="M3422" t="str">
        <f>IF(COUNTIF(role_data[role_id],role_course_map[[#This Row],[role_id]])=0, "INVALID","VALID")</f>
        <v>VALID</v>
      </c>
      <c r="N3422" t="str">
        <f>IF(COUNTIF(course_data[course_id],role_course_map[[#This Row],[course_id]])=0, "INVALID","VALID")</f>
        <v>VALID</v>
      </c>
    </row>
    <row r="3423" spans="1:14" x14ac:dyDescent="0.35">
      <c r="A3423" t="s">
        <v>218</v>
      </c>
      <c r="B3423" s="5" t="str">
        <f>_xlfn.XLOOKUP(role_course_map[[#This Row],[role_id]], role_data[role_id], role_data[Role],"")</f>
        <v>Clinical Training Officer</v>
      </c>
      <c r="C3423">
        <v>999095</v>
      </c>
      <c r="D3423" s="5" t="str">
        <f>_xlfn.XLOOKUP(role_course_map[[#This Row],[course_id]],course_data[course_id],course_data[title],"")</f>
        <v>Mentoring</v>
      </c>
      <c r="E3423" s="5" t="str">
        <f>_xlfn.XLOOKUP(role_course_map[[#This Row],[course_id]],course_data[course_id],course_data[topic],"")</f>
        <v>SAS: Staff development and experience</v>
      </c>
      <c r="F3423" s="5" t="str">
        <f>_xlfn.XLOOKUP(role_course_map[[#This Row],[course_id]],course_data[course_id],course_data[type],"")</f>
        <v>eLearning</v>
      </c>
      <c r="K3423" t="str">
        <f>role_course_map[[#This Row],[role_id]] &amp; "|" &amp; role_course_map[[#This Row],[course_id]]</f>
        <v>R0102|999095</v>
      </c>
      <c r="L3423" t="str">
        <f>IF(COUNTIF(role_course_map[mapping_key],role_course_map[[#This Row],[mapping_key]])&gt;1,"DUPLICATE","OK")</f>
        <v>OK</v>
      </c>
      <c r="M3423" t="str">
        <f>IF(COUNTIF(role_data[role_id],role_course_map[[#This Row],[role_id]])=0, "INVALID","VALID")</f>
        <v>VALID</v>
      </c>
      <c r="N3423" t="str">
        <f>IF(COUNTIF(course_data[course_id],role_course_map[[#This Row],[course_id]])=0, "INVALID","VALID")</f>
        <v>VALID</v>
      </c>
    </row>
    <row r="3424" spans="1:14" x14ac:dyDescent="0.35">
      <c r="A3424" t="s">
        <v>218</v>
      </c>
      <c r="B3424" s="5" t="str">
        <f>_xlfn.XLOOKUP(role_course_map[[#This Row],[role_id]], role_data[role_id], role_data[Role],"")</f>
        <v>Clinical Training Officer</v>
      </c>
      <c r="C3424">
        <v>999096</v>
      </c>
      <c r="D3424" s="5" t="str">
        <f>_xlfn.XLOOKUP(role_course_map[[#This Row],[course_id]],course_data[course_id],course_data[title],"")</f>
        <v>Supporting others in practice (Supervision)</v>
      </c>
      <c r="E3424" s="5" t="str">
        <f>_xlfn.XLOOKUP(role_course_map[[#This Row],[course_id]],course_data[course_id],course_data[topic],"")</f>
        <v>SAS: Staff development and experience</v>
      </c>
      <c r="F3424" s="5" t="str">
        <f>_xlfn.XLOOKUP(role_course_map[[#This Row],[course_id]],course_data[course_id],course_data[type],"")</f>
        <v>Course</v>
      </c>
      <c r="K3424" t="str">
        <f>role_course_map[[#This Row],[role_id]] &amp; "|" &amp; role_course_map[[#This Row],[course_id]]</f>
        <v>R0102|999096</v>
      </c>
      <c r="L3424" t="str">
        <f>IF(COUNTIF(role_course_map[mapping_key],role_course_map[[#This Row],[mapping_key]])&gt;1,"DUPLICATE","OK")</f>
        <v>OK</v>
      </c>
      <c r="M3424" t="str">
        <f>IF(COUNTIF(role_data[role_id],role_course_map[[#This Row],[role_id]])=0, "INVALID","VALID")</f>
        <v>VALID</v>
      </c>
      <c r="N3424" t="str">
        <f>IF(COUNTIF(course_data[course_id],role_course_map[[#This Row],[course_id]])=0, "INVALID","VALID")</f>
        <v>VALID</v>
      </c>
    </row>
    <row r="3425" spans="1:14" x14ac:dyDescent="0.35">
      <c r="A3425" t="s">
        <v>218</v>
      </c>
      <c r="B3425" s="5" t="str">
        <f>_xlfn.XLOOKUP(role_course_map[[#This Row],[role_id]], role_data[role_id], role_data[Role],"")</f>
        <v>Clinical Training Officer</v>
      </c>
      <c r="C3425">
        <v>999097</v>
      </c>
      <c r="D3425" s="5" t="str">
        <f>_xlfn.XLOOKUP(role_course_map[[#This Row],[course_id]],course_data[course_id],course_data[title],"")</f>
        <v>Personal Wellbeing</v>
      </c>
      <c r="E3425" s="5" t="str">
        <f>_xlfn.XLOOKUP(role_course_map[[#This Row],[course_id]],course_data[course_id],course_data[topic],"")</f>
        <v>SAS: Staff development and experience</v>
      </c>
      <c r="F3425" s="5" t="str">
        <f>_xlfn.XLOOKUP(role_course_map[[#This Row],[course_id]],course_data[course_id],course_data[type],"")</f>
        <v>eLearning</v>
      </c>
      <c r="K3425" t="str">
        <f>role_course_map[[#This Row],[role_id]] &amp; "|" &amp; role_course_map[[#This Row],[course_id]]</f>
        <v>R0102|999097</v>
      </c>
      <c r="L3425" t="str">
        <f>IF(COUNTIF(role_course_map[mapping_key],role_course_map[[#This Row],[mapping_key]])&gt;1,"DUPLICATE","OK")</f>
        <v>OK</v>
      </c>
      <c r="M3425" t="str">
        <f>IF(COUNTIF(role_data[role_id],role_course_map[[#This Row],[role_id]])=0, "INVALID","VALID")</f>
        <v>VALID</v>
      </c>
      <c r="N3425" t="str">
        <f>IF(COUNTIF(course_data[course_id],role_course_map[[#This Row],[course_id]])=0, "INVALID","VALID")</f>
        <v>VALID</v>
      </c>
    </row>
    <row r="3426" spans="1:14" x14ac:dyDescent="0.35">
      <c r="A3426" t="s">
        <v>218</v>
      </c>
      <c r="B3426" s="5" t="str">
        <f>_xlfn.XLOOKUP(role_course_map[[#This Row],[role_id]], role_data[role_id], role_data[Role],"")</f>
        <v>Clinical Training Officer</v>
      </c>
      <c r="C3426">
        <v>79147</v>
      </c>
      <c r="D3426" s="5" t="str">
        <f>_xlfn.XLOOKUP(role_course_map[[#This Row],[course_id]],course_data[course_id],course_data[title],"")</f>
        <v>Driving risks at work</v>
      </c>
      <c r="E3426" s="5" t="str">
        <f>_xlfn.XLOOKUP(role_course_map[[#This Row],[course_id]],course_data[course_id],course_data[topic],"")</f>
        <v>SAS : Health and Safety</v>
      </c>
      <c r="F3426" s="5" t="str">
        <f>_xlfn.XLOOKUP(role_course_map[[#This Row],[course_id]],course_data[course_id],course_data[type],"")</f>
        <v>eLearning</v>
      </c>
      <c r="K3426" t="str">
        <f>role_course_map[[#This Row],[role_id]] &amp; "|" &amp; role_course_map[[#This Row],[course_id]]</f>
        <v>R0102|79147</v>
      </c>
      <c r="L3426" t="str">
        <f>IF(COUNTIF(role_course_map[mapping_key],role_course_map[[#This Row],[mapping_key]])&gt;1,"DUPLICATE","OK")</f>
        <v>OK</v>
      </c>
      <c r="M3426" t="str">
        <f>IF(COUNTIF(role_data[role_id],role_course_map[[#This Row],[role_id]])=0, "INVALID","VALID")</f>
        <v>VALID</v>
      </c>
      <c r="N3426" t="str">
        <f>IF(COUNTIF(course_data[course_id],role_course_map[[#This Row],[course_id]])=0, "INVALID","VALID")</f>
        <v>VALID</v>
      </c>
    </row>
    <row r="3427" spans="1:14" x14ac:dyDescent="0.35">
      <c r="A3427" t="s">
        <v>218</v>
      </c>
      <c r="B3427" s="5" t="str">
        <f>_xlfn.XLOOKUP(role_course_map[[#This Row],[role_id]], role_data[role_id], role_data[Role],"")</f>
        <v>Clinical Training Officer</v>
      </c>
      <c r="C3427">
        <v>999060</v>
      </c>
      <c r="D3427" s="5" t="str">
        <f>_xlfn.XLOOKUP(role_course_map[[#This Row],[course_id]],course_data[course_id],course_data[title],"")</f>
        <v>COSHH</v>
      </c>
      <c r="E3427" s="5" t="str">
        <f>_xlfn.XLOOKUP(role_course_map[[#This Row],[course_id]],course_data[course_id],course_data[topic],"")</f>
        <v>SAS : Health and Safety</v>
      </c>
      <c r="F3427" s="5" t="str">
        <f>_xlfn.XLOOKUP(role_course_map[[#This Row],[course_id]],course_data[course_id],course_data[type],"")</f>
        <v>eLearning</v>
      </c>
      <c r="K3427" t="str">
        <f>role_course_map[[#This Row],[role_id]] &amp; "|" &amp; role_course_map[[#This Row],[course_id]]</f>
        <v>R0102|999060</v>
      </c>
      <c r="L3427" t="str">
        <f>IF(COUNTIF(role_course_map[mapping_key],role_course_map[[#This Row],[mapping_key]])&gt;1,"DUPLICATE","OK")</f>
        <v>OK</v>
      </c>
      <c r="M3427" t="str">
        <f>IF(COUNTIF(role_data[role_id],role_course_map[[#This Row],[role_id]])=0, "INVALID","VALID")</f>
        <v>VALID</v>
      </c>
      <c r="N3427" t="str">
        <f>IF(COUNTIF(course_data[course_id],role_course_map[[#This Row],[course_id]])=0, "INVALID","VALID")</f>
        <v>VALID</v>
      </c>
    </row>
    <row r="3428" spans="1:14" x14ac:dyDescent="0.35">
      <c r="A3428" t="s">
        <v>218</v>
      </c>
      <c r="B3428" s="5" t="str">
        <f>_xlfn.XLOOKUP(role_course_map[[#This Row],[role_id]], role_data[role_id], role_data[Role],"")</f>
        <v>Clinical Training Officer</v>
      </c>
      <c r="C3428">
        <v>999066</v>
      </c>
      <c r="D3428" s="5" t="str">
        <f>_xlfn.XLOOKUP(role_course_map[[#This Row],[course_id]],course_data[course_id],course_data[title],"")</f>
        <v>NRRD Update i.e. Major Incidents/Methane/ Multiple Casualities</v>
      </c>
      <c r="E3428" s="5" t="str">
        <f>_xlfn.XLOOKUP(role_course_map[[#This Row],[course_id]],course_data[course_id],course_data[topic],"")</f>
        <v>SAS : National Risk and Resilience Department (NRRD)</v>
      </c>
      <c r="F3428" s="5" t="str">
        <f>_xlfn.XLOOKUP(role_course_map[[#This Row],[course_id]],course_data[course_id],course_data[type],"")</f>
        <v>eLearning</v>
      </c>
      <c r="K3428" t="str">
        <f>role_course_map[[#This Row],[role_id]] &amp; "|" &amp; role_course_map[[#This Row],[course_id]]</f>
        <v>R0102|999066</v>
      </c>
      <c r="L3428" t="str">
        <f>IF(COUNTIF(role_course_map[mapping_key],role_course_map[[#This Row],[mapping_key]])&gt;1,"DUPLICATE","OK")</f>
        <v>OK</v>
      </c>
      <c r="M3428" t="str">
        <f>IF(COUNTIF(role_data[role_id],role_course_map[[#This Row],[role_id]])=0, "INVALID","VALID")</f>
        <v>VALID</v>
      </c>
      <c r="N3428" t="str">
        <f>IF(COUNTIF(course_data[course_id],role_course_map[[#This Row],[course_id]])=0, "INVALID","VALID")</f>
        <v>VALID</v>
      </c>
    </row>
    <row r="3429" spans="1:14" x14ac:dyDescent="0.35">
      <c r="A3429" t="s">
        <v>218</v>
      </c>
      <c r="B3429" s="5" t="str">
        <f>_xlfn.XLOOKUP(role_course_map[[#This Row],[role_id]], role_data[role_id], role_data[Role],"")</f>
        <v>Clinical Training Officer</v>
      </c>
      <c r="C3429">
        <v>999025</v>
      </c>
      <c r="D3429" s="5" t="str">
        <f>_xlfn.XLOOKUP(role_course_map[[#This Row],[course_id]],course_data[course_id],course_data[title],"")</f>
        <v>Professional Standards</v>
      </c>
      <c r="E3429" s="5" t="str">
        <f>_xlfn.XLOOKUP(role_course_map[[#This Row],[course_id]],course_data[course_id],course_data[topic],"")</f>
        <v>SAS : Clinical Practice</v>
      </c>
      <c r="F3429" s="5" t="str">
        <f>_xlfn.XLOOKUP(role_course_map[[#This Row],[course_id]],course_data[course_id],course_data[type],"")</f>
        <v>eLearning</v>
      </c>
      <c r="K3429" t="str">
        <f>role_course_map[[#This Row],[role_id]] &amp; "|" &amp; role_course_map[[#This Row],[course_id]]</f>
        <v>R0102|999025</v>
      </c>
      <c r="L3429" t="str">
        <f>IF(COUNTIF(role_course_map[mapping_key],role_course_map[[#This Row],[mapping_key]])&gt;1,"DUPLICATE","OK")</f>
        <v>OK</v>
      </c>
      <c r="M3429" t="str">
        <f>IF(COUNTIF(role_data[role_id],role_course_map[[#This Row],[role_id]])=0, "INVALID","VALID")</f>
        <v>VALID</v>
      </c>
      <c r="N3429" t="str">
        <f>IF(COUNTIF(course_data[course_id],role_course_map[[#This Row],[course_id]])=0, "INVALID","VALID")</f>
        <v>VALID</v>
      </c>
    </row>
    <row r="3430" spans="1:14" x14ac:dyDescent="0.35">
      <c r="A3430" t="s">
        <v>218</v>
      </c>
      <c r="B3430" s="5" t="str">
        <f>_xlfn.XLOOKUP(role_course_map[[#This Row],[role_id]], role_data[role_id], role_data[Role],"")</f>
        <v>Clinical Training Officer</v>
      </c>
      <c r="C3430">
        <v>999026</v>
      </c>
      <c r="D3430" s="5" t="str">
        <f>_xlfn.XLOOKUP(role_course_map[[#This Row],[course_id]],course_data[course_id],course_data[title],"")</f>
        <v>Communication Standards</v>
      </c>
      <c r="E3430" s="5" t="str">
        <f>_xlfn.XLOOKUP(role_course_map[[#This Row],[course_id]],course_data[course_id],course_data[topic],"")</f>
        <v>SAS : Clinical Practice</v>
      </c>
      <c r="F3430" s="5" t="str">
        <f>_xlfn.XLOOKUP(role_course_map[[#This Row],[course_id]],course_data[course_id],course_data[type],"")</f>
        <v>eLearning</v>
      </c>
      <c r="K3430" t="str">
        <f>role_course_map[[#This Row],[role_id]] &amp; "|" &amp; role_course_map[[#This Row],[course_id]]</f>
        <v>R0102|999026</v>
      </c>
      <c r="L3430" t="str">
        <f>IF(COUNTIF(role_course_map[mapping_key],role_course_map[[#This Row],[mapping_key]])&gt;1,"DUPLICATE","OK")</f>
        <v>OK</v>
      </c>
      <c r="M3430" t="str">
        <f>IF(COUNTIF(role_data[role_id],role_course_map[[#This Row],[role_id]])=0, "INVALID","VALID")</f>
        <v>VALID</v>
      </c>
      <c r="N3430" t="str">
        <f>IF(COUNTIF(course_data[course_id],role_course_map[[#This Row],[course_id]])=0, "INVALID","VALID")</f>
        <v>VALID</v>
      </c>
    </row>
    <row r="3431" spans="1:14" x14ac:dyDescent="0.35">
      <c r="A3431" t="s">
        <v>218</v>
      </c>
      <c r="B3431" s="5" t="str">
        <f>_xlfn.XLOOKUP(role_course_map[[#This Row],[role_id]], role_data[role_id], role_data[Role],"")</f>
        <v>Clinical Training Officer</v>
      </c>
      <c r="C3431">
        <v>999056</v>
      </c>
      <c r="D3431" s="5" t="str">
        <f>_xlfn.XLOOKUP(role_course_map[[#This Row],[course_id]],course_data[course_id],course_data[title],"")</f>
        <v>Driver Assessment &amp; Training</v>
      </c>
      <c r="E3431" s="5" t="str">
        <f>_xlfn.XLOOKUP(role_course_map[[#This Row],[course_id]],course_data[course_id],course_data[topic],"")</f>
        <v>SAS : Health and Safety</v>
      </c>
      <c r="F3431" s="5" t="str">
        <f>_xlfn.XLOOKUP(role_course_map[[#This Row],[course_id]],course_data[course_id],course_data[type],"")</f>
        <v>eLearning</v>
      </c>
      <c r="K3431" t="str">
        <f>role_course_map[[#This Row],[role_id]] &amp; "|" &amp; role_course_map[[#This Row],[course_id]]</f>
        <v>R0102|999056</v>
      </c>
      <c r="L3431" t="str">
        <f>IF(COUNTIF(role_course_map[mapping_key],role_course_map[[#This Row],[mapping_key]])&gt;1,"DUPLICATE","OK")</f>
        <v>OK</v>
      </c>
      <c r="M3431" t="str">
        <f>IF(COUNTIF(role_data[role_id],role_course_map[[#This Row],[role_id]])=0, "INVALID","VALID")</f>
        <v>VALID</v>
      </c>
      <c r="N3431" t="str">
        <f>IF(COUNTIF(course_data[course_id],role_course_map[[#This Row],[course_id]])=0, "INVALID","VALID")</f>
        <v>VALID</v>
      </c>
    </row>
    <row r="3432" spans="1:14" x14ac:dyDescent="0.35">
      <c r="A3432" t="s">
        <v>218</v>
      </c>
      <c r="B3432" s="5" t="str">
        <f>_xlfn.XLOOKUP(role_course_map[[#This Row],[role_id]], role_data[role_id], role_data[Role],"")</f>
        <v>Clinical Training Officer</v>
      </c>
      <c r="C3432">
        <v>999057</v>
      </c>
      <c r="D3432" s="5" t="str">
        <f>_xlfn.XLOOKUP(role_course_map[[#This Row],[course_id]],course_data[course_id],course_data[title],"")</f>
        <v>Fatigue Awareness</v>
      </c>
      <c r="E3432" s="5" t="str">
        <f>_xlfn.XLOOKUP(role_course_map[[#This Row],[course_id]],course_data[course_id],course_data[topic],"")</f>
        <v>SAS : Health and Safety</v>
      </c>
      <c r="F3432" s="5" t="str">
        <f>_xlfn.XLOOKUP(role_course_map[[#This Row],[course_id]],course_data[course_id],course_data[type],"")</f>
        <v>eLearning</v>
      </c>
      <c r="K3432" t="str">
        <f>role_course_map[[#This Row],[role_id]] &amp; "|" &amp; role_course_map[[#This Row],[course_id]]</f>
        <v>R0102|999057</v>
      </c>
      <c r="L3432" t="str">
        <f>IF(COUNTIF(role_course_map[mapping_key],role_course_map[[#This Row],[mapping_key]])&gt;1,"DUPLICATE","OK")</f>
        <v>OK</v>
      </c>
      <c r="M3432" t="str">
        <f>IF(COUNTIF(role_data[role_id],role_course_map[[#This Row],[role_id]])=0, "INVALID","VALID")</f>
        <v>VALID</v>
      </c>
      <c r="N3432" t="str">
        <f>IF(COUNTIF(course_data[course_id],role_course_map[[#This Row],[course_id]])=0, "INVALID","VALID")</f>
        <v>VALID</v>
      </c>
    </row>
    <row r="3433" spans="1:14" x14ac:dyDescent="0.35">
      <c r="A3433" t="s">
        <v>218</v>
      </c>
      <c r="B3433" s="5" t="str">
        <f>_xlfn.XLOOKUP(role_course_map[[#This Row],[role_id]], role_data[role_id], role_data[Role],"")</f>
        <v>Clinical Training Officer</v>
      </c>
      <c r="C3433">
        <v>999058</v>
      </c>
      <c r="D3433" s="5" t="str">
        <f>_xlfn.XLOOKUP(role_course_map[[#This Row],[course_id]],course_data[course_id],course_data[title],"")</f>
        <v>Stress Identification &amp; Stress Management</v>
      </c>
      <c r="E3433" s="5" t="str">
        <f>_xlfn.XLOOKUP(role_course_map[[#This Row],[course_id]],course_data[course_id],course_data[topic],"")</f>
        <v>SAS : Health and Safety</v>
      </c>
      <c r="F3433" s="5" t="str">
        <f>_xlfn.XLOOKUP(role_course_map[[#This Row],[course_id]],course_data[course_id],course_data[type],"")</f>
        <v>eLearning</v>
      </c>
      <c r="K3433" t="str">
        <f>role_course_map[[#This Row],[role_id]] &amp; "|" &amp; role_course_map[[#This Row],[course_id]]</f>
        <v>R0102|999058</v>
      </c>
      <c r="L3433" t="str">
        <f>IF(COUNTIF(role_course_map[mapping_key],role_course_map[[#This Row],[mapping_key]])&gt;1,"DUPLICATE","OK")</f>
        <v>OK</v>
      </c>
      <c r="M3433" t="str">
        <f>IF(COUNTIF(role_data[role_id],role_course_map[[#This Row],[role_id]])=0, "INVALID","VALID")</f>
        <v>VALID</v>
      </c>
      <c r="N3433" t="str">
        <f>IF(COUNTIF(course_data[course_id],role_course_map[[#This Row],[course_id]])=0, "INVALID","VALID")</f>
        <v>VALID</v>
      </c>
    </row>
    <row r="3434" spans="1:14" x14ac:dyDescent="0.35">
      <c r="A3434" t="s">
        <v>218</v>
      </c>
      <c r="B3434" s="5" t="str">
        <f>_xlfn.XLOOKUP(role_course_map[[#This Row],[role_id]], role_data[role_id], role_data[Role],"")</f>
        <v>Clinical Training Officer</v>
      </c>
      <c r="C3434">
        <v>999061</v>
      </c>
      <c r="D3434" s="5" t="str">
        <f>_xlfn.XLOOKUP(role_course_map[[#This Row],[course_id]],course_data[course_id],course_data[title],"")</f>
        <v>Skin Awareness</v>
      </c>
      <c r="E3434" s="5" t="str">
        <f>_xlfn.XLOOKUP(role_course_map[[#This Row],[course_id]],course_data[course_id],course_data[topic],"")</f>
        <v>SAS : Health and Safety</v>
      </c>
      <c r="F3434" s="5" t="str">
        <f>_xlfn.XLOOKUP(role_course_map[[#This Row],[course_id]],course_data[course_id],course_data[type],"")</f>
        <v>eLearning</v>
      </c>
      <c r="K3434" t="str">
        <f>role_course_map[[#This Row],[role_id]] &amp; "|" &amp; role_course_map[[#This Row],[course_id]]</f>
        <v>R0102|999061</v>
      </c>
      <c r="L3434" t="str">
        <f>IF(COUNTIF(role_course_map[mapping_key],role_course_map[[#This Row],[mapping_key]])&gt;1,"DUPLICATE","OK")</f>
        <v>OK</v>
      </c>
      <c r="M3434" t="str">
        <f>IF(COUNTIF(role_data[role_id],role_course_map[[#This Row],[role_id]])=0, "INVALID","VALID")</f>
        <v>VALID</v>
      </c>
      <c r="N3434" t="str">
        <f>IF(COUNTIF(course_data[course_id],role_course_map[[#This Row],[course_id]])=0, "INVALID","VALID")</f>
        <v>VALID</v>
      </c>
    </row>
    <row r="3435" spans="1:14" x14ac:dyDescent="0.35">
      <c r="A3435" t="s">
        <v>218</v>
      </c>
      <c r="B3435" s="5" t="str">
        <f>_xlfn.XLOOKUP(role_course_map[[#This Row],[role_id]], role_data[role_id], role_data[Role],"")</f>
        <v>Clinical Training Officer</v>
      </c>
      <c r="C3435">
        <v>999027</v>
      </c>
      <c r="D3435" s="5" t="str">
        <f>_xlfn.XLOOKUP(role_course_map[[#This Row],[course_id]],course_data[course_id],course_data[title],"")</f>
        <v>Manual and Patient Handling Foundation Training - Level 2</v>
      </c>
      <c r="E3435" s="5" t="str">
        <f>_xlfn.XLOOKUP(role_course_map[[#This Row],[course_id]],course_data[course_id],course_data[topic],"")</f>
        <v>SAS : Clinical Practice</v>
      </c>
      <c r="F3435" s="5" t="str">
        <f>_xlfn.XLOOKUP(role_course_map[[#This Row],[course_id]],course_data[course_id],course_data[type],"")</f>
        <v>Course</v>
      </c>
      <c r="K3435" t="str">
        <f>role_course_map[[#This Row],[role_id]] &amp; "|" &amp; role_course_map[[#This Row],[course_id]]</f>
        <v>R0102|999027</v>
      </c>
      <c r="L3435" t="str">
        <f>IF(COUNTIF(role_course_map[mapping_key],role_course_map[[#This Row],[mapping_key]])&gt;1,"DUPLICATE","OK")</f>
        <v>OK</v>
      </c>
      <c r="M3435" t="str">
        <f>IF(COUNTIF(role_data[role_id],role_course_map[[#This Row],[role_id]])=0, "INVALID","VALID")</f>
        <v>VALID</v>
      </c>
      <c r="N3435" t="str">
        <f>IF(COUNTIF(course_data[course_id],role_course_map[[#This Row],[course_id]])=0, "INVALID","VALID")</f>
        <v>VALID</v>
      </c>
    </row>
    <row r="3436" spans="1:14" x14ac:dyDescent="0.35">
      <c r="A3436" t="s">
        <v>218</v>
      </c>
      <c r="B3436" s="5" t="str">
        <f>_xlfn.XLOOKUP(role_course_map[[#This Row],[role_id]], role_data[role_id], role_data[Role],"")</f>
        <v>Clinical Training Officer</v>
      </c>
      <c r="C3436">
        <v>999028</v>
      </c>
      <c r="D3436" s="5" t="str">
        <f>_xlfn.XLOOKUP(role_course_map[[#This Row],[course_id]],course_data[course_id],course_data[title],"")</f>
        <v>Manual and Patient Handling Competency Assessment - Level 3</v>
      </c>
      <c r="E3436" s="5" t="str">
        <f>_xlfn.XLOOKUP(role_course_map[[#This Row],[course_id]],course_data[course_id],course_data[topic],"")</f>
        <v>SAS : Clinical Practice</v>
      </c>
      <c r="F3436" s="5" t="str">
        <f>_xlfn.XLOOKUP(role_course_map[[#This Row],[course_id]],course_data[course_id],course_data[type],"")</f>
        <v>Course</v>
      </c>
      <c r="K3436" t="str">
        <f>role_course_map[[#This Row],[role_id]] &amp; "|" &amp; role_course_map[[#This Row],[course_id]]</f>
        <v>R0102|999028</v>
      </c>
      <c r="L3436" t="str">
        <f>IF(COUNTIF(role_course_map[mapping_key],role_course_map[[#This Row],[mapping_key]])&gt;1,"DUPLICATE","OK")</f>
        <v>OK</v>
      </c>
      <c r="M3436" t="str">
        <f>IF(COUNTIF(role_data[role_id],role_course_map[[#This Row],[role_id]])=0, "INVALID","VALID")</f>
        <v>VALID</v>
      </c>
      <c r="N3436" t="str">
        <f>IF(COUNTIF(course_data[course_id],role_course_map[[#This Row],[course_id]])=0, "INVALID","VALID")</f>
        <v>VALID</v>
      </c>
    </row>
    <row r="3437" spans="1:14" x14ac:dyDescent="0.35">
      <c r="A3437" t="s">
        <v>218</v>
      </c>
      <c r="B3437" s="5" t="str">
        <f>_xlfn.XLOOKUP(role_course_map[[#This Row],[role_id]], role_data[role_id], role_data[Role],"")</f>
        <v>Clinical Training Officer</v>
      </c>
      <c r="C3437">
        <v>999029</v>
      </c>
      <c r="D3437" s="5" t="str">
        <f>_xlfn.XLOOKUP(role_course_map[[#This Row],[course_id]],course_data[course_id],course_data[title],"")</f>
        <v>Manual and Patient Handling Competency Assessment Theory - Level 3</v>
      </c>
      <c r="E3437" s="5" t="str">
        <f>_xlfn.XLOOKUP(role_course_map[[#This Row],[course_id]],course_data[course_id],course_data[topic],"")</f>
        <v>SAS : Clinical Practice</v>
      </c>
      <c r="F3437" s="5" t="str">
        <f>_xlfn.XLOOKUP(role_course_map[[#This Row],[course_id]],course_data[course_id],course_data[type],"")</f>
        <v>Course</v>
      </c>
      <c r="K3437" t="str">
        <f>role_course_map[[#This Row],[role_id]] &amp; "|" &amp; role_course_map[[#This Row],[course_id]]</f>
        <v>R0102|999029</v>
      </c>
      <c r="L3437" t="str">
        <f>IF(COUNTIF(role_course_map[mapping_key],role_course_map[[#This Row],[mapping_key]])&gt;1,"DUPLICATE","OK")</f>
        <v>OK</v>
      </c>
      <c r="M3437" t="str">
        <f>IF(COUNTIF(role_data[role_id],role_course_map[[#This Row],[role_id]])=0, "INVALID","VALID")</f>
        <v>VALID</v>
      </c>
      <c r="N3437" t="str">
        <f>IF(COUNTIF(course_data[course_id],role_course_map[[#This Row],[course_id]])=0, "INVALID","VALID")</f>
        <v>VALID</v>
      </c>
    </row>
    <row r="3438" spans="1:14" x14ac:dyDescent="0.35">
      <c r="A3438" t="s">
        <v>218</v>
      </c>
      <c r="B3438" s="5" t="str">
        <f>_xlfn.XLOOKUP(role_course_map[[#This Row],[role_id]], role_data[role_id], role_data[Role],"")</f>
        <v>Clinical Training Officer</v>
      </c>
      <c r="C3438" t="s">
        <v>659</v>
      </c>
      <c r="D3438" s="5" t="str">
        <f>_xlfn.XLOOKUP(role_course_map[[#This Row],[course_id]],course_data[course_id],course_data[title],"")</f>
        <v>Prevention and Management of Violence and Aggression - Breakaway training Level 2 /Restrictive movement Level 3</v>
      </c>
      <c r="E3438" s="5" t="str">
        <f>_xlfn.XLOOKUP(role_course_map[[#This Row],[course_id]],course_data[course_id],course_data[topic],"")</f>
        <v>SAS : Health and Safety</v>
      </c>
      <c r="F3438" s="5" t="str">
        <f>_xlfn.XLOOKUP(role_course_map[[#This Row],[course_id]],course_data[course_id],course_data[type],"")</f>
        <v>Course</v>
      </c>
      <c r="K3438" t="str">
        <f>role_course_map[[#This Row],[role_id]] &amp; "|" &amp; role_course_map[[#This Row],[course_id]]</f>
        <v>R0102|2025-6 edition</v>
      </c>
      <c r="L3438" t="str">
        <f>IF(COUNTIF(role_course_map[mapping_key],role_course_map[[#This Row],[mapping_key]])&gt;1,"DUPLICATE","OK")</f>
        <v>OK</v>
      </c>
      <c r="M3438" t="str">
        <f>IF(COUNTIF(role_data[role_id],role_course_map[[#This Row],[role_id]])=0, "INVALID","VALID")</f>
        <v>VALID</v>
      </c>
      <c r="N3438" t="str">
        <f>IF(COUNTIF(course_data[course_id],role_course_map[[#This Row],[course_id]])=0, "INVALID","VALID")</f>
        <v>VALID</v>
      </c>
    </row>
    <row r="3439" spans="1:14" x14ac:dyDescent="0.35">
      <c r="A3439" t="s">
        <v>218</v>
      </c>
      <c r="B3439" s="5" t="str">
        <f>_xlfn.XLOOKUP(role_course_map[[#This Row],[role_id]], role_data[role_id], role_data[Role],"")</f>
        <v>Clinical Training Officer</v>
      </c>
      <c r="C3439">
        <v>999055</v>
      </c>
      <c r="D3439" s="5" t="str">
        <f>_xlfn.XLOOKUP(role_course_map[[#This Row],[course_id]],course_data[course_id],course_data[title],"")</f>
        <v>Prevention and Management of Violence and Aggression - Refresher</v>
      </c>
      <c r="E3439" s="5" t="str">
        <f>_xlfn.XLOOKUP(role_course_map[[#This Row],[course_id]],course_data[course_id],course_data[topic],"")</f>
        <v>SAS : Health and Safety</v>
      </c>
      <c r="F3439" s="5" t="str">
        <f>_xlfn.XLOOKUP(role_course_map[[#This Row],[course_id]],course_data[course_id],course_data[type],"")</f>
        <v>Course</v>
      </c>
      <c r="K3439" t="str">
        <f>role_course_map[[#This Row],[role_id]] &amp; "|" &amp; role_course_map[[#This Row],[course_id]]</f>
        <v>R0102|999055</v>
      </c>
      <c r="L3439" t="str">
        <f>IF(COUNTIF(role_course_map[mapping_key],role_course_map[[#This Row],[mapping_key]])&gt;1,"DUPLICATE","OK")</f>
        <v>OK</v>
      </c>
      <c r="M3439" t="str">
        <f>IF(COUNTIF(role_data[role_id],role_course_map[[#This Row],[role_id]])=0, "INVALID","VALID")</f>
        <v>VALID</v>
      </c>
      <c r="N3439" t="str">
        <f>IF(COUNTIF(course_data[course_id],role_course_map[[#This Row],[course_id]])=0, "INVALID","VALID")</f>
        <v>VALID</v>
      </c>
    </row>
    <row r="3440" spans="1:14" x14ac:dyDescent="0.35">
      <c r="A3440" t="s">
        <v>218</v>
      </c>
      <c r="B3440" s="5" t="str">
        <f>_xlfn.XLOOKUP(role_course_map[[#This Row],[role_id]], role_data[role_id], role_data[Role],"")</f>
        <v>Clinical Training Officer</v>
      </c>
      <c r="C3440">
        <v>64322</v>
      </c>
      <c r="D3440" s="5" t="str">
        <f>_xlfn.XLOOKUP(role_course_map[[#This Row],[course_id]],course_data[course_id],course_data[title],"")</f>
        <v>Adult support and protection: practice level 2 [skilled]</v>
      </c>
      <c r="E3440" s="5" t="str">
        <f>_xlfn.XLOOKUP(role_course_map[[#This Row],[course_id]],course_data[course_id],course_data[topic],"")</f>
        <v>SAS : Public Protection</v>
      </c>
      <c r="F3440" s="5" t="str">
        <f>_xlfn.XLOOKUP(role_course_map[[#This Row],[course_id]],course_data[course_id],course_data[type],"")</f>
        <v>eLearning</v>
      </c>
      <c r="K3440" t="str">
        <f>role_course_map[[#This Row],[role_id]] &amp; "|" &amp; role_course_map[[#This Row],[course_id]]</f>
        <v>R0102|64322</v>
      </c>
      <c r="L3440" t="str">
        <f>IF(COUNTIF(role_course_map[mapping_key],role_course_map[[#This Row],[mapping_key]])&gt;1,"DUPLICATE","OK")</f>
        <v>OK</v>
      </c>
      <c r="M3440" t="str">
        <f>IF(COUNTIF(role_data[role_id],role_course_map[[#This Row],[role_id]])=0, "INVALID","VALID")</f>
        <v>VALID</v>
      </c>
      <c r="N3440" t="str">
        <f>IF(COUNTIF(course_data[course_id],role_course_map[[#This Row],[course_id]])=0, "INVALID","VALID")</f>
        <v>VALID</v>
      </c>
    </row>
    <row r="3441" spans="1:14" x14ac:dyDescent="0.35">
      <c r="A3441" t="s">
        <v>218</v>
      </c>
      <c r="B3441" s="5" t="str">
        <f>_xlfn.XLOOKUP(role_course_map[[#This Row],[role_id]], role_data[role_id], role_data[Role],"")</f>
        <v>Clinical Training Officer</v>
      </c>
      <c r="C3441">
        <v>64324</v>
      </c>
      <c r="D3441" s="5" t="str">
        <f>_xlfn.XLOOKUP(role_course_map[[#This Row],[course_id]],course_data[course_id],course_data[title],"")</f>
        <v>Child protection: practice level 2 [skilled]</v>
      </c>
      <c r="E3441" s="5" t="str">
        <f>_xlfn.XLOOKUP(role_course_map[[#This Row],[course_id]],course_data[course_id],course_data[topic],"")</f>
        <v>SAS : Public Protection</v>
      </c>
      <c r="F3441" s="5" t="str">
        <f>_xlfn.XLOOKUP(role_course_map[[#This Row],[course_id]],course_data[course_id],course_data[type],"")</f>
        <v>eLearning</v>
      </c>
      <c r="K3441" t="str">
        <f>role_course_map[[#This Row],[role_id]] &amp; "|" &amp; role_course_map[[#This Row],[course_id]]</f>
        <v>R0102|64324</v>
      </c>
      <c r="L3441" t="str">
        <f>IF(COUNTIF(role_course_map[mapping_key],role_course_map[[#This Row],[mapping_key]])&gt;1,"DUPLICATE","OK")</f>
        <v>OK</v>
      </c>
      <c r="M3441" t="str">
        <f>IF(COUNTIF(role_data[role_id],role_course_map[[#This Row],[role_id]])=0, "INVALID","VALID")</f>
        <v>VALID</v>
      </c>
      <c r="N3441" t="str">
        <f>IF(COUNTIF(course_data[course_id],role_course_map[[#This Row],[course_id]])=0, "INVALID","VALID")</f>
        <v>VALID</v>
      </c>
    </row>
    <row r="3442" spans="1:14" x14ac:dyDescent="0.35">
      <c r="A3442" t="s">
        <v>218</v>
      </c>
      <c r="B3442" s="5" t="str">
        <f>_xlfn.XLOOKUP(role_course_map[[#This Row],[role_id]], role_data[role_id], role_data[Role],"")</f>
        <v>Clinical Training Officer</v>
      </c>
      <c r="C3442">
        <v>76716</v>
      </c>
      <c r="D3442" s="5" t="str">
        <f>_xlfn.XLOOKUP(role_course_map[[#This Row],[course_id]],course_data[course_id],course_data[title],"")</f>
        <v>Domestic abuse awareness training tool (DAART)</v>
      </c>
      <c r="E3442" s="5" t="str">
        <f>_xlfn.XLOOKUP(role_course_map[[#This Row],[course_id]],course_data[course_id],course_data[topic],"")</f>
        <v>SAS : Public Protection</v>
      </c>
      <c r="F3442" s="5" t="str">
        <f>_xlfn.XLOOKUP(role_course_map[[#This Row],[course_id]],course_data[course_id],course_data[type],"")</f>
        <v>eLearning</v>
      </c>
      <c r="K3442" t="str">
        <f>role_course_map[[#This Row],[role_id]] &amp; "|" &amp; role_course_map[[#This Row],[course_id]]</f>
        <v>R0102|76716</v>
      </c>
      <c r="L3442" t="str">
        <f>IF(COUNTIF(role_course_map[mapping_key],role_course_map[[#This Row],[mapping_key]])&gt;1,"DUPLICATE","OK")</f>
        <v>OK</v>
      </c>
      <c r="M3442" t="str">
        <f>IF(COUNTIF(role_data[role_id],role_course_map[[#This Row],[role_id]])=0, "INVALID","VALID")</f>
        <v>VALID</v>
      </c>
      <c r="N3442" t="str">
        <f>IF(COUNTIF(course_data[course_id],role_course_map[[#This Row],[course_id]])=0, "INVALID","VALID")</f>
        <v>VALID</v>
      </c>
    </row>
    <row r="3443" spans="1:14" x14ac:dyDescent="0.35">
      <c r="A3443" t="s">
        <v>218</v>
      </c>
      <c r="B3443" s="5" t="str">
        <f>_xlfn.XLOOKUP(role_course_map[[#This Row],[role_id]], role_data[role_id], role_data[Role],"")</f>
        <v>Clinical Training Officer</v>
      </c>
      <c r="C3443">
        <v>79666</v>
      </c>
      <c r="D3443" s="5" t="str">
        <f>_xlfn.XLOOKUP(role_course_map[[#This Row],[course_id]],course_data[course_id],course_data[title],"")</f>
        <v>Getting it right for every child (GIRFEC): informed level</v>
      </c>
      <c r="E3443" s="5" t="str">
        <f>_xlfn.XLOOKUP(role_course_map[[#This Row],[course_id]],course_data[course_id],course_data[topic],"")</f>
        <v>SAS : Public Protection</v>
      </c>
      <c r="F3443" s="5" t="str">
        <f>_xlfn.XLOOKUP(role_course_map[[#This Row],[course_id]],course_data[course_id],course_data[type],"")</f>
        <v>eLearning</v>
      </c>
      <c r="K3443" t="str">
        <f>role_course_map[[#This Row],[role_id]] &amp; "|" &amp; role_course_map[[#This Row],[course_id]]</f>
        <v>R0102|79666</v>
      </c>
      <c r="L3443" t="str">
        <f>IF(COUNTIF(role_course_map[mapping_key],role_course_map[[#This Row],[mapping_key]])&gt;1,"DUPLICATE","OK")</f>
        <v>OK</v>
      </c>
      <c r="M3443" t="str">
        <f>IF(COUNTIF(role_data[role_id],role_course_map[[#This Row],[role_id]])=0, "INVALID","VALID")</f>
        <v>VALID</v>
      </c>
      <c r="N3443" t="str">
        <f>IF(COUNTIF(course_data[course_id],role_course_map[[#This Row],[course_id]])=0, "INVALID","VALID")</f>
        <v>VALID</v>
      </c>
    </row>
    <row r="3444" spans="1:14" x14ac:dyDescent="0.35">
      <c r="A3444" t="s">
        <v>218</v>
      </c>
      <c r="B3444" s="5" t="str">
        <f>_xlfn.XLOOKUP(role_course_map[[#This Row],[role_id]], role_data[role_id], role_data[Role],"")</f>
        <v>Clinical Training Officer</v>
      </c>
      <c r="C3444">
        <v>999074</v>
      </c>
      <c r="D3444" s="5" t="str">
        <f>_xlfn.XLOOKUP(role_course_map[[#This Row],[course_id]],course_data[course_id],course_data[title],"")</f>
        <v>SAS-specific Children’s rights</v>
      </c>
      <c r="E3444" s="5" t="str">
        <f>_xlfn.XLOOKUP(role_course_map[[#This Row],[course_id]],course_data[course_id],course_data[topic],"")</f>
        <v>SAS : Public Protection</v>
      </c>
      <c r="F3444" s="5" t="str">
        <f>_xlfn.XLOOKUP(role_course_map[[#This Row],[course_id]],course_data[course_id],course_data[type],"")</f>
        <v>eLearning</v>
      </c>
      <c r="K3444" t="str">
        <f>role_course_map[[#This Row],[role_id]] &amp; "|" &amp; role_course_map[[#This Row],[course_id]]</f>
        <v>R0102|999074</v>
      </c>
      <c r="L3444" t="str">
        <f>IF(COUNTIF(role_course_map[mapping_key],role_course_map[[#This Row],[mapping_key]])&gt;1,"DUPLICATE","OK")</f>
        <v>OK</v>
      </c>
      <c r="M3444" t="str">
        <f>IF(COUNTIF(role_data[role_id],role_course_map[[#This Row],[role_id]])=0, "INVALID","VALID")</f>
        <v>VALID</v>
      </c>
      <c r="N3444" t="str">
        <f>IF(COUNTIF(course_data[course_id],role_course_map[[#This Row],[course_id]])=0, "INVALID","VALID")</f>
        <v>VALID</v>
      </c>
    </row>
    <row r="3445" spans="1:14" x14ac:dyDescent="0.35">
      <c r="A3445" t="s">
        <v>218</v>
      </c>
      <c r="B3445" s="5" t="str">
        <f>_xlfn.XLOOKUP(role_course_map[[#This Row],[role_id]], role_data[role_id], role_data[Role],"")</f>
        <v>Clinical Training Officer</v>
      </c>
      <c r="C3445">
        <v>999075</v>
      </c>
      <c r="D3445" s="5" t="str">
        <f>_xlfn.XLOOKUP(role_course_map[[#This Row],[course_id]],course_data[course_id],course_data[title],"")</f>
        <v>Multiagency local or bespoke Level 3 delivery training</v>
      </c>
      <c r="E3445" s="5" t="str">
        <f>_xlfn.XLOOKUP(role_course_map[[#This Row],[course_id]],course_data[course_id],course_data[topic],"")</f>
        <v>SAS : Public Protection</v>
      </c>
      <c r="F3445" s="5" t="str">
        <f>_xlfn.XLOOKUP(role_course_map[[#This Row],[course_id]],course_data[course_id],course_data[type],"")</f>
        <v>eLearning</v>
      </c>
      <c r="K3445" t="str">
        <f>role_course_map[[#This Row],[role_id]] &amp; "|" &amp; role_course_map[[#This Row],[course_id]]</f>
        <v>R0102|999075</v>
      </c>
      <c r="L3445" t="str">
        <f>IF(COUNTIF(role_course_map[mapping_key],role_course_map[[#This Row],[mapping_key]])&gt;1,"DUPLICATE","OK")</f>
        <v>OK</v>
      </c>
      <c r="M3445" t="str">
        <f>IF(COUNTIF(role_data[role_id],role_course_map[[#This Row],[role_id]])=0, "INVALID","VALID")</f>
        <v>VALID</v>
      </c>
      <c r="N3445" t="str">
        <f>IF(COUNTIF(course_data[course_id],role_course_map[[#This Row],[course_id]])=0, "INVALID","VALID")</f>
        <v>VALID</v>
      </c>
    </row>
    <row r="3446" spans="1:14" x14ac:dyDescent="0.35">
      <c r="A3446" t="s">
        <v>218</v>
      </c>
      <c r="B3446" s="5" t="str">
        <f>_xlfn.XLOOKUP(role_course_map[[#This Row],[role_id]], role_data[role_id], role_data[Role],"")</f>
        <v>Clinical Training Officer</v>
      </c>
      <c r="C3446">
        <v>15249</v>
      </c>
      <c r="D3446" s="5" t="str">
        <f>_xlfn.XLOOKUP(role_course_map[[#This Row],[course_id]],course_data[course_id],course_data[title],"")</f>
        <v>Human trafficking</v>
      </c>
      <c r="E3446" s="5" t="str">
        <f>_xlfn.XLOOKUP(role_course_map[[#This Row],[course_id]],course_data[course_id],course_data[topic],"")</f>
        <v>SAS : Public Protection</v>
      </c>
      <c r="F3446" s="5" t="str">
        <f>_xlfn.XLOOKUP(role_course_map[[#This Row],[course_id]],course_data[course_id],course_data[type],"")</f>
        <v>eLearning</v>
      </c>
      <c r="K3446" t="str">
        <f>role_course_map[[#This Row],[role_id]] &amp; "|" &amp; role_course_map[[#This Row],[course_id]]</f>
        <v>R0102|15249</v>
      </c>
      <c r="L3446" t="str">
        <f>IF(COUNTIF(role_course_map[mapping_key],role_course_map[[#This Row],[mapping_key]])&gt;1,"DUPLICATE","OK")</f>
        <v>OK</v>
      </c>
      <c r="M3446" t="str">
        <f>IF(COUNTIF(role_data[role_id],role_course_map[[#This Row],[role_id]])=0, "INVALID","VALID")</f>
        <v>VALID</v>
      </c>
      <c r="N3446" t="str">
        <f>IF(COUNTIF(course_data[course_id],role_course_map[[#This Row],[course_id]])=0, "INVALID","VALID")</f>
        <v>VALID</v>
      </c>
    </row>
    <row r="3447" spans="1:14" x14ac:dyDescent="0.35">
      <c r="A3447" t="s">
        <v>218</v>
      </c>
      <c r="B3447" s="5" t="str">
        <f>_xlfn.XLOOKUP(role_course_map[[#This Row],[role_id]], role_data[role_id], role_data[Role],"")</f>
        <v>Clinical Training Officer</v>
      </c>
      <c r="C3447">
        <v>89161</v>
      </c>
      <c r="D3447" s="5" t="str">
        <f>_xlfn.XLOOKUP(role_course_map[[#This Row],[course_id]],course_data[course_id],course_data[title],"")</f>
        <v>Personal Protective Equipment</v>
      </c>
      <c r="E3447" s="5" t="str">
        <f>_xlfn.XLOOKUP(role_course_map[[#This Row],[course_id]],course_data[course_id],course_data[topic],"")</f>
        <v>SAS : Infection Prevention and Control (IPC)</v>
      </c>
      <c r="F3447" s="5" t="str">
        <f>_xlfn.XLOOKUP(role_course_map[[#This Row],[course_id]],course_data[course_id],course_data[type],"")</f>
        <v>eLearning</v>
      </c>
      <c r="K3447" t="str">
        <f>role_course_map[[#This Row],[role_id]] &amp; "|" &amp; role_course_map[[#This Row],[course_id]]</f>
        <v>R0102|89161</v>
      </c>
      <c r="L3447" t="str">
        <f>IF(COUNTIF(role_course_map[mapping_key],role_course_map[[#This Row],[mapping_key]])&gt;1,"DUPLICATE","OK")</f>
        <v>OK</v>
      </c>
      <c r="M3447" t="str">
        <f>IF(COUNTIF(role_data[role_id],role_course_map[[#This Row],[role_id]])=0, "INVALID","VALID")</f>
        <v>VALID</v>
      </c>
      <c r="N3447" t="str">
        <f>IF(COUNTIF(course_data[course_id],role_course_map[[#This Row],[course_id]])=0, "INVALID","VALID")</f>
        <v>VALID</v>
      </c>
    </row>
    <row r="3448" spans="1:14" x14ac:dyDescent="0.35">
      <c r="A3448" t="s">
        <v>218</v>
      </c>
      <c r="B3448" s="5" t="str">
        <f>_xlfn.XLOOKUP(role_course_map[[#This Row],[role_id]], role_data[role_id], role_data[Role],"")</f>
        <v>Clinical Training Officer</v>
      </c>
      <c r="C3448">
        <v>89157</v>
      </c>
      <c r="D3448" s="5" t="str">
        <f>_xlfn.XLOOKUP(role_course_map[[#This Row],[course_id]],course_data[course_id],course_data[title],"")</f>
        <v>Safe Management of Care Equipment</v>
      </c>
      <c r="E3448" s="5" t="str">
        <f>_xlfn.XLOOKUP(role_course_map[[#This Row],[course_id]],course_data[course_id],course_data[topic],"")</f>
        <v>SAS : Infection Prevention and Control (IPC)</v>
      </c>
      <c r="F3448" s="5" t="str">
        <f>_xlfn.XLOOKUP(role_course_map[[#This Row],[course_id]],course_data[course_id],course_data[type],"")</f>
        <v>eLearning</v>
      </c>
      <c r="K3448" t="str">
        <f>role_course_map[[#This Row],[role_id]] &amp; "|" &amp; role_course_map[[#This Row],[course_id]]</f>
        <v>R0102|89157</v>
      </c>
      <c r="L3448" t="str">
        <f>IF(COUNTIF(role_course_map[mapping_key],role_course_map[[#This Row],[mapping_key]])&gt;1,"DUPLICATE","OK")</f>
        <v>OK</v>
      </c>
      <c r="M3448" t="str">
        <f>IF(COUNTIF(role_data[role_id],role_course_map[[#This Row],[role_id]])=0, "INVALID","VALID")</f>
        <v>VALID</v>
      </c>
      <c r="N3448" t="str">
        <f>IF(COUNTIF(course_data[course_id],role_course_map[[#This Row],[course_id]])=0, "INVALID","VALID")</f>
        <v>VALID</v>
      </c>
    </row>
    <row r="3449" spans="1:14" x14ac:dyDescent="0.35">
      <c r="A3449" t="s">
        <v>218</v>
      </c>
      <c r="B3449" s="5" t="str">
        <f>_xlfn.XLOOKUP(role_course_map[[#This Row],[role_id]], role_data[role_id], role_data[Role],"")</f>
        <v>Clinical Training Officer</v>
      </c>
      <c r="C3449">
        <v>89158</v>
      </c>
      <c r="D3449" s="5" t="str">
        <f>_xlfn.XLOOKUP(role_course_map[[#This Row],[course_id]],course_data[course_id],course_data[title],"")</f>
        <v>Safe Management of Care Environment</v>
      </c>
      <c r="E3449" s="5" t="str">
        <f>_xlfn.XLOOKUP(role_course_map[[#This Row],[course_id]],course_data[course_id],course_data[topic],"")</f>
        <v>SAS : Infection Prevention and Control (IPC)</v>
      </c>
      <c r="F3449" s="5" t="str">
        <f>_xlfn.XLOOKUP(role_course_map[[#This Row],[course_id]],course_data[course_id],course_data[type],"")</f>
        <v>eLearning</v>
      </c>
      <c r="K3449" t="str">
        <f>role_course_map[[#This Row],[role_id]] &amp; "|" &amp; role_course_map[[#This Row],[course_id]]</f>
        <v>R0102|89158</v>
      </c>
      <c r="L3449" t="str">
        <f>IF(COUNTIF(role_course_map[mapping_key],role_course_map[[#This Row],[mapping_key]])&gt;1,"DUPLICATE","OK")</f>
        <v>OK</v>
      </c>
      <c r="M3449" t="str">
        <f>IF(COUNTIF(role_data[role_id],role_course_map[[#This Row],[role_id]])=0, "INVALID","VALID")</f>
        <v>VALID</v>
      </c>
      <c r="N3449" t="str">
        <f>IF(COUNTIF(course_data[course_id],role_course_map[[#This Row],[course_id]])=0, "INVALID","VALID")</f>
        <v>VALID</v>
      </c>
    </row>
    <row r="3450" spans="1:14" x14ac:dyDescent="0.35">
      <c r="A3450" t="s">
        <v>218</v>
      </c>
      <c r="B3450" s="5" t="str">
        <f>_xlfn.XLOOKUP(role_course_map[[#This Row],[role_id]], role_data[role_id], role_data[Role],"")</f>
        <v>Clinical Training Officer</v>
      </c>
      <c r="C3450">
        <v>89159</v>
      </c>
      <c r="D3450" s="5" t="str">
        <f>_xlfn.XLOOKUP(role_course_map[[#This Row],[course_id]],course_data[course_id],course_data[title],"")</f>
        <v>Safe Management of Linen</v>
      </c>
      <c r="E3450" s="5" t="str">
        <f>_xlfn.XLOOKUP(role_course_map[[#This Row],[course_id]],course_data[course_id],course_data[topic],"")</f>
        <v>SAS : Infection Prevention and Control (IPC)</v>
      </c>
      <c r="F3450" s="5" t="str">
        <f>_xlfn.XLOOKUP(role_course_map[[#This Row],[course_id]],course_data[course_id],course_data[type],"")</f>
        <v>eLearning</v>
      </c>
      <c r="K3450" t="str">
        <f>role_course_map[[#This Row],[role_id]] &amp; "|" &amp; role_course_map[[#This Row],[course_id]]</f>
        <v>R0102|89159</v>
      </c>
      <c r="L3450" t="str">
        <f>IF(COUNTIF(role_course_map[mapping_key],role_course_map[[#This Row],[mapping_key]])&gt;1,"DUPLICATE","OK")</f>
        <v>OK</v>
      </c>
      <c r="M3450" t="str">
        <f>IF(COUNTIF(role_data[role_id],role_course_map[[#This Row],[role_id]])=0, "INVALID","VALID")</f>
        <v>VALID</v>
      </c>
      <c r="N3450" t="str">
        <f>IF(COUNTIF(course_data[course_id],role_course_map[[#This Row],[course_id]])=0, "INVALID","VALID")</f>
        <v>VALID</v>
      </c>
    </row>
    <row r="3451" spans="1:14" x14ac:dyDescent="0.35">
      <c r="A3451" t="s">
        <v>218</v>
      </c>
      <c r="B3451" s="5" t="str">
        <f>_xlfn.XLOOKUP(role_course_map[[#This Row],[role_id]], role_data[role_id], role_data[Role],"")</f>
        <v>Clinical Training Officer</v>
      </c>
      <c r="C3451">
        <v>89160</v>
      </c>
      <c r="D3451" s="5" t="str">
        <f>_xlfn.XLOOKUP(role_course_map[[#This Row],[course_id]],course_data[course_id],course_data[title],"")</f>
        <v>Safe Management of blood and body fluids</v>
      </c>
      <c r="E3451" s="5" t="str">
        <f>_xlfn.XLOOKUP(role_course_map[[#This Row],[course_id]],course_data[course_id],course_data[topic],"")</f>
        <v>SAS : Infection Prevention and Control (IPC)</v>
      </c>
      <c r="F3451" s="5" t="str">
        <f>_xlfn.XLOOKUP(role_course_map[[#This Row],[course_id]],course_data[course_id],course_data[type],"")</f>
        <v>eLearning</v>
      </c>
      <c r="K3451" t="str">
        <f>role_course_map[[#This Row],[role_id]] &amp; "|" &amp; role_course_map[[#This Row],[course_id]]</f>
        <v>R0102|89160</v>
      </c>
      <c r="L3451" t="str">
        <f>IF(COUNTIF(role_course_map[mapping_key],role_course_map[[#This Row],[mapping_key]])&gt;1,"DUPLICATE","OK")</f>
        <v>OK</v>
      </c>
      <c r="M3451" t="str">
        <f>IF(COUNTIF(role_data[role_id],role_course_map[[#This Row],[role_id]])=0, "INVALID","VALID")</f>
        <v>VALID</v>
      </c>
      <c r="N3451" t="str">
        <f>IF(COUNTIF(course_data[course_id],role_course_map[[#This Row],[course_id]])=0, "INVALID","VALID")</f>
        <v>VALID</v>
      </c>
    </row>
    <row r="3452" spans="1:14" x14ac:dyDescent="0.35">
      <c r="A3452" t="s">
        <v>218</v>
      </c>
      <c r="B3452" s="5" t="str">
        <f>_xlfn.XLOOKUP(role_course_map[[#This Row],[role_id]], role_data[role_id], role_data[Role],"")</f>
        <v>Clinical Training Officer</v>
      </c>
      <c r="C3452">
        <v>89154</v>
      </c>
      <c r="D3452" s="5" t="str">
        <f>_xlfn.XLOOKUP(role_course_map[[#This Row],[course_id]],course_data[course_id],course_data[title],"")</f>
        <v>Safe disposal of waste</v>
      </c>
      <c r="E3452" s="5" t="str">
        <f>_xlfn.XLOOKUP(role_course_map[[#This Row],[course_id]],course_data[course_id],course_data[topic],"")</f>
        <v>SAS : Infection Prevention and Control (IPC)</v>
      </c>
      <c r="F3452" s="5" t="str">
        <f>_xlfn.XLOOKUP(role_course_map[[#This Row],[course_id]],course_data[course_id],course_data[type],"")</f>
        <v>eLearning</v>
      </c>
      <c r="K3452" t="str">
        <f>role_course_map[[#This Row],[role_id]] &amp; "|" &amp; role_course_map[[#This Row],[course_id]]</f>
        <v>R0102|89154</v>
      </c>
      <c r="L3452" t="str">
        <f>IF(COUNTIF(role_course_map[mapping_key],role_course_map[[#This Row],[mapping_key]])&gt;1,"DUPLICATE","OK")</f>
        <v>OK</v>
      </c>
      <c r="M3452" t="str">
        <f>IF(COUNTIF(role_data[role_id],role_course_map[[#This Row],[role_id]])=0, "INVALID","VALID")</f>
        <v>VALID</v>
      </c>
      <c r="N3452" t="str">
        <f>IF(COUNTIF(course_data[course_id],role_course_map[[#This Row],[course_id]])=0, "INVALID","VALID")</f>
        <v>VALID</v>
      </c>
    </row>
    <row r="3453" spans="1:14" x14ac:dyDescent="0.35">
      <c r="A3453" t="s">
        <v>218</v>
      </c>
      <c r="B3453" s="5" t="str">
        <f>_xlfn.XLOOKUP(role_course_map[[#This Row],[role_id]], role_data[role_id], role_data[Role],"")</f>
        <v>Clinical Training Officer</v>
      </c>
      <c r="C3453">
        <v>89155</v>
      </c>
      <c r="D3453" s="5" t="str">
        <f>_xlfn.XLOOKUP(role_course_map[[#This Row],[course_id]],course_data[course_id],course_data[title],"")</f>
        <v>Prevention &amp; management of occupational exposure</v>
      </c>
      <c r="E3453" s="5" t="str">
        <f>_xlfn.XLOOKUP(role_course_map[[#This Row],[course_id]],course_data[course_id],course_data[topic],"")</f>
        <v>SAS : Infection Prevention and Control (IPC)</v>
      </c>
      <c r="F3453" s="5" t="str">
        <f>_xlfn.XLOOKUP(role_course_map[[#This Row],[course_id]],course_data[course_id],course_data[type],"")</f>
        <v>eLearning</v>
      </c>
      <c r="K3453" t="str">
        <f>role_course_map[[#This Row],[role_id]] &amp; "|" &amp; role_course_map[[#This Row],[course_id]]</f>
        <v>R0102|89155</v>
      </c>
      <c r="L3453" t="str">
        <f>IF(COUNTIF(role_course_map[mapping_key],role_course_map[[#This Row],[mapping_key]])&gt;1,"DUPLICATE","OK")</f>
        <v>OK</v>
      </c>
      <c r="M3453" t="str">
        <f>IF(COUNTIF(role_data[role_id],role_course_map[[#This Row],[role_id]])=0, "INVALID","VALID")</f>
        <v>VALID</v>
      </c>
      <c r="N3453" t="str">
        <f>IF(COUNTIF(course_data[course_id],role_course_map[[#This Row],[course_id]])=0, "INVALID","VALID")</f>
        <v>VALID</v>
      </c>
    </row>
    <row r="3454" spans="1:14" x14ac:dyDescent="0.35">
      <c r="A3454" t="s">
        <v>218</v>
      </c>
      <c r="B3454" s="5" t="str">
        <f>_xlfn.XLOOKUP(role_course_map[[#This Row],[role_id]], role_data[role_id], role_data[Role],"")</f>
        <v>Clinical Training Officer</v>
      </c>
      <c r="C3454">
        <v>999064</v>
      </c>
      <c r="D3454" s="5" t="str">
        <f>_xlfn.XLOOKUP(role_course_map[[#This Row],[course_id]],course_data[course_id],course_data[title],"")</f>
        <v>Infection prevention and control: Clostridioides difficile infection</v>
      </c>
      <c r="E3454" s="5" t="str">
        <f>_xlfn.XLOOKUP(role_course_map[[#This Row],[course_id]],course_data[course_id],course_data[topic],"")</f>
        <v>SAS : Infection Prevention and Control (IPC)</v>
      </c>
      <c r="F3454" s="5" t="str">
        <f>_xlfn.XLOOKUP(role_course_map[[#This Row],[course_id]],course_data[course_id],course_data[type],"")</f>
        <v>eLearning</v>
      </c>
      <c r="K3454" t="str">
        <f>role_course_map[[#This Row],[role_id]] &amp; "|" &amp; role_course_map[[#This Row],[course_id]]</f>
        <v>R0102|999064</v>
      </c>
      <c r="L3454" t="str">
        <f>IF(COUNTIF(role_course_map[mapping_key],role_course_map[[#This Row],[mapping_key]])&gt;1,"DUPLICATE","OK")</f>
        <v>OK</v>
      </c>
      <c r="M3454" t="str">
        <f>IF(COUNTIF(role_data[role_id],role_course_map[[#This Row],[role_id]])=0, "INVALID","VALID")</f>
        <v>VALID</v>
      </c>
      <c r="N3454" t="str">
        <f>IF(COUNTIF(course_data[course_id],role_course_map[[#This Row],[course_id]])=0, "INVALID","VALID")</f>
        <v>VALID</v>
      </c>
    </row>
    <row r="3455" spans="1:14" x14ac:dyDescent="0.35">
      <c r="A3455" t="s">
        <v>218</v>
      </c>
      <c r="B3455" s="5" t="str">
        <f>_xlfn.XLOOKUP(role_course_map[[#This Row],[role_id]], role_data[role_id], role_data[Role],"")</f>
        <v>Clinical Training Officer</v>
      </c>
      <c r="C3455">
        <v>3588</v>
      </c>
      <c r="D3455" s="5" t="str">
        <f>_xlfn.XLOOKUP(role_course_map[[#This Row],[course_id]],course_data[course_id],course_data[title],"")</f>
        <v>Antibiotic management</v>
      </c>
      <c r="E3455" s="5" t="str">
        <f>_xlfn.XLOOKUP(role_course_map[[#This Row],[course_id]],course_data[course_id],course_data[topic],"")</f>
        <v>SAS : Clinical Practice</v>
      </c>
      <c r="F3455" s="5" t="str">
        <f>_xlfn.XLOOKUP(role_course_map[[#This Row],[course_id]],course_data[course_id],course_data[type],"")</f>
        <v>Page</v>
      </c>
      <c r="K3455" t="str">
        <f>role_course_map[[#This Row],[role_id]] &amp; "|" &amp; role_course_map[[#This Row],[course_id]]</f>
        <v>R0102|3588</v>
      </c>
      <c r="L3455" t="str">
        <f>IF(COUNTIF(role_course_map[mapping_key],role_course_map[[#This Row],[mapping_key]])&gt;1,"DUPLICATE","OK")</f>
        <v>OK</v>
      </c>
      <c r="M3455" t="str">
        <f>IF(COUNTIF(role_data[role_id],role_course_map[[#This Row],[role_id]])=0, "INVALID","VALID")</f>
        <v>VALID</v>
      </c>
      <c r="N3455" t="str">
        <f>IF(COUNTIF(course_data[course_id],role_course_map[[#This Row],[course_id]])=0, "INVALID","VALID")</f>
        <v>VALID</v>
      </c>
    </row>
    <row r="3456" spans="1:14" x14ac:dyDescent="0.35">
      <c r="A3456" t="s">
        <v>218</v>
      </c>
      <c r="B3456" s="5" t="str">
        <f>_xlfn.XLOOKUP(role_course_map[[#This Row],[role_id]], role_data[role_id], role_data[Role],"")</f>
        <v>Clinical Training Officer</v>
      </c>
      <c r="C3456">
        <v>82383</v>
      </c>
      <c r="D3456" s="5" t="str">
        <f>_xlfn.XLOOKUP(role_course_map[[#This Row],[course_id]],course_data[course_id],course_data[title],"")</f>
        <v>Aseptic technique</v>
      </c>
      <c r="E3456" s="5" t="str">
        <f>_xlfn.XLOOKUP(role_course_map[[#This Row],[course_id]],course_data[course_id],course_data[topic],"")</f>
        <v>SAS : Infection Prevention and Control (IPC)</v>
      </c>
      <c r="F3456" s="5" t="str">
        <f>_xlfn.XLOOKUP(role_course_map[[#This Row],[course_id]],course_data[course_id],course_data[type],"")</f>
        <v>eLearning</v>
      </c>
      <c r="K3456" t="str">
        <f>role_course_map[[#This Row],[role_id]] &amp; "|" &amp; role_course_map[[#This Row],[course_id]]</f>
        <v>R0102|82383</v>
      </c>
      <c r="L3456" t="str">
        <f>IF(COUNTIF(role_course_map[mapping_key],role_course_map[[#This Row],[mapping_key]])&gt;1,"DUPLICATE","OK")</f>
        <v>OK</v>
      </c>
      <c r="M3456" t="str">
        <f>IF(COUNTIF(role_data[role_id],role_course_map[[#This Row],[role_id]])=0, "INVALID","VALID")</f>
        <v>VALID</v>
      </c>
      <c r="N3456" t="str">
        <f>IF(COUNTIF(course_data[course_id],role_course_map[[#This Row],[course_id]])=0, "INVALID","VALID")</f>
        <v>VALID</v>
      </c>
    </row>
    <row r="3457" spans="1:14" x14ac:dyDescent="0.35">
      <c r="A3457" t="s">
        <v>218</v>
      </c>
      <c r="B3457" s="5" t="str">
        <f>_xlfn.XLOOKUP(role_course_map[[#This Row],[role_id]], role_data[role_id], role_data[Role],"")</f>
        <v>Clinical Training Officer</v>
      </c>
      <c r="C3457">
        <v>3886</v>
      </c>
      <c r="D3457" s="5" t="str">
        <f>_xlfn.XLOOKUP(role_course_map[[#This Row],[course_id]],course_data[course_id],course_data[title],"")</f>
        <v>Prevention and management of pressure ulcers</v>
      </c>
      <c r="E3457" s="5" t="str">
        <f>_xlfn.XLOOKUP(role_course_map[[#This Row],[course_id]],course_data[course_id],course_data[topic],"")</f>
        <v>SAS : Clinical Practice</v>
      </c>
      <c r="F3457" s="5" t="str">
        <f>_xlfn.XLOOKUP(role_course_map[[#This Row],[course_id]],course_data[course_id],course_data[type],"")</f>
        <v>Page</v>
      </c>
      <c r="K3457" t="str">
        <f>role_course_map[[#This Row],[role_id]] &amp; "|" &amp; role_course_map[[#This Row],[course_id]]</f>
        <v>R0102|3886</v>
      </c>
      <c r="L3457" t="str">
        <f>IF(COUNTIF(role_course_map[mapping_key],role_course_map[[#This Row],[mapping_key]])&gt;1,"DUPLICATE","OK")</f>
        <v>OK</v>
      </c>
      <c r="M3457" t="str">
        <f>IF(COUNTIF(role_data[role_id],role_course_map[[#This Row],[role_id]])=0, "INVALID","VALID")</f>
        <v>VALID</v>
      </c>
      <c r="N3457" t="str">
        <f>IF(COUNTIF(course_data[course_id],role_course_map[[#This Row],[course_id]])=0, "INVALID","VALID")</f>
        <v>VALID</v>
      </c>
    </row>
    <row r="3458" spans="1:14" x14ac:dyDescent="0.35">
      <c r="A3458" t="s">
        <v>218</v>
      </c>
      <c r="B3458" s="5" t="str">
        <f>_xlfn.XLOOKUP(role_course_map[[#This Row],[role_id]], role_data[role_id], role_data[Role],"")</f>
        <v>Clinical Training Officer</v>
      </c>
      <c r="C3458">
        <v>999094</v>
      </c>
      <c r="D3458" s="5" t="str">
        <f>_xlfn.XLOOKUP(role_course_map[[#This Row],[course_id]],course_data[course_id],course_data[title],"")</f>
        <v>Being well, Mind, Body &amp; Workplace</v>
      </c>
      <c r="E3458" s="5" t="str">
        <f>_xlfn.XLOOKUP(role_course_map[[#This Row],[course_id]],course_data[course_id],course_data[topic],"")</f>
        <v>SAS: Staff development and experience</v>
      </c>
      <c r="F3458" s="5" t="str">
        <f>_xlfn.XLOOKUP(role_course_map[[#This Row],[course_id]],course_data[course_id],course_data[type],"")</f>
        <v>eLearning</v>
      </c>
      <c r="K3458" t="str">
        <f>role_course_map[[#This Row],[role_id]] &amp; "|" &amp; role_course_map[[#This Row],[course_id]]</f>
        <v>R0102|999094</v>
      </c>
      <c r="L3458" t="str">
        <f>IF(COUNTIF(role_course_map[mapping_key],role_course_map[[#This Row],[mapping_key]])&gt;1,"DUPLICATE","OK")</f>
        <v>OK</v>
      </c>
      <c r="M3458" t="str">
        <f>IF(COUNTIF(role_data[role_id],role_course_map[[#This Row],[role_id]])=0, "INVALID","VALID")</f>
        <v>VALID</v>
      </c>
      <c r="N3458" t="str">
        <f>IF(COUNTIF(course_data[course_id],role_course_map[[#This Row],[course_id]])=0, "INVALID","VALID")</f>
        <v>VALID</v>
      </c>
    </row>
    <row r="3459" spans="1:14" x14ac:dyDescent="0.35">
      <c r="A3459" t="s">
        <v>218</v>
      </c>
      <c r="B3459" s="5" t="str">
        <f>_xlfn.XLOOKUP(role_course_map[[#This Row],[role_id]], role_data[role_id], role_data[Role],"")</f>
        <v>Clinical Training Officer</v>
      </c>
      <c r="D3459" s="5" t="s">
        <v>1062</v>
      </c>
      <c r="E3459" s="5" t="str">
        <f>_xlfn.XLOOKUP(role_course_map[[#This Row],[course_id]],course_data[course_id],course_data[topic],"")</f>
        <v/>
      </c>
      <c r="F3459" s="5" t="str">
        <f>_xlfn.XLOOKUP(role_course_map[[#This Row],[course_id]],course_data[course_id],course_data[type],"")</f>
        <v/>
      </c>
      <c r="K3459" t="str">
        <f>role_course_map[[#This Row],[role_id]] &amp; "|" &amp; role_course_map[[#This Row],[course_id]]</f>
        <v>R0102|</v>
      </c>
      <c r="L3459" t="str">
        <f>IF(COUNTIF(role_course_map[mapping_key],role_course_map[[#This Row],[mapping_key]])&gt;1,"DUPLICATE","OK")</f>
        <v>OK</v>
      </c>
      <c r="M3459" t="str">
        <f>IF(COUNTIF(role_data[role_id],role_course_map[[#This Row],[role_id]])=0, "INVALID","VALID")</f>
        <v>VALID</v>
      </c>
      <c r="N3459" t="str">
        <f>IF(COUNTIF(course_data[course_id],role_course_map[[#This Row],[course_id]])=0, "INVALID","VALID")</f>
        <v>INVALID</v>
      </c>
    </row>
    <row r="3460" spans="1:14" x14ac:dyDescent="0.35">
      <c r="A3460" t="s">
        <v>218</v>
      </c>
      <c r="B3460" s="5" t="str">
        <f>_xlfn.XLOOKUP(role_course_map[[#This Row],[role_id]], role_data[role_id], role_data[Role],"")</f>
        <v>Clinical Training Officer</v>
      </c>
      <c r="C3460">
        <v>82211</v>
      </c>
      <c r="D3460" s="5" t="str">
        <f>_xlfn.XLOOKUP(role_course_map[[#This Row],[course_id]],course_data[course_id],course_data[title],"")</f>
        <v>MTA Command &amp; Control</v>
      </c>
      <c r="E3460" s="5" t="str">
        <f>_xlfn.XLOOKUP(role_course_map[[#This Row],[course_id]],course_data[course_id],course_data[topic],"")</f>
        <v>SAS : National Risk and Resilience Department (NRRD)</v>
      </c>
      <c r="F3460" s="5" t="str">
        <f>_xlfn.XLOOKUP(role_course_map[[#This Row],[course_id]],course_data[course_id],course_data[type],"")</f>
        <v>eLearning</v>
      </c>
      <c r="K3460" t="str">
        <f>role_course_map[[#This Row],[role_id]] &amp; "|" &amp; role_course_map[[#This Row],[course_id]]</f>
        <v>R0102|82211</v>
      </c>
      <c r="L3460" t="str">
        <f>IF(COUNTIF(role_course_map[mapping_key],role_course_map[[#This Row],[mapping_key]])&gt;1,"DUPLICATE","OK")</f>
        <v>OK</v>
      </c>
      <c r="M3460" t="str">
        <f>IF(COUNTIF(role_data[role_id],role_course_map[[#This Row],[role_id]])=0, "INVALID","VALID")</f>
        <v>VALID</v>
      </c>
      <c r="N3460" t="str">
        <f>IF(COUNTIF(course_data[course_id],role_course_map[[#This Row],[course_id]])=0, "INVALID","VALID")</f>
        <v>VALID</v>
      </c>
    </row>
    <row r="3461" spans="1:14" x14ac:dyDescent="0.35">
      <c r="A3461" t="s">
        <v>218</v>
      </c>
      <c r="B3461" s="5" t="str">
        <f>_xlfn.XLOOKUP(role_course_map[[#This Row],[role_id]], role_data[role_id], role_data[Role],"")</f>
        <v>Clinical Training Officer</v>
      </c>
      <c r="C3461">
        <v>999067</v>
      </c>
      <c r="D3461" s="5" t="str">
        <f>_xlfn.XLOOKUP(role_course_map[[#This Row],[course_id]],course_data[course_id],course_data[title],"")</f>
        <v>Major incident awareness - Course overview</v>
      </c>
      <c r="E3461" s="5" t="str">
        <f>_xlfn.XLOOKUP(role_course_map[[#This Row],[course_id]],course_data[course_id],course_data[topic],"")</f>
        <v>SAS : National Risk and Resilience Department (NRRD)</v>
      </c>
      <c r="F3461" s="5" t="str">
        <f>_xlfn.XLOOKUP(role_course_map[[#This Row],[course_id]],course_data[course_id],course_data[type],"")</f>
        <v>eLearning</v>
      </c>
      <c r="K3461" t="str">
        <f>role_course_map[[#This Row],[role_id]] &amp; "|" &amp; role_course_map[[#This Row],[course_id]]</f>
        <v>R0102|999067</v>
      </c>
      <c r="L3461" t="str">
        <f>IF(COUNTIF(role_course_map[mapping_key],role_course_map[[#This Row],[mapping_key]])&gt;1,"DUPLICATE","OK")</f>
        <v>DUPLICATE</v>
      </c>
      <c r="M3461" t="str">
        <f>IF(COUNTIF(role_data[role_id],role_course_map[[#This Row],[role_id]])=0, "INVALID","VALID")</f>
        <v>VALID</v>
      </c>
      <c r="N3461" t="str">
        <f>IF(COUNTIF(course_data[course_id],role_course_map[[#This Row],[course_id]])=0, "INVALID","VALID")</f>
        <v>VALID</v>
      </c>
    </row>
    <row r="3462" spans="1:14" x14ac:dyDescent="0.35">
      <c r="A3462" t="s">
        <v>218</v>
      </c>
      <c r="B3462" s="5" t="str">
        <f>_xlfn.XLOOKUP(role_course_map[[#This Row],[role_id]], role_data[role_id], role_data[Role],"")</f>
        <v>Clinical Training Officer</v>
      </c>
      <c r="C3462">
        <v>999067</v>
      </c>
      <c r="D3462" s="5" t="str">
        <f>_xlfn.XLOOKUP(role_course_map[[#This Row],[course_id]],course_data[course_id],course_data[title],"")</f>
        <v>Major incident awareness - Course overview</v>
      </c>
      <c r="E3462" s="5" t="str">
        <f>_xlfn.XLOOKUP(role_course_map[[#This Row],[course_id]],course_data[course_id],course_data[topic],"")</f>
        <v>SAS : National Risk and Resilience Department (NRRD)</v>
      </c>
      <c r="F3462" s="5" t="str">
        <f>_xlfn.XLOOKUP(role_course_map[[#This Row],[course_id]],course_data[course_id],course_data[type],"")</f>
        <v>eLearning</v>
      </c>
      <c r="K3462" t="str">
        <f>role_course_map[[#This Row],[role_id]] &amp; "|" &amp; role_course_map[[#This Row],[course_id]]</f>
        <v>R0102|999067</v>
      </c>
      <c r="L3462" t="str">
        <f>IF(COUNTIF(role_course_map[mapping_key],role_course_map[[#This Row],[mapping_key]])&gt;1,"DUPLICATE","OK")</f>
        <v>DUPLICATE</v>
      </c>
      <c r="M3462" t="str">
        <f>IF(COUNTIF(role_data[role_id],role_course_map[[#This Row],[role_id]])=0, "INVALID","VALID")</f>
        <v>VALID</v>
      </c>
      <c r="N3462" t="str">
        <f>IF(COUNTIF(course_data[course_id],role_course_map[[#This Row],[course_id]])=0, "INVALID","VALID")</f>
        <v>VALID</v>
      </c>
    </row>
    <row r="3463" spans="1:14" x14ac:dyDescent="0.35">
      <c r="A3463" t="s">
        <v>218</v>
      </c>
      <c r="B3463" s="5" t="str">
        <f>_xlfn.XLOOKUP(role_course_map[[#This Row],[role_id]], role_data[role_id], role_data[Role],"")</f>
        <v>Clinical Training Officer</v>
      </c>
      <c r="C3463">
        <v>999069</v>
      </c>
      <c r="D3463" s="5" t="str">
        <f>_xlfn.XLOOKUP(role_course_map[[#This Row],[course_id]],course_data[course_id],course_data[title],"")</f>
        <v>Non-specialist MTFA response (JOPS3)</v>
      </c>
      <c r="E3463" s="5" t="str">
        <f>_xlfn.XLOOKUP(role_course_map[[#This Row],[course_id]],course_data[course_id],course_data[topic],"")</f>
        <v>SAS : National Risk and Resilience Department (NRRD)</v>
      </c>
      <c r="F3463" s="5" t="str">
        <f>_xlfn.XLOOKUP(role_course_map[[#This Row],[course_id]],course_data[course_id],course_data[type],"")</f>
        <v>eLearning</v>
      </c>
      <c r="K3463" t="str">
        <f>role_course_map[[#This Row],[role_id]] &amp; "|" &amp; role_course_map[[#This Row],[course_id]]</f>
        <v>R0102|999069</v>
      </c>
      <c r="L3463" t="str">
        <f>IF(COUNTIF(role_course_map[mapping_key],role_course_map[[#This Row],[mapping_key]])&gt;1,"DUPLICATE","OK")</f>
        <v>OK</v>
      </c>
      <c r="M3463" t="str">
        <f>IF(COUNTIF(role_data[role_id],role_course_map[[#This Row],[role_id]])=0, "INVALID","VALID")</f>
        <v>VALID</v>
      </c>
      <c r="N3463" t="str">
        <f>IF(COUNTIF(course_data[course_id],role_course_map[[#This Row],[course_id]])=0, "INVALID","VALID")</f>
        <v>VALID</v>
      </c>
    </row>
    <row r="3464" spans="1:14" x14ac:dyDescent="0.35">
      <c r="A3464" t="s">
        <v>218</v>
      </c>
      <c r="B3464" s="5" t="str">
        <f>_xlfn.XLOOKUP(role_course_map[[#This Row],[role_id]], role_data[role_id], role_data[Role],"")</f>
        <v>Clinical Training Officer</v>
      </c>
      <c r="C3464">
        <v>999070</v>
      </c>
      <c r="D3464" s="5" t="str">
        <f>_xlfn.XLOOKUP(role_course_map[[#This Row],[course_id]],course_data[course_id],course_data[title],"")</f>
        <v xml:space="preserve">SAS: JESIP (NEW) </v>
      </c>
      <c r="E3464" s="5" t="str">
        <f>_xlfn.XLOOKUP(role_course_map[[#This Row],[course_id]],course_data[course_id],course_data[topic],"")</f>
        <v>SAS : National Risk and Resilience Department (NRRD)</v>
      </c>
      <c r="F3464" s="5" t="str">
        <f>_xlfn.XLOOKUP(role_course_map[[#This Row],[course_id]],course_data[course_id],course_data[type],"")</f>
        <v>eLearning</v>
      </c>
      <c r="K3464" t="str">
        <f>role_course_map[[#This Row],[role_id]] &amp; "|" &amp; role_course_map[[#This Row],[course_id]]</f>
        <v>R0102|999070</v>
      </c>
      <c r="L3464" t="str">
        <f>IF(COUNTIF(role_course_map[mapping_key],role_course_map[[#This Row],[mapping_key]])&gt;1,"DUPLICATE","OK")</f>
        <v>OK</v>
      </c>
      <c r="M3464" t="str">
        <f>IF(COUNTIF(role_data[role_id],role_course_map[[#This Row],[role_id]])=0, "INVALID","VALID")</f>
        <v>VALID</v>
      </c>
      <c r="N3464" t="str">
        <f>IF(COUNTIF(course_data[course_id],role_course_map[[#This Row],[course_id]])=0, "INVALID","VALID")</f>
        <v>VALID</v>
      </c>
    </row>
    <row r="3465" spans="1:14" x14ac:dyDescent="0.35">
      <c r="A3465" t="s">
        <v>374</v>
      </c>
      <c r="B3465" s="5" t="str">
        <f>_xlfn.XLOOKUP(role_course_map[[#This Row],[role_id]], role_data[role_id], role_data[Role],"")</f>
        <v>Associate Director</v>
      </c>
      <c r="C3465">
        <v>79218</v>
      </c>
      <c r="D3465" s="5" t="str">
        <f>_xlfn.XLOOKUP(role_course_map[[#This Row],[course_id]],course_data[course_id],course_data[title],"")</f>
        <v>Life support</v>
      </c>
      <c r="E3465" s="5" t="str">
        <f>_xlfn.XLOOKUP(role_course_map[[#This Row],[course_id]],course_data[course_id],course_data[topic],"")</f>
        <v>SAS : Clinical Practice</v>
      </c>
      <c r="F3465" s="5" t="str">
        <f>_xlfn.XLOOKUP(role_course_map[[#This Row],[course_id]],course_data[course_id],course_data[type],"")</f>
        <v>Page</v>
      </c>
      <c r="K3465" t="str">
        <f>role_course_map[[#This Row],[role_id]] &amp; "|" &amp; role_course_map[[#This Row],[course_id]]</f>
        <v>R0179|79218</v>
      </c>
      <c r="L3465" t="str">
        <f>IF(COUNTIF(role_course_map[mapping_key],role_course_map[[#This Row],[mapping_key]])&gt;1,"DUPLICATE","OK")</f>
        <v>OK</v>
      </c>
      <c r="M3465" t="str">
        <f>IF(COUNTIF(role_data[role_id],role_course_map[[#This Row],[role_id]])=0, "INVALID","VALID")</f>
        <v>VALID</v>
      </c>
      <c r="N3465" t="str">
        <f>IF(COUNTIF(course_data[course_id],role_course_map[[#This Row],[course_id]])=0, "INVALID","VALID")</f>
        <v>VALID</v>
      </c>
    </row>
    <row r="3466" spans="1:14" x14ac:dyDescent="0.35">
      <c r="A3466" t="s">
        <v>374</v>
      </c>
      <c r="B3466" s="5" t="str">
        <f>_xlfn.XLOOKUP(role_course_map[[#This Row],[role_id]], role_data[role_id], role_data[Role],"")</f>
        <v>Associate Director</v>
      </c>
      <c r="C3466">
        <v>999009</v>
      </c>
      <c r="D3466" s="5" t="str">
        <f>_xlfn.XLOOKUP(role_course_map[[#This Row],[course_id]],course_data[course_id],course_data[title],"")</f>
        <v>Life Support</v>
      </c>
      <c r="E3466" s="5" t="str">
        <f>_xlfn.XLOOKUP(role_course_map[[#This Row],[course_id]],course_data[course_id],course_data[topic],"")</f>
        <v>SAS : Clinical Practice</v>
      </c>
      <c r="F3466" s="5" t="str">
        <f>_xlfn.XLOOKUP(role_course_map[[#This Row],[course_id]],course_data[course_id],course_data[type],"")</f>
        <v>Course</v>
      </c>
      <c r="K3466" t="str">
        <f>role_course_map[[#This Row],[role_id]] &amp; "|" &amp; role_course_map[[#This Row],[course_id]]</f>
        <v>R0179|999009</v>
      </c>
      <c r="L3466" t="str">
        <f>IF(COUNTIF(role_course_map[mapping_key],role_course_map[[#This Row],[mapping_key]])&gt;1,"DUPLICATE","OK")</f>
        <v>OK</v>
      </c>
      <c r="M3466" t="str">
        <f>IF(COUNTIF(role_data[role_id],role_course_map[[#This Row],[role_id]])=0, "INVALID","VALID")</f>
        <v>VALID</v>
      </c>
      <c r="N3466" t="str">
        <f>IF(COUNTIF(course_data[course_id],role_course_map[[#This Row],[course_id]])=0, "INVALID","VALID")</f>
        <v>VALID</v>
      </c>
    </row>
    <row r="3467" spans="1:14" x14ac:dyDescent="0.35">
      <c r="A3467" t="s">
        <v>374</v>
      </c>
      <c r="B3467" s="5" t="str">
        <f>_xlfn.XLOOKUP(role_course_map[[#This Row],[role_id]], role_data[role_id], role_data[Role],"")</f>
        <v>Associate Director</v>
      </c>
      <c r="C3467">
        <v>999007</v>
      </c>
      <c r="D3467" s="5" t="str">
        <f>_xlfn.XLOOKUP(role_course_map[[#This Row],[course_id]],course_data[course_id],course_data[title],"")</f>
        <v>Obstetrics</v>
      </c>
      <c r="E3467" s="5" t="str">
        <f>_xlfn.XLOOKUP(role_course_map[[#This Row],[course_id]],course_data[course_id],course_data[topic],"")</f>
        <v>SAS : Clinical Practice</v>
      </c>
      <c r="F3467" s="5" t="str">
        <f>_xlfn.XLOOKUP(role_course_map[[#This Row],[course_id]],course_data[course_id],course_data[type],"")</f>
        <v>Course</v>
      </c>
      <c r="K3467" t="str">
        <f>role_course_map[[#This Row],[role_id]] &amp; "|" &amp; role_course_map[[#This Row],[course_id]]</f>
        <v>R0179|999007</v>
      </c>
      <c r="L3467" t="str">
        <f>IF(COUNTIF(role_course_map[mapping_key],role_course_map[[#This Row],[mapping_key]])&gt;1,"DUPLICATE","OK")</f>
        <v>OK</v>
      </c>
      <c r="M3467" t="str">
        <f>IF(COUNTIF(role_data[role_id],role_course_map[[#This Row],[role_id]])=0, "INVALID","VALID")</f>
        <v>VALID</v>
      </c>
      <c r="N3467" t="str">
        <f>IF(COUNTIF(course_data[course_id],role_course_map[[#This Row],[course_id]])=0, "INVALID","VALID")</f>
        <v>VALID</v>
      </c>
    </row>
    <row r="3468" spans="1:14" x14ac:dyDescent="0.35">
      <c r="A3468" t="s">
        <v>374</v>
      </c>
      <c r="B3468" s="5" t="str">
        <f>_xlfn.XLOOKUP(role_course_map[[#This Row],[role_id]], role_data[role_id], role_data[Role],"")</f>
        <v>Associate Director</v>
      </c>
      <c r="C3468">
        <v>999008</v>
      </c>
      <c r="D3468" s="5" t="str">
        <f>_xlfn.XLOOKUP(role_course_map[[#This Row],[course_id]],course_data[course_id],course_data[title],"")</f>
        <v>Obstetrics</v>
      </c>
      <c r="E3468" s="5" t="str">
        <f>_xlfn.XLOOKUP(role_course_map[[#This Row],[course_id]],course_data[course_id],course_data[topic],"")</f>
        <v>SAS : Clinical Practice</v>
      </c>
      <c r="F3468" s="5" t="str">
        <f>_xlfn.XLOOKUP(role_course_map[[#This Row],[course_id]],course_data[course_id],course_data[type],"")</f>
        <v>eLearning</v>
      </c>
      <c r="K3468" t="str">
        <f>role_course_map[[#This Row],[role_id]] &amp; "|" &amp; role_course_map[[#This Row],[course_id]]</f>
        <v>R0179|999008</v>
      </c>
      <c r="L3468" t="str">
        <f>IF(COUNTIF(role_course_map[mapping_key],role_course_map[[#This Row],[mapping_key]])&gt;1,"DUPLICATE","OK")</f>
        <v>OK</v>
      </c>
      <c r="M3468" t="str">
        <f>IF(COUNTIF(role_data[role_id],role_course_map[[#This Row],[role_id]])=0, "INVALID","VALID")</f>
        <v>VALID</v>
      </c>
      <c r="N3468" t="str">
        <f>IF(COUNTIF(course_data[course_id],role_course_map[[#This Row],[course_id]])=0, "INVALID","VALID")</f>
        <v>VALID</v>
      </c>
    </row>
    <row r="3469" spans="1:14" x14ac:dyDescent="0.35">
      <c r="A3469" t="s">
        <v>374</v>
      </c>
      <c r="B3469" s="5" t="str">
        <f>_xlfn.XLOOKUP(role_course_map[[#This Row],[role_id]], role_data[role_id], role_data[Role],"")</f>
        <v>Associate Director</v>
      </c>
      <c r="C3469">
        <v>999010</v>
      </c>
      <c r="D3469" s="5" t="str">
        <f>_xlfn.XLOOKUP(role_course_map[[#This Row],[course_id]],course_data[course_id],course_data[title],"")</f>
        <v>Paediatrics</v>
      </c>
      <c r="E3469" s="5" t="str">
        <f>_xlfn.XLOOKUP(role_course_map[[#This Row],[course_id]],course_data[course_id],course_data[topic],"")</f>
        <v>SAS : Clinical Practice</v>
      </c>
      <c r="F3469" s="5" t="str">
        <f>_xlfn.XLOOKUP(role_course_map[[#This Row],[course_id]],course_data[course_id],course_data[type],"")</f>
        <v>Course</v>
      </c>
      <c r="K3469" t="str">
        <f>role_course_map[[#This Row],[role_id]] &amp; "|" &amp; role_course_map[[#This Row],[course_id]]</f>
        <v>R0179|999010</v>
      </c>
      <c r="L3469" t="str">
        <f>IF(COUNTIF(role_course_map[mapping_key],role_course_map[[#This Row],[mapping_key]])&gt;1,"DUPLICATE","OK")</f>
        <v>OK</v>
      </c>
      <c r="M3469" t="str">
        <f>IF(COUNTIF(role_data[role_id],role_course_map[[#This Row],[role_id]])=0, "INVALID","VALID")</f>
        <v>VALID</v>
      </c>
      <c r="N3469" t="str">
        <f>IF(COUNTIF(course_data[course_id],role_course_map[[#This Row],[course_id]])=0, "INVALID","VALID")</f>
        <v>VALID</v>
      </c>
    </row>
    <row r="3470" spans="1:14" x14ac:dyDescent="0.35">
      <c r="A3470" t="s">
        <v>374</v>
      </c>
      <c r="B3470" s="5" t="str">
        <f>_xlfn.XLOOKUP(role_course_map[[#This Row],[role_id]], role_data[role_id], role_data[Role],"")</f>
        <v>Associate Director</v>
      </c>
      <c r="C3470">
        <v>999011</v>
      </c>
      <c r="D3470" s="5" t="str">
        <f>_xlfn.XLOOKUP(role_course_map[[#This Row],[course_id]],course_data[course_id],course_data[title],"")</f>
        <v>Paediatrics</v>
      </c>
      <c r="E3470" s="5" t="str">
        <f>_xlfn.XLOOKUP(role_course_map[[#This Row],[course_id]],course_data[course_id],course_data[topic],"")</f>
        <v>SAS : Clinical Practice</v>
      </c>
      <c r="F3470" s="5" t="str">
        <f>_xlfn.XLOOKUP(role_course_map[[#This Row],[course_id]],course_data[course_id],course_data[type],"")</f>
        <v>eLearning</v>
      </c>
      <c r="K3470" t="str">
        <f>role_course_map[[#This Row],[role_id]] &amp; "|" &amp; role_course_map[[#This Row],[course_id]]</f>
        <v>R0179|999011</v>
      </c>
      <c r="L3470" t="str">
        <f>IF(COUNTIF(role_course_map[mapping_key],role_course_map[[#This Row],[mapping_key]])&gt;1,"DUPLICATE","OK")</f>
        <v>OK</v>
      </c>
      <c r="M3470" t="str">
        <f>IF(COUNTIF(role_data[role_id],role_course_map[[#This Row],[role_id]])=0, "INVALID","VALID")</f>
        <v>VALID</v>
      </c>
      <c r="N3470" t="str">
        <f>IF(COUNTIF(course_data[course_id],role_course_map[[#This Row],[course_id]])=0, "INVALID","VALID")</f>
        <v>VALID</v>
      </c>
    </row>
    <row r="3471" spans="1:14" x14ac:dyDescent="0.35">
      <c r="A3471" t="s">
        <v>374</v>
      </c>
      <c r="B3471" s="5" t="str">
        <f>_xlfn.XLOOKUP(role_course_map[[#This Row],[role_id]], role_data[role_id], role_data[Role],"")</f>
        <v>Associate Director</v>
      </c>
      <c r="C3471">
        <v>999012</v>
      </c>
      <c r="D3471" s="5" t="str">
        <f>_xlfn.XLOOKUP(role_course_map[[#This Row],[course_id]],course_data[course_id],course_data[title],"")</f>
        <v>Trauma</v>
      </c>
      <c r="E3471" s="5" t="str">
        <f>_xlfn.XLOOKUP(role_course_map[[#This Row],[course_id]],course_data[course_id],course_data[topic],"")</f>
        <v>SAS : Clinical Practice</v>
      </c>
      <c r="F3471" s="5" t="str">
        <f>_xlfn.XLOOKUP(role_course_map[[#This Row],[course_id]],course_data[course_id],course_data[type],"")</f>
        <v>Course</v>
      </c>
      <c r="K3471" t="str">
        <f>role_course_map[[#This Row],[role_id]] &amp; "|" &amp; role_course_map[[#This Row],[course_id]]</f>
        <v>R0179|999012</v>
      </c>
      <c r="L3471" t="str">
        <f>IF(COUNTIF(role_course_map[mapping_key],role_course_map[[#This Row],[mapping_key]])&gt;1,"DUPLICATE","OK")</f>
        <v>OK</v>
      </c>
      <c r="M3471" t="str">
        <f>IF(COUNTIF(role_data[role_id],role_course_map[[#This Row],[role_id]])=0, "INVALID","VALID")</f>
        <v>VALID</v>
      </c>
      <c r="N3471" t="str">
        <f>IF(COUNTIF(course_data[course_id],role_course_map[[#This Row],[course_id]])=0, "INVALID","VALID")</f>
        <v>VALID</v>
      </c>
    </row>
    <row r="3472" spans="1:14" x14ac:dyDescent="0.35">
      <c r="A3472" t="s">
        <v>374</v>
      </c>
      <c r="B3472" s="5" t="str">
        <f>_xlfn.XLOOKUP(role_course_map[[#This Row],[role_id]], role_data[role_id], role_data[Role],"")</f>
        <v>Associate Director</v>
      </c>
      <c r="C3472">
        <v>999013</v>
      </c>
      <c r="D3472" s="5" t="str">
        <f>_xlfn.XLOOKUP(role_course_map[[#This Row],[course_id]],course_data[course_id],course_data[title],"")</f>
        <v>Trauma</v>
      </c>
      <c r="E3472" s="5" t="str">
        <f>_xlfn.XLOOKUP(role_course_map[[#This Row],[course_id]],course_data[course_id],course_data[topic],"")</f>
        <v>SAS : Clinical Practice</v>
      </c>
      <c r="F3472" s="5" t="str">
        <f>_xlfn.XLOOKUP(role_course_map[[#This Row],[course_id]],course_data[course_id],course_data[type],"")</f>
        <v>eLearning</v>
      </c>
      <c r="K3472" t="str">
        <f>role_course_map[[#This Row],[role_id]] &amp; "|" &amp; role_course_map[[#This Row],[course_id]]</f>
        <v>R0179|999013</v>
      </c>
      <c r="L3472" t="str">
        <f>IF(COUNTIF(role_course_map[mapping_key],role_course_map[[#This Row],[mapping_key]])&gt;1,"DUPLICATE","OK")</f>
        <v>OK</v>
      </c>
      <c r="M3472" t="str">
        <f>IF(COUNTIF(role_data[role_id],role_course_map[[#This Row],[role_id]])=0, "INVALID","VALID")</f>
        <v>VALID</v>
      </c>
      <c r="N3472" t="str">
        <f>IF(COUNTIF(course_data[course_id],role_course_map[[#This Row],[course_id]])=0, "INVALID","VALID")</f>
        <v>VALID</v>
      </c>
    </row>
    <row r="3473" spans="1:14" x14ac:dyDescent="0.35">
      <c r="A3473" t="s">
        <v>374</v>
      </c>
      <c r="B3473" s="5" t="str">
        <f>_xlfn.XLOOKUP(role_course_map[[#This Row],[role_id]], role_data[role_id], role_data[Role],"")</f>
        <v>Associate Director</v>
      </c>
      <c r="C3473">
        <v>999014</v>
      </c>
      <c r="D3473" s="5" t="str">
        <f>_xlfn.XLOOKUP(role_course_map[[#This Row],[course_id]],course_data[course_id],course_data[title],"")</f>
        <v>Patient Assessment</v>
      </c>
      <c r="E3473" s="5" t="str">
        <f>_xlfn.XLOOKUP(role_course_map[[#This Row],[course_id]],course_data[course_id],course_data[topic],"")</f>
        <v>SAS : Clinical Practice</v>
      </c>
      <c r="F3473" s="5" t="str">
        <f>_xlfn.XLOOKUP(role_course_map[[#This Row],[course_id]],course_data[course_id],course_data[type],"")</f>
        <v>Course</v>
      </c>
      <c r="K3473" t="str">
        <f>role_course_map[[#This Row],[role_id]] &amp; "|" &amp; role_course_map[[#This Row],[course_id]]</f>
        <v>R0179|999014</v>
      </c>
      <c r="L3473" t="str">
        <f>IF(COUNTIF(role_course_map[mapping_key],role_course_map[[#This Row],[mapping_key]])&gt;1,"DUPLICATE","OK")</f>
        <v>OK</v>
      </c>
      <c r="M3473" t="str">
        <f>IF(COUNTIF(role_data[role_id],role_course_map[[#This Row],[role_id]])=0, "INVALID","VALID")</f>
        <v>VALID</v>
      </c>
      <c r="N3473" t="str">
        <f>IF(COUNTIF(course_data[course_id],role_course_map[[#This Row],[course_id]])=0, "INVALID","VALID")</f>
        <v>VALID</v>
      </c>
    </row>
    <row r="3474" spans="1:14" x14ac:dyDescent="0.35">
      <c r="A3474" t="s">
        <v>374</v>
      </c>
      <c r="B3474" s="5" t="str">
        <f>_xlfn.XLOOKUP(role_course_map[[#This Row],[role_id]], role_data[role_id], role_data[Role],"")</f>
        <v>Associate Director</v>
      </c>
      <c r="C3474">
        <v>999015</v>
      </c>
      <c r="D3474" s="5" t="str">
        <f>_xlfn.XLOOKUP(role_course_map[[#This Row],[course_id]],course_data[course_id],course_data[title],"")</f>
        <v>Patient Assessment</v>
      </c>
      <c r="E3474" s="5" t="str">
        <f>_xlfn.XLOOKUP(role_course_map[[#This Row],[course_id]],course_data[course_id],course_data[topic],"")</f>
        <v>SAS : Clinical Practice</v>
      </c>
      <c r="F3474" s="5" t="str">
        <f>_xlfn.XLOOKUP(role_course_map[[#This Row],[course_id]],course_data[course_id],course_data[type],"")</f>
        <v>eLearning</v>
      </c>
      <c r="K3474" t="str">
        <f>role_course_map[[#This Row],[role_id]] &amp; "|" &amp; role_course_map[[#This Row],[course_id]]</f>
        <v>R0179|999015</v>
      </c>
      <c r="L3474" t="str">
        <f>IF(COUNTIF(role_course_map[mapping_key],role_course_map[[#This Row],[mapping_key]])&gt;1,"DUPLICATE","OK")</f>
        <v>OK</v>
      </c>
      <c r="M3474" t="str">
        <f>IF(COUNTIF(role_data[role_id],role_course_map[[#This Row],[role_id]])=0, "INVALID","VALID")</f>
        <v>VALID</v>
      </c>
      <c r="N3474" t="str">
        <f>IF(COUNTIF(course_data[course_id],role_course_map[[#This Row],[course_id]])=0, "INVALID","VALID")</f>
        <v>VALID</v>
      </c>
    </row>
    <row r="3475" spans="1:14" x14ac:dyDescent="0.35">
      <c r="A3475" t="s">
        <v>374</v>
      </c>
      <c r="B3475" s="5" t="str">
        <f>_xlfn.XLOOKUP(role_course_map[[#This Row],[role_id]], role_data[role_id], role_data[Role],"")</f>
        <v>Associate Director</v>
      </c>
      <c r="C3475">
        <v>999016</v>
      </c>
      <c r="D3475" s="5" t="str">
        <f>_xlfn.XLOOKUP(role_course_map[[#This Row],[course_id]],course_data[course_id],course_data[title],"")</f>
        <v>Clinical Skills</v>
      </c>
      <c r="E3475" s="5" t="str">
        <f>_xlfn.XLOOKUP(role_course_map[[#This Row],[course_id]],course_data[course_id],course_data[topic],"")</f>
        <v>SAS : Clinical Practice</v>
      </c>
      <c r="F3475" s="5" t="str">
        <f>_xlfn.XLOOKUP(role_course_map[[#This Row],[course_id]],course_data[course_id],course_data[type],"")</f>
        <v>Course</v>
      </c>
      <c r="K3475" t="str">
        <f>role_course_map[[#This Row],[role_id]] &amp; "|" &amp; role_course_map[[#This Row],[course_id]]</f>
        <v>R0179|999016</v>
      </c>
      <c r="L3475" t="str">
        <f>IF(COUNTIF(role_course_map[mapping_key],role_course_map[[#This Row],[mapping_key]])&gt;1,"DUPLICATE","OK")</f>
        <v>OK</v>
      </c>
      <c r="M3475" t="str">
        <f>IF(COUNTIF(role_data[role_id],role_course_map[[#This Row],[role_id]])=0, "INVALID","VALID")</f>
        <v>VALID</v>
      </c>
      <c r="N3475" t="str">
        <f>IF(COUNTIF(course_data[course_id],role_course_map[[#This Row],[course_id]])=0, "INVALID","VALID")</f>
        <v>VALID</v>
      </c>
    </row>
    <row r="3476" spans="1:14" x14ac:dyDescent="0.35">
      <c r="A3476" t="s">
        <v>374</v>
      </c>
      <c r="B3476" s="5" t="str">
        <f>_xlfn.XLOOKUP(role_course_map[[#This Row],[role_id]], role_data[role_id], role_data[Role],"")</f>
        <v>Associate Director</v>
      </c>
      <c r="C3476">
        <v>999017</v>
      </c>
      <c r="D3476" s="5" t="str">
        <f>_xlfn.XLOOKUP(role_course_map[[#This Row],[course_id]],course_data[course_id],course_data[title],"")</f>
        <v>Clinical Skills</v>
      </c>
      <c r="E3476" s="5" t="str">
        <f>_xlfn.XLOOKUP(role_course_map[[#This Row],[course_id]],course_data[course_id],course_data[topic],"")</f>
        <v>SAS : Clinical Practice</v>
      </c>
      <c r="F3476" s="5" t="str">
        <f>_xlfn.XLOOKUP(role_course_map[[#This Row],[course_id]],course_data[course_id],course_data[type],"")</f>
        <v>eLearning</v>
      </c>
      <c r="K3476" t="str">
        <f>role_course_map[[#This Row],[role_id]] &amp; "|" &amp; role_course_map[[#This Row],[course_id]]</f>
        <v>R0179|999017</v>
      </c>
      <c r="L3476" t="str">
        <f>IF(COUNTIF(role_course_map[mapping_key],role_course_map[[#This Row],[mapping_key]])&gt;1,"DUPLICATE","OK")</f>
        <v>OK</v>
      </c>
      <c r="M3476" t="str">
        <f>IF(COUNTIF(role_data[role_id],role_course_map[[#This Row],[role_id]])=0, "INVALID","VALID")</f>
        <v>VALID</v>
      </c>
      <c r="N3476" t="str">
        <f>IF(COUNTIF(course_data[course_id],role_course_map[[#This Row],[course_id]])=0, "INVALID","VALID")</f>
        <v>VALID</v>
      </c>
    </row>
    <row r="3477" spans="1:14" x14ac:dyDescent="0.35">
      <c r="A3477" t="s">
        <v>374</v>
      </c>
      <c r="B3477" s="5" t="str">
        <f>_xlfn.XLOOKUP(role_course_map[[#This Row],[role_id]], role_data[role_id], role_data[Role],"")</f>
        <v>Associate Director</v>
      </c>
      <c r="C3477">
        <v>999018</v>
      </c>
      <c r="D3477" s="5" t="str">
        <f>_xlfn.XLOOKUP(role_course_map[[#This Row],[course_id]],course_data[course_id],course_data[title],"")</f>
        <v>Learning from Events</v>
      </c>
      <c r="E3477" s="5" t="str">
        <f>_xlfn.XLOOKUP(role_course_map[[#This Row],[course_id]],course_data[course_id],course_data[topic],"")</f>
        <v>SAS : Clinical Practice</v>
      </c>
      <c r="F3477" s="5" t="str">
        <f>_xlfn.XLOOKUP(role_course_map[[#This Row],[course_id]],course_data[course_id],course_data[type],"")</f>
        <v>eLearning</v>
      </c>
      <c r="K3477" t="str">
        <f>role_course_map[[#This Row],[role_id]] &amp; "|" &amp; role_course_map[[#This Row],[course_id]]</f>
        <v>R0179|999018</v>
      </c>
      <c r="L3477" t="str">
        <f>IF(COUNTIF(role_course_map[mapping_key],role_course_map[[#This Row],[mapping_key]])&gt;1,"DUPLICATE","OK")</f>
        <v>OK</v>
      </c>
      <c r="M3477" t="str">
        <f>IF(COUNTIF(role_data[role_id],role_course_map[[#This Row],[role_id]])=0, "INVALID","VALID")</f>
        <v>VALID</v>
      </c>
      <c r="N3477" t="str">
        <f>IF(COUNTIF(course_data[course_id],role_course_map[[#This Row],[course_id]])=0, "INVALID","VALID")</f>
        <v>VALID</v>
      </c>
    </row>
    <row r="3478" spans="1:14" x14ac:dyDescent="0.35">
      <c r="A3478" t="s">
        <v>374</v>
      </c>
      <c r="B3478" s="5" t="str">
        <f>_xlfn.XLOOKUP(role_course_map[[#This Row],[role_id]], role_data[role_id], role_data[Role],"")</f>
        <v>Associate Director</v>
      </c>
      <c r="C3478">
        <v>999019</v>
      </c>
      <c r="D3478" s="5" t="str">
        <f>_xlfn.XLOOKUP(role_course_map[[#This Row],[course_id]],course_data[course_id],course_data[title],"")</f>
        <v>Medicines Management</v>
      </c>
      <c r="E3478" s="5" t="str">
        <f>_xlfn.XLOOKUP(role_course_map[[#This Row],[course_id]],course_data[course_id],course_data[topic],"")</f>
        <v>SAS : Clinical Practice</v>
      </c>
      <c r="F3478" s="5" t="str">
        <f>_xlfn.XLOOKUP(role_course_map[[#This Row],[course_id]],course_data[course_id],course_data[type],"")</f>
        <v>eLearning</v>
      </c>
      <c r="K3478" t="str">
        <f>role_course_map[[#This Row],[role_id]] &amp; "|" &amp; role_course_map[[#This Row],[course_id]]</f>
        <v>R0179|999019</v>
      </c>
      <c r="L3478" t="str">
        <f>IF(COUNTIF(role_course_map[mapping_key],role_course_map[[#This Row],[mapping_key]])&gt;1,"DUPLICATE","OK")</f>
        <v>OK</v>
      </c>
      <c r="M3478" t="str">
        <f>IF(COUNTIF(role_data[role_id],role_course_map[[#This Row],[role_id]])=0, "INVALID","VALID")</f>
        <v>VALID</v>
      </c>
      <c r="N3478" t="str">
        <f>IF(COUNTIF(course_data[course_id],role_course_map[[#This Row],[course_id]])=0, "INVALID","VALID")</f>
        <v>VALID</v>
      </c>
    </row>
    <row r="3479" spans="1:14" x14ac:dyDescent="0.35">
      <c r="A3479" t="s">
        <v>374</v>
      </c>
      <c r="B3479" s="5" t="str">
        <f>_xlfn.XLOOKUP(role_course_map[[#This Row],[role_id]], role_data[role_id], role_data[Role],"")</f>
        <v>Associate Director</v>
      </c>
      <c r="C3479">
        <v>999020</v>
      </c>
      <c r="D3479" s="5" t="str">
        <f>_xlfn.XLOOKUP(role_course_map[[#This Row],[course_id]],course_data[course_id],course_data[title],"")</f>
        <v>JRCALC Update</v>
      </c>
      <c r="E3479" s="5" t="str">
        <f>_xlfn.XLOOKUP(role_course_map[[#This Row],[course_id]],course_data[course_id],course_data[topic],"")</f>
        <v>SAS : Clinical Practice</v>
      </c>
      <c r="F3479" s="5" t="str">
        <f>_xlfn.XLOOKUP(role_course_map[[#This Row],[course_id]],course_data[course_id],course_data[type],"")</f>
        <v>eLearning</v>
      </c>
      <c r="K3479" t="str">
        <f>role_course_map[[#This Row],[role_id]] &amp; "|" &amp; role_course_map[[#This Row],[course_id]]</f>
        <v>R0179|999020</v>
      </c>
      <c r="L3479" t="str">
        <f>IF(COUNTIF(role_course_map[mapping_key],role_course_map[[#This Row],[mapping_key]])&gt;1,"DUPLICATE","OK")</f>
        <v>OK</v>
      </c>
      <c r="M3479" t="str">
        <f>IF(COUNTIF(role_data[role_id],role_course_map[[#This Row],[role_id]])=0, "INVALID","VALID")</f>
        <v>VALID</v>
      </c>
      <c r="N3479" t="str">
        <f>IF(COUNTIF(course_data[course_id],role_course_map[[#This Row],[course_id]])=0, "INVALID","VALID")</f>
        <v>VALID</v>
      </c>
    </row>
    <row r="3480" spans="1:14" x14ac:dyDescent="0.35">
      <c r="A3480" t="s">
        <v>374</v>
      </c>
      <c r="B3480" s="5" t="str">
        <f>_xlfn.XLOOKUP(role_course_map[[#This Row],[role_id]], role_data[role_id], role_data[Role],"")</f>
        <v>Associate Director</v>
      </c>
      <c r="C3480">
        <v>999021</v>
      </c>
      <c r="D3480" s="5" t="str">
        <f>_xlfn.XLOOKUP(role_course_map[[#This Row],[course_id]],course_data[course_id],course_data[title],"")</f>
        <v>Mental Health</v>
      </c>
      <c r="E3480" s="5" t="str">
        <f>_xlfn.XLOOKUP(role_course_map[[#This Row],[course_id]],course_data[course_id],course_data[topic],"")</f>
        <v>SAS : Clinical Practice</v>
      </c>
      <c r="F3480" s="5" t="str">
        <f>_xlfn.XLOOKUP(role_course_map[[#This Row],[course_id]],course_data[course_id],course_data[type],"")</f>
        <v>eLearning</v>
      </c>
      <c r="K3480" t="str">
        <f>role_course_map[[#This Row],[role_id]] &amp; "|" &amp; role_course_map[[#This Row],[course_id]]</f>
        <v>R0179|999021</v>
      </c>
      <c r="L3480" t="str">
        <f>IF(COUNTIF(role_course_map[mapping_key],role_course_map[[#This Row],[mapping_key]])&gt;1,"DUPLICATE","OK")</f>
        <v>OK</v>
      </c>
      <c r="M3480" t="str">
        <f>IF(COUNTIF(role_data[role_id],role_course_map[[#This Row],[role_id]])=0, "INVALID","VALID")</f>
        <v>VALID</v>
      </c>
      <c r="N3480" t="str">
        <f>IF(COUNTIF(course_data[course_id],role_course_map[[#This Row],[course_id]])=0, "INVALID","VALID")</f>
        <v>VALID</v>
      </c>
    </row>
    <row r="3481" spans="1:14" x14ac:dyDescent="0.35">
      <c r="A3481" t="s">
        <v>374</v>
      </c>
      <c r="B3481" s="5" t="str">
        <f>_xlfn.XLOOKUP(role_course_map[[#This Row],[role_id]], role_data[role_id], role_data[Role],"")</f>
        <v>Associate Director</v>
      </c>
      <c r="C3481">
        <v>999022</v>
      </c>
      <c r="D3481" s="5" t="str">
        <f>_xlfn.XLOOKUP(role_course_map[[#This Row],[course_id]],course_data[course_id],course_data[title],"")</f>
        <v>Learning Disabilities</v>
      </c>
      <c r="E3481" s="5" t="str">
        <f>_xlfn.XLOOKUP(role_course_map[[#This Row],[course_id]],course_data[course_id],course_data[topic],"")</f>
        <v>SAS : Clinical Practice</v>
      </c>
      <c r="F3481" s="5" t="str">
        <f>_xlfn.XLOOKUP(role_course_map[[#This Row],[course_id]],course_data[course_id],course_data[type],"")</f>
        <v>eLearning</v>
      </c>
      <c r="K3481" t="str">
        <f>role_course_map[[#This Row],[role_id]] &amp; "|" &amp; role_course_map[[#This Row],[course_id]]</f>
        <v>R0179|999022</v>
      </c>
      <c r="L3481" t="str">
        <f>IF(COUNTIF(role_course_map[mapping_key],role_course_map[[#This Row],[mapping_key]])&gt;1,"DUPLICATE","OK")</f>
        <v>OK</v>
      </c>
      <c r="M3481" t="str">
        <f>IF(COUNTIF(role_data[role_id],role_course_map[[#This Row],[role_id]])=0, "INVALID","VALID")</f>
        <v>VALID</v>
      </c>
      <c r="N3481" t="str">
        <f>IF(COUNTIF(course_data[course_id],role_course_map[[#This Row],[course_id]])=0, "INVALID","VALID")</f>
        <v>VALID</v>
      </c>
    </row>
    <row r="3482" spans="1:14" x14ac:dyDescent="0.35">
      <c r="A3482" t="s">
        <v>374</v>
      </c>
      <c r="B3482" s="5" t="str">
        <f>_xlfn.XLOOKUP(role_course_map[[#This Row],[role_id]], role_data[role_id], role_data[Role],"")</f>
        <v>Associate Director</v>
      </c>
      <c r="C3482">
        <v>75202</v>
      </c>
      <c r="D3482" s="5" t="str">
        <f>_xlfn.XLOOKUP(role_course_map[[#This Row],[course_id]],course_data[course_id],course_data[title],"")</f>
        <v>SAS : Clinical Practice</v>
      </c>
      <c r="E3482" s="5" t="str">
        <f>_xlfn.XLOOKUP(role_course_map[[#This Row],[course_id]],course_data[course_id],course_data[topic],"")</f>
        <v>SAS : Clinical Practice</v>
      </c>
      <c r="F3482" s="5" t="str">
        <f>_xlfn.XLOOKUP(role_course_map[[#This Row],[course_id]],course_data[course_id],course_data[type],"")</f>
        <v>Page</v>
      </c>
      <c r="K3482" t="str">
        <f>role_course_map[[#This Row],[role_id]] &amp; "|" &amp; role_course_map[[#This Row],[course_id]]</f>
        <v>R0179|75202</v>
      </c>
      <c r="L3482" t="str">
        <f>IF(COUNTIF(role_course_map[mapping_key],role_course_map[[#This Row],[mapping_key]])&gt;1,"DUPLICATE","OK")</f>
        <v>OK</v>
      </c>
      <c r="M3482" t="str">
        <f>IF(COUNTIF(role_data[role_id],role_course_map[[#This Row],[role_id]])=0, "INVALID","VALID")</f>
        <v>VALID</v>
      </c>
      <c r="N3482" t="str">
        <f>IF(COUNTIF(course_data[course_id],role_course_map[[#This Row],[course_id]])=0, "INVALID","VALID")</f>
        <v>VALID</v>
      </c>
    </row>
    <row r="3483" spans="1:14" x14ac:dyDescent="0.35">
      <c r="A3483" t="s">
        <v>374</v>
      </c>
      <c r="B3483" s="5" t="str">
        <f>_xlfn.XLOOKUP(role_course_map[[#This Row],[role_id]], role_data[role_id], role_data[Role],"")</f>
        <v>Associate Director</v>
      </c>
      <c r="C3483">
        <v>999023</v>
      </c>
      <c r="D3483" s="5" t="str">
        <f>_xlfn.XLOOKUP(role_course_map[[#This Row],[course_id]],course_data[course_id],course_data[title],"")</f>
        <v>Dementia</v>
      </c>
      <c r="E3483" s="5" t="str">
        <f>_xlfn.XLOOKUP(role_course_map[[#This Row],[course_id]],course_data[course_id],course_data[topic],"")</f>
        <v>SAS : Clinical Practice</v>
      </c>
      <c r="F3483" s="5" t="str">
        <f>_xlfn.XLOOKUP(role_course_map[[#This Row],[course_id]],course_data[course_id],course_data[type],"")</f>
        <v>eLearning</v>
      </c>
      <c r="K3483" t="str">
        <f>role_course_map[[#This Row],[role_id]] &amp; "|" &amp; role_course_map[[#This Row],[course_id]]</f>
        <v>R0179|999023</v>
      </c>
      <c r="L3483" t="str">
        <f>IF(COUNTIF(role_course_map[mapping_key],role_course_map[[#This Row],[mapping_key]])&gt;1,"DUPLICATE","OK")</f>
        <v>OK</v>
      </c>
      <c r="M3483" t="str">
        <f>IF(COUNTIF(role_data[role_id],role_course_map[[#This Row],[role_id]])=0, "INVALID","VALID")</f>
        <v>VALID</v>
      </c>
      <c r="N3483" t="str">
        <f>IF(COUNTIF(course_data[course_id],role_course_map[[#This Row],[course_id]])=0, "INVALID","VALID")</f>
        <v>VALID</v>
      </c>
    </row>
    <row r="3484" spans="1:14" x14ac:dyDescent="0.35">
      <c r="A3484" t="s">
        <v>374</v>
      </c>
      <c r="B3484" s="5" t="str">
        <f>_xlfn.XLOOKUP(role_course_map[[#This Row],[role_id]], role_data[role_id], role_data[Role],"")</f>
        <v>Associate Director</v>
      </c>
      <c r="C3484">
        <v>999024</v>
      </c>
      <c r="D3484" s="5" t="str">
        <f>_xlfn.XLOOKUP(role_course_map[[#This Row],[course_id]],course_data[course_id],course_data[title],"")</f>
        <v>Conditions requiring specific hospital management. I.e. Parkinsons</v>
      </c>
      <c r="E3484" s="5" t="str">
        <f>_xlfn.XLOOKUP(role_course_map[[#This Row],[course_id]],course_data[course_id],course_data[topic],"")</f>
        <v>SAS : Clinical Practice</v>
      </c>
      <c r="F3484" s="5" t="str">
        <f>_xlfn.XLOOKUP(role_course_map[[#This Row],[course_id]],course_data[course_id],course_data[type],"")</f>
        <v>eLearning</v>
      </c>
      <c r="K3484" t="str">
        <f>role_course_map[[#This Row],[role_id]] &amp; "|" &amp; role_course_map[[#This Row],[course_id]]</f>
        <v>R0179|999024</v>
      </c>
      <c r="L3484" t="str">
        <f>IF(COUNTIF(role_course_map[mapping_key],role_course_map[[#This Row],[mapping_key]])&gt;1,"DUPLICATE","OK")</f>
        <v>OK</v>
      </c>
      <c r="M3484" t="str">
        <f>IF(COUNTIF(role_data[role_id],role_course_map[[#This Row],[role_id]])=0, "INVALID","VALID")</f>
        <v>VALID</v>
      </c>
      <c r="N3484" t="str">
        <f>IF(COUNTIF(course_data[course_id],role_course_map[[#This Row],[course_id]])=0, "INVALID","VALID")</f>
        <v>VALID</v>
      </c>
    </row>
    <row r="3485" spans="1:14" x14ac:dyDescent="0.35">
      <c r="A3485" t="s">
        <v>374</v>
      </c>
      <c r="B3485" s="5" t="str">
        <f>_xlfn.XLOOKUP(role_course_map[[#This Row],[role_id]], role_data[role_id], role_data[Role],"")</f>
        <v>Associate Director</v>
      </c>
      <c r="C3485">
        <v>999095</v>
      </c>
      <c r="D3485" s="5" t="str">
        <f>_xlfn.XLOOKUP(role_course_map[[#This Row],[course_id]],course_data[course_id],course_data[title],"")</f>
        <v>Mentoring</v>
      </c>
      <c r="E3485" s="5" t="str">
        <f>_xlfn.XLOOKUP(role_course_map[[#This Row],[course_id]],course_data[course_id],course_data[topic],"")</f>
        <v>SAS: Staff development and experience</v>
      </c>
      <c r="F3485" s="5" t="str">
        <f>_xlfn.XLOOKUP(role_course_map[[#This Row],[course_id]],course_data[course_id],course_data[type],"")</f>
        <v>eLearning</v>
      </c>
      <c r="K3485" t="str">
        <f>role_course_map[[#This Row],[role_id]] &amp; "|" &amp; role_course_map[[#This Row],[course_id]]</f>
        <v>R0179|999095</v>
      </c>
      <c r="L3485" t="str">
        <f>IF(COUNTIF(role_course_map[mapping_key],role_course_map[[#This Row],[mapping_key]])&gt;1,"DUPLICATE","OK")</f>
        <v>OK</v>
      </c>
      <c r="M3485" t="str">
        <f>IF(COUNTIF(role_data[role_id],role_course_map[[#This Row],[role_id]])=0, "INVALID","VALID")</f>
        <v>VALID</v>
      </c>
      <c r="N3485" t="str">
        <f>IF(COUNTIF(course_data[course_id],role_course_map[[#This Row],[course_id]])=0, "INVALID","VALID")</f>
        <v>VALID</v>
      </c>
    </row>
    <row r="3486" spans="1:14" x14ac:dyDescent="0.35">
      <c r="A3486" t="s">
        <v>374</v>
      </c>
      <c r="B3486" s="5" t="str">
        <f>_xlfn.XLOOKUP(role_course_map[[#This Row],[role_id]], role_data[role_id], role_data[Role],"")</f>
        <v>Associate Director</v>
      </c>
      <c r="C3486">
        <v>999096</v>
      </c>
      <c r="D3486" s="5" t="str">
        <f>_xlfn.XLOOKUP(role_course_map[[#This Row],[course_id]],course_data[course_id],course_data[title],"")</f>
        <v>Supporting others in practice (Supervision)</v>
      </c>
      <c r="E3486" s="5" t="str">
        <f>_xlfn.XLOOKUP(role_course_map[[#This Row],[course_id]],course_data[course_id],course_data[topic],"")</f>
        <v>SAS: Staff development and experience</v>
      </c>
      <c r="F3486" s="5" t="str">
        <f>_xlfn.XLOOKUP(role_course_map[[#This Row],[course_id]],course_data[course_id],course_data[type],"")</f>
        <v>Course</v>
      </c>
      <c r="K3486" t="str">
        <f>role_course_map[[#This Row],[role_id]] &amp; "|" &amp; role_course_map[[#This Row],[course_id]]</f>
        <v>R0179|999096</v>
      </c>
      <c r="L3486" t="str">
        <f>IF(COUNTIF(role_course_map[mapping_key],role_course_map[[#This Row],[mapping_key]])&gt;1,"DUPLICATE","OK")</f>
        <v>OK</v>
      </c>
      <c r="M3486" t="str">
        <f>IF(COUNTIF(role_data[role_id],role_course_map[[#This Row],[role_id]])=0, "INVALID","VALID")</f>
        <v>VALID</v>
      </c>
      <c r="N3486" t="str">
        <f>IF(COUNTIF(course_data[course_id],role_course_map[[#This Row],[course_id]])=0, "INVALID","VALID")</f>
        <v>VALID</v>
      </c>
    </row>
    <row r="3487" spans="1:14" x14ac:dyDescent="0.35">
      <c r="A3487" t="s">
        <v>374</v>
      </c>
      <c r="B3487" s="5" t="str">
        <f>_xlfn.XLOOKUP(role_course_map[[#This Row],[role_id]], role_data[role_id], role_data[Role],"")</f>
        <v>Associate Director</v>
      </c>
      <c r="C3487">
        <v>999097</v>
      </c>
      <c r="D3487" s="5" t="str">
        <f>_xlfn.XLOOKUP(role_course_map[[#This Row],[course_id]],course_data[course_id],course_data[title],"")</f>
        <v>Personal Wellbeing</v>
      </c>
      <c r="E3487" s="5" t="str">
        <f>_xlfn.XLOOKUP(role_course_map[[#This Row],[course_id]],course_data[course_id],course_data[topic],"")</f>
        <v>SAS: Staff development and experience</v>
      </c>
      <c r="F3487" s="5" t="str">
        <f>_xlfn.XLOOKUP(role_course_map[[#This Row],[course_id]],course_data[course_id],course_data[type],"")</f>
        <v>eLearning</v>
      </c>
      <c r="K3487" t="str">
        <f>role_course_map[[#This Row],[role_id]] &amp; "|" &amp; role_course_map[[#This Row],[course_id]]</f>
        <v>R0179|999097</v>
      </c>
      <c r="L3487" t="str">
        <f>IF(COUNTIF(role_course_map[mapping_key],role_course_map[[#This Row],[mapping_key]])&gt;1,"DUPLICATE","OK")</f>
        <v>OK</v>
      </c>
      <c r="M3487" t="str">
        <f>IF(COUNTIF(role_data[role_id],role_course_map[[#This Row],[role_id]])=0, "INVALID","VALID")</f>
        <v>VALID</v>
      </c>
      <c r="N3487" t="str">
        <f>IF(COUNTIF(course_data[course_id],role_course_map[[#This Row],[course_id]])=0, "INVALID","VALID")</f>
        <v>VALID</v>
      </c>
    </row>
    <row r="3488" spans="1:14" x14ac:dyDescent="0.35">
      <c r="A3488" t="s">
        <v>374</v>
      </c>
      <c r="B3488" s="5" t="str">
        <f>_xlfn.XLOOKUP(role_course_map[[#This Row],[role_id]], role_data[role_id], role_data[Role],"")</f>
        <v>Associate Director</v>
      </c>
      <c r="C3488">
        <v>79147</v>
      </c>
      <c r="D3488" s="5" t="str">
        <f>_xlfn.XLOOKUP(role_course_map[[#This Row],[course_id]],course_data[course_id],course_data[title],"")</f>
        <v>Driving risks at work</v>
      </c>
      <c r="E3488" s="5" t="str">
        <f>_xlfn.XLOOKUP(role_course_map[[#This Row],[course_id]],course_data[course_id],course_data[topic],"")</f>
        <v>SAS : Health and Safety</v>
      </c>
      <c r="F3488" s="5" t="str">
        <f>_xlfn.XLOOKUP(role_course_map[[#This Row],[course_id]],course_data[course_id],course_data[type],"")</f>
        <v>eLearning</v>
      </c>
      <c r="K3488" t="str">
        <f>role_course_map[[#This Row],[role_id]] &amp; "|" &amp; role_course_map[[#This Row],[course_id]]</f>
        <v>R0179|79147</v>
      </c>
      <c r="L3488" t="str">
        <f>IF(COUNTIF(role_course_map[mapping_key],role_course_map[[#This Row],[mapping_key]])&gt;1,"DUPLICATE","OK")</f>
        <v>OK</v>
      </c>
      <c r="M3488" t="str">
        <f>IF(COUNTIF(role_data[role_id],role_course_map[[#This Row],[role_id]])=0, "INVALID","VALID")</f>
        <v>VALID</v>
      </c>
      <c r="N3488" t="str">
        <f>IF(COUNTIF(course_data[course_id],role_course_map[[#This Row],[course_id]])=0, "INVALID","VALID")</f>
        <v>VALID</v>
      </c>
    </row>
    <row r="3489" spans="1:14" x14ac:dyDescent="0.35">
      <c r="A3489" t="s">
        <v>374</v>
      </c>
      <c r="B3489" s="5" t="str">
        <f>_xlfn.XLOOKUP(role_course_map[[#This Row],[role_id]], role_data[role_id], role_data[Role],"")</f>
        <v>Associate Director</v>
      </c>
      <c r="C3489">
        <v>999060</v>
      </c>
      <c r="D3489" s="5" t="str">
        <f>_xlfn.XLOOKUP(role_course_map[[#This Row],[course_id]],course_data[course_id],course_data[title],"")</f>
        <v>COSHH</v>
      </c>
      <c r="E3489" s="5" t="str">
        <f>_xlfn.XLOOKUP(role_course_map[[#This Row],[course_id]],course_data[course_id],course_data[topic],"")</f>
        <v>SAS : Health and Safety</v>
      </c>
      <c r="F3489" s="5" t="str">
        <f>_xlfn.XLOOKUP(role_course_map[[#This Row],[course_id]],course_data[course_id],course_data[type],"")</f>
        <v>eLearning</v>
      </c>
      <c r="K3489" t="str">
        <f>role_course_map[[#This Row],[role_id]] &amp; "|" &amp; role_course_map[[#This Row],[course_id]]</f>
        <v>R0179|999060</v>
      </c>
      <c r="L3489" t="str">
        <f>IF(COUNTIF(role_course_map[mapping_key],role_course_map[[#This Row],[mapping_key]])&gt;1,"DUPLICATE","OK")</f>
        <v>OK</v>
      </c>
      <c r="M3489" t="str">
        <f>IF(COUNTIF(role_data[role_id],role_course_map[[#This Row],[role_id]])=0, "INVALID","VALID")</f>
        <v>VALID</v>
      </c>
      <c r="N3489" t="str">
        <f>IF(COUNTIF(course_data[course_id],role_course_map[[#This Row],[course_id]])=0, "INVALID","VALID")</f>
        <v>VALID</v>
      </c>
    </row>
    <row r="3490" spans="1:14" x14ac:dyDescent="0.35">
      <c r="A3490" t="s">
        <v>374</v>
      </c>
      <c r="B3490" s="5" t="str">
        <f>_xlfn.XLOOKUP(role_course_map[[#This Row],[role_id]], role_data[role_id], role_data[Role],"")</f>
        <v>Associate Director</v>
      </c>
      <c r="C3490">
        <v>999066</v>
      </c>
      <c r="D3490" s="5" t="str">
        <f>_xlfn.XLOOKUP(role_course_map[[#This Row],[course_id]],course_data[course_id],course_data[title],"")</f>
        <v>NRRD Update i.e. Major Incidents/Methane/ Multiple Casualities</v>
      </c>
      <c r="E3490" s="5" t="str">
        <f>_xlfn.XLOOKUP(role_course_map[[#This Row],[course_id]],course_data[course_id],course_data[topic],"")</f>
        <v>SAS : National Risk and Resilience Department (NRRD)</v>
      </c>
      <c r="F3490" s="5" t="str">
        <f>_xlfn.XLOOKUP(role_course_map[[#This Row],[course_id]],course_data[course_id],course_data[type],"")</f>
        <v>eLearning</v>
      </c>
      <c r="K3490" t="str">
        <f>role_course_map[[#This Row],[role_id]] &amp; "|" &amp; role_course_map[[#This Row],[course_id]]</f>
        <v>R0179|999066</v>
      </c>
      <c r="L3490" t="str">
        <f>IF(COUNTIF(role_course_map[mapping_key],role_course_map[[#This Row],[mapping_key]])&gt;1,"DUPLICATE","OK")</f>
        <v>OK</v>
      </c>
      <c r="M3490" t="str">
        <f>IF(COUNTIF(role_data[role_id],role_course_map[[#This Row],[role_id]])=0, "INVALID","VALID")</f>
        <v>VALID</v>
      </c>
      <c r="N3490" t="str">
        <f>IF(COUNTIF(course_data[course_id],role_course_map[[#This Row],[course_id]])=0, "INVALID","VALID")</f>
        <v>VALID</v>
      </c>
    </row>
    <row r="3491" spans="1:14" x14ac:dyDescent="0.35">
      <c r="A3491" t="s">
        <v>374</v>
      </c>
      <c r="B3491" s="5" t="str">
        <f>_xlfn.XLOOKUP(role_course_map[[#This Row],[role_id]], role_data[role_id], role_data[Role],"")</f>
        <v>Associate Director</v>
      </c>
      <c r="C3491">
        <v>999025</v>
      </c>
      <c r="D3491" s="5" t="str">
        <f>_xlfn.XLOOKUP(role_course_map[[#This Row],[course_id]],course_data[course_id],course_data[title],"")</f>
        <v>Professional Standards</v>
      </c>
      <c r="E3491" s="5" t="str">
        <f>_xlfn.XLOOKUP(role_course_map[[#This Row],[course_id]],course_data[course_id],course_data[topic],"")</f>
        <v>SAS : Clinical Practice</v>
      </c>
      <c r="F3491" s="5" t="str">
        <f>_xlfn.XLOOKUP(role_course_map[[#This Row],[course_id]],course_data[course_id],course_data[type],"")</f>
        <v>eLearning</v>
      </c>
      <c r="K3491" t="str">
        <f>role_course_map[[#This Row],[role_id]] &amp; "|" &amp; role_course_map[[#This Row],[course_id]]</f>
        <v>R0179|999025</v>
      </c>
      <c r="L3491" t="str">
        <f>IF(COUNTIF(role_course_map[mapping_key],role_course_map[[#This Row],[mapping_key]])&gt;1,"DUPLICATE","OK")</f>
        <v>OK</v>
      </c>
      <c r="M3491" t="str">
        <f>IF(COUNTIF(role_data[role_id],role_course_map[[#This Row],[role_id]])=0, "INVALID","VALID")</f>
        <v>VALID</v>
      </c>
      <c r="N3491" t="str">
        <f>IF(COUNTIF(course_data[course_id],role_course_map[[#This Row],[course_id]])=0, "INVALID","VALID")</f>
        <v>VALID</v>
      </c>
    </row>
    <row r="3492" spans="1:14" x14ac:dyDescent="0.35">
      <c r="A3492" t="s">
        <v>374</v>
      </c>
      <c r="B3492" s="5" t="str">
        <f>_xlfn.XLOOKUP(role_course_map[[#This Row],[role_id]], role_data[role_id], role_data[Role],"")</f>
        <v>Associate Director</v>
      </c>
      <c r="C3492">
        <v>999026</v>
      </c>
      <c r="D3492" s="5" t="str">
        <f>_xlfn.XLOOKUP(role_course_map[[#This Row],[course_id]],course_data[course_id],course_data[title],"")</f>
        <v>Communication Standards</v>
      </c>
      <c r="E3492" s="5" t="str">
        <f>_xlfn.XLOOKUP(role_course_map[[#This Row],[course_id]],course_data[course_id],course_data[topic],"")</f>
        <v>SAS : Clinical Practice</v>
      </c>
      <c r="F3492" s="5" t="str">
        <f>_xlfn.XLOOKUP(role_course_map[[#This Row],[course_id]],course_data[course_id],course_data[type],"")</f>
        <v>eLearning</v>
      </c>
      <c r="K3492" t="str">
        <f>role_course_map[[#This Row],[role_id]] &amp; "|" &amp; role_course_map[[#This Row],[course_id]]</f>
        <v>R0179|999026</v>
      </c>
      <c r="L3492" t="str">
        <f>IF(COUNTIF(role_course_map[mapping_key],role_course_map[[#This Row],[mapping_key]])&gt;1,"DUPLICATE","OK")</f>
        <v>OK</v>
      </c>
      <c r="M3492" t="str">
        <f>IF(COUNTIF(role_data[role_id],role_course_map[[#This Row],[role_id]])=0, "INVALID","VALID")</f>
        <v>VALID</v>
      </c>
      <c r="N3492" t="str">
        <f>IF(COUNTIF(course_data[course_id],role_course_map[[#This Row],[course_id]])=0, "INVALID","VALID")</f>
        <v>VALID</v>
      </c>
    </row>
    <row r="3493" spans="1:14" x14ac:dyDescent="0.35">
      <c r="A3493" t="s">
        <v>374</v>
      </c>
      <c r="B3493" s="5" t="str">
        <f>_xlfn.XLOOKUP(role_course_map[[#This Row],[role_id]], role_data[role_id], role_data[Role],"")</f>
        <v>Associate Director</v>
      </c>
      <c r="C3493">
        <v>999056</v>
      </c>
      <c r="D3493" s="5" t="str">
        <f>_xlfn.XLOOKUP(role_course_map[[#This Row],[course_id]],course_data[course_id],course_data[title],"")</f>
        <v>Driver Assessment &amp; Training</v>
      </c>
      <c r="E3493" s="5" t="str">
        <f>_xlfn.XLOOKUP(role_course_map[[#This Row],[course_id]],course_data[course_id],course_data[topic],"")</f>
        <v>SAS : Health and Safety</v>
      </c>
      <c r="F3493" s="5" t="str">
        <f>_xlfn.XLOOKUP(role_course_map[[#This Row],[course_id]],course_data[course_id],course_data[type],"")</f>
        <v>eLearning</v>
      </c>
      <c r="K3493" t="str">
        <f>role_course_map[[#This Row],[role_id]] &amp; "|" &amp; role_course_map[[#This Row],[course_id]]</f>
        <v>R0179|999056</v>
      </c>
      <c r="L3493" t="str">
        <f>IF(COUNTIF(role_course_map[mapping_key],role_course_map[[#This Row],[mapping_key]])&gt;1,"DUPLICATE","OK")</f>
        <v>OK</v>
      </c>
      <c r="M3493" t="str">
        <f>IF(COUNTIF(role_data[role_id],role_course_map[[#This Row],[role_id]])=0, "INVALID","VALID")</f>
        <v>VALID</v>
      </c>
      <c r="N3493" t="str">
        <f>IF(COUNTIF(course_data[course_id],role_course_map[[#This Row],[course_id]])=0, "INVALID","VALID")</f>
        <v>VALID</v>
      </c>
    </row>
    <row r="3494" spans="1:14" x14ac:dyDescent="0.35">
      <c r="A3494" t="s">
        <v>374</v>
      </c>
      <c r="B3494" s="5" t="str">
        <f>_xlfn.XLOOKUP(role_course_map[[#This Row],[role_id]], role_data[role_id], role_data[Role],"")</f>
        <v>Associate Director</v>
      </c>
      <c r="C3494">
        <v>999057</v>
      </c>
      <c r="D3494" s="5" t="str">
        <f>_xlfn.XLOOKUP(role_course_map[[#This Row],[course_id]],course_data[course_id],course_data[title],"")</f>
        <v>Fatigue Awareness</v>
      </c>
      <c r="E3494" s="5" t="str">
        <f>_xlfn.XLOOKUP(role_course_map[[#This Row],[course_id]],course_data[course_id],course_data[topic],"")</f>
        <v>SAS : Health and Safety</v>
      </c>
      <c r="F3494" s="5" t="str">
        <f>_xlfn.XLOOKUP(role_course_map[[#This Row],[course_id]],course_data[course_id],course_data[type],"")</f>
        <v>eLearning</v>
      </c>
      <c r="K3494" t="str">
        <f>role_course_map[[#This Row],[role_id]] &amp; "|" &amp; role_course_map[[#This Row],[course_id]]</f>
        <v>R0179|999057</v>
      </c>
      <c r="L3494" t="str">
        <f>IF(COUNTIF(role_course_map[mapping_key],role_course_map[[#This Row],[mapping_key]])&gt;1,"DUPLICATE","OK")</f>
        <v>OK</v>
      </c>
      <c r="M3494" t="str">
        <f>IF(COUNTIF(role_data[role_id],role_course_map[[#This Row],[role_id]])=0, "INVALID","VALID")</f>
        <v>VALID</v>
      </c>
      <c r="N3494" t="str">
        <f>IF(COUNTIF(course_data[course_id],role_course_map[[#This Row],[course_id]])=0, "INVALID","VALID")</f>
        <v>VALID</v>
      </c>
    </row>
    <row r="3495" spans="1:14" x14ac:dyDescent="0.35">
      <c r="A3495" t="s">
        <v>374</v>
      </c>
      <c r="B3495" s="5" t="str">
        <f>_xlfn.XLOOKUP(role_course_map[[#This Row],[role_id]], role_data[role_id], role_data[Role],"")</f>
        <v>Associate Director</v>
      </c>
      <c r="C3495">
        <v>999058</v>
      </c>
      <c r="D3495" s="5" t="str">
        <f>_xlfn.XLOOKUP(role_course_map[[#This Row],[course_id]],course_data[course_id],course_data[title],"")</f>
        <v>Stress Identification &amp; Stress Management</v>
      </c>
      <c r="E3495" s="5" t="str">
        <f>_xlfn.XLOOKUP(role_course_map[[#This Row],[course_id]],course_data[course_id],course_data[topic],"")</f>
        <v>SAS : Health and Safety</v>
      </c>
      <c r="F3495" s="5" t="str">
        <f>_xlfn.XLOOKUP(role_course_map[[#This Row],[course_id]],course_data[course_id],course_data[type],"")</f>
        <v>eLearning</v>
      </c>
      <c r="K3495" t="str">
        <f>role_course_map[[#This Row],[role_id]] &amp; "|" &amp; role_course_map[[#This Row],[course_id]]</f>
        <v>R0179|999058</v>
      </c>
      <c r="L3495" t="str">
        <f>IF(COUNTIF(role_course_map[mapping_key],role_course_map[[#This Row],[mapping_key]])&gt;1,"DUPLICATE","OK")</f>
        <v>OK</v>
      </c>
      <c r="M3495" t="str">
        <f>IF(COUNTIF(role_data[role_id],role_course_map[[#This Row],[role_id]])=0, "INVALID","VALID")</f>
        <v>VALID</v>
      </c>
      <c r="N3495" t="str">
        <f>IF(COUNTIF(course_data[course_id],role_course_map[[#This Row],[course_id]])=0, "INVALID","VALID")</f>
        <v>VALID</v>
      </c>
    </row>
    <row r="3496" spans="1:14" x14ac:dyDescent="0.35">
      <c r="A3496" t="s">
        <v>374</v>
      </c>
      <c r="B3496" s="5" t="str">
        <f>_xlfn.XLOOKUP(role_course_map[[#This Row],[role_id]], role_data[role_id], role_data[Role],"")</f>
        <v>Associate Director</v>
      </c>
      <c r="C3496">
        <v>999061</v>
      </c>
      <c r="D3496" s="5" t="str">
        <f>_xlfn.XLOOKUP(role_course_map[[#This Row],[course_id]],course_data[course_id],course_data[title],"")</f>
        <v>Skin Awareness</v>
      </c>
      <c r="E3496" s="5" t="str">
        <f>_xlfn.XLOOKUP(role_course_map[[#This Row],[course_id]],course_data[course_id],course_data[topic],"")</f>
        <v>SAS : Health and Safety</v>
      </c>
      <c r="F3496" s="5" t="str">
        <f>_xlfn.XLOOKUP(role_course_map[[#This Row],[course_id]],course_data[course_id],course_data[type],"")</f>
        <v>eLearning</v>
      </c>
      <c r="K3496" t="str">
        <f>role_course_map[[#This Row],[role_id]] &amp; "|" &amp; role_course_map[[#This Row],[course_id]]</f>
        <v>R0179|999061</v>
      </c>
      <c r="L3496" t="str">
        <f>IF(COUNTIF(role_course_map[mapping_key],role_course_map[[#This Row],[mapping_key]])&gt;1,"DUPLICATE","OK")</f>
        <v>OK</v>
      </c>
      <c r="M3496" t="str">
        <f>IF(COUNTIF(role_data[role_id],role_course_map[[#This Row],[role_id]])=0, "INVALID","VALID")</f>
        <v>VALID</v>
      </c>
      <c r="N3496" t="str">
        <f>IF(COUNTIF(course_data[course_id],role_course_map[[#This Row],[course_id]])=0, "INVALID","VALID")</f>
        <v>VALID</v>
      </c>
    </row>
    <row r="3497" spans="1:14" x14ac:dyDescent="0.35">
      <c r="A3497" t="s">
        <v>374</v>
      </c>
      <c r="B3497" s="5" t="str">
        <f>_xlfn.XLOOKUP(role_course_map[[#This Row],[role_id]], role_data[role_id], role_data[Role],"")</f>
        <v>Associate Director</v>
      </c>
      <c r="C3497">
        <v>999027</v>
      </c>
      <c r="D3497" s="5" t="str">
        <f>_xlfn.XLOOKUP(role_course_map[[#This Row],[course_id]],course_data[course_id],course_data[title],"")</f>
        <v>Manual and Patient Handling Foundation Training - Level 2</v>
      </c>
      <c r="E3497" s="5" t="str">
        <f>_xlfn.XLOOKUP(role_course_map[[#This Row],[course_id]],course_data[course_id],course_data[topic],"")</f>
        <v>SAS : Clinical Practice</v>
      </c>
      <c r="F3497" s="5" t="str">
        <f>_xlfn.XLOOKUP(role_course_map[[#This Row],[course_id]],course_data[course_id],course_data[type],"")</f>
        <v>Course</v>
      </c>
      <c r="K3497" t="str">
        <f>role_course_map[[#This Row],[role_id]] &amp; "|" &amp; role_course_map[[#This Row],[course_id]]</f>
        <v>R0179|999027</v>
      </c>
      <c r="L3497" t="str">
        <f>IF(COUNTIF(role_course_map[mapping_key],role_course_map[[#This Row],[mapping_key]])&gt;1,"DUPLICATE","OK")</f>
        <v>OK</v>
      </c>
      <c r="M3497" t="str">
        <f>IF(COUNTIF(role_data[role_id],role_course_map[[#This Row],[role_id]])=0, "INVALID","VALID")</f>
        <v>VALID</v>
      </c>
      <c r="N3497" t="str">
        <f>IF(COUNTIF(course_data[course_id],role_course_map[[#This Row],[course_id]])=0, "INVALID","VALID")</f>
        <v>VALID</v>
      </c>
    </row>
    <row r="3498" spans="1:14" x14ac:dyDescent="0.35">
      <c r="A3498" t="s">
        <v>374</v>
      </c>
      <c r="B3498" s="5" t="str">
        <f>_xlfn.XLOOKUP(role_course_map[[#This Row],[role_id]], role_data[role_id], role_data[Role],"")</f>
        <v>Associate Director</v>
      </c>
      <c r="C3498">
        <v>999028</v>
      </c>
      <c r="D3498" s="5" t="str">
        <f>_xlfn.XLOOKUP(role_course_map[[#This Row],[course_id]],course_data[course_id],course_data[title],"")</f>
        <v>Manual and Patient Handling Competency Assessment - Level 3</v>
      </c>
      <c r="E3498" s="5" t="str">
        <f>_xlfn.XLOOKUP(role_course_map[[#This Row],[course_id]],course_data[course_id],course_data[topic],"")</f>
        <v>SAS : Clinical Practice</v>
      </c>
      <c r="F3498" s="5" t="str">
        <f>_xlfn.XLOOKUP(role_course_map[[#This Row],[course_id]],course_data[course_id],course_data[type],"")</f>
        <v>Course</v>
      </c>
      <c r="K3498" t="str">
        <f>role_course_map[[#This Row],[role_id]] &amp; "|" &amp; role_course_map[[#This Row],[course_id]]</f>
        <v>R0179|999028</v>
      </c>
      <c r="L3498" t="str">
        <f>IF(COUNTIF(role_course_map[mapping_key],role_course_map[[#This Row],[mapping_key]])&gt;1,"DUPLICATE","OK")</f>
        <v>OK</v>
      </c>
      <c r="M3498" t="str">
        <f>IF(COUNTIF(role_data[role_id],role_course_map[[#This Row],[role_id]])=0, "INVALID","VALID")</f>
        <v>VALID</v>
      </c>
      <c r="N3498" t="str">
        <f>IF(COUNTIF(course_data[course_id],role_course_map[[#This Row],[course_id]])=0, "INVALID","VALID")</f>
        <v>VALID</v>
      </c>
    </row>
    <row r="3499" spans="1:14" x14ac:dyDescent="0.35">
      <c r="A3499" t="s">
        <v>374</v>
      </c>
      <c r="B3499" s="5" t="str">
        <f>_xlfn.XLOOKUP(role_course_map[[#This Row],[role_id]], role_data[role_id], role_data[Role],"")</f>
        <v>Associate Director</v>
      </c>
      <c r="C3499">
        <v>999029</v>
      </c>
      <c r="D3499" s="5" t="str">
        <f>_xlfn.XLOOKUP(role_course_map[[#This Row],[course_id]],course_data[course_id],course_data[title],"")</f>
        <v>Manual and Patient Handling Competency Assessment Theory - Level 3</v>
      </c>
      <c r="E3499" s="5" t="str">
        <f>_xlfn.XLOOKUP(role_course_map[[#This Row],[course_id]],course_data[course_id],course_data[topic],"")</f>
        <v>SAS : Clinical Practice</v>
      </c>
      <c r="F3499" s="5" t="str">
        <f>_xlfn.XLOOKUP(role_course_map[[#This Row],[course_id]],course_data[course_id],course_data[type],"")</f>
        <v>Course</v>
      </c>
      <c r="K3499" t="str">
        <f>role_course_map[[#This Row],[role_id]] &amp; "|" &amp; role_course_map[[#This Row],[course_id]]</f>
        <v>R0179|999029</v>
      </c>
      <c r="L3499" t="str">
        <f>IF(COUNTIF(role_course_map[mapping_key],role_course_map[[#This Row],[mapping_key]])&gt;1,"DUPLICATE","OK")</f>
        <v>OK</v>
      </c>
      <c r="M3499" t="str">
        <f>IF(COUNTIF(role_data[role_id],role_course_map[[#This Row],[role_id]])=0, "INVALID","VALID")</f>
        <v>VALID</v>
      </c>
      <c r="N3499" t="str">
        <f>IF(COUNTIF(course_data[course_id],role_course_map[[#This Row],[course_id]])=0, "INVALID","VALID")</f>
        <v>VALID</v>
      </c>
    </row>
    <row r="3500" spans="1:14" x14ac:dyDescent="0.35">
      <c r="A3500" t="s">
        <v>374</v>
      </c>
      <c r="B3500" s="5" t="str">
        <f>_xlfn.XLOOKUP(role_course_map[[#This Row],[role_id]], role_data[role_id], role_data[Role],"")</f>
        <v>Associate Director</v>
      </c>
      <c r="C3500" t="s">
        <v>659</v>
      </c>
      <c r="D3500" s="5" t="str">
        <f>_xlfn.XLOOKUP(role_course_map[[#This Row],[course_id]],course_data[course_id],course_data[title],"")</f>
        <v>Prevention and Management of Violence and Aggression - Breakaway training Level 2 /Restrictive movement Level 3</v>
      </c>
      <c r="E3500" s="5" t="str">
        <f>_xlfn.XLOOKUP(role_course_map[[#This Row],[course_id]],course_data[course_id],course_data[topic],"")</f>
        <v>SAS : Health and Safety</v>
      </c>
      <c r="F3500" s="5" t="str">
        <f>_xlfn.XLOOKUP(role_course_map[[#This Row],[course_id]],course_data[course_id],course_data[type],"")</f>
        <v>Course</v>
      </c>
      <c r="K3500" t="str">
        <f>role_course_map[[#This Row],[role_id]] &amp; "|" &amp; role_course_map[[#This Row],[course_id]]</f>
        <v>R0179|2025-6 edition</v>
      </c>
      <c r="L3500" t="str">
        <f>IF(COUNTIF(role_course_map[mapping_key],role_course_map[[#This Row],[mapping_key]])&gt;1,"DUPLICATE","OK")</f>
        <v>OK</v>
      </c>
      <c r="M3500" t="str">
        <f>IF(COUNTIF(role_data[role_id],role_course_map[[#This Row],[role_id]])=0, "INVALID","VALID")</f>
        <v>VALID</v>
      </c>
      <c r="N3500" t="str">
        <f>IF(COUNTIF(course_data[course_id],role_course_map[[#This Row],[course_id]])=0, "INVALID","VALID")</f>
        <v>VALID</v>
      </c>
    </row>
    <row r="3501" spans="1:14" x14ac:dyDescent="0.35">
      <c r="A3501" t="s">
        <v>374</v>
      </c>
      <c r="B3501" s="5" t="str">
        <f>_xlfn.XLOOKUP(role_course_map[[#This Row],[role_id]], role_data[role_id], role_data[Role],"")</f>
        <v>Associate Director</v>
      </c>
      <c r="C3501">
        <v>999055</v>
      </c>
      <c r="D3501" s="5" t="str">
        <f>_xlfn.XLOOKUP(role_course_map[[#This Row],[course_id]],course_data[course_id],course_data[title],"")</f>
        <v>Prevention and Management of Violence and Aggression - Refresher</v>
      </c>
      <c r="E3501" s="5" t="str">
        <f>_xlfn.XLOOKUP(role_course_map[[#This Row],[course_id]],course_data[course_id],course_data[topic],"")</f>
        <v>SAS : Health and Safety</v>
      </c>
      <c r="F3501" s="5" t="str">
        <f>_xlfn.XLOOKUP(role_course_map[[#This Row],[course_id]],course_data[course_id],course_data[type],"")</f>
        <v>Course</v>
      </c>
      <c r="K3501" t="str">
        <f>role_course_map[[#This Row],[role_id]] &amp; "|" &amp; role_course_map[[#This Row],[course_id]]</f>
        <v>R0179|999055</v>
      </c>
      <c r="L3501" t="str">
        <f>IF(COUNTIF(role_course_map[mapping_key],role_course_map[[#This Row],[mapping_key]])&gt;1,"DUPLICATE","OK")</f>
        <v>OK</v>
      </c>
      <c r="M3501" t="str">
        <f>IF(COUNTIF(role_data[role_id],role_course_map[[#This Row],[role_id]])=0, "INVALID","VALID")</f>
        <v>VALID</v>
      </c>
      <c r="N3501" t="str">
        <f>IF(COUNTIF(course_data[course_id],role_course_map[[#This Row],[course_id]])=0, "INVALID","VALID")</f>
        <v>VALID</v>
      </c>
    </row>
    <row r="3502" spans="1:14" x14ac:dyDescent="0.35">
      <c r="A3502" t="s">
        <v>374</v>
      </c>
      <c r="B3502" s="5" t="str">
        <f>_xlfn.XLOOKUP(role_course_map[[#This Row],[role_id]], role_data[role_id], role_data[Role],"")</f>
        <v>Associate Director</v>
      </c>
      <c r="C3502">
        <v>64322</v>
      </c>
      <c r="D3502" s="5" t="str">
        <f>_xlfn.XLOOKUP(role_course_map[[#This Row],[course_id]],course_data[course_id],course_data[title],"")</f>
        <v>Adult support and protection: practice level 2 [skilled]</v>
      </c>
      <c r="E3502" s="5" t="str">
        <f>_xlfn.XLOOKUP(role_course_map[[#This Row],[course_id]],course_data[course_id],course_data[topic],"")</f>
        <v>SAS : Public Protection</v>
      </c>
      <c r="F3502" s="5" t="str">
        <f>_xlfn.XLOOKUP(role_course_map[[#This Row],[course_id]],course_data[course_id],course_data[type],"")</f>
        <v>eLearning</v>
      </c>
      <c r="K3502" t="str">
        <f>role_course_map[[#This Row],[role_id]] &amp; "|" &amp; role_course_map[[#This Row],[course_id]]</f>
        <v>R0179|64322</v>
      </c>
      <c r="L3502" t="str">
        <f>IF(COUNTIF(role_course_map[mapping_key],role_course_map[[#This Row],[mapping_key]])&gt;1,"DUPLICATE","OK")</f>
        <v>OK</v>
      </c>
      <c r="M3502" t="str">
        <f>IF(COUNTIF(role_data[role_id],role_course_map[[#This Row],[role_id]])=0, "INVALID","VALID")</f>
        <v>VALID</v>
      </c>
      <c r="N3502" t="str">
        <f>IF(COUNTIF(course_data[course_id],role_course_map[[#This Row],[course_id]])=0, "INVALID","VALID")</f>
        <v>VALID</v>
      </c>
    </row>
    <row r="3503" spans="1:14" x14ac:dyDescent="0.35">
      <c r="A3503" t="s">
        <v>374</v>
      </c>
      <c r="B3503" s="5" t="str">
        <f>_xlfn.XLOOKUP(role_course_map[[#This Row],[role_id]], role_data[role_id], role_data[Role],"")</f>
        <v>Associate Director</v>
      </c>
      <c r="C3503">
        <v>64324</v>
      </c>
      <c r="D3503" s="5" t="str">
        <f>_xlfn.XLOOKUP(role_course_map[[#This Row],[course_id]],course_data[course_id],course_data[title],"")</f>
        <v>Child protection: practice level 2 [skilled]</v>
      </c>
      <c r="E3503" s="5" t="str">
        <f>_xlfn.XLOOKUP(role_course_map[[#This Row],[course_id]],course_data[course_id],course_data[topic],"")</f>
        <v>SAS : Public Protection</v>
      </c>
      <c r="F3503" s="5" t="str">
        <f>_xlfn.XLOOKUP(role_course_map[[#This Row],[course_id]],course_data[course_id],course_data[type],"")</f>
        <v>eLearning</v>
      </c>
      <c r="K3503" t="str">
        <f>role_course_map[[#This Row],[role_id]] &amp; "|" &amp; role_course_map[[#This Row],[course_id]]</f>
        <v>R0179|64324</v>
      </c>
      <c r="L3503" t="str">
        <f>IF(COUNTIF(role_course_map[mapping_key],role_course_map[[#This Row],[mapping_key]])&gt;1,"DUPLICATE","OK")</f>
        <v>OK</v>
      </c>
      <c r="M3503" t="str">
        <f>IF(COUNTIF(role_data[role_id],role_course_map[[#This Row],[role_id]])=0, "INVALID","VALID")</f>
        <v>VALID</v>
      </c>
      <c r="N3503" t="str">
        <f>IF(COUNTIF(course_data[course_id],role_course_map[[#This Row],[course_id]])=0, "INVALID","VALID")</f>
        <v>VALID</v>
      </c>
    </row>
    <row r="3504" spans="1:14" x14ac:dyDescent="0.35">
      <c r="A3504" t="s">
        <v>374</v>
      </c>
      <c r="B3504" s="5" t="str">
        <f>_xlfn.XLOOKUP(role_course_map[[#This Row],[role_id]], role_data[role_id], role_data[Role],"")</f>
        <v>Associate Director</v>
      </c>
      <c r="C3504">
        <v>76716</v>
      </c>
      <c r="D3504" s="5" t="str">
        <f>_xlfn.XLOOKUP(role_course_map[[#This Row],[course_id]],course_data[course_id],course_data[title],"")</f>
        <v>Domestic abuse awareness training tool (DAART)</v>
      </c>
      <c r="E3504" s="5" t="str">
        <f>_xlfn.XLOOKUP(role_course_map[[#This Row],[course_id]],course_data[course_id],course_data[topic],"")</f>
        <v>SAS : Public Protection</v>
      </c>
      <c r="F3504" s="5" t="str">
        <f>_xlfn.XLOOKUP(role_course_map[[#This Row],[course_id]],course_data[course_id],course_data[type],"")</f>
        <v>eLearning</v>
      </c>
      <c r="K3504" t="str">
        <f>role_course_map[[#This Row],[role_id]] &amp; "|" &amp; role_course_map[[#This Row],[course_id]]</f>
        <v>R0179|76716</v>
      </c>
      <c r="L3504" t="str">
        <f>IF(COUNTIF(role_course_map[mapping_key],role_course_map[[#This Row],[mapping_key]])&gt;1,"DUPLICATE","OK")</f>
        <v>OK</v>
      </c>
      <c r="M3504" t="str">
        <f>IF(COUNTIF(role_data[role_id],role_course_map[[#This Row],[role_id]])=0, "INVALID","VALID")</f>
        <v>VALID</v>
      </c>
      <c r="N3504" t="str">
        <f>IF(COUNTIF(course_data[course_id],role_course_map[[#This Row],[course_id]])=0, "INVALID","VALID")</f>
        <v>VALID</v>
      </c>
    </row>
    <row r="3505" spans="1:14" x14ac:dyDescent="0.35">
      <c r="A3505" t="s">
        <v>374</v>
      </c>
      <c r="B3505" s="5" t="str">
        <f>_xlfn.XLOOKUP(role_course_map[[#This Row],[role_id]], role_data[role_id], role_data[Role],"")</f>
        <v>Associate Director</v>
      </c>
      <c r="C3505">
        <v>79666</v>
      </c>
      <c r="D3505" s="5" t="str">
        <f>_xlfn.XLOOKUP(role_course_map[[#This Row],[course_id]],course_data[course_id],course_data[title],"")</f>
        <v>Getting it right for every child (GIRFEC): informed level</v>
      </c>
      <c r="E3505" s="5" t="str">
        <f>_xlfn.XLOOKUP(role_course_map[[#This Row],[course_id]],course_data[course_id],course_data[topic],"")</f>
        <v>SAS : Public Protection</v>
      </c>
      <c r="F3505" s="5" t="str">
        <f>_xlfn.XLOOKUP(role_course_map[[#This Row],[course_id]],course_data[course_id],course_data[type],"")</f>
        <v>eLearning</v>
      </c>
      <c r="K3505" t="str">
        <f>role_course_map[[#This Row],[role_id]] &amp; "|" &amp; role_course_map[[#This Row],[course_id]]</f>
        <v>R0179|79666</v>
      </c>
      <c r="L3505" t="str">
        <f>IF(COUNTIF(role_course_map[mapping_key],role_course_map[[#This Row],[mapping_key]])&gt;1,"DUPLICATE","OK")</f>
        <v>OK</v>
      </c>
      <c r="M3505" t="str">
        <f>IF(COUNTIF(role_data[role_id],role_course_map[[#This Row],[role_id]])=0, "INVALID","VALID")</f>
        <v>VALID</v>
      </c>
      <c r="N3505" t="str">
        <f>IF(COUNTIF(course_data[course_id],role_course_map[[#This Row],[course_id]])=0, "INVALID","VALID")</f>
        <v>VALID</v>
      </c>
    </row>
    <row r="3506" spans="1:14" x14ac:dyDescent="0.35">
      <c r="A3506" t="s">
        <v>374</v>
      </c>
      <c r="B3506" s="5" t="str">
        <f>_xlfn.XLOOKUP(role_course_map[[#This Row],[role_id]], role_data[role_id], role_data[Role],"")</f>
        <v>Associate Director</v>
      </c>
      <c r="C3506">
        <v>999074</v>
      </c>
      <c r="D3506" s="5" t="str">
        <f>_xlfn.XLOOKUP(role_course_map[[#This Row],[course_id]],course_data[course_id],course_data[title],"")</f>
        <v>SAS-specific Children’s rights</v>
      </c>
      <c r="E3506" s="5" t="str">
        <f>_xlfn.XLOOKUP(role_course_map[[#This Row],[course_id]],course_data[course_id],course_data[topic],"")</f>
        <v>SAS : Public Protection</v>
      </c>
      <c r="F3506" s="5" t="str">
        <f>_xlfn.XLOOKUP(role_course_map[[#This Row],[course_id]],course_data[course_id],course_data[type],"")</f>
        <v>eLearning</v>
      </c>
      <c r="K3506" t="str">
        <f>role_course_map[[#This Row],[role_id]] &amp; "|" &amp; role_course_map[[#This Row],[course_id]]</f>
        <v>R0179|999074</v>
      </c>
      <c r="L3506" t="str">
        <f>IF(COUNTIF(role_course_map[mapping_key],role_course_map[[#This Row],[mapping_key]])&gt;1,"DUPLICATE","OK")</f>
        <v>OK</v>
      </c>
      <c r="M3506" t="str">
        <f>IF(COUNTIF(role_data[role_id],role_course_map[[#This Row],[role_id]])=0, "INVALID","VALID")</f>
        <v>VALID</v>
      </c>
      <c r="N3506" t="str">
        <f>IF(COUNTIF(course_data[course_id],role_course_map[[#This Row],[course_id]])=0, "INVALID","VALID")</f>
        <v>VALID</v>
      </c>
    </row>
    <row r="3507" spans="1:14" x14ac:dyDescent="0.35">
      <c r="A3507" t="s">
        <v>374</v>
      </c>
      <c r="B3507" s="5" t="str">
        <f>_xlfn.XLOOKUP(role_course_map[[#This Row],[role_id]], role_data[role_id], role_data[Role],"")</f>
        <v>Associate Director</v>
      </c>
      <c r="C3507">
        <v>999075</v>
      </c>
      <c r="D3507" s="5" t="str">
        <f>_xlfn.XLOOKUP(role_course_map[[#This Row],[course_id]],course_data[course_id],course_data[title],"")</f>
        <v>Multiagency local or bespoke Level 3 delivery training</v>
      </c>
      <c r="E3507" s="5" t="str">
        <f>_xlfn.XLOOKUP(role_course_map[[#This Row],[course_id]],course_data[course_id],course_data[topic],"")</f>
        <v>SAS : Public Protection</v>
      </c>
      <c r="F3507" s="5" t="str">
        <f>_xlfn.XLOOKUP(role_course_map[[#This Row],[course_id]],course_data[course_id],course_data[type],"")</f>
        <v>eLearning</v>
      </c>
      <c r="K3507" t="str">
        <f>role_course_map[[#This Row],[role_id]] &amp; "|" &amp; role_course_map[[#This Row],[course_id]]</f>
        <v>R0179|999075</v>
      </c>
      <c r="L3507" t="str">
        <f>IF(COUNTIF(role_course_map[mapping_key],role_course_map[[#This Row],[mapping_key]])&gt;1,"DUPLICATE","OK")</f>
        <v>OK</v>
      </c>
      <c r="M3507" t="str">
        <f>IF(COUNTIF(role_data[role_id],role_course_map[[#This Row],[role_id]])=0, "INVALID","VALID")</f>
        <v>VALID</v>
      </c>
      <c r="N3507" t="str">
        <f>IF(COUNTIF(course_data[course_id],role_course_map[[#This Row],[course_id]])=0, "INVALID","VALID")</f>
        <v>VALID</v>
      </c>
    </row>
    <row r="3508" spans="1:14" x14ac:dyDescent="0.35">
      <c r="A3508" t="s">
        <v>374</v>
      </c>
      <c r="B3508" s="5" t="str">
        <f>_xlfn.XLOOKUP(role_course_map[[#This Row],[role_id]], role_data[role_id], role_data[Role],"")</f>
        <v>Associate Director</v>
      </c>
      <c r="C3508">
        <v>15249</v>
      </c>
      <c r="D3508" s="5" t="str">
        <f>_xlfn.XLOOKUP(role_course_map[[#This Row],[course_id]],course_data[course_id],course_data[title],"")</f>
        <v>Human trafficking</v>
      </c>
      <c r="E3508" s="5" t="str">
        <f>_xlfn.XLOOKUP(role_course_map[[#This Row],[course_id]],course_data[course_id],course_data[topic],"")</f>
        <v>SAS : Public Protection</v>
      </c>
      <c r="F3508" s="5" t="str">
        <f>_xlfn.XLOOKUP(role_course_map[[#This Row],[course_id]],course_data[course_id],course_data[type],"")</f>
        <v>eLearning</v>
      </c>
      <c r="K3508" t="str">
        <f>role_course_map[[#This Row],[role_id]] &amp; "|" &amp; role_course_map[[#This Row],[course_id]]</f>
        <v>R0179|15249</v>
      </c>
      <c r="L3508" t="str">
        <f>IF(COUNTIF(role_course_map[mapping_key],role_course_map[[#This Row],[mapping_key]])&gt;1,"DUPLICATE","OK")</f>
        <v>OK</v>
      </c>
      <c r="M3508" t="str">
        <f>IF(COUNTIF(role_data[role_id],role_course_map[[#This Row],[role_id]])=0, "INVALID","VALID")</f>
        <v>VALID</v>
      </c>
      <c r="N3508" t="str">
        <f>IF(COUNTIF(course_data[course_id],role_course_map[[#This Row],[course_id]])=0, "INVALID","VALID")</f>
        <v>VALID</v>
      </c>
    </row>
    <row r="3509" spans="1:14" x14ac:dyDescent="0.35">
      <c r="A3509" t="s">
        <v>374</v>
      </c>
      <c r="B3509" s="5" t="str">
        <f>_xlfn.XLOOKUP(role_course_map[[#This Row],[role_id]], role_data[role_id], role_data[Role],"")</f>
        <v>Associate Director</v>
      </c>
      <c r="C3509">
        <v>89161</v>
      </c>
      <c r="D3509" s="5" t="str">
        <f>_xlfn.XLOOKUP(role_course_map[[#This Row],[course_id]],course_data[course_id],course_data[title],"")</f>
        <v>Personal Protective Equipment</v>
      </c>
      <c r="E3509" s="5" t="str">
        <f>_xlfn.XLOOKUP(role_course_map[[#This Row],[course_id]],course_data[course_id],course_data[topic],"")</f>
        <v>SAS : Infection Prevention and Control (IPC)</v>
      </c>
      <c r="F3509" s="5" t="str">
        <f>_xlfn.XLOOKUP(role_course_map[[#This Row],[course_id]],course_data[course_id],course_data[type],"")</f>
        <v>eLearning</v>
      </c>
      <c r="K3509" t="str">
        <f>role_course_map[[#This Row],[role_id]] &amp; "|" &amp; role_course_map[[#This Row],[course_id]]</f>
        <v>R0179|89161</v>
      </c>
      <c r="L3509" t="str">
        <f>IF(COUNTIF(role_course_map[mapping_key],role_course_map[[#This Row],[mapping_key]])&gt;1,"DUPLICATE","OK")</f>
        <v>OK</v>
      </c>
      <c r="M3509" t="str">
        <f>IF(COUNTIF(role_data[role_id],role_course_map[[#This Row],[role_id]])=0, "INVALID","VALID")</f>
        <v>VALID</v>
      </c>
      <c r="N3509" t="str">
        <f>IF(COUNTIF(course_data[course_id],role_course_map[[#This Row],[course_id]])=0, "INVALID","VALID")</f>
        <v>VALID</v>
      </c>
    </row>
    <row r="3510" spans="1:14" x14ac:dyDescent="0.35">
      <c r="A3510" t="s">
        <v>374</v>
      </c>
      <c r="B3510" s="5" t="str">
        <f>_xlfn.XLOOKUP(role_course_map[[#This Row],[role_id]], role_data[role_id], role_data[Role],"")</f>
        <v>Associate Director</v>
      </c>
      <c r="C3510">
        <v>89157</v>
      </c>
      <c r="D3510" s="5" t="str">
        <f>_xlfn.XLOOKUP(role_course_map[[#This Row],[course_id]],course_data[course_id],course_data[title],"")</f>
        <v>Safe Management of Care Equipment</v>
      </c>
      <c r="E3510" s="5" t="str">
        <f>_xlfn.XLOOKUP(role_course_map[[#This Row],[course_id]],course_data[course_id],course_data[topic],"")</f>
        <v>SAS : Infection Prevention and Control (IPC)</v>
      </c>
      <c r="F3510" s="5" t="str">
        <f>_xlfn.XLOOKUP(role_course_map[[#This Row],[course_id]],course_data[course_id],course_data[type],"")</f>
        <v>eLearning</v>
      </c>
      <c r="K3510" t="str">
        <f>role_course_map[[#This Row],[role_id]] &amp; "|" &amp; role_course_map[[#This Row],[course_id]]</f>
        <v>R0179|89157</v>
      </c>
      <c r="L3510" t="str">
        <f>IF(COUNTIF(role_course_map[mapping_key],role_course_map[[#This Row],[mapping_key]])&gt;1,"DUPLICATE","OK")</f>
        <v>OK</v>
      </c>
      <c r="M3510" t="str">
        <f>IF(COUNTIF(role_data[role_id],role_course_map[[#This Row],[role_id]])=0, "INVALID","VALID")</f>
        <v>VALID</v>
      </c>
      <c r="N3510" t="str">
        <f>IF(COUNTIF(course_data[course_id],role_course_map[[#This Row],[course_id]])=0, "INVALID","VALID")</f>
        <v>VALID</v>
      </c>
    </row>
    <row r="3511" spans="1:14" x14ac:dyDescent="0.35">
      <c r="A3511" t="s">
        <v>374</v>
      </c>
      <c r="B3511" s="5" t="str">
        <f>_xlfn.XLOOKUP(role_course_map[[#This Row],[role_id]], role_data[role_id], role_data[Role],"")</f>
        <v>Associate Director</v>
      </c>
      <c r="C3511">
        <v>89158</v>
      </c>
      <c r="D3511" s="5" t="str">
        <f>_xlfn.XLOOKUP(role_course_map[[#This Row],[course_id]],course_data[course_id],course_data[title],"")</f>
        <v>Safe Management of Care Environment</v>
      </c>
      <c r="E3511" s="5" t="str">
        <f>_xlfn.XLOOKUP(role_course_map[[#This Row],[course_id]],course_data[course_id],course_data[topic],"")</f>
        <v>SAS : Infection Prevention and Control (IPC)</v>
      </c>
      <c r="F3511" s="5" t="str">
        <f>_xlfn.XLOOKUP(role_course_map[[#This Row],[course_id]],course_data[course_id],course_data[type],"")</f>
        <v>eLearning</v>
      </c>
      <c r="K3511" t="str">
        <f>role_course_map[[#This Row],[role_id]] &amp; "|" &amp; role_course_map[[#This Row],[course_id]]</f>
        <v>R0179|89158</v>
      </c>
      <c r="L3511" t="str">
        <f>IF(COUNTIF(role_course_map[mapping_key],role_course_map[[#This Row],[mapping_key]])&gt;1,"DUPLICATE","OK")</f>
        <v>OK</v>
      </c>
      <c r="M3511" t="str">
        <f>IF(COUNTIF(role_data[role_id],role_course_map[[#This Row],[role_id]])=0, "INVALID","VALID")</f>
        <v>VALID</v>
      </c>
      <c r="N3511" t="str">
        <f>IF(COUNTIF(course_data[course_id],role_course_map[[#This Row],[course_id]])=0, "INVALID","VALID")</f>
        <v>VALID</v>
      </c>
    </row>
    <row r="3512" spans="1:14" x14ac:dyDescent="0.35">
      <c r="A3512" t="s">
        <v>374</v>
      </c>
      <c r="B3512" s="5" t="str">
        <f>_xlfn.XLOOKUP(role_course_map[[#This Row],[role_id]], role_data[role_id], role_data[Role],"")</f>
        <v>Associate Director</v>
      </c>
      <c r="C3512">
        <v>89159</v>
      </c>
      <c r="D3512" s="5" t="str">
        <f>_xlfn.XLOOKUP(role_course_map[[#This Row],[course_id]],course_data[course_id],course_data[title],"")</f>
        <v>Safe Management of Linen</v>
      </c>
      <c r="E3512" s="5" t="str">
        <f>_xlfn.XLOOKUP(role_course_map[[#This Row],[course_id]],course_data[course_id],course_data[topic],"")</f>
        <v>SAS : Infection Prevention and Control (IPC)</v>
      </c>
      <c r="F3512" s="5" t="str">
        <f>_xlfn.XLOOKUP(role_course_map[[#This Row],[course_id]],course_data[course_id],course_data[type],"")</f>
        <v>eLearning</v>
      </c>
      <c r="K3512" t="str">
        <f>role_course_map[[#This Row],[role_id]] &amp; "|" &amp; role_course_map[[#This Row],[course_id]]</f>
        <v>R0179|89159</v>
      </c>
      <c r="L3512" t="str">
        <f>IF(COUNTIF(role_course_map[mapping_key],role_course_map[[#This Row],[mapping_key]])&gt;1,"DUPLICATE","OK")</f>
        <v>OK</v>
      </c>
      <c r="M3512" t="str">
        <f>IF(COUNTIF(role_data[role_id],role_course_map[[#This Row],[role_id]])=0, "INVALID","VALID")</f>
        <v>VALID</v>
      </c>
      <c r="N3512" t="str">
        <f>IF(COUNTIF(course_data[course_id],role_course_map[[#This Row],[course_id]])=0, "INVALID","VALID")</f>
        <v>VALID</v>
      </c>
    </row>
    <row r="3513" spans="1:14" x14ac:dyDescent="0.35">
      <c r="A3513" t="s">
        <v>374</v>
      </c>
      <c r="B3513" s="5" t="str">
        <f>_xlfn.XLOOKUP(role_course_map[[#This Row],[role_id]], role_data[role_id], role_data[Role],"")</f>
        <v>Associate Director</v>
      </c>
      <c r="C3513">
        <v>89160</v>
      </c>
      <c r="D3513" s="5" t="str">
        <f>_xlfn.XLOOKUP(role_course_map[[#This Row],[course_id]],course_data[course_id],course_data[title],"")</f>
        <v>Safe Management of blood and body fluids</v>
      </c>
      <c r="E3513" s="5" t="str">
        <f>_xlfn.XLOOKUP(role_course_map[[#This Row],[course_id]],course_data[course_id],course_data[topic],"")</f>
        <v>SAS : Infection Prevention and Control (IPC)</v>
      </c>
      <c r="F3513" s="5" t="str">
        <f>_xlfn.XLOOKUP(role_course_map[[#This Row],[course_id]],course_data[course_id],course_data[type],"")</f>
        <v>eLearning</v>
      </c>
      <c r="K3513" t="str">
        <f>role_course_map[[#This Row],[role_id]] &amp; "|" &amp; role_course_map[[#This Row],[course_id]]</f>
        <v>R0179|89160</v>
      </c>
      <c r="L3513" t="str">
        <f>IF(COUNTIF(role_course_map[mapping_key],role_course_map[[#This Row],[mapping_key]])&gt;1,"DUPLICATE","OK")</f>
        <v>OK</v>
      </c>
      <c r="M3513" t="str">
        <f>IF(COUNTIF(role_data[role_id],role_course_map[[#This Row],[role_id]])=0, "INVALID","VALID")</f>
        <v>VALID</v>
      </c>
      <c r="N3513" t="str">
        <f>IF(COUNTIF(course_data[course_id],role_course_map[[#This Row],[course_id]])=0, "INVALID","VALID")</f>
        <v>VALID</v>
      </c>
    </row>
    <row r="3514" spans="1:14" x14ac:dyDescent="0.35">
      <c r="A3514" t="s">
        <v>374</v>
      </c>
      <c r="B3514" s="5" t="str">
        <f>_xlfn.XLOOKUP(role_course_map[[#This Row],[role_id]], role_data[role_id], role_data[Role],"")</f>
        <v>Associate Director</v>
      </c>
      <c r="C3514">
        <v>89154</v>
      </c>
      <c r="D3514" s="5" t="str">
        <f>_xlfn.XLOOKUP(role_course_map[[#This Row],[course_id]],course_data[course_id],course_data[title],"")</f>
        <v>Safe disposal of waste</v>
      </c>
      <c r="E3514" s="5" t="str">
        <f>_xlfn.XLOOKUP(role_course_map[[#This Row],[course_id]],course_data[course_id],course_data[topic],"")</f>
        <v>SAS : Infection Prevention and Control (IPC)</v>
      </c>
      <c r="F3514" s="5" t="str">
        <f>_xlfn.XLOOKUP(role_course_map[[#This Row],[course_id]],course_data[course_id],course_data[type],"")</f>
        <v>eLearning</v>
      </c>
      <c r="K3514" t="str">
        <f>role_course_map[[#This Row],[role_id]] &amp; "|" &amp; role_course_map[[#This Row],[course_id]]</f>
        <v>R0179|89154</v>
      </c>
      <c r="L3514" t="str">
        <f>IF(COUNTIF(role_course_map[mapping_key],role_course_map[[#This Row],[mapping_key]])&gt;1,"DUPLICATE","OK")</f>
        <v>OK</v>
      </c>
      <c r="M3514" t="str">
        <f>IF(COUNTIF(role_data[role_id],role_course_map[[#This Row],[role_id]])=0, "INVALID","VALID")</f>
        <v>VALID</v>
      </c>
      <c r="N3514" t="str">
        <f>IF(COUNTIF(course_data[course_id],role_course_map[[#This Row],[course_id]])=0, "INVALID","VALID")</f>
        <v>VALID</v>
      </c>
    </row>
    <row r="3515" spans="1:14" x14ac:dyDescent="0.35">
      <c r="A3515" t="s">
        <v>374</v>
      </c>
      <c r="B3515" s="5" t="str">
        <f>_xlfn.XLOOKUP(role_course_map[[#This Row],[role_id]], role_data[role_id], role_data[Role],"")</f>
        <v>Associate Director</v>
      </c>
      <c r="C3515">
        <v>89155</v>
      </c>
      <c r="D3515" s="5" t="str">
        <f>_xlfn.XLOOKUP(role_course_map[[#This Row],[course_id]],course_data[course_id],course_data[title],"")</f>
        <v>Prevention &amp; management of occupational exposure</v>
      </c>
      <c r="E3515" s="5" t="str">
        <f>_xlfn.XLOOKUP(role_course_map[[#This Row],[course_id]],course_data[course_id],course_data[topic],"")</f>
        <v>SAS : Infection Prevention and Control (IPC)</v>
      </c>
      <c r="F3515" s="5" t="str">
        <f>_xlfn.XLOOKUP(role_course_map[[#This Row],[course_id]],course_data[course_id],course_data[type],"")</f>
        <v>eLearning</v>
      </c>
      <c r="K3515" t="str">
        <f>role_course_map[[#This Row],[role_id]] &amp; "|" &amp; role_course_map[[#This Row],[course_id]]</f>
        <v>R0179|89155</v>
      </c>
      <c r="L3515" t="str">
        <f>IF(COUNTIF(role_course_map[mapping_key],role_course_map[[#This Row],[mapping_key]])&gt;1,"DUPLICATE","OK")</f>
        <v>OK</v>
      </c>
      <c r="M3515" t="str">
        <f>IF(COUNTIF(role_data[role_id],role_course_map[[#This Row],[role_id]])=0, "INVALID","VALID")</f>
        <v>VALID</v>
      </c>
      <c r="N3515" t="str">
        <f>IF(COUNTIF(course_data[course_id],role_course_map[[#This Row],[course_id]])=0, "INVALID","VALID")</f>
        <v>VALID</v>
      </c>
    </row>
    <row r="3516" spans="1:14" x14ac:dyDescent="0.35">
      <c r="A3516" t="s">
        <v>374</v>
      </c>
      <c r="B3516" s="5" t="str">
        <f>_xlfn.XLOOKUP(role_course_map[[#This Row],[role_id]], role_data[role_id], role_data[Role],"")</f>
        <v>Associate Director</v>
      </c>
      <c r="C3516">
        <v>999064</v>
      </c>
      <c r="D3516" s="5" t="str">
        <f>_xlfn.XLOOKUP(role_course_map[[#This Row],[course_id]],course_data[course_id],course_data[title],"")</f>
        <v>Infection prevention and control: Clostridioides difficile infection</v>
      </c>
      <c r="E3516" s="5" t="str">
        <f>_xlfn.XLOOKUP(role_course_map[[#This Row],[course_id]],course_data[course_id],course_data[topic],"")</f>
        <v>SAS : Infection Prevention and Control (IPC)</v>
      </c>
      <c r="F3516" s="5" t="str">
        <f>_xlfn.XLOOKUP(role_course_map[[#This Row],[course_id]],course_data[course_id],course_data[type],"")</f>
        <v>eLearning</v>
      </c>
      <c r="K3516" t="str">
        <f>role_course_map[[#This Row],[role_id]] &amp; "|" &amp; role_course_map[[#This Row],[course_id]]</f>
        <v>R0179|999064</v>
      </c>
      <c r="L3516" t="str">
        <f>IF(COUNTIF(role_course_map[mapping_key],role_course_map[[#This Row],[mapping_key]])&gt;1,"DUPLICATE","OK")</f>
        <v>OK</v>
      </c>
      <c r="M3516" t="str">
        <f>IF(COUNTIF(role_data[role_id],role_course_map[[#This Row],[role_id]])=0, "INVALID","VALID")</f>
        <v>VALID</v>
      </c>
      <c r="N3516" t="str">
        <f>IF(COUNTIF(course_data[course_id],role_course_map[[#This Row],[course_id]])=0, "INVALID","VALID")</f>
        <v>VALID</v>
      </c>
    </row>
    <row r="3517" spans="1:14" x14ac:dyDescent="0.35">
      <c r="A3517" t="s">
        <v>374</v>
      </c>
      <c r="B3517" s="5" t="str">
        <f>_xlfn.XLOOKUP(role_course_map[[#This Row],[role_id]], role_data[role_id], role_data[Role],"")</f>
        <v>Associate Director</v>
      </c>
      <c r="C3517">
        <v>3588</v>
      </c>
      <c r="D3517" s="5" t="str">
        <f>_xlfn.XLOOKUP(role_course_map[[#This Row],[course_id]],course_data[course_id],course_data[title],"")</f>
        <v>Antibiotic management</v>
      </c>
      <c r="E3517" s="5" t="str">
        <f>_xlfn.XLOOKUP(role_course_map[[#This Row],[course_id]],course_data[course_id],course_data[topic],"")</f>
        <v>SAS : Clinical Practice</v>
      </c>
      <c r="F3517" s="5" t="str">
        <f>_xlfn.XLOOKUP(role_course_map[[#This Row],[course_id]],course_data[course_id],course_data[type],"")</f>
        <v>Page</v>
      </c>
      <c r="K3517" t="str">
        <f>role_course_map[[#This Row],[role_id]] &amp; "|" &amp; role_course_map[[#This Row],[course_id]]</f>
        <v>R0179|3588</v>
      </c>
      <c r="L3517" t="str">
        <f>IF(COUNTIF(role_course_map[mapping_key],role_course_map[[#This Row],[mapping_key]])&gt;1,"DUPLICATE","OK")</f>
        <v>OK</v>
      </c>
      <c r="M3517" t="str">
        <f>IF(COUNTIF(role_data[role_id],role_course_map[[#This Row],[role_id]])=0, "INVALID","VALID")</f>
        <v>VALID</v>
      </c>
      <c r="N3517" t="str">
        <f>IF(COUNTIF(course_data[course_id],role_course_map[[#This Row],[course_id]])=0, "INVALID","VALID")</f>
        <v>VALID</v>
      </c>
    </row>
    <row r="3518" spans="1:14" x14ac:dyDescent="0.35">
      <c r="A3518" t="s">
        <v>374</v>
      </c>
      <c r="B3518" s="5" t="str">
        <f>_xlfn.XLOOKUP(role_course_map[[#This Row],[role_id]], role_data[role_id], role_data[Role],"")</f>
        <v>Associate Director</v>
      </c>
      <c r="C3518">
        <v>82383</v>
      </c>
      <c r="D3518" s="5" t="str">
        <f>_xlfn.XLOOKUP(role_course_map[[#This Row],[course_id]],course_data[course_id],course_data[title],"")</f>
        <v>Aseptic technique</v>
      </c>
      <c r="E3518" s="5" t="str">
        <f>_xlfn.XLOOKUP(role_course_map[[#This Row],[course_id]],course_data[course_id],course_data[topic],"")</f>
        <v>SAS : Infection Prevention and Control (IPC)</v>
      </c>
      <c r="F3518" s="5" t="str">
        <f>_xlfn.XLOOKUP(role_course_map[[#This Row],[course_id]],course_data[course_id],course_data[type],"")</f>
        <v>eLearning</v>
      </c>
      <c r="K3518" t="str">
        <f>role_course_map[[#This Row],[role_id]] &amp; "|" &amp; role_course_map[[#This Row],[course_id]]</f>
        <v>R0179|82383</v>
      </c>
      <c r="L3518" t="str">
        <f>IF(COUNTIF(role_course_map[mapping_key],role_course_map[[#This Row],[mapping_key]])&gt;1,"DUPLICATE","OK")</f>
        <v>OK</v>
      </c>
      <c r="M3518" t="str">
        <f>IF(COUNTIF(role_data[role_id],role_course_map[[#This Row],[role_id]])=0, "INVALID","VALID")</f>
        <v>VALID</v>
      </c>
      <c r="N3518" t="str">
        <f>IF(COUNTIF(course_data[course_id],role_course_map[[#This Row],[course_id]])=0, "INVALID","VALID")</f>
        <v>VALID</v>
      </c>
    </row>
    <row r="3519" spans="1:14" x14ac:dyDescent="0.35">
      <c r="A3519" t="s">
        <v>374</v>
      </c>
      <c r="B3519" s="5" t="str">
        <f>_xlfn.XLOOKUP(role_course_map[[#This Row],[role_id]], role_data[role_id], role_data[Role],"")</f>
        <v>Associate Director</v>
      </c>
      <c r="C3519">
        <v>3886</v>
      </c>
      <c r="D3519" s="5" t="str">
        <f>_xlfn.XLOOKUP(role_course_map[[#This Row],[course_id]],course_data[course_id],course_data[title],"")</f>
        <v>Prevention and management of pressure ulcers</v>
      </c>
      <c r="E3519" s="5" t="str">
        <f>_xlfn.XLOOKUP(role_course_map[[#This Row],[course_id]],course_data[course_id],course_data[topic],"")</f>
        <v>SAS : Clinical Practice</v>
      </c>
      <c r="F3519" s="5" t="str">
        <f>_xlfn.XLOOKUP(role_course_map[[#This Row],[course_id]],course_data[course_id],course_data[type],"")</f>
        <v>Page</v>
      </c>
      <c r="K3519" t="str">
        <f>role_course_map[[#This Row],[role_id]] &amp; "|" &amp; role_course_map[[#This Row],[course_id]]</f>
        <v>R0179|3886</v>
      </c>
      <c r="L3519" t="str">
        <f>IF(COUNTIF(role_course_map[mapping_key],role_course_map[[#This Row],[mapping_key]])&gt;1,"DUPLICATE","OK")</f>
        <v>OK</v>
      </c>
      <c r="M3519" t="str">
        <f>IF(COUNTIF(role_data[role_id],role_course_map[[#This Row],[role_id]])=0, "INVALID","VALID")</f>
        <v>VALID</v>
      </c>
      <c r="N3519" t="str">
        <f>IF(COUNTIF(course_data[course_id],role_course_map[[#This Row],[course_id]])=0, "INVALID","VALID")</f>
        <v>VALID</v>
      </c>
    </row>
    <row r="3520" spans="1:14" x14ac:dyDescent="0.35">
      <c r="A3520" t="s">
        <v>374</v>
      </c>
      <c r="B3520" s="5" t="str">
        <f>_xlfn.XLOOKUP(role_course_map[[#This Row],[role_id]], role_data[role_id], role_data[Role],"")</f>
        <v>Associate Director</v>
      </c>
      <c r="C3520">
        <v>999094</v>
      </c>
      <c r="D3520" s="5" t="str">
        <f>_xlfn.XLOOKUP(role_course_map[[#This Row],[course_id]],course_data[course_id],course_data[title],"")</f>
        <v>Being well, Mind, Body &amp; Workplace</v>
      </c>
      <c r="E3520" s="5" t="str">
        <f>_xlfn.XLOOKUP(role_course_map[[#This Row],[course_id]],course_data[course_id],course_data[topic],"")</f>
        <v>SAS: Staff development and experience</v>
      </c>
      <c r="F3520" s="5" t="str">
        <f>_xlfn.XLOOKUP(role_course_map[[#This Row],[course_id]],course_data[course_id],course_data[type],"")</f>
        <v>eLearning</v>
      </c>
      <c r="K3520" t="str">
        <f>role_course_map[[#This Row],[role_id]] &amp; "|" &amp; role_course_map[[#This Row],[course_id]]</f>
        <v>R0179|999094</v>
      </c>
      <c r="L3520" t="str">
        <f>IF(COUNTIF(role_course_map[mapping_key],role_course_map[[#This Row],[mapping_key]])&gt;1,"DUPLICATE","OK")</f>
        <v>OK</v>
      </c>
      <c r="M3520" t="str">
        <f>IF(COUNTIF(role_data[role_id],role_course_map[[#This Row],[role_id]])=0, "INVALID","VALID")</f>
        <v>VALID</v>
      </c>
      <c r="N3520" t="str">
        <f>IF(COUNTIF(course_data[course_id],role_course_map[[#This Row],[course_id]])=0, "INVALID","VALID")</f>
        <v>VALID</v>
      </c>
    </row>
    <row r="3521" spans="1:14" x14ac:dyDescent="0.35">
      <c r="A3521" t="s">
        <v>170</v>
      </c>
      <c r="B3521" s="5" t="str">
        <f>_xlfn.XLOOKUP(role_course_map[[#This Row],[role_id]], role_data[role_id], role_data[Role],"")</f>
        <v>Scheduled Care Manager</v>
      </c>
      <c r="C3521">
        <v>75406</v>
      </c>
      <c r="D3521" s="5" t="str">
        <f>_xlfn.XLOOKUP(role_course_map[[#This Row],[course_id]],course_data[course_id],course_data[title],"")</f>
        <v>Foundation Leadership and Management Programme (FLMP)</v>
      </c>
      <c r="E3521" s="5" t="str">
        <f>_xlfn.XLOOKUP(role_course_map[[#This Row],[course_id]],course_data[course_id],course_data[topic],"")</f>
        <v>SAS: Staff development and experience</v>
      </c>
      <c r="F3521" s="5" t="str">
        <f>_xlfn.XLOOKUP(role_course_map[[#This Row],[course_id]],course_data[course_id],course_data[type],"")</f>
        <v>Page</v>
      </c>
      <c r="K3521" t="str">
        <f>role_course_map[[#This Row],[role_id]] &amp; "|" &amp; role_course_map[[#This Row],[course_id]]</f>
        <v>R0079|75406</v>
      </c>
      <c r="L3521" t="str">
        <f>IF(COUNTIF(role_course_map[mapping_key],role_course_map[[#This Row],[mapping_key]])&gt;1,"DUPLICATE","OK")</f>
        <v>OK</v>
      </c>
      <c r="M3521" t="str">
        <f>IF(COUNTIF(role_data[role_id],role_course_map[[#This Row],[role_id]])=0, "INVALID","VALID")</f>
        <v>VALID</v>
      </c>
      <c r="N3521" t="str">
        <f>IF(COUNTIF(course_data[course_id],role_course_map[[#This Row],[course_id]])=0, "INVALID","VALID")</f>
        <v>VALID</v>
      </c>
    </row>
    <row r="3522" spans="1:14" x14ac:dyDescent="0.35">
      <c r="A3522" t="s">
        <v>170</v>
      </c>
      <c r="B3522" s="5" t="str">
        <f>_xlfn.XLOOKUP(role_course_map[[#This Row],[role_id]], role_data[role_id], role_data[Role],"")</f>
        <v>Scheduled Care Manager</v>
      </c>
      <c r="C3522">
        <v>999057</v>
      </c>
      <c r="D3522" s="5" t="str">
        <f>_xlfn.XLOOKUP(role_course_map[[#This Row],[course_id]],course_data[course_id],course_data[title],"")</f>
        <v>Fatigue Awareness</v>
      </c>
      <c r="E3522" s="5" t="str">
        <f>_xlfn.XLOOKUP(role_course_map[[#This Row],[course_id]],course_data[course_id],course_data[topic],"")</f>
        <v>SAS : Health and Safety</v>
      </c>
      <c r="F3522" s="5" t="str">
        <f>_xlfn.XLOOKUP(role_course_map[[#This Row],[course_id]],course_data[course_id],course_data[type],"")</f>
        <v>eLearning</v>
      </c>
      <c r="K3522" t="str">
        <f>role_course_map[[#This Row],[role_id]] &amp; "|" &amp; role_course_map[[#This Row],[course_id]]</f>
        <v>R0079|999057</v>
      </c>
      <c r="L3522" t="str">
        <f>IF(COUNTIF(role_course_map[mapping_key],role_course_map[[#This Row],[mapping_key]])&gt;1,"DUPLICATE","OK")</f>
        <v>OK</v>
      </c>
      <c r="M3522" t="str">
        <f>IF(COUNTIF(role_data[role_id],role_course_map[[#This Row],[role_id]])=0, "INVALID","VALID")</f>
        <v>VALID</v>
      </c>
      <c r="N3522" t="str">
        <f>IF(COUNTIF(course_data[course_id],role_course_map[[#This Row],[course_id]])=0, "INVALID","VALID")</f>
        <v>VALID</v>
      </c>
    </row>
    <row r="3523" spans="1:14" x14ac:dyDescent="0.35">
      <c r="A3523" t="s">
        <v>170</v>
      </c>
      <c r="B3523" s="5" t="str">
        <f>_xlfn.XLOOKUP(role_course_map[[#This Row],[role_id]], role_data[role_id], role_data[Role],"")</f>
        <v>Scheduled Care Manager</v>
      </c>
      <c r="C3523">
        <v>999058</v>
      </c>
      <c r="D3523" s="5" t="str">
        <f>_xlfn.XLOOKUP(role_course_map[[#This Row],[course_id]],course_data[course_id],course_data[title],"")</f>
        <v>Stress Identification &amp; Stress Management</v>
      </c>
      <c r="E3523" s="5" t="str">
        <f>_xlfn.XLOOKUP(role_course_map[[#This Row],[course_id]],course_data[course_id],course_data[topic],"")</f>
        <v>SAS : Health and Safety</v>
      </c>
      <c r="F3523" s="5" t="str">
        <f>_xlfn.XLOOKUP(role_course_map[[#This Row],[course_id]],course_data[course_id],course_data[type],"")</f>
        <v>eLearning</v>
      </c>
      <c r="K3523" t="str">
        <f>role_course_map[[#This Row],[role_id]] &amp; "|" &amp; role_course_map[[#This Row],[course_id]]</f>
        <v>R0079|999058</v>
      </c>
      <c r="L3523" t="str">
        <f>IF(COUNTIF(role_course_map[mapping_key],role_course_map[[#This Row],[mapping_key]])&gt;1,"DUPLICATE","OK")</f>
        <v>OK</v>
      </c>
      <c r="M3523" t="str">
        <f>IF(COUNTIF(role_data[role_id],role_course_map[[#This Row],[role_id]])=0, "INVALID","VALID")</f>
        <v>VALID</v>
      </c>
      <c r="N3523" t="str">
        <f>IF(COUNTIF(course_data[course_id],role_course_map[[#This Row],[course_id]])=0, "INVALID","VALID")</f>
        <v>VALID</v>
      </c>
    </row>
    <row r="3524" spans="1:14" x14ac:dyDescent="0.35">
      <c r="A3524" t="s">
        <v>170</v>
      </c>
      <c r="B3524" s="5" t="str">
        <f>_xlfn.XLOOKUP(role_course_map[[#This Row],[role_id]], role_data[role_id], role_data[Role],"")</f>
        <v>Scheduled Care Manager</v>
      </c>
      <c r="C3524">
        <v>999056</v>
      </c>
      <c r="D3524" s="5" t="str">
        <f>_xlfn.XLOOKUP(role_course_map[[#This Row],[course_id]],course_data[course_id],course_data[title],"")</f>
        <v>Driver Assessment &amp; Training</v>
      </c>
      <c r="E3524" s="5" t="str">
        <f>_xlfn.XLOOKUP(role_course_map[[#This Row],[course_id]],course_data[course_id],course_data[topic],"")</f>
        <v>SAS : Health and Safety</v>
      </c>
      <c r="F3524" s="5" t="str">
        <f>_xlfn.XLOOKUP(role_course_map[[#This Row],[course_id]],course_data[course_id],course_data[type],"")</f>
        <v>eLearning</v>
      </c>
      <c r="K3524" t="str">
        <f>role_course_map[[#This Row],[role_id]] &amp; "|" &amp; role_course_map[[#This Row],[course_id]]</f>
        <v>R0079|999056</v>
      </c>
      <c r="L3524" t="str">
        <f>IF(COUNTIF(role_course_map[mapping_key],role_course_map[[#This Row],[mapping_key]])&gt;1,"DUPLICATE","OK")</f>
        <v>OK</v>
      </c>
      <c r="M3524" t="str">
        <f>IF(COUNTIF(role_data[role_id],role_course_map[[#This Row],[role_id]])=0, "INVALID","VALID")</f>
        <v>VALID</v>
      </c>
      <c r="N3524" t="str">
        <f>IF(COUNTIF(course_data[course_id],role_course_map[[#This Row],[course_id]])=0, "INVALID","VALID")</f>
        <v>VALID</v>
      </c>
    </row>
    <row r="3525" spans="1:14" x14ac:dyDescent="0.35">
      <c r="A3525" t="s">
        <v>170</v>
      </c>
      <c r="B3525" s="5" t="str">
        <f>_xlfn.XLOOKUP(role_course_map[[#This Row],[role_id]], role_data[role_id], role_data[Role],"")</f>
        <v>Scheduled Care Manager</v>
      </c>
      <c r="C3525">
        <v>64322</v>
      </c>
      <c r="D3525" s="5" t="str">
        <f>_xlfn.XLOOKUP(role_course_map[[#This Row],[course_id]],course_data[course_id],course_data[title],"")</f>
        <v>Adult support and protection: practice level 2 [skilled]</v>
      </c>
      <c r="E3525" s="5" t="str">
        <f>_xlfn.XLOOKUP(role_course_map[[#This Row],[course_id]],course_data[course_id],course_data[topic],"")</f>
        <v>SAS : Public Protection</v>
      </c>
      <c r="F3525" s="5" t="str">
        <f>_xlfn.XLOOKUP(role_course_map[[#This Row],[course_id]],course_data[course_id],course_data[type],"")</f>
        <v>eLearning</v>
      </c>
      <c r="K3525" t="str">
        <f>role_course_map[[#This Row],[role_id]] &amp; "|" &amp; role_course_map[[#This Row],[course_id]]</f>
        <v>R0079|64322</v>
      </c>
      <c r="L3525" t="str">
        <f>IF(COUNTIF(role_course_map[mapping_key],role_course_map[[#This Row],[mapping_key]])&gt;1,"DUPLICATE","OK")</f>
        <v>OK</v>
      </c>
      <c r="M3525" t="str">
        <f>IF(COUNTIF(role_data[role_id],role_course_map[[#This Row],[role_id]])=0, "INVALID","VALID")</f>
        <v>VALID</v>
      </c>
      <c r="N3525" t="str">
        <f>IF(COUNTIF(course_data[course_id],role_course_map[[#This Row],[course_id]])=0, "INVALID","VALID")</f>
        <v>VALID</v>
      </c>
    </row>
    <row r="3526" spans="1:14" x14ac:dyDescent="0.35">
      <c r="A3526" t="s">
        <v>170</v>
      </c>
      <c r="B3526" s="5" t="str">
        <f>_xlfn.XLOOKUP(role_course_map[[#This Row],[role_id]], role_data[role_id], role_data[Role],"")</f>
        <v>Scheduled Care Manager</v>
      </c>
      <c r="C3526">
        <v>64324</v>
      </c>
      <c r="D3526" s="5" t="str">
        <f>_xlfn.XLOOKUP(role_course_map[[#This Row],[course_id]],course_data[course_id],course_data[title],"")</f>
        <v>Child protection: practice level 2 [skilled]</v>
      </c>
      <c r="E3526" s="5" t="str">
        <f>_xlfn.XLOOKUP(role_course_map[[#This Row],[course_id]],course_data[course_id],course_data[topic],"")</f>
        <v>SAS : Public Protection</v>
      </c>
      <c r="F3526" s="5" t="str">
        <f>_xlfn.XLOOKUP(role_course_map[[#This Row],[course_id]],course_data[course_id],course_data[type],"")</f>
        <v>eLearning</v>
      </c>
      <c r="K3526" t="str">
        <f>role_course_map[[#This Row],[role_id]] &amp; "|" &amp; role_course_map[[#This Row],[course_id]]</f>
        <v>R0079|64324</v>
      </c>
      <c r="L3526" t="str">
        <f>IF(COUNTIF(role_course_map[mapping_key],role_course_map[[#This Row],[mapping_key]])&gt;1,"DUPLICATE","OK")</f>
        <v>OK</v>
      </c>
      <c r="M3526" t="str">
        <f>IF(COUNTIF(role_data[role_id],role_course_map[[#This Row],[role_id]])=0, "INVALID","VALID")</f>
        <v>VALID</v>
      </c>
      <c r="N3526" t="str">
        <f>IF(COUNTIF(course_data[course_id],role_course_map[[#This Row],[course_id]])=0, "INVALID","VALID")</f>
        <v>VALID</v>
      </c>
    </row>
    <row r="3527" spans="1:14" x14ac:dyDescent="0.35">
      <c r="A3527" t="s">
        <v>170</v>
      </c>
      <c r="B3527" s="5" t="str">
        <f>_xlfn.XLOOKUP(role_course_map[[#This Row],[role_id]], role_data[role_id], role_data[Role],"")</f>
        <v>Scheduled Care Manager</v>
      </c>
      <c r="C3527">
        <v>76716</v>
      </c>
      <c r="D3527" s="5" t="str">
        <f>_xlfn.XLOOKUP(role_course_map[[#This Row],[course_id]],course_data[course_id],course_data[title],"")</f>
        <v>Domestic abuse awareness training tool (DAART)</v>
      </c>
      <c r="E3527" s="5" t="str">
        <f>_xlfn.XLOOKUP(role_course_map[[#This Row],[course_id]],course_data[course_id],course_data[topic],"")</f>
        <v>SAS : Public Protection</v>
      </c>
      <c r="F3527" s="5" t="str">
        <f>_xlfn.XLOOKUP(role_course_map[[#This Row],[course_id]],course_data[course_id],course_data[type],"")</f>
        <v>eLearning</v>
      </c>
      <c r="K3527" t="str">
        <f>role_course_map[[#This Row],[role_id]] &amp; "|" &amp; role_course_map[[#This Row],[course_id]]</f>
        <v>R0079|76716</v>
      </c>
      <c r="L3527" t="str">
        <f>IF(COUNTIF(role_course_map[mapping_key],role_course_map[[#This Row],[mapping_key]])&gt;1,"DUPLICATE","OK")</f>
        <v>OK</v>
      </c>
      <c r="M3527" t="str">
        <f>IF(COUNTIF(role_data[role_id],role_course_map[[#This Row],[role_id]])=0, "INVALID","VALID")</f>
        <v>VALID</v>
      </c>
      <c r="N3527" t="str">
        <f>IF(COUNTIF(course_data[course_id],role_course_map[[#This Row],[course_id]])=0, "INVALID","VALID")</f>
        <v>VALID</v>
      </c>
    </row>
    <row r="3528" spans="1:14" x14ac:dyDescent="0.35">
      <c r="A3528" t="s">
        <v>170</v>
      </c>
      <c r="B3528" s="5" t="str">
        <f>_xlfn.XLOOKUP(role_course_map[[#This Row],[role_id]], role_data[role_id], role_data[Role],"")</f>
        <v>Scheduled Care Manager</v>
      </c>
      <c r="C3528">
        <v>79666</v>
      </c>
      <c r="D3528" s="5" t="str">
        <f>_xlfn.XLOOKUP(role_course_map[[#This Row],[course_id]],course_data[course_id],course_data[title],"")</f>
        <v>Getting it right for every child (GIRFEC): informed level</v>
      </c>
      <c r="E3528" s="5" t="str">
        <f>_xlfn.XLOOKUP(role_course_map[[#This Row],[course_id]],course_data[course_id],course_data[topic],"")</f>
        <v>SAS : Public Protection</v>
      </c>
      <c r="F3528" s="5" t="str">
        <f>_xlfn.XLOOKUP(role_course_map[[#This Row],[course_id]],course_data[course_id],course_data[type],"")</f>
        <v>eLearning</v>
      </c>
      <c r="K3528" t="str">
        <f>role_course_map[[#This Row],[role_id]] &amp; "|" &amp; role_course_map[[#This Row],[course_id]]</f>
        <v>R0079|79666</v>
      </c>
      <c r="L3528" t="str">
        <f>IF(COUNTIF(role_course_map[mapping_key],role_course_map[[#This Row],[mapping_key]])&gt;1,"DUPLICATE","OK")</f>
        <v>OK</v>
      </c>
      <c r="M3528" t="str">
        <f>IF(COUNTIF(role_data[role_id],role_course_map[[#This Row],[role_id]])=0, "INVALID","VALID")</f>
        <v>VALID</v>
      </c>
      <c r="N3528" t="str">
        <f>IF(COUNTIF(course_data[course_id],role_course_map[[#This Row],[course_id]])=0, "INVALID","VALID")</f>
        <v>VALID</v>
      </c>
    </row>
    <row r="3529" spans="1:14" x14ac:dyDescent="0.35">
      <c r="A3529" t="s">
        <v>170</v>
      </c>
      <c r="B3529" s="5" t="str">
        <f>_xlfn.XLOOKUP(role_course_map[[#This Row],[role_id]], role_data[role_id], role_data[Role],"")</f>
        <v>Scheduled Care Manager</v>
      </c>
      <c r="C3529">
        <v>999074</v>
      </c>
      <c r="D3529" s="5" t="str">
        <f>_xlfn.XLOOKUP(role_course_map[[#This Row],[course_id]],course_data[course_id],course_data[title],"")</f>
        <v>SAS-specific Children’s rights</v>
      </c>
      <c r="E3529" s="5" t="str">
        <f>_xlfn.XLOOKUP(role_course_map[[#This Row],[course_id]],course_data[course_id],course_data[topic],"")</f>
        <v>SAS : Public Protection</v>
      </c>
      <c r="F3529" s="5" t="str">
        <f>_xlfn.XLOOKUP(role_course_map[[#This Row],[course_id]],course_data[course_id],course_data[type],"")</f>
        <v>eLearning</v>
      </c>
      <c r="K3529" t="str">
        <f>role_course_map[[#This Row],[role_id]] &amp; "|" &amp; role_course_map[[#This Row],[course_id]]</f>
        <v>R0079|999074</v>
      </c>
      <c r="L3529" t="str">
        <f>IF(COUNTIF(role_course_map[mapping_key],role_course_map[[#This Row],[mapping_key]])&gt;1,"DUPLICATE","OK")</f>
        <v>OK</v>
      </c>
      <c r="M3529" t="str">
        <f>IF(COUNTIF(role_data[role_id],role_course_map[[#This Row],[role_id]])=0, "INVALID","VALID")</f>
        <v>VALID</v>
      </c>
      <c r="N3529" t="str">
        <f>IF(COUNTIF(course_data[course_id],role_course_map[[#This Row],[course_id]])=0, "INVALID","VALID")</f>
        <v>VALID</v>
      </c>
    </row>
    <row r="3530" spans="1:14" x14ac:dyDescent="0.35">
      <c r="A3530" t="s">
        <v>170</v>
      </c>
      <c r="B3530" s="5" t="str">
        <f>_xlfn.XLOOKUP(role_course_map[[#This Row],[role_id]], role_data[role_id], role_data[Role],"")</f>
        <v>Scheduled Care Manager</v>
      </c>
      <c r="C3530">
        <v>999075</v>
      </c>
      <c r="D3530" s="5" t="str">
        <f>_xlfn.XLOOKUP(role_course_map[[#This Row],[course_id]],course_data[course_id],course_data[title],"")</f>
        <v>Multiagency local or bespoke Level 3 delivery training</v>
      </c>
      <c r="E3530" s="5" t="str">
        <f>_xlfn.XLOOKUP(role_course_map[[#This Row],[course_id]],course_data[course_id],course_data[topic],"")</f>
        <v>SAS : Public Protection</v>
      </c>
      <c r="F3530" s="5" t="str">
        <f>_xlfn.XLOOKUP(role_course_map[[#This Row],[course_id]],course_data[course_id],course_data[type],"")</f>
        <v>eLearning</v>
      </c>
      <c r="K3530" t="str">
        <f>role_course_map[[#This Row],[role_id]] &amp; "|" &amp; role_course_map[[#This Row],[course_id]]</f>
        <v>R0079|999075</v>
      </c>
      <c r="L3530" t="str">
        <f>IF(COUNTIF(role_course_map[mapping_key],role_course_map[[#This Row],[mapping_key]])&gt;1,"DUPLICATE","OK")</f>
        <v>OK</v>
      </c>
      <c r="M3530" t="str">
        <f>IF(COUNTIF(role_data[role_id],role_course_map[[#This Row],[role_id]])=0, "INVALID","VALID")</f>
        <v>VALID</v>
      </c>
      <c r="N3530" t="str">
        <f>IF(COUNTIF(course_data[course_id],role_course_map[[#This Row],[course_id]])=0, "INVALID","VALID")</f>
        <v>VALID</v>
      </c>
    </row>
    <row r="3531" spans="1:14" x14ac:dyDescent="0.35">
      <c r="A3531" t="s">
        <v>170</v>
      </c>
      <c r="B3531" s="5" t="str">
        <f>_xlfn.XLOOKUP(role_course_map[[#This Row],[role_id]], role_data[role_id], role_data[Role],"")</f>
        <v>Scheduled Care Manager</v>
      </c>
      <c r="C3531">
        <v>15249</v>
      </c>
      <c r="D3531" s="5" t="str">
        <f>_xlfn.XLOOKUP(role_course_map[[#This Row],[course_id]],course_data[course_id],course_data[title],"")</f>
        <v>Human trafficking</v>
      </c>
      <c r="E3531" s="5" t="str">
        <f>_xlfn.XLOOKUP(role_course_map[[#This Row],[course_id]],course_data[course_id],course_data[topic],"")</f>
        <v>SAS : Public Protection</v>
      </c>
      <c r="F3531" s="5" t="str">
        <f>_xlfn.XLOOKUP(role_course_map[[#This Row],[course_id]],course_data[course_id],course_data[type],"")</f>
        <v>eLearning</v>
      </c>
      <c r="K3531" t="str">
        <f>role_course_map[[#This Row],[role_id]] &amp; "|" &amp; role_course_map[[#This Row],[course_id]]</f>
        <v>R0079|15249</v>
      </c>
      <c r="L3531" t="str">
        <f>IF(COUNTIF(role_course_map[mapping_key],role_course_map[[#This Row],[mapping_key]])&gt;1,"DUPLICATE","OK")</f>
        <v>OK</v>
      </c>
      <c r="M3531" t="str">
        <f>IF(COUNTIF(role_data[role_id],role_course_map[[#This Row],[role_id]])=0, "INVALID","VALID")</f>
        <v>VALID</v>
      </c>
      <c r="N3531" t="str">
        <f>IF(COUNTIF(course_data[course_id],role_course_map[[#This Row],[course_id]])=0, "INVALID","VALID")</f>
        <v>VALID</v>
      </c>
    </row>
    <row r="3532" spans="1:14" x14ac:dyDescent="0.35">
      <c r="A3532" t="s">
        <v>170</v>
      </c>
      <c r="B3532" s="5" t="str">
        <f>_xlfn.XLOOKUP(role_course_map[[#This Row],[role_id]], role_data[role_id], role_data[Role],"")</f>
        <v>Scheduled Care Manager</v>
      </c>
      <c r="C3532">
        <v>999092</v>
      </c>
      <c r="D3532" s="5" t="str">
        <f>_xlfn.XLOOKUP(role_course_map[[#This Row],[course_id]],course_data[course_id],course_data[title],"")</f>
        <v>Health &amp; Wellbeing Awareness for Managers</v>
      </c>
      <c r="E3532" s="5" t="str">
        <f>_xlfn.XLOOKUP(role_course_map[[#This Row],[course_id]],course_data[course_id],course_data[topic],"")</f>
        <v>SAS: Staff development and experience</v>
      </c>
      <c r="F3532" s="5" t="str">
        <f>_xlfn.XLOOKUP(role_course_map[[#This Row],[course_id]],course_data[course_id],course_data[type],"")</f>
        <v>eLearning</v>
      </c>
      <c r="K3532" t="str">
        <f>role_course_map[[#This Row],[role_id]] &amp; "|" &amp; role_course_map[[#This Row],[course_id]]</f>
        <v>R0079|999092</v>
      </c>
      <c r="L3532" t="str">
        <f>IF(COUNTIF(role_course_map[mapping_key],role_course_map[[#This Row],[mapping_key]])&gt;1,"DUPLICATE","OK")</f>
        <v>OK</v>
      </c>
      <c r="M3532" t="str">
        <f>IF(COUNTIF(role_data[role_id],role_course_map[[#This Row],[role_id]])=0, "INVALID","VALID")</f>
        <v>VALID</v>
      </c>
      <c r="N3532" t="str">
        <f>IF(COUNTIF(course_data[course_id],role_course_map[[#This Row],[course_id]])=0, "INVALID","VALID")</f>
        <v>VALID</v>
      </c>
    </row>
    <row r="3533" spans="1:14" x14ac:dyDescent="0.35">
      <c r="A3533" t="s">
        <v>170</v>
      </c>
      <c r="B3533" s="5" t="str">
        <f>_xlfn.XLOOKUP(role_course_map[[#This Row],[role_id]], role_data[role_id], role_data[Role],"")</f>
        <v>Scheduled Care Manager</v>
      </c>
      <c r="C3533">
        <v>999093</v>
      </c>
      <c r="D3533" s="5" t="str">
        <f>_xlfn.XLOOKUP(role_course_map[[#This Row],[course_id]],course_data[course_id],course_data[title],"")</f>
        <v>Managing Wellbeing Refresher for Managers</v>
      </c>
      <c r="E3533" s="5" t="str">
        <f>_xlfn.XLOOKUP(role_course_map[[#This Row],[course_id]],course_data[course_id],course_data[topic],"")</f>
        <v>SAS: Staff development and experience</v>
      </c>
      <c r="F3533" s="5" t="str">
        <f>_xlfn.XLOOKUP(role_course_map[[#This Row],[course_id]],course_data[course_id],course_data[type],"")</f>
        <v>eLearning</v>
      </c>
      <c r="K3533" t="str">
        <f>role_course_map[[#This Row],[role_id]] &amp; "|" &amp; role_course_map[[#This Row],[course_id]]</f>
        <v>R0079|999093</v>
      </c>
      <c r="L3533" t="str">
        <f>IF(COUNTIF(role_course_map[mapping_key],role_course_map[[#This Row],[mapping_key]])&gt;1,"DUPLICATE","OK")</f>
        <v>OK</v>
      </c>
      <c r="M3533" t="str">
        <f>IF(COUNTIF(role_data[role_id],role_course_map[[#This Row],[role_id]])=0, "INVALID","VALID")</f>
        <v>VALID</v>
      </c>
      <c r="N3533" t="str">
        <f>IF(COUNTIF(course_data[course_id],role_course_map[[#This Row],[course_id]])=0, "INVALID","VALID")</f>
        <v>VALID</v>
      </c>
    </row>
    <row r="3534" spans="1:14" x14ac:dyDescent="0.35">
      <c r="A3534" t="s">
        <v>170</v>
      </c>
      <c r="B3534" s="5" t="str">
        <f>_xlfn.XLOOKUP(role_course_map[[#This Row],[role_id]], role_data[role_id], role_data[Role],"")</f>
        <v>Scheduled Care Manager</v>
      </c>
      <c r="C3534">
        <v>999094</v>
      </c>
      <c r="D3534" s="5" t="str">
        <f>_xlfn.XLOOKUP(role_course_map[[#This Row],[course_id]],course_data[course_id],course_data[title],"")</f>
        <v>Being well, Mind, Body &amp; Workplace</v>
      </c>
      <c r="E3534" s="5" t="str">
        <f>_xlfn.XLOOKUP(role_course_map[[#This Row],[course_id]],course_data[course_id],course_data[topic],"")</f>
        <v>SAS: Staff development and experience</v>
      </c>
      <c r="F3534" s="5" t="str">
        <f>_xlfn.XLOOKUP(role_course_map[[#This Row],[course_id]],course_data[course_id],course_data[type],"")</f>
        <v>eLearning</v>
      </c>
      <c r="K3534" t="str">
        <f>role_course_map[[#This Row],[role_id]] &amp; "|" &amp; role_course_map[[#This Row],[course_id]]</f>
        <v>R0079|999094</v>
      </c>
      <c r="L3534" t="str">
        <f>IF(COUNTIF(role_course_map[mapping_key],role_course_map[[#This Row],[mapping_key]])&gt;1,"DUPLICATE","OK")</f>
        <v>OK</v>
      </c>
      <c r="M3534" t="str">
        <f>IF(COUNTIF(role_data[role_id],role_course_map[[#This Row],[role_id]])=0, "INVALID","VALID")</f>
        <v>VALID</v>
      </c>
      <c r="N3534" t="str">
        <f>IF(COUNTIF(course_data[course_id],role_course_map[[#This Row],[course_id]])=0, "INVALID","VALID")</f>
        <v>VALID</v>
      </c>
    </row>
    <row r="3535" spans="1:14" x14ac:dyDescent="0.35">
      <c r="A3535" t="s">
        <v>132</v>
      </c>
      <c r="B3535" s="5" t="str">
        <f>_xlfn.XLOOKUP(role_course_map[[#This Row],[role_id]], role_data[role_id], role_data[Role],"")</f>
        <v>Complaint Resolution team</v>
      </c>
      <c r="C3535">
        <v>999057</v>
      </c>
      <c r="D3535" s="5" t="str">
        <f>_xlfn.XLOOKUP(role_course_map[[#This Row],[course_id]],course_data[course_id],course_data[title],"")</f>
        <v>Fatigue Awareness</v>
      </c>
      <c r="E3535" s="5" t="str">
        <f>_xlfn.XLOOKUP(role_course_map[[#This Row],[course_id]],course_data[course_id],course_data[topic],"")</f>
        <v>SAS : Health and Safety</v>
      </c>
      <c r="F3535" s="5" t="str">
        <f>_xlfn.XLOOKUP(role_course_map[[#This Row],[course_id]],course_data[course_id],course_data[type],"")</f>
        <v>eLearning</v>
      </c>
      <c r="K3535" t="str">
        <f>role_course_map[[#This Row],[role_id]] &amp; "|" &amp; role_course_map[[#This Row],[course_id]]</f>
        <v>R0060|999057</v>
      </c>
      <c r="L3535" t="str">
        <f>IF(COUNTIF(role_course_map[mapping_key],role_course_map[[#This Row],[mapping_key]])&gt;1,"DUPLICATE","OK")</f>
        <v>OK</v>
      </c>
      <c r="M3535" t="str">
        <f>IF(COUNTIF(role_data[role_id],role_course_map[[#This Row],[role_id]])=0, "INVALID","VALID")</f>
        <v>VALID</v>
      </c>
      <c r="N3535" t="str">
        <f>IF(COUNTIF(course_data[course_id],role_course_map[[#This Row],[course_id]])=0, "INVALID","VALID")</f>
        <v>VALID</v>
      </c>
    </row>
    <row r="3536" spans="1:14" x14ac:dyDescent="0.35">
      <c r="A3536" t="s">
        <v>132</v>
      </c>
      <c r="B3536" s="5" t="str">
        <f>_xlfn.XLOOKUP(role_course_map[[#This Row],[role_id]], role_data[role_id], role_data[Role],"")</f>
        <v>Complaint Resolution team</v>
      </c>
      <c r="C3536">
        <v>999058</v>
      </c>
      <c r="D3536" s="5" t="str">
        <f>_xlfn.XLOOKUP(role_course_map[[#This Row],[course_id]],course_data[course_id],course_data[title],"")</f>
        <v>Stress Identification &amp; Stress Management</v>
      </c>
      <c r="E3536" s="5" t="str">
        <f>_xlfn.XLOOKUP(role_course_map[[#This Row],[course_id]],course_data[course_id],course_data[topic],"")</f>
        <v>SAS : Health and Safety</v>
      </c>
      <c r="F3536" s="5" t="str">
        <f>_xlfn.XLOOKUP(role_course_map[[#This Row],[course_id]],course_data[course_id],course_data[type],"")</f>
        <v>eLearning</v>
      </c>
      <c r="K3536" t="str">
        <f>role_course_map[[#This Row],[role_id]] &amp; "|" &amp; role_course_map[[#This Row],[course_id]]</f>
        <v>R0060|999058</v>
      </c>
      <c r="L3536" t="str">
        <f>IF(COUNTIF(role_course_map[mapping_key],role_course_map[[#This Row],[mapping_key]])&gt;1,"DUPLICATE","OK")</f>
        <v>OK</v>
      </c>
      <c r="M3536" t="str">
        <f>IF(COUNTIF(role_data[role_id],role_course_map[[#This Row],[role_id]])=0, "INVALID","VALID")</f>
        <v>VALID</v>
      </c>
      <c r="N3536" t="str">
        <f>IF(COUNTIF(course_data[course_id],role_course_map[[#This Row],[course_id]])=0, "INVALID","VALID")</f>
        <v>VALID</v>
      </c>
    </row>
    <row r="3537" spans="1:14" x14ac:dyDescent="0.35">
      <c r="A3537" t="s">
        <v>132</v>
      </c>
      <c r="B3537" s="5" t="str">
        <f>_xlfn.XLOOKUP(role_course_map[[#This Row],[role_id]], role_data[role_id], role_data[Role],"")</f>
        <v>Complaint Resolution team</v>
      </c>
      <c r="C3537">
        <v>999056</v>
      </c>
      <c r="D3537" s="5" t="str">
        <f>_xlfn.XLOOKUP(role_course_map[[#This Row],[course_id]],course_data[course_id],course_data[title],"")</f>
        <v>Driver Assessment &amp; Training</v>
      </c>
      <c r="E3537" s="5" t="str">
        <f>_xlfn.XLOOKUP(role_course_map[[#This Row],[course_id]],course_data[course_id],course_data[topic],"")</f>
        <v>SAS : Health and Safety</v>
      </c>
      <c r="F3537" s="5" t="str">
        <f>_xlfn.XLOOKUP(role_course_map[[#This Row],[course_id]],course_data[course_id],course_data[type],"")</f>
        <v>eLearning</v>
      </c>
      <c r="K3537" t="str">
        <f>role_course_map[[#This Row],[role_id]] &amp; "|" &amp; role_course_map[[#This Row],[course_id]]</f>
        <v>R0060|999056</v>
      </c>
      <c r="L3537" t="str">
        <f>IF(COUNTIF(role_course_map[mapping_key],role_course_map[[#This Row],[mapping_key]])&gt;1,"DUPLICATE","OK")</f>
        <v>OK</v>
      </c>
      <c r="M3537" t="str">
        <f>IF(COUNTIF(role_data[role_id],role_course_map[[#This Row],[role_id]])=0, "INVALID","VALID")</f>
        <v>VALID</v>
      </c>
      <c r="N3537" t="str">
        <f>IF(COUNTIF(course_data[course_id],role_course_map[[#This Row],[course_id]])=0, "INVALID","VALID")</f>
        <v>VALID</v>
      </c>
    </row>
    <row r="3538" spans="1:14" x14ac:dyDescent="0.35">
      <c r="A3538" t="s">
        <v>132</v>
      </c>
      <c r="B3538" s="5" t="str">
        <f>_xlfn.XLOOKUP(role_course_map[[#This Row],[role_id]], role_data[role_id], role_data[Role],"")</f>
        <v>Complaint Resolution team</v>
      </c>
      <c r="C3538">
        <v>64322</v>
      </c>
      <c r="D3538" s="5" t="str">
        <f>_xlfn.XLOOKUP(role_course_map[[#This Row],[course_id]],course_data[course_id],course_data[title],"")</f>
        <v>Adult support and protection: practice level 2 [skilled]</v>
      </c>
      <c r="E3538" s="5" t="str">
        <f>_xlfn.XLOOKUP(role_course_map[[#This Row],[course_id]],course_data[course_id],course_data[topic],"")</f>
        <v>SAS : Public Protection</v>
      </c>
      <c r="F3538" s="5" t="str">
        <f>_xlfn.XLOOKUP(role_course_map[[#This Row],[course_id]],course_data[course_id],course_data[type],"")</f>
        <v>eLearning</v>
      </c>
      <c r="K3538" t="str">
        <f>role_course_map[[#This Row],[role_id]] &amp; "|" &amp; role_course_map[[#This Row],[course_id]]</f>
        <v>R0060|64322</v>
      </c>
      <c r="L3538" t="str">
        <f>IF(COUNTIF(role_course_map[mapping_key],role_course_map[[#This Row],[mapping_key]])&gt;1,"DUPLICATE","OK")</f>
        <v>OK</v>
      </c>
      <c r="M3538" t="str">
        <f>IF(COUNTIF(role_data[role_id],role_course_map[[#This Row],[role_id]])=0, "INVALID","VALID")</f>
        <v>VALID</v>
      </c>
      <c r="N3538" t="str">
        <f>IF(COUNTIF(course_data[course_id],role_course_map[[#This Row],[course_id]])=0, "INVALID","VALID")</f>
        <v>VALID</v>
      </c>
    </row>
    <row r="3539" spans="1:14" x14ac:dyDescent="0.35">
      <c r="A3539" t="s">
        <v>132</v>
      </c>
      <c r="B3539" s="5" t="str">
        <f>_xlfn.XLOOKUP(role_course_map[[#This Row],[role_id]], role_data[role_id], role_data[Role],"")</f>
        <v>Complaint Resolution team</v>
      </c>
      <c r="C3539">
        <v>64324</v>
      </c>
      <c r="D3539" s="5" t="str">
        <f>_xlfn.XLOOKUP(role_course_map[[#This Row],[course_id]],course_data[course_id],course_data[title],"")</f>
        <v>Child protection: practice level 2 [skilled]</v>
      </c>
      <c r="E3539" s="5" t="str">
        <f>_xlfn.XLOOKUP(role_course_map[[#This Row],[course_id]],course_data[course_id],course_data[topic],"")</f>
        <v>SAS : Public Protection</v>
      </c>
      <c r="F3539" s="5" t="str">
        <f>_xlfn.XLOOKUP(role_course_map[[#This Row],[course_id]],course_data[course_id],course_data[type],"")</f>
        <v>eLearning</v>
      </c>
      <c r="K3539" t="str">
        <f>role_course_map[[#This Row],[role_id]] &amp; "|" &amp; role_course_map[[#This Row],[course_id]]</f>
        <v>R0060|64324</v>
      </c>
      <c r="L3539" t="str">
        <f>IF(COUNTIF(role_course_map[mapping_key],role_course_map[[#This Row],[mapping_key]])&gt;1,"DUPLICATE","OK")</f>
        <v>OK</v>
      </c>
      <c r="M3539" t="str">
        <f>IF(COUNTIF(role_data[role_id],role_course_map[[#This Row],[role_id]])=0, "INVALID","VALID")</f>
        <v>VALID</v>
      </c>
      <c r="N3539" t="str">
        <f>IF(COUNTIF(course_data[course_id],role_course_map[[#This Row],[course_id]])=0, "INVALID","VALID")</f>
        <v>VALID</v>
      </c>
    </row>
    <row r="3540" spans="1:14" x14ac:dyDescent="0.35">
      <c r="A3540" t="s">
        <v>132</v>
      </c>
      <c r="B3540" s="5" t="str">
        <f>_xlfn.XLOOKUP(role_course_map[[#This Row],[role_id]], role_data[role_id], role_data[Role],"")</f>
        <v>Complaint Resolution team</v>
      </c>
      <c r="C3540">
        <v>76716</v>
      </c>
      <c r="D3540" s="5" t="str">
        <f>_xlfn.XLOOKUP(role_course_map[[#This Row],[course_id]],course_data[course_id],course_data[title],"")</f>
        <v>Domestic abuse awareness training tool (DAART)</v>
      </c>
      <c r="E3540" s="5" t="str">
        <f>_xlfn.XLOOKUP(role_course_map[[#This Row],[course_id]],course_data[course_id],course_data[topic],"")</f>
        <v>SAS : Public Protection</v>
      </c>
      <c r="F3540" s="5" t="str">
        <f>_xlfn.XLOOKUP(role_course_map[[#This Row],[course_id]],course_data[course_id],course_data[type],"")</f>
        <v>eLearning</v>
      </c>
      <c r="K3540" t="str">
        <f>role_course_map[[#This Row],[role_id]] &amp; "|" &amp; role_course_map[[#This Row],[course_id]]</f>
        <v>R0060|76716</v>
      </c>
      <c r="L3540" t="str">
        <f>IF(COUNTIF(role_course_map[mapping_key],role_course_map[[#This Row],[mapping_key]])&gt;1,"DUPLICATE","OK")</f>
        <v>OK</v>
      </c>
      <c r="M3540" t="str">
        <f>IF(COUNTIF(role_data[role_id],role_course_map[[#This Row],[role_id]])=0, "INVALID","VALID")</f>
        <v>VALID</v>
      </c>
      <c r="N3540" t="str">
        <f>IF(COUNTIF(course_data[course_id],role_course_map[[#This Row],[course_id]])=0, "INVALID","VALID")</f>
        <v>VALID</v>
      </c>
    </row>
    <row r="3541" spans="1:14" x14ac:dyDescent="0.35">
      <c r="A3541" t="s">
        <v>132</v>
      </c>
      <c r="B3541" s="5" t="str">
        <f>_xlfn.XLOOKUP(role_course_map[[#This Row],[role_id]], role_data[role_id], role_data[Role],"")</f>
        <v>Complaint Resolution team</v>
      </c>
      <c r="C3541">
        <v>79666</v>
      </c>
      <c r="D3541" s="5" t="str">
        <f>_xlfn.XLOOKUP(role_course_map[[#This Row],[course_id]],course_data[course_id],course_data[title],"")</f>
        <v>Getting it right for every child (GIRFEC): informed level</v>
      </c>
      <c r="E3541" s="5" t="str">
        <f>_xlfn.XLOOKUP(role_course_map[[#This Row],[course_id]],course_data[course_id],course_data[topic],"")</f>
        <v>SAS : Public Protection</v>
      </c>
      <c r="F3541" s="5" t="str">
        <f>_xlfn.XLOOKUP(role_course_map[[#This Row],[course_id]],course_data[course_id],course_data[type],"")</f>
        <v>eLearning</v>
      </c>
      <c r="K3541" t="str">
        <f>role_course_map[[#This Row],[role_id]] &amp; "|" &amp; role_course_map[[#This Row],[course_id]]</f>
        <v>R0060|79666</v>
      </c>
      <c r="L3541" t="str">
        <f>IF(COUNTIF(role_course_map[mapping_key],role_course_map[[#This Row],[mapping_key]])&gt;1,"DUPLICATE","OK")</f>
        <v>OK</v>
      </c>
      <c r="M3541" t="str">
        <f>IF(COUNTIF(role_data[role_id],role_course_map[[#This Row],[role_id]])=0, "INVALID","VALID")</f>
        <v>VALID</v>
      </c>
      <c r="N3541" t="str">
        <f>IF(COUNTIF(course_data[course_id],role_course_map[[#This Row],[course_id]])=0, "INVALID","VALID")</f>
        <v>VALID</v>
      </c>
    </row>
    <row r="3542" spans="1:14" x14ac:dyDescent="0.35">
      <c r="A3542" t="s">
        <v>132</v>
      </c>
      <c r="B3542" s="5" t="str">
        <f>_xlfn.XLOOKUP(role_course_map[[#This Row],[role_id]], role_data[role_id], role_data[Role],"")</f>
        <v>Complaint Resolution team</v>
      </c>
      <c r="C3542">
        <v>999074</v>
      </c>
      <c r="D3542" s="5" t="str">
        <f>_xlfn.XLOOKUP(role_course_map[[#This Row],[course_id]],course_data[course_id],course_data[title],"")</f>
        <v>SAS-specific Children’s rights</v>
      </c>
      <c r="E3542" s="5" t="str">
        <f>_xlfn.XLOOKUP(role_course_map[[#This Row],[course_id]],course_data[course_id],course_data[topic],"")</f>
        <v>SAS : Public Protection</v>
      </c>
      <c r="F3542" s="5" t="str">
        <f>_xlfn.XLOOKUP(role_course_map[[#This Row],[course_id]],course_data[course_id],course_data[type],"")</f>
        <v>eLearning</v>
      </c>
      <c r="K3542" t="str">
        <f>role_course_map[[#This Row],[role_id]] &amp; "|" &amp; role_course_map[[#This Row],[course_id]]</f>
        <v>R0060|999074</v>
      </c>
      <c r="L3542" t="str">
        <f>IF(COUNTIF(role_course_map[mapping_key],role_course_map[[#This Row],[mapping_key]])&gt;1,"DUPLICATE","OK")</f>
        <v>OK</v>
      </c>
      <c r="M3542" t="str">
        <f>IF(COUNTIF(role_data[role_id],role_course_map[[#This Row],[role_id]])=0, "INVALID","VALID")</f>
        <v>VALID</v>
      </c>
      <c r="N3542" t="str">
        <f>IF(COUNTIF(course_data[course_id],role_course_map[[#This Row],[course_id]])=0, "INVALID","VALID")</f>
        <v>VALID</v>
      </c>
    </row>
    <row r="3543" spans="1:14" x14ac:dyDescent="0.35">
      <c r="A3543" t="s">
        <v>132</v>
      </c>
      <c r="B3543" s="5" t="str">
        <f>_xlfn.XLOOKUP(role_course_map[[#This Row],[role_id]], role_data[role_id], role_data[Role],"")</f>
        <v>Complaint Resolution team</v>
      </c>
      <c r="C3543">
        <v>999075</v>
      </c>
      <c r="D3543" s="5" t="str">
        <f>_xlfn.XLOOKUP(role_course_map[[#This Row],[course_id]],course_data[course_id],course_data[title],"")</f>
        <v>Multiagency local or bespoke Level 3 delivery training</v>
      </c>
      <c r="E3543" s="5" t="str">
        <f>_xlfn.XLOOKUP(role_course_map[[#This Row],[course_id]],course_data[course_id],course_data[topic],"")</f>
        <v>SAS : Public Protection</v>
      </c>
      <c r="F3543" s="5" t="str">
        <f>_xlfn.XLOOKUP(role_course_map[[#This Row],[course_id]],course_data[course_id],course_data[type],"")</f>
        <v>eLearning</v>
      </c>
      <c r="K3543" t="str">
        <f>role_course_map[[#This Row],[role_id]] &amp; "|" &amp; role_course_map[[#This Row],[course_id]]</f>
        <v>R0060|999075</v>
      </c>
      <c r="L3543" t="str">
        <f>IF(COUNTIF(role_course_map[mapping_key],role_course_map[[#This Row],[mapping_key]])&gt;1,"DUPLICATE","OK")</f>
        <v>OK</v>
      </c>
      <c r="M3543" t="str">
        <f>IF(COUNTIF(role_data[role_id],role_course_map[[#This Row],[role_id]])=0, "INVALID","VALID")</f>
        <v>VALID</v>
      </c>
      <c r="N3543" t="str">
        <f>IF(COUNTIF(course_data[course_id],role_course_map[[#This Row],[course_id]])=0, "INVALID","VALID")</f>
        <v>VALID</v>
      </c>
    </row>
    <row r="3544" spans="1:14" x14ac:dyDescent="0.35">
      <c r="A3544" t="s">
        <v>132</v>
      </c>
      <c r="B3544" s="5" t="str">
        <f>_xlfn.XLOOKUP(role_course_map[[#This Row],[role_id]], role_data[role_id], role_data[Role],"")</f>
        <v>Complaint Resolution team</v>
      </c>
      <c r="C3544">
        <v>15249</v>
      </c>
      <c r="D3544" s="5" t="str">
        <f>_xlfn.XLOOKUP(role_course_map[[#This Row],[course_id]],course_data[course_id],course_data[title],"")</f>
        <v>Human trafficking</v>
      </c>
      <c r="E3544" s="5" t="str">
        <f>_xlfn.XLOOKUP(role_course_map[[#This Row],[course_id]],course_data[course_id],course_data[topic],"")</f>
        <v>SAS : Public Protection</v>
      </c>
      <c r="F3544" s="5" t="str">
        <f>_xlfn.XLOOKUP(role_course_map[[#This Row],[course_id]],course_data[course_id],course_data[type],"")</f>
        <v>eLearning</v>
      </c>
      <c r="K3544" t="str">
        <f>role_course_map[[#This Row],[role_id]] &amp; "|" &amp; role_course_map[[#This Row],[course_id]]</f>
        <v>R0060|15249</v>
      </c>
      <c r="L3544" t="str">
        <f>IF(COUNTIF(role_course_map[mapping_key],role_course_map[[#This Row],[mapping_key]])&gt;1,"DUPLICATE","OK")</f>
        <v>OK</v>
      </c>
      <c r="M3544" t="str">
        <f>IF(COUNTIF(role_data[role_id],role_course_map[[#This Row],[role_id]])=0, "INVALID","VALID")</f>
        <v>VALID</v>
      </c>
      <c r="N3544" t="str">
        <f>IF(COUNTIF(course_data[course_id],role_course_map[[#This Row],[course_id]])=0, "INVALID","VALID")</f>
        <v>VALID</v>
      </c>
    </row>
    <row r="3545" spans="1:14" x14ac:dyDescent="0.35">
      <c r="A3545" t="s">
        <v>132</v>
      </c>
      <c r="B3545" s="5" t="str">
        <f>_xlfn.XLOOKUP(role_course_map[[#This Row],[role_id]], role_data[role_id], role_data[Role],"")</f>
        <v>Complaint Resolution team</v>
      </c>
      <c r="C3545">
        <v>999094</v>
      </c>
      <c r="D3545" s="5" t="str">
        <f>_xlfn.XLOOKUP(role_course_map[[#This Row],[course_id]],course_data[course_id],course_data[title],"")</f>
        <v>Being well, Mind, Body &amp; Workplace</v>
      </c>
      <c r="E3545" s="5" t="str">
        <f>_xlfn.XLOOKUP(role_course_map[[#This Row],[course_id]],course_data[course_id],course_data[topic],"")</f>
        <v>SAS: Staff development and experience</v>
      </c>
      <c r="F3545" s="5" t="str">
        <f>_xlfn.XLOOKUP(role_course_map[[#This Row],[course_id]],course_data[course_id],course_data[type],"")</f>
        <v>eLearning</v>
      </c>
      <c r="K3545" t="str">
        <f>role_course_map[[#This Row],[role_id]] &amp; "|" &amp; role_course_map[[#This Row],[course_id]]</f>
        <v>R0060|999094</v>
      </c>
      <c r="L3545" t="str">
        <f>IF(COUNTIF(role_course_map[mapping_key],role_course_map[[#This Row],[mapping_key]])&gt;1,"DUPLICATE","OK")</f>
        <v>OK</v>
      </c>
      <c r="M3545" t="str">
        <f>IF(COUNTIF(role_data[role_id],role_course_map[[#This Row],[role_id]])=0, "INVALID","VALID")</f>
        <v>VALID</v>
      </c>
      <c r="N3545" t="str">
        <f>IF(COUNTIF(course_data[course_id],role_course_map[[#This Row],[course_id]])=0, "INVALID","VALID")</f>
        <v>VALID</v>
      </c>
    </row>
    <row r="3546" spans="1:14" x14ac:dyDescent="0.35">
      <c r="A3546" t="s">
        <v>174</v>
      </c>
      <c r="B3546" s="5" t="str">
        <f>_xlfn.XLOOKUP(role_course_map[[#This Row],[role_id]], role_data[role_id], role_data[Role],"")</f>
        <v>Specialist Services Desk Call Handler</v>
      </c>
      <c r="C3546">
        <v>999057</v>
      </c>
      <c r="D3546" s="5" t="str">
        <f>_xlfn.XLOOKUP(role_course_map[[#This Row],[course_id]],course_data[course_id],course_data[title],"")</f>
        <v>Fatigue Awareness</v>
      </c>
      <c r="E3546" s="5" t="str">
        <f>_xlfn.XLOOKUP(role_course_map[[#This Row],[course_id]],course_data[course_id],course_data[topic],"")</f>
        <v>SAS : Health and Safety</v>
      </c>
      <c r="F3546" s="5" t="str">
        <f>_xlfn.XLOOKUP(role_course_map[[#This Row],[course_id]],course_data[course_id],course_data[type],"")</f>
        <v>eLearning</v>
      </c>
      <c r="K3546" t="str">
        <f>role_course_map[[#This Row],[role_id]] &amp; "|" &amp; role_course_map[[#This Row],[course_id]]</f>
        <v>R0081|999057</v>
      </c>
      <c r="L3546" t="str">
        <f>IF(COUNTIF(role_course_map[mapping_key],role_course_map[[#This Row],[mapping_key]])&gt;1,"DUPLICATE","OK")</f>
        <v>OK</v>
      </c>
      <c r="M3546" t="str">
        <f>IF(COUNTIF(role_data[role_id],role_course_map[[#This Row],[role_id]])=0, "INVALID","VALID")</f>
        <v>VALID</v>
      </c>
      <c r="N3546" t="str">
        <f>IF(COUNTIF(course_data[course_id],role_course_map[[#This Row],[course_id]])=0, "INVALID","VALID")</f>
        <v>VALID</v>
      </c>
    </row>
    <row r="3547" spans="1:14" x14ac:dyDescent="0.35">
      <c r="A3547" t="s">
        <v>174</v>
      </c>
      <c r="B3547" s="5" t="str">
        <f>_xlfn.XLOOKUP(role_course_map[[#This Row],[role_id]], role_data[role_id], role_data[Role],"")</f>
        <v>Specialist Services Desk Call Handler</v>
      </c>
      <c r="C3547">
        <v>999058</v>
      </c>
      <c r="D3547" s="5" t="str">
        <f>_xlfn.XLOOKUP(role_course_map[[#This Row],[course_id]],course_data[course_id],course_data[title],"")</f>
        <v>Stress Identification &amp; Stress Management</v>
      </c>
      <c r="E3547" s="5" t="str">
        <f>_xlfn.XLOOKUP(role_course_map[[#This Row],[course_id]],course_data[course_id],course_data[topic],"")</f>
        <v>SAS : Health and Safety</v>
      </c>
      <c r="F3547" s="5" t="str">
        <f>_xlfn.XLOOKUP(role_course_map[[#This Row],[course_id]],course_data[course_id],course_data[type],"")</f>
        <v>eLearning</v>
      </c>
      <c r="K3547" t="str">
        <f>role_course_map[[#This Row],[role_id]] &amp; "|" &amp; role_course_map[[#This Row],[course_id]]</f>
        <v>R0081|999058</v>
      </c>
      <c r="L3547" t="str">
        <f>IF(COUNTIF(role_course_map[mapping_key],role_course_map[[#This Row],[mapping_key]])&gt;1,"DUPLICATE","OK")</f>
        <v>OK</v>
      </c>
      <c r="M3547" t="str">
        <f>IF(COUNTIF(role_data[role_id],role_course_map[[#This Row],[role_id]])=0, "INVALID","VALID")</f>
        <v>VALID</v>
      </c>
      <c r="N3547" t="str">
        <f>IF(COUNTIF(course_data[course_id],role_course_map[[#This Row],[course_id]])=0, "INVALID","VALID")</f>
        <v>VALID</v>
      </c>
    </row>
    <row r="3548" spans="1:14" x14ac:dyDescent="0.35">
      <c r="A3548" t="s">
        <v>174</v>
      </c>
      <c r="B3548" s="5" t="str">
        <f>_xlfn.XLOOKUP(role_course_map[[#This Row],[role_id]], role_data[role_id], role_data[Role],"")</f>
        <v>Specialist Services Desk Call Handler</v>
      </c>
      <c r="C3548">
        <v>999056</v>
      </c>
      <c r="D3548" s="5" t="str">
        <f>_xlfn.XLOOKUP(role_course_map[[#This Row],[course_id]],course_data[course_id],course_data[title],"")</f>
        <v>Driver Assessment &amp; Training</v>
      </c>
      <c r="E3548" s="5" t="str">
        <f>_xlfn.XLOOKUP(role_course_map[[#This Row],[course_id]],course_data[course_id],course_data[topic],"")</f>
        <v>SAS : Health and Safety</v>
      </c>
      <c r="F3548" s="5" t="str">
        <f>_xlfn.XLOOKUP(role_course_map[[#This Row],[course_id]],course_data[course_id],course_data[type],"")</f>
        <v>eLearning</v>
      </c>
      <c r="K3548" t="str">
        <f>role_course_map[[#This Row],[role_id]] &amp; "|" &amp; role_course_map[[#This Row],[course_id]]</f>
        <v>R0081|999056</v>
      </c>
      <c r="L3548" t="str">
        <f>IF(COUNTIF(role_course_map[mapping_key],role_course_map[[#This Row],[mapping_key]])&gt;1,"DUPLICATE","OK")</f>
        <v>OK</v>
      </c>
      <c r="M3548" t="str">
        <f>IF(COUNTIF(role_data[role_id],role_course_map[[#This Row],[role_id]])=0, "INVALID","VALID")</f>
        <v>VALID</v>
      </c>
      <c r="N3548" t="str">
        <f>IF(COUNTIF(course_data[course_id],role_course_map[[#This Row],[course_id]])=0, "INVALID","VALID")</f>
        <v>VALID</v>
      </c>
    </row>
    <row r="3549" spans="1:14" x14ac:dyDescent="0.35">
      <c r="A3549" t="s">
        <v>174</v>
      </c>
      <c r="B3549" s="5" t="str">
        <f>_xlfn.XLOOKUP(role_course_map[[#This Row],[role_id]], role_data[role_id], role_data[Role],"")</f>
        <v>Specialist Services Desk Call Handler</v>
      </c>
      <c r="C3549">
        <v>64322</v>
      </c>
      <c r="D3549" s="5" t="str">
        <f>_xlfn.XLOOKUP(role_course_map[[#This Row],[course_id]],course_data[course_id],course_data[title],"")</f>
        <v>Adult support and protection: practice level 2 [skilled]</v>
      </c>
      <c r="E3549" s="5" t="str">
        <f>_xlfn.XLOOKUP(role_course_map[[#This Row],[course_id]],course_data[course_id],course_data[topic],"")</f>
        <v>SAS : Public Protection</v>
      </c>
      <c r="F3549" s="5" t="str">
        <f>_xlfn.XLOOKUP(role_course_map[[#This Row],[course_id]],course_data[course_id],course_data[type],"")</f>
        <v>eLearning</v>
      </c>
      <c r="K3549" t="str">
        <f>role_course_map[[#This Row],[role_id]] &amp; "|" &amp; role_course_map[[#This Row],[course_id]]</f>
        <v>R0081|64322</v>
      </c>
      <c r="L3549" t="str">
        <f>IF(COUNTIF(role_course_map[mapping_key],role_course_map[[#This Row],[mapping_key]])&gt;1,"DUPLICATE","OK")</f>
        <v>OK</v>
      </c>
      <c r="M3549" t="str">
        <f>IF(COUNTIF(role_data[role_id],role_course_map[[#This Row],[role_id]])=0, "INVALID","VALID")</f>
        <v>VALID</v>
      </c>
      <c r="N3549" t="str">
        <f>IF(COUNTIF(course_data[course_id],role_course_map[[#This Row],[course_id]])=0, "INVALID","VALID")</f>
        <v>VALID</v>
      </c>
    </row>
    <row r="3550" spans="1:14" x14ac:dyDescent="0.35">
      <c r="A3550" t="s">
        <v>174</v>
      </c>
      <c r="B3550" s="5" t="str">
        <f>_xlfn.XLOOKUP(role_course_map[[#This Row],[role_id]], role_data[role_id], role_data[Role],"")</f>
        <v>Specialist Services Desk Call Handler</v>
      </c>
      <c r="C3550">
        <v>64324</v>
      </c>
      <c r="D3550" s="5" t="str">
        <f>_xlfn.XLOOKUP(role_course_map[[#This Row],[course_id]],course_data[course_id],course_data[title],"")</f>
        <v>Child protection: practice level 2 [skilled]</v>
      </c>
      <c r="E3550" s="5" t="str">
        <f>_xlfn.XLOOKUP(role_course_map[[#This Row],[course_id]],course_data[course_id],course_data[topic],"")</f>
        <v>SAS : Public Protection</v>
      </c>
      <c r="F3550" s="5" t="str">
        <f>_xlfn.XLOOKUP(role_course_map[[#This Row],[course_id]],course_data[course_id],course_data[type],"")</f>
        <v>eLearning</v>
      </c>
      <c r="K3550" t="str">
        <f>role_course_map[[#This Row],[role_id]] &amp; "|" &amp; role_course_map[[#This Row],[course_id]]</f>
        <v>R0081|64324</v>
      </c>
      <c r="L3550" t="str">
        <f>IF(COUNTIF(role_course_map[mapping_key],role_course_map[[#This Row],[mapping_key]])&gt;1,"DUPLICATE","OK")</f>
        <v>OK</v>
      </c>
      <c r="M3550" t="str">
        <f>IF(COUNTIF(role_data[role_id],role_course_map[[#This Row],[role_id]])=0, "INVALID","VALID")</f>
        <v>VALID</v>
      </c>
      <c r="N3550" t="str">
        <f>IF(COUNTIF(course_data[course_id],role_course_map[[#This Row],[course_id]])=0, "INVALID","VALID")</f>
        <v>VALID</v>
      </c>
    </row>
    <row r="3551" spans="1:14" x14ac:dyDescent="0.35">
      <c r="A3551" t="s">
        <v>174</v>
      </c>
      <c r="B3551" s="5" t="str">
        <f>_xlfn.XLOOKUP(role_course_map[[#This Row],[role_id]], role_data[role_id], role_data[Role],"")</f>
        <v>Specialist Services Desk Call Handler</v>
      </c>
      <c r="C3551">
        <v>76716</v>
      </c>
      <c r="D3551" s="5" t="str">
        <f>_xlfn.XLOOKUP(role_course_map[[#This Row],[course_id]],course_data[course_id],course_data[title],"")</f>
        <v>Domestic abuse awareness training tool (DAART)</v>
      </c>
      <c r="E3551" s="5" t="str">
        <f>_xlfn.XLOOKUP(role_course_map[[#This Row],[course_id]],course_data[course_id],course_data[topic],"")</f>
        <v>SAS : Public Protection</v>
      </c>
      <c r="F3551" s="5" t="str">
        <f>_xlfn.XLOOKUP(role_course_map[[#This Row],[course_id]],course_data[course_id],course_data[type],"")</f>
        <v>eLearning</v>
      </c>
      <c r="K3551" t="str">
        <f>role_course_map[[#This Row],[role_id]] &amp; "|" &amp; role_course_map[[#This Row],[course_id]]</f>
        <v>R0081|76716</v>
      </c>
      <c r="L3551" t="str">
        <f>IF(COUNTIF(role_course_map[mapping_key],role_course_map[[#This Row],[mapping_key]])&gt;1,"DUPLICATE","OK")</f>
        <v>OK</v>
      </c>
      <c r="M3551" t="str">
        <f>IF(COUNTIF(role_data[role_id],role_course_map[[#This Row],[role_id]])=0, "INVALID","VALID")</f>
        <v>VALID</v>
      </c>
      <c r="N3551" t="str">
        <f>IF(COUNTIF(course_data[course_id],role_course_map[[#This Row],[course_id]])=0, "INVALID","VALID")</f>
        <v>VALID</v>
      </c>
    </row>
    <row r="3552" spans="1:14" x14ac:dyDescent="0.35">
      <c r="A3552" t="s">
        <v>174</v>
      </c>
      <c r="B3552" s="5" t="str">
        <f>_xlfn.XLOOKUP(role_course_map[[#This Row],[role_id]], role_data[role_id], role_data[Role],"")</f>
        <v>Specialist Services Desk Call Handler</v>
      </c>
      <c r="C3552">
        <v>79666</v>
      </c>
      <c r="D3552" s="5" t="str">
        <f>_xlfn.XLOOKUP(role_course_map[[#This Row],[course_id]],course_data[course_id],course_data[title],"")</f>
        <v>Getting it right for every child (GIRFEC): informed level</v>
      </c>
      <c r="E3552" s="5" t="str">
        <f>_xlfn.XLOOKUP(role_course_map[[#This Row],[course_id]],course_data[course_id],course_data[topic],"")</f>
        <v>SAS : Public Protection</v>
      </c>
      <c r="F3552" s="5" t="str">
        <f>_xlfn.XLOOKUP(role_course_map[[#This Row],[course_id]],course_data[course_id],course_data[type],"")</f>
        <v>eLearning</v>
      </c>
      <c r="K3552" t="str">
        <f>role_course_map[[#This Row],[role_id]] &amp; "|" &amp; role_course_map[[#This Row],[course_id]]</f>
        <v>R0081|79666</v>
      </c>
      <c r="L3552" t="str">
        <f>IF(COUNTIF(role_course_map[mapping_key],role_course_map[[#This Row],[mapping_key]])&gt;1,"DUPLICATE","OK")</f>
        <v>OK</v>
      </c>
      <c r="M3552" t="str">
        <f>IF(COUNTIF(role_data[role_id],role_course_map[[#This Row],[role_id]])=0, "INVALID","VALID")</f>
        <v>VALID</v>
      </c>
      <c r="N3552" t="str">
        <f>IF(COUNTIF(course_data[course_id],role_course_map[[#This Row],[course_id]])=0, "INVALID","VALID")</f>
        <v>VALID</v>
      </c>
    </row>
    <row r="3553" spans="1:14" x14ac:dyDescent="0.35">
      <c r="A3553" t="s">
        <v>174</v>
      </c>
      <c r="B3553" s="5" t="str">
        <f>_xlfn.XLOOKUP(role_course_map[[#This Row],[role_id]], role_data[role_id], role_data[Role],"")</f>
        <v>Specialist Services Desk Call Handler</v>
      </c>
      <c r="C3553">
        <v>999074</v>
      </c>
      <c r="D3553" s="5" t="str">
        <f>_xlfn.XLOOKUP(role_course_map[[#This Row],[course_id]],course_data[course_id],course_data[title],"")</f>
        <v>SAS-specific Children’s rights</v>
      </c>
      <c r="E3553" s="5" t="str">
        <f>_xlfn.XLOOKUP(role_course_map[[#This Row],[course_id]],course_data[course_id],course_data[topic],"")</f>
        <v>SAS : Public Protection</v>
      </c>
      <c r="F3553" s="5" t="str">
        <f>_xlfn.XLOOKUP(role_course_map[[#This Row],[course_id]],course_data[course_id],course_data[type],"")</f>
        <v>eLearning</v>
      </c>
      <c r="K3553" t="str">
        <f>role_course_map[[#This Row],[role_id]] &amp; "|" &amp; role_course_map[[#This Row],[course_id]]</f>
        <v>R0081|999074</v>
      </c>
      <c r="L3553" t="str">
        <f>IF(COUNTIF(role_course_map[mapping_key],role_course_map[[#This Row],[mapping_key]])&gt;1,"DUPLICATE","OK")</f>
        <v>OK</v>
      </c>
      <c r="M3553" t="str">
        <f>IF(COUNTIF(role_data[role_id],role_course_map[[#This Row],[role_id]])=0, "INVALID","VALID")</f>
        <v>VALID</v>
      </c>
      <c r="N3553" t="str">
        <f>IF(COUNTIF(course_data[course_id],role_course_map[[#This Row],[course_id]])=0, "INVALID","VALID")</f>
        <v>VALID</v>
      </c>
    </row>
    <row r="3554" spans="1:14" x14ac:dyDescent="0.35">
      <c r="A3554" t="s">
        <v>174</v>
      </c>
      <c r="B3554" s="5" t="str">
        <f>_xlfn.XLOOKUP(role_course_map[[#This Row],[role_id]], role_data[role_id], role_data[Role],"")</f>
        <v>Specialist Services Desk Call Handler</v>
      </c>
      <c r="C3554">
        <v>999075</v>
      </c>
      <c r="D3554" s="5" t="str">
        <f>_xlfn.XLOOKUP(role_course_map[[#This Row],[course_id]],course_data[course_id],course_data[title],"")</f>
        <v>Multiagency local or bespoke Level 3 delivery training</v>
      </c>
      <c r="E3554" s="5" t="str">
        <f>_xlfn.XLOOKUP(role_course_map[[#This Row],[course_id]],course_data[course_id],course_data[topic],"")</f>
        <v>SAS : Public Protection</v>
      </c>
      <c r="F3554" s="5" t="str">
        <f>_xlfn.XLOOKUP(role_course_map[[#This Row],[course_id]],course_data[course_id],course_data[type],"")</f>
        <v>eLearning</v>
      </c>
      <c r="K3554" t="str">
        <f>role_course_map[[#This Row],[role_id]] &amp; "|" &amp; role_course_map[[#This Row],[course_id]]</f>
        <v>R0081|999075</v>
      </c>
      <c r="L3554" t="str">
        <f>IF(COUNTIF(role_course_map[mapping_key],role_course_map[[#This Row],[mapping_key]])&gt;1,"DUPLICATE","OK")</f>
        <v>OK</v>
      </c>
      <c r="M3554" t="str">
        <f>IF(COUNTIF(role_data[role_id],role_course_map[[#This Row],[role_id]])=0, "INVALID","VALID")</f>
        <v>VALID</v>
      </c>
      <c r="N3554" t="str">
        <f>IF(COUNTIF(course_data[course_id],role_course_map[[#This Row],[course_id]])=0, "INVALID","VALID")</f>
        <v>VALID</v>
      </c>
    </row>
    <row r="3555" spans="1:14" x14ac:dyDescent="0.35">
      <c r="A3555" t="s">
        <v>174</v>
      </c>
      <c r="B3555" s="5" t="str">
        <f>_xlfn.XLOOKUP(role_course_map[[#This Row],[role_id]], role_data[role_id], role_data[Role],"")</f>
        <v>Specialist Services Desk Call Handler</v>
      </c>
      <c r="C3555">
        <v>15249</v>
      </c>
      <c r="D3555" s="5" t="str">
        <f>_xlfn.XLOOKUP(role_course_map[[#This Row],[course_id]],course_data[course_id],course_data[title],"")</f>
        <v>Human trafficking</v>
      </c>
      <c r="E3555" s="5" t="str">
        <f>_xlfn.XLOOKUP(role_course_map[[#This Row],[course_id]],course_data[course_id],course_data[topic],"")</f>
        <v>SAS : Public Protection</v>
      </c>
      <c r="F3555" s="5" t="str">
        <f>_xlfn.XLOOKUP(role_course_map[[#This Row],[course_id]],course_data[course_id],course_data[type],"")</f>
        <v>eLearning</v>
      </c>
      <c r="K3555" t="str">
        <f>role_course_map[[#This Row],[role_id]] &amp; "|" &amp; role_course_map[[#This Row],[course_id]]</f>
        <v>R0081|15249</v>
      </c>
      <c r="L3555" t="str">
        <f>IF(COUNTIF(role_course_map[mapping_key],role_course_map[[#This Row],[mapping_key]])&gt;1,"DUPLICATE","OK")</f>
        <v>OK</v>
      </c>
      <c r="M3555" t="str">
        <f>IF(COUNTIF(role_data[role_id],role_course_map[[#This Row],[role_id]])=0, "INVALID","VALID")</f>
        <v>VALID</v>
      </c>
      <c r="N3555" t="str">
        <f>IF(COUNTIF(course_data[course_id],role_course_map[[#This Row],[course_id]])=0, "INVALID","VALID")</f>
        <v>VALID</v>
      </c>
    </row>
    <row r="3556" spans="1:14" x14ac:dyDescent="0.35">
      <c r="A3556" t="s">
        <v>174</v>
      </c>
      <c r="B3556" s="5" t="str">
        <f>_xlfn.XLOOKUP(role_course_map[[#This Row],[role_id]], role_data[role_id], role_data[Role],"")</f>
        <v>Specialist Services Desk Call Handler</v>
      </c>
      <c r="C3556">
        <v>999094</v>
      </c>
      <c r="D3556" s="5" t="str">
        <f>_xlfn.XLOOKUP(role_course_map[[#This Row],[course_id]],course_data[course_id],course_data[title],"")</f>
        <v>Being well, Mind, Body &amp; Workplace</v>
      </c>
      <c r="E3556" s="5" t="str">
        <f>_xlfn.XLOOKUP(role_course_map[[#This Row],[course_id]],course_data[course_id],course_data[topic],"")</f>
        <v>SAS: Staff development and experience</v>
      </c>
      <c r="F3556" s="5" t="str">
        <f>_xlfn.XLOOKUP(role_course_map[[#This Row],[course_id]],course_data[course_id],course_data[type],"")</f>
        <v>eLearning</v>
      </c>
      <c r="K3556" t="str">
        <f>role_course_map[[#This Row],[role_id]] &amp; "|" &amp; role_course_map[[#This Row],[course_id]]</f>
        <v>R0081|999094</v>
      </c>
      <c r="L3556" t="str">
        <f>IF(COUNTIF(role_course_map[mapping_key],role_course_map[[#This Row],[mapping_key]])&gt;1,"DUPLICATE","OK")</f>
        <v>OK</v>
      </c>
      <c r="M3556" t="str">
        <f>IF(COUNTIF(role_data[role_id],role_course_map[[#This Row],[role_id]])=0, "INVALID","VALID")</f>
        <v>VALID</v>
      </c>
      <c r="N3556" t="str">
        <f>IF(COUNTIF(course_data[course_id],role_course_map[[#This Row],[course_id]])=0, "INVALID","VALID")</f>
        <v>VALID</v>
      </c>
    </row>
    <row r="3557" spans="1:14" x14ac:dyDescent="0.35">
      <c r="A3557" t="s">
        <v>126</v>
      </c>
      <c r="B3557" s="5" t="str">
        <f>_xlfn.XLOOKUP(role_course_map[[#This Row],[role_id]], role_data[role_id], role_data[Role],"")</f>
        <v>Call Handler Supervisor/EMD Supervisor</v>
      </c>
      <c r="C3557">
        <v>999001</v>
      </c>
      <c r="D3557" s="5" t="str">
        <f>_xlfn.XLOOKUP(role_course_map[[#This Row],[course_id]],course_data[course_id],course_data[title],"")</f>
        <v>IAED - EMD</v>
      </c>
      <c r="E3557" s="5" t="str">
        <f>_xlfn.XLOOKUP(role_course_map[[#This Row],[course_id]],course_data[course_id],course_data[topic],"")</f>
        <v>SAS : Ambulance Control Centre (ACC)</v>
      </c>
      <c r="F3557" s="5" t="str">
        <f>_xlfn.XLOOKUP(role_course_map[[#This Row],[course_id]],course_data[course_id],course_data[type],"")</f>
        <v>Course</v>
      </c>
      <c r="K3557" t="str">
        <f>role_course_map[[#This Row],[role_id]] &amp; "|" &amp; role_course_map[[#This Row],[course_id]]</f>
        <v>R0057|999001</v>
      </c>
      <c r="L3557" t="str">
        <f>IF(COUNTIF(role_course_map[mapping_key],role_course_map[[#This Row],[mapping_key]])&gt;1,"DUPLICATE","OK")</f>
        <v>OK</v>
      </c>
      <c r="M3557" t="str">
        <f>IF(COUNTIF(role_data[role_id],role_course_map[[#This Row],[role_id]])=0, "INVALID","VALID")</f>
        <v>VALID</v>
      </c>
      <c r="N3557" t="str">
        <f>IF(COUNTIF(course_data[course_id],role_course_map[[#This Row],[course_id]])=0, "INVALID","VALID")</f>
        <v>VALID</v>
      </c>
    </row>
    <row r="3558" spans="1:14" x14ac:dyDescent="0.35">
      <c r="A3558" t="s">
        <v>126</v>
      </c>
      <c r="B3558" s="5" t="str">
        <f>_xlfn.XLOOKUP(role_course_map[[#This Row],[role_id]], role_data[role_id], role_data[Role],"")</f>
        <v>Call Handler Supervisor/EMD Supervisor</v>
      </c>
      <c r="C3558">
        <v>999004</v>
      </c>
      <c r="D3558" s="5" t="str">
        <f>_xlfn.XLOOKUP(role_course_map[[#This Row],[course_id]],course_data[course_id],course_data[title],"")</f>
        <v>IAED - QA</v>
      </c>
      <c r="E3558" s="5" t="str">
        <f>_xlfn.XLOOKUP(role_course_map[[#This Row],[course_id]],course_data[course_id],course_data[topic],"")</f>
        <v>SAS : Ambulance Control Centre (ACC)</v>
      </c>
      <c r="F3558" s="5" t="str">
        <f>_xlfn.XLOOKUP(role_course_map[[#This Row],[course_id]],course_data[course_id],course_data[type],"")</f>
        <v>Course</v>
      </c>
      <c r="K3558" t="str">
        <f>role_course_map[[#This Row],[role_id]] &amp; "|" &amp; role_course_map[[#This Row],[course_id]]</f>
        <v>R0057|999004</v>
      </c>
      <c r="L3558" t="str">
        <f>IF(COUNTIF(role_course_map[mapping_key],role_course_map[[#This Row],[mapping_key]])&gt;1,"DUPLICATE","OK")</f>
        <v>OK</v>
      </c>
      <c r="M3558" t="str">
        <f>IF(COUNTIF(role_data[role_id],role_course_map[[#This Row],[role_id]])=0, "INVALID","VALID")</f>
        <v>VALID</v>
      </c>
      <c r="N3558" t="str">
        <f>IF(COUNTIF(course_data[course_id],role_course_map[[#This Row],[course_id]])=0, "INVALID","VALID")</f>
        <v>VALID</v>
      </c>
    </row>
    <row r="3559" spans="1:14" x14ac:dyDescent="0.35">
      <c r="A3559" t="s">
        <v>126</v>
      </c>
      <c r="B3559" s="5" t="str">
        <f>_xlfn.XLOOKUP(role_course_map[[#This Row],[role_id]], role_data[role_id], role_data[Role],"")</f>
        <v>Call Handler Supervisor/EMD Supervisor</v>
      </c>
      <c r="C3559">
        <v>999005</v>
      </c>
      <c r="D3559" s="5" t="str">
        <f>_xlfn.XLOOKUP(role_course_map[[#This Row],[course_id]],course_data[course_id],course_data[title],"")</f>
        <v>IAED - Mentor</v>
      </c>
      <c r="E3559" s="5" t="str">
        <f>_xlfn.XLOOKUP(role_course_map[[#This Row],[course_id]],course_data[course_id],course_data[topic],"")</f>
        <v>SAS : Ambulance Control Centre (ACC)</v>
      </c>
      <c r="F3559" s="5" t="str">
        <f>_xlfn.XLOOKUP(role_course_map[[#This Row],[course_id]],course_data[course_id],course_data[type],"")</f>
        <v>Course</v>
      </c>
      <c r="K3559" t="str">
        <f>role_course_map[[#This Row],[role_id]] &amp; "|" &amp; role_course_map[[#This Row],[course_id]]</f>
        <v>R0057|999005</v>
      </c>
      <c r="L3559" t="str">
        <f>IF(COUNTIF(role_course_map[mapping_key],role_course_map[[#This Row],[mapping_key]])&gt;1,"DUPLICATE","OK")</f>
        <v>OK</v>
      </c>
      <c r="M3559" t="str">
        <f>IF(COUNTIF(role_data[role_id],role_course_map[[#This Row],[role_id]])=0, "INVALID","VALID")</f>
        <v>VALID</v>
      </c>
      <c r="N3559" t="str">
        <f>IF(COUNTIF(course_data[course_id],role_course_map[[#This Row],[course_id]])=0, "INVALID","VALID")</f>
        <v>VALID</v>
      </c>
    </row>
    <row r="3560" spans="1:14" x14ac:dyDescent="0.35">
      <c r="A3560" t="s">
        <v>126</v>
      </c>
      <c r="B3560" s="5" t="str">
        <f>_xlfn.XLOOKUP(role_course_map[[#This Row],[role_id]], role_data[role_id], role_data[Role],"")</f>
        <v>Call Handler Supervisor/EMD Supervisor</v>
      </c>
      <c r="C3560">
        <v>75407</v>
      </c>
      <c r="D3560" s="5" t="str">
        <f>_xlfn.XLOOKUP(role_course_map[[#This Row],[course_id]],course_data[course_id],course_data[title],"")</f>
        <v>Aspirant Leader Development Programme (ALDP)</v>
      </c>
      <c r="E3560" s="5" t="str">
        <f>_xlfn.XLOOKUP(role_course_map[[#This Row],[course_id]],course_data[course_id],course_data[topic],"")</f>
        <v>SAS: Staff development and experience</v>
      </c>
      <c r="F3560" s="5" t="str">
        <f>_xlfn.XLOOKUP(role_course_map[[#This Row],[course_id]],course_data[course_id],course_data[type],"")</f>
        <v>Page</v>
      </c>
      <c r="K3560" t="str">
        <f>role_course_map[[#This Row],[role_id]] &amp; "|" &amp; role_course_map[[#This Row],[course_id]]</f>
        <v>R0057|75407</v>
      </c>
      <c r="L3560" t="str">
        <f>IF(COUNTIF(role_course_map[mapping_key],role_course_map[[#This Row],[mapping_key]])&gt;1,"DUPLICATE","OK")</f>
        <v>OK</v>
      </c>
      <c r="M3560" t="str">
        <f>IF(COUNTIF(role_data[role_id],role_course_map[[#This Row],[role_id]])=0, "INVALID","VALID")</f>
        <v>VALID</v>
      </c>
      <c r="N3560" t="str">
        <f>IF(COUNTIF(course_data[course_id],role_course_map[[#This Row],[course_id]])=0, "INVALID","VALID")</f>
        <v>VALID</v>
      </c>
    </row>
    <row r="3561" spans="1:14" x14ac:dyDescent="0.35">
      <c r="A3561" t="s">
        <v>126</v>
      </c>
      <c r="B3561" s="5" t="str">
        <f>_xlfn.XLOOKUP(role_course_map[[#This Row],[role_id]], role_data[role_id], role_data[Role],"")</f>
        <v>Call Handler Supervisor/EMD Supervisor</v>
      </c>
      <c r="C3561">
        <v>999057</v>
      </c>
      <c r="D3561" s="5" t="str">
        <f>_xlfn.XLOOKUP(role_course_map[[#This Row],[course_id]],course_data[course_id],course_data[title],"")</f>
        <v>Fatigue Awareness</v>
      </c>
      <c r="E3561" s="5" t="str">
        <f>_xlfn.XLOOKUP(role_course_map[[#This Row],[course_id]],course_data[course_id],course_data[topic],"")</f>
        <v>SAS : Health and Safety</v>
      </c>
      <c r="F3561" s="5" t="str">
        <f>_xlfn.XLOOKUP(role_course_map[[#This Row],[course_id]],course_data[course_id],course_data[type],"")</f>
        <v>eLearning</v>
      </c>
      <c r="K3561" t="str">
        <f>role_course_map[[#This Row],[role_id]] &amp; "|" &amp; role_course_map[[#This Row],[course_id]]</f>
        <v>R0057|999057</v>
      </c>
      <c r="L3561" t="str">
        <f>IF(COUNTIF(role_course_map[mapping_key],role_course_map[[#This Row],[mapping_key]])&gt;1,"DUPLICATE","OK")</f>
        <v>OK</v>
      </c>
      <c r="M3561" t="str">
        <f>IF(COUNTIF(role_data[role_id],role_course_map[[#This Row],[role_id]])=0, "INVALID","VALID")</f>
        <v>VALID</v>
      </c>
      <c r="N3561" t="str">
        <f>IF(COUNTIF(course_data[course_id],role_course_map[[#This Row],[course_id]])=0, "INVALID","VALID")</f>
        <v>VALID</v>
      </c>
    </row>
    <row r="3562" spans="1:14" x14ac:dyDescent="0.35">
      <c r="A3562" t="s">
        <v>126</v>
      </c>
      <c r="B3562" s="5" t="str">
        <f>_xlfn.XLOOKUP(role_course_map[[#This Row],[role_id]], role_data[role_id], role_data[Role],"")</f>
        <v>Call Handler Supervisor/EMD Supervisor</v>
      </c>
      <c r="C3562">
        <v>999058</v>
      </c>
      <c r="D3562" s="5" t="str">
        <f>_xlfn.XLOOKUP(role_course_map[[#This Row],[course_id]],course_data[course_id],course_data[title],"")</f>
        <v>Stress Identification &amp; Stress Management</v>
      </c>
      <c r="E3562" s="5" t="str">
        <f>_xlfn.XLOOKUP(role_course_map[[#This Row],[course_id]],course_data[course_id],course_data[topic],"")</f>
        <v>SAS : Health and Safety</v>
      </c>
      <c r="F3562" s="5" t="str">
        <f>_xlfn.XLOOKUP(role_course_map[[#This Row],[course_id]],course_data[course_id],course_data[type],"")</f>
        <v>eLearning</v>
      </c>
      <c r="K3562" t="str">
        <f>role_course_map[[#This Row],[role_id]] &amp; "|" &amp; role_course_map[[#This Row],[course_id]]</f>
        <v>R0057|999058</v>
      </c>
      <c r="L3562" t="str">
        <f>IF(COUNTIF(role_course_map[mapping_key],role_course_map[[#This Row],[mapping_key]])&gt;1,"DUPLICATE","OK")</f>
        <v>OK</v>
      </c>
      <c r="M3562" t="str">
        <f>IF(COUNTIF(role_data[role_id],role_course_map[[#This Row],[role_id]])=0, "INVALID","VALID")</f>
        <v>VALID</v>
      </c>
      <c r="N3562" t="str">
        <f>IF(COUNTIF(course_data[course_id],role_course_map[[#This Row],[course_id]])=0, "INVALID","VALID")</f>
        <v>VALID</v>
      </c>
    </row>
    <row r="3563" spans="1:14" x14ac:dyDescent="0.35">
      <c r="A3563" t="s">
        <v>126</v>
      </c>
      <c r="B3563" s="5" t="str">
        <f>_xlfn.XLOOKUP(role_course_map[[#This Row],[role_id]], role_data[role_id], role_data[Role],"")</f>
        <v>Call Handler Supervisor/EMD Supervisor</v>
      </c>
      <c r="C3563">
        <v>999056</v>
      </c>
      <c r="D3563" s="5" t="str">
        <f>_xlfn.XLOOKUP(role_course_map[[#This Row],[course_id]],course_data[course_id],course_data[title],"")</f>
        <v>Driver Assessment &amp; Training</v>
      </c>
      <c r="E3563" s="5" t="str">
        <f>_xlfn.XLOOKUP(role_course_map[[#This Row],[course_id]],course_data[course_id],course_data[topic],"")</f>
        <v>SAS : Health and Safety</v>
      </c>
      <c r="F3563" s="5" t="str">
        <f>_xlfn.XLOOKUP(role_course_map[[#This Row],[course_id]],course_data[course_id],course_data[type],"")</f>
        <v>eLearning</v>
      </c>
      <c r="K3563" t="str">
        <f>role_course_map[[#This Row],[role_id]] &amp; "|" &amp; role_course_map[[#This Row],[course_id]]</f>
        <v>R0057|999056</v>
      </c>
      <c r="L3563" t="str">
        <f>IF(COUNTIF(role_course_map[mapping_key],role_course_map[[#This Row],[mapping_key]])&gt;1,"DUPLICATE","OK")</f>
        <v>OK</v>
      </c>
      <c r="M3563" t="str">
        <f>IF(COUNTIF(role_data[role_id],role_course_map[[#This Row],[role_id]])=0, "INVALID","VALID")</f>
        <v>VALID</v>
      </c>
      <c r="N3563" t="str">
        <f>IF(COUNTIF(course_data[course_id],role_course_map[[#This Row],[course_id]])=0, "INVALID","VALID")</f>
        <v>VALID</v>
      </c>
    </row>
    <row r="3564" spans="1:14" x14ac:dyDescent="0.35">
      <c r="A3564" t="s">
        <v>126</v>
      </c>
      <c r="B3564" s="5" t="str">
        <f>_xlfn.XLOOKUP(role_course_map[[#This Row],[role_id]], role_data[role_id], role_data[Role],"")</f>
        <v>Call Handler Supervisor/EMD Supervisor</v>
      </c>
      <c r="C3564">
        <v>64322</v>
      </c>
      <c r="D3564" s="5" t="str">
        <f>_xlfn.XLOOKUP(role_course_map[[#This Row],[course_id]],course_data[course_id],course_data[title],"")</f>
        <v>Adult support and protection: practice level 2 [skilled]</v>
      </c>
      <c r="E3564" s="5" t="str">
        <f>_xlfn.XLOOKUP(role_course_map[[#This Row],[course_id]],course_data[course_id],course_data[topic],"")</f>
        <v>SAS : Public Protection</v>
      </c>
      <c r="F3564" s="5" t="str">
        <f>_xlfn.XLOOKUP(role_course_map[[#This Row],[course_id]],course_data[course_id],course_data[type],"")</f>
        <v>eLearning</v>
      </c>
      <c r="K3564" t="str">
        <f>role_course_map[[#This Row],[role_id]] &amp; "|" &amp; role_course_map[[#This Row],[course_id]]</f>
        <v>R0057|64322</v>
      </c>
      <c r="L3564" t="str">
        <f>IF(COUNTIF(role_course_map[mapping_key],role_course_map[[#This Row],[mapping_key]])&gt;1,"DUPLICATE","OK")</f>
        <v>OK</v>
      </c>
      <c r="M3564" t="str">
        <f>IF(COUNTIF(role_data[role_id],role_course_map[[#This Row],[role_id]])=0, "INVALID","VALID")</f>
        <v>VALID</v>
      </c>
      <c r="N3564" t="str">
        <f>IF(COUNTIF(course_data[course_id],role_course_map[[#This Row],[course_id]])=0, "INVALID","VALID")</f>
        <v>VALID</v>
      </c>
    </row>
    <row r="3565" spans="1:14" x14ac:dyDescent="0.35">
      <c r="A3565" t="s">
        <v>126</v>
      </c>
      <c r="B3565" s="5" t="str">
        <f>_xlfn.XLOOKUP(role_course_map[[#This Row],[role_id]], role_data[role_id], role_data[Role],"")</f>
        <v>Call Handler Supervisor/EMD Supervisor</v>
      </c>
      <c r="C3565">
        <v>64324</v>
      </c>
      <c r="D3565" s="5" t="str">
        <f>_xlfn.XLOOKUP(role_course_map[[#This Row],[course_id]],course_data[course_id],course_data[title],"")</f>
        <v>Child protection: practice level 2 [skilled]</v>
      </c>
      <c r="E3565" s="5" t="str">
        <f>_xlfn.XLOOKUP(role_course_map[[#This Row],[course_id]],course_data[course_id],course_data[topic],"")</f>
        <v>SAS : Public Protection</v>
      </c>
      <c r="F3565" s="5" t="str">
        <f>_xlfn.XLOOKUP(role_course_map[[#This Row],[course_id]],course_data[course_id],course_data[type],"")</f>
        <v>eLearning</v>
      </c>
      <c r="K3565" t="str">
        <f>role_course_map[[#This Row],[role_id]] &amp; "|" &amp; role_course_map[[#This Row],[course_id]]</f>
        <v>R0057|64324</v>
      </c>
      <c r="L3565" t="str">
        <f>IF(COUNTIF(role_course_map[mapping_key],role_course_map[[#This Row],[mapping_key]])&gt;1,"DUPLICATE","OK")</f>
        <v>OK</v>
      </c>
      <c r="M3565" t="str">
        <f>IF(COUNTIF(role_data[role_id],role_course_map[[#This Row],[role_id]])=0, "INVALID","VALID")</f>
        <v>VALID</v>
      </c>
      <c r="N3565" t="str">
        <f>IF(COUNTIF(course_data[course_id],role_course_map[[#This Row],[course_id]])=0, "INVALID","VALID")</f>
        <v>VALID</v>
      </c>
    </row>
    <row r="3566" spans="1:14" x14ac:dyDescent="0.35">
      <c r="A3566" t="s">
        <v>126</v>
      </c>
      <c r="B3566" s="5" t="str">
        <f>_xlfn.XLOOKUP(role_course_map[[#This Row],[role_id]], role_data[role_id], role_data[Role],"")</f>
        <v>Call Handler Supervisor/EMD Supervisor</v>
      </c>
      <c r="C3566">
        <v>76716</v>
      </c>
      <c r="D3566" s="5" t="str">
        <f>_xlfn.XLOOKUP(role_course_map[[#This Row],[course_id]],course_data[course_id],course_data[title],"")</f>
        <v>Domestic abuse awareness training tool (DAART)</v>
      </c>
      <c r="E3566" s="5" t="str">
        <f>_xlfn.XLOOKUP(role_course_map[[#This Row],[course_id]],course_data[course_id],course_data[topic],"")</f>
        <v>SAS : Public Protection</v>
      </c>
      <c r="F3566" s="5" t="str">
        <f>_xlfn.XLOOKUP(role_course_map[[#This Row],[course_id]],course_data[course_id],course_data[type],"")</f>
        <v>eLearning</v>
      </c>
      <c r="K3566" t="str">
        <f>role_course_map[[#This Row],[role_id]] &amp; "|" &amp; role_course_map[[#This Row],[course_id]]</f>
        <v>R0057|76716</v>
      </c>
      <c r="L3566" t="str">
        <f>IF(COUNTIF(role_course_map[mapping_key],role_course_map[[#This Row],[mapping_key]])&gt;1,"DUPLICATE","OK")</f>
        <v>OK</v>
      </c>
      <c r="M3566" t="str">
        <f>IF(COUNTIF(role_data[role_id],role_course_map[[#This Row],[role_id]])=0, "INVALID","VALID")</f>
        <v>VALID</v>
      </c>
      <c r="N3566" t="str">
        <f>IF(COUNTIF(course_data[course_id],role_course_map[[#This Row],[course_id]])=0, "INVALID","VALID")</f>
        <v>VALID</v>
      </c>
    </row>
    <row r="3567" spans="1:14" x14ac:dyDescent="0.35">
      <c r="A3567" t="s">
        <v>126</v>
      </c>
      <c r="B3567" s="5" t="str">
        <f>_xlfn.XLOOKUP(role_course_map[[#This Row],[role_id]], role_data[role_id], role_data[Role],"")</f>
        <v>Call Handler Supervisor/EMD Supervisor</v>
      </c>
      <c r="C3567">
        <v>79666</v>
      </c>
      <c r="D3567" s="5" t="str">
        <f>_xlfn.XLOOKUP(role_course_map[[#This Row],[course_id]],course_data[course_id],course_data[title],"")</f>
        <v>Getting it right for every child (GIRFEC): informed level</v>
      </c>
      <c r="E3567" s="5" t="str">
        <f>_xlfn.XLOOKUP(role_course_map[[#This Row],[course_id]],course_data[course_id],course_data[topic],"")</f>
        <v>SAS : Public Protection</v>
      </c>
      <c r="F3567" s="5" t="str">
        <f>_xlfn.XLOOKUP(role_course_map[[#This Row],[course_id]],course_data[course_id],course_data[type],"")</f>
        <v>eLearning</v>
      </c>
      <c r="K3567" t="str">
        <f>role_course_map[[#This Row],[role_id]] &amp; "|" &amp; role_course_map[[#This Row],[course_id]]</f>
        <v>R0057|79666</v>
      </c>
      <c r="L3567" t="str">
        <f>IF(COUNTIF(role_course_map[mapping_key],role_course_map[[#This Row],[mapping_key]])&gt;1,"DUPLICATE","OK")</f>
        <v>OK</v>
      </c>
      <c r="M3567" t="str">
        <f>IF(COUNTIF(role_data[role_id],role_course_map[[#This Row],[role_id]])=0, "INVALID","VALID")</f>
        <v>VALID</v>
      </c>
      <c r="N3567" t="str">
        <f>IF(COUNTIF(course_data[course_id],role_course_map[[#This Row],[course_id]])=0, "INVALID","VALID")</f>
        <v>VALID</v>
      </c>
    </row>
    <row r="3568" spans="1:14" x14ac:dyDescent="0.35">
      <c r="A3568" t="s">
        <v>126</v>
      </c>
      <c r="B3568" s="5" t="str">
        <f>_xlfn.XLOOKUP(role_course_map[[#This Row],[role_id]], role_data[role_id], role_data[Role],"")</f>
        <v>Call Handler Supervisor/EMD Supervisor</v>
      </c>
      <c r="C3568">
        <v>999074</v>
      </c>
      <c r="D3568" s="5" t="str">
        <f>_xlfn.XLOOKUP(role_course_map[[#This Row],[course_id]],course_data[course_id],course_data[title],"")</f>
        <v>SAS-specific Children’s rights</v>
      </c>
      <c r="E3568" s="5" t="str">
        <f>_xlfn.XLOOKUP(role_course_map[[#This Row],[course_id]],course_data[course_id],course_data[topic],"")</f>
        <v>SAS : Public Protection</v>
      </c>
      <c r="F3568" s="5" t="str">
        <f>_xlfn.XLOOKUP(role_course_map[[#This Row],[course_id]],course_data[course_id],course_data[type],"")</f>
        <v>eLearning</v>
      </c>
      <c r="K3568" t="str">
        <f>role_course_map[[#This Row],[role_id]] &amp; "|" &amp; role_course_map[[#This Row],[course_id]]</f>
        <v>R0057|999074</v>
      </c>
      <c r="L3568" t="str">
        <f>IF(COUNTIF(role_course_map[mapping_key],role_course_map[[#This Row],[mapping_key]])&gt;1,"DUPLICATE","OK")</f>
        <v>OK</v>
      </c>
      <c r="M3568" t="str">
        <f>IF(COUNTIF(role_data[role_id],role_course_map[[#This Row],[role_id]])=0, "INVALID","VALID")</f>
        <v>VALID</v>
      </c>
      <c r="N3568" t="str">
        <f>IF(COUNTIF(course_data[course_id],role_course_map[[#This Row],[course_id]])=0, "INVALID","VALID")</f>
        <v>VALID</v>
      </c>
    </row>
    <row r="3569" spans="1:14" x14ac:dyDescent="0.35">
      <c r="A3569" t="s">
        <v>126</v>
      </c>
      <c r="B3569" s="5" t="str">
        <f>_xlfn.XLOOKUP(role_course_map[[#This Row],[role_id]], role_data[role_id], role_data[Role],"")</f>
        <v>Call Handler Supervisor/EMD Supervisor</v>
      </c>
      <c r="C3569">
        <v>999075</v>
      </c>
      <c r="D3569" s="5" t="str">
        <f>_xlfn.XLOOKUP(role_course_map[[#This Row],[course_id]],course_data[course_id],course_data[title],"")</f>
        <v>Multiagency local or bespoke Level 3 delivery training</v>
      </c>
      <c r="E3569" s="5" t="str">
        <f>_xlfn.XLOOKUP(role_course_map[[#This Row],[course_id]],course_data[course_id],course_data[topic],"")</f>
        <v>SAS : Public Protection</v>
      </c>
      <c r="F3569" s="5" t="str">
        <f>_xlfn.XLOOKUP(role_course_map[[#This Row],[course_id]],course_data[course_id],course_data[type],"")</f>
        <v>eLearning</v>
      </c>
      <c r="K3569" t="str">
        <f>role_course_map[[#This Row],[role_id]] &amp; "|" &amp; role_course_map[[#This Row],[course_id]]</f>
        <v>R0057|999075</v>
      </c>
      <c r="L3569" t="str">
        <f>IF(COUNTIF(role_course_map[mapping_key],role_course_map[[#This Row],[mapping_key]])&gt;1,"DUPLICATE","OK")</f>
        <v>OK</v>
      </c>
      <c r="M3569" t="str">
        <f>IF(COUNTIF(role_data[role_id],role_course_map[[#This Row],[role_id]])=0, "INVALID","VALID")</f>
        <v>VALID</v>
      </c>
      <c r="N3569" t="str">
        <f>IF(COUNTIF(course_data[course_id],role_course_map[[#This Row],[course_id]])=0, "INVALID","VALID")</f>
        <v>VALID</v>
      </c>
    </row>
    <row r="3570" spans="1:14" x14ac:dyDescent="0.35">
      <c r="A3570" t="s">
        <v>126</v>
      </c>
      <c r="B3570" s="5" t="str">
        <f>_xlfn.XLOOKUP(role_course_map[[#This Row],[role_id]], role_data[role_id], role_data[Role],"")</f>
        <v>Call Handler Supervisor/EMD Supervisor</v>
      </c>
      <c r="C3570">
        <v>15249</v>
      </c>
      <c r="D3570" s="5" t="str">
        <f>_xlfn.XLOOKUP(role_course_map[[#This Row],[course_id]],course_data[course_id],course_data[title],"")</f>
        <v>Human trafficking</v>
      </c>
      <c r="E3570" s="5" t="str">
        <f>_xlfn.XLOOKUP(role_course_map[[#This Row],[course_id]],course_data[course_id],course_data[topic],"")</f>
        <v>SAS : Public Protection</v>
      </c>
      <c r="F3570" s="5" t="str">
        <f>_xlfn.XLOOKUP(role_course_map[[#This Row],[course_id]],course_data[course_id],course_data[type],"")</f>
        <v>eLearning</v>
      </c>
      <c r="K3570" t="str">
        <f>role_course_map[[#This Row],[role_id]] &amp; "|" &amp; role_course_map[[#This Row],[course_id]]</f>
        <v>R0057|15249</v>
      </c>
      <c r="L3570" t="str">
        <f>IF(COUNTIF(role_course_map[mapping_key],role_course_map[[#This Row],[mapping_key]])&gt;1,"DUPLICATE","OK")</f>
        <v>OK</v>
      </c>
      <c r="M3570" t="str">
        <f>IF(COUNTIF(role_data[role_id],role_course_map[[#This Row],[role_id]])=0, "INVALID","VALID")</f>
        <v>VALID</v>
      </c>
      <c r="N3570" t="str">
        <f>IF(COUNTIF(course_data[course_id],role_course_map[[#This Row],[course_id]])=0, "INVALID","VALID")</f>
        <v>VALID</v>
      </c>
    </row>
    <row r="3571" spans="1:14" x14ac:dyDescent="0.35">
      <c r="A3571" t="s">
        <v>126</v>
      </c>
      <c r="B3571" s="5" t="str">
        <f>_xlfn.XLOOKUP(role_course_map[[#This Row],[role_id]], role_data[role_id], role_data[Role],"")</f>
        <v>Call Handler Supervisor/EMD Supervisor</v>
      </c>
      <c r="C3571">
        <v>999092</v>
      </c>
      <c r="D3571" s="5" t="str">
        <f>_xlfn.XLOOKUP(role_course_map[[#This Row],[course_id]],course_data[course_id],course_data[title],"")</f>
        <v>Health &amp; Wellbeing Awareness for Managers</v>
      </c>
      <c r="E3571" s="5" t="str">
        <f>_xlfn.XLOOKUP(role_course_map[[#This Row],[course_id]],course_data[course_id],course_data[topic],"")</f>
        <v>SAS: Staff development and experience</v>
      </c>
      <c r="F3571" s="5" t="str">
        <f>_xlfn.XLOOKUP(role_course_map[[#This Row],[course_id]],course_data[course_id],course_data[type],"")</f>
        <v>eLearning</v>
      </c>
      <c r="K3571" t="str">
        <f>role_course_map[[#This Row],[role_id]] &amp; "|" &amp; role_course_map[[#This Row],[course_id]]</f>
        <v>R0057|999092</v>
      </c>
      <c r="L3571" t="str">
        <f>IF(COUNTIF(role_course_map[mapping_key],role_course_map[[#This Row],[mapping_key]])&gt;1,"DUPLICATE","OK")</f>
        <v>OK</v>
      </c>
      <c r="M3571" t="str">
        <f>IF(COUNTIF(role_data[role_id],role_course_map[[#This Row],[role_id]])=0, "INVALID","VALID")</f>
        <v>VALID</v>
      </c>
      <c r="N3571" t="str">
        <f>IF(COUNTIF(course_data[course_id],role_course_map[[#This Row],[course_id]])=0, "INVALID","VALID")</f>
        <v>VALID</v>
      </c>
    </row>
    <row r="3572" spans="1:14" x14ac:dyDescent="0.35">
      <c r="A3572" t="s">
        <v>126</v>
      </c>
      <c r="B3572" s="5" t="str">
        <f>_xlfn.XLOOKUP(role_course_map[[#This Row],[role_id]], role_data[role_id], role_data[Role],"")</f>
        <v>Call Handler Supervisor/EMD Supervisor</v>
      </c>
      <c r="C3572">
        <v>999093</v>
      </c>
      <c r="D3572" s="5" t="str">
        <f>_xlfn.XLOOKUP(role_course_map[[#This Row],[course_id]],course_data[course_id],course_data[title],"")</f>
        <v>Managing Wellbeing Refresher for Managers</v>
      </c>
      <c r="E3572" s="5" t="str">
        <f>_xlfn.XLOOKUP(role_course_map[[#This Row],[course_id]],course_data[course_id],course_data[topic],"")</f>
        <v>SAS: Staff development and experience</v>
      </c>
      <c r="F3572" s="5" t="str">
        <f>_xlfn.XLOOKUP(role_course_map[[#This Row],[course_id]],course_data[course_id],course_data[type],"")</f>
        <v>eLearning</v>
      </c>
      <c r="K3572" t="str">
        <f>role_course_map[[#This Row],[role_id]] &amp; "|" &amp; role_course_map[[#This Row],[course_id]]</f>
        <v>R0057|999093</v>
      </c>
      <c r="L3572" t="str">
        <f>IF(COUNTIF(role_course_map[mapping_key],role_course_map[[#This Row],[mapping_key]])&gt;1,"DUPLICATE","OK")</f>
        <v>OK</v>
      </c>
      <c r="M3572" t="str">
        <f>IF(COUNTIF(role_data[role_id],role_course_map[[#This Row],[role_id]])=0, "INVALID","VALID")</f>
        <v>VALID</v>
      </c>
      <c r="N3572" t="str">
        <f>IF(COUNTIF(course_data[course_id],role_course_map[[#This Row],[course_id]])=0, "INVALID","VALID")</f>
        <v>VALID</v>
      </c>
    </row>
    <row r="3573" spans="1:14" x14ac:dyDescent="0.35">
      <c r="A3573" t="s">
        <v>126</v>
      </c>
      <c r="B3573" s="5" t="str">
        <f>_xlfn.XLOOKUP(role_course_map[[#This Row],[role_id]], role_data[role_id], role_data[Role],"")</f>
        <v>Call Handler Supervisor/EMD Supervisor</v>
      </c>
      <c r="C3573">
        <v>999094</v>
      </c>
      <c r="D3573" s="5" t="str">
        <f>_xlfn.XLOOKUP(role_course_map[[#This Row],[course_id]],course_data[course_id],course_data[title],"")</f>
        <v>Being well, Mind, Body &amp; Workplace</v>
      </c>
      <c r="E3573" s="5" t="str">
        <f>_xlfn.XLOOKUP(role_course_map[[#This Row],[course_id]],course_data[course_id],course_data[topic],"")</f>
        <v>SAS: Staff development and experience</v>
      </c>
      <c r="F3573" s="5" t="str">
        <f>_xlfn.XLOOKUP(role_course_map[[#This Row],[course_id]],course_data[course_id],course_data[type],"")</f>
        <v>eLearning</v>
      </c>
      <c r="K3573" t="str">
        <f>role_course_map[[#This Row],[role_id]] &amp; "|" &amp; role_course_map[[#This Row],[course_id]]</f>
        <v>R0057|999094</v>
      </c>
      <c r="L3573" t="str">
        <f>IF(COUNTIF(role_course_map[mapping_key],role_course_map[[#This Row],[mapping_key]])&gt;1,"DUPLICATE","OK")</f>
        <v>OK</v>
      </c>
      <c r="M3573" t="str">
        <f>IF(COUNTIF(role_data[role_id],role_course_map[[#This Row],[role_id]])=0, "INVALID","VALID")</f>
        <v>VALID</v>
      </c>
      <c r="N3573" t="str">
        <f>IF(COUNTIF(course_data[course_id],role_course_map[[#This Row],[course_id]])=0, "INVALID","VALID")</f>
        <v>VALID</v>
      </c>
    </row>
    <row r="3574" spans="1:14" x14ac:dyDescent="0.35">
      <c r="A3574" t="s">
        <v>7</v>
      </c>
      <c r="B3574" s="5" t="str">
        <f>_xlfn.XLOOKUP(role_course_map[[#This Row],[role_id]], role_data[role_id], role_data[Role],"")</f>
        <v>Communications Business Partner</v>
      </c>
      <c r="C3574">
        <v>999056</v>
      </c>
      <c r="D3574" s="5" t="str">
        <f>_xlfn.XLOOKUP(role_course_map[[#This Row],[course_id]],course_data[course_id],course_data[title],"")</f>
        <v>Driver Assessment &amp; Training</v>
      </c>
      <c r="E3574" s="5" t="str">
        <f>_xlfn.XLOOKUP(role_course_map[[#This Row],[course_id]],course_data[course_id],course_data[topic],"")</f>
        <v>SAS : Health and Safety</v>
      </c>
      <c r="F3574" s="5" t="str">
        <f>_xlfn.XLOOKUP(role_course_map[[#This Row],[course_id]],course_data[course_id],course_data[type],"")</f>
        <v>eLearning</v>
      </c>
      <c r="K3574" t="str">
        <f>role_course_map[[#This Row],[role_id]] &amp; "|" &amp; role_course_map[[#This Row],[course_id]]</f>
        <v>R0002|999056</v>
      </c>
      <c r="L3574" t="str">
        <f>IF(COUNTIF(role_course_map[mapping_key],role_course_map[[#This Row],[mapping_key]])&gt;1,"DUPLICATE","OK")</f>
        <v>OK</v>
      </c>
      <c r="M3574" t="str">
        <f>IF(COUNTIF(role_data[role_id],role_course_map[[#This Row],[role_id]])=0, "INVALID","VALID")</f>
        <v>VALID</v>
      </c>
      <c r="N3574" t="str">
        <f>IF(COUNTIF(course_data[course_id],role_course_map[[#This Row],[course_id]])=0, "INVALID","VALID")</f>
        <v>VALID</v>
      </c>
    </row>
    <row r="3575" spans="1:14" x14ac:dyDescent="0.35">
      <c r="A3575" t="s">
        <v>7</v>
      </c>
      <c r="B3575" s="5" t="str">
        <f>_xlfn.XLOOKUP(role_course_map[[#This Row],[role_id]], role_data[role_id], role_data[Role],"")</f>
        <v>Communications Business Partner</v>
      </c>
      <c r="C3575">
        <v>999057</v>
      </c>
      <c r="D3575" s="5" t="str">
        <f>_xlfn.XLOOKUP(role_course_map[[#This Row],[course_id]],course_data[course_id],course_data[title],"")</f>
        <v>Fatigue Awareness</v>
      </c>
      <c r="E3575" s="5" t="str">
        <f>_xlfn.XLOOKUP(role_course_map[[#This Row],[course_id]],course_data[course_id],course_data[topic],"")</f>
        <v>SAS : Health and Safety</v>
      </c>
      <c r="F3575" s="5" t="str">
        <f>_xlfn.XLOOKUP(role_course_map[[#This Row],[course_id]],course_data[course_id],course_data[type],"")</f>
        <v>eLearning</v>
      </c>
      <c r="K3575" t="str">
        <f>role_course_map[[#This Row],[role_id]] &amp; "|" &amp; role_course_map[[#This Row],[course_id]]</f>
        <v>R0002|999057</v>
      </c>
      <c r="L3575" t="str">
        <f>IF(COUNTIF(role_course_map[mapping_key],role_course_map[[#This Row],[mapping_key]])&gt;1,"DUPLICATE","OK")</f>
        <v>OK</v>
      </c>
      <c r="M3575" t="str">
        <f>IF(COUNTIF(role_data[role_id],role_course_map[[#This Row],[role_id]])=0, "INVALID","VALID")</f>
        <v>VALID</v>
      </c>
      <c r="N3575" t="str">
        <f>IF(COUNTIF(course_data[course_id],role_course_map[[#This Row],[course_id]])=0, "INVALID","VALID")</f>
        <v>VALID</v>
      </c>
    </row>
    <row r="3576" spans="1:14" x14ac:dyDescent="0.35">
      <c r="A3576" t="s">
        <v>7</v>
      </c>
      <c r="B3576" s="5" t="str">
        <f>_xlfn.XLOOKUP(role_course_map[[#This Row],[role_id]], role_data[role_id], role_data[Role],"")</f>
        <v>Communications Business Partner</v>
      </c>
      <c r="C3576">
        <v>999058</v>
      </c>
      <c r="D3576" s="5" t="str">
        <f>_xlfn.XLOOKUP(role_course_map[[#This Row],[course_id]],course_data[course_id],course_data[title],"")</f>
        <v>Stress Identification &amp; Stress Management</v>
      </c>
      <c r="E3576" s="5" t="str">
        <f>_xlfn.XLOOKUP(role_course_map[[#This Row],[course_id]],course_data[course_id],course_data[topic],"")</f>
        <v>SAS : Health and Safety</v>
      </c>
      <c r="F3576" s="5" t="str">
        <f>_xlfn.XLOOKUP(role_course_map[[#This Row],[course_id]],course_data[course_id],course_data[type],"")</f>
        <v>eLearning</v>
      </c>
      <c r="K3576" t="str">
        <f>role_course_map[[#This Row],[role_id]] &amp; "|" &amp; role_course_map[[#This Row],[course_id]]</f>
        <v>R0002|999058</v>
      </c>
      <c r="L3576" t="str">
        <f>IF(COUNTIF(role_course_map[mapping_key],role_course_map[[#This Row],[mapping_key]])&gt;1,"DUPLICATE","OK")</f>
        <v>OK</v>
      </c>
      <c r="M3576" t="str">
        <f>IF(COUNTIF(role_data[role_id],role_course_map[[#This Row],[role_id]])=0, "INVALID","VALID")</f>
        <v>VALID</v>
      </c>
      <c r="N3576" t="str">
        <f>IF(COUNTIF(course_data[course_id],role_course_map[[#This Row],[course_id]])=0, "INVALID","VALID")</f>
        <v>VALID</v>
      </c>
    </row>
    <row r="3577" spans="1:14" x14ac:dyDescent="0.35">
      <c r="A3577" t="s">
        <v>7</v>
      </c>
      <c r="B3577" s="5" t="str">
        <f>_xlfn.XLOOKUP(role_course_map[[#This Row],[role_id]], role_data[role_id], role_data[Role],"")</f>
        <v>Communications Business Partner</v>
      </c>
      <c r="C3577">
        <v>999094</v>
      </c>
      <c r="D3577" s="5" t="str">
        <f>_xlfn.XLOOKUP(role_course_map[[#This Row],[course_id]],course_data[course_id],course_data[title],"")</f>
        <v>Being well, Mind, Body &amp; Workplace</v>
      </c>
      <c r="E3577" s="5" t="str">
        <f>_xlfn.XLOOKUP(role_course_map[[#This Row],[course_id]],course_data[course_id],course_data[topic],"")</f>
        <v>SAS: Staff development and experience</v>
      </c>
      <c r="F3577" s="5" t="str">
        <f>_xlfn.XLOOKUP(role_course_map[[#This Row],[course_id]],course_data[course_id],course_data[type],"")</f>
        <v>eLearning</v>
      </c>
      <c r="K3577" t="str">
        <f>role_course_map[[#This Row],[role_id]] &amp; "|" &amp; role_course_map[[#This Row],[course_id]]</f>
        <v>R0002|999094</v>
      </c>
      <c r="L3577" t="str">
        <f>IF(COUNTIF(role_course_map[mapping_key],role_course_map[[#This Row],[mapping_key]])&gt;1,"DUPLICATE","OK")</f>
        <v>OK</v>
      </c>
      <c r="M3577" t="str">
        <f>IF(COUNTIF(role_data[role_id],role_course_map[[#This Row],[role_id]])=0, "INVALID","VALID")</f>
        <v>VALID</v>
      </c>
      <c r="N3577" t="str">
        <f>IF(COUNTIF(course_data[course_id],role_course_map[[#This Row],[course_id]])=0, "INVALID","VALID")</f>
        <v>VALID</v>
      </c>
    </row>
    <row r="3578" spans="1:14" x14ac:dyDescent="0.35">
      <c r="A3578" t="s">
        <v>210</v>
      </c>
      <c r="B3578" s="5" t="str">
        <f>_xlfn.XLOOKUP(role_course_map[[#This Row],[role_id]], role_data[role_id], role_data[Role],"")</f>
        <v>ICH Manager</v>
      </c>
      <c r="C3578">
        <v>78279</v>
      </c>
      <c r="D3578" s="5" t="str">
        <f>_xlfn.XLOOKUP(role_course_map[[#This Row],[course_id]],course_data[course_id],course_data[title],"")</f>
        <v>Airwave Terminal</v>
      </c>
      <c r="E3578" s="5" t="str">
        <f>_xlfn.XLOOKUP(role_course_map[[#This Row],[course_id]],course_data[course_id],course_data[topic],"")</f>
        <v>SAS: Systems Training</v>
      </c>
      <c r="F3578" s="5" t="str">
        <f>_xlfn.XLOOKUP(role_course_map[[#This Row],[course_id]],course_data[course_id],course_data[type],"")</f>
        <v>Course</v>
      </c>
      <c r="K3578" t="str">
        <f>role_course_map[[#This Row],[role_id]] &amp; "|" &amp; role_course_map[[#This Row],[course_id]]</f>
        <v>R0098|78279</v>
      </c>
      <c r="L3578" t="str">
        <f>IF(COUNTIF(role_course_map[mapping_key],role_course_map[[#This Row],[mapping_key]])&gt;1,"DUPLICATE","OK")</f>
        <v>OK</v>
      </c>
      <c r="M3578" t="str">
        <f>IF(COUNTIF(role_data[role_id],role_course_map[[#This Row],[role_id]])=0, "INVALID","VALID")</f>
        <v>VALID</v>
      </c>
      <c r="N3578" t="str">
        <f>IF(COUNTIF(course_data[course_id],role_course_map[[#This Row],[course_id]])=0, "INVALID","VALID")</f>
        <v>VALID</v>
      </c>
    </row>
    <row r="3579" spans="1:14" x14ac:dyDescent="0.35">
      <c r="A3579" t="s">
        <v>210</v>
      </c>
      <c r="B3579" s="5" t="str">
        <f>_xlfn.XLOOKUP(role_course_map[[#This Row],[role_id]], role_data[role_id], role_data[Role],"")</f>
        <v>ICH Manager</v>
      </c>
      <c r="C3579">
        <v>75937</v>
      </c>
      <c r="D3579" s="5" t="str">
        <f>_xlfn.XLOOKUP(role_course_map[[#This Row],[course_id]],course_data[course_id],course_data[title],"")</f>
        <v>C3 for Clinicians</v>
      </c>
      <c r="E3579" s="5" t="str">
        <f>_xlfn.XLOOKUP(role_course_map[[#This Row],[course_id]],course_data[course_id],course_data[topic],"")</f>
        <v>SAS: Systems Training</v>
      </c>
      <c r="F3579" s="5" t="str">
        <f>_xlfn.XLOOKUP(role_course_map[[#This Row],[course_id]],course_data[course_id],course_data[type],"")</f>
        <v>Course</v>
      </c>
      <c r="K3579" t="str">
        <f>role_course_map[[#This Row],[role_id]] &amp; "|" &amp; role_course_map[[#This Row],[course_id]]</f>
        <v>R0098|75937</v>
      </c>
      <c r="L3579" t="str">
        <f>IF(COUNTIF(role_course_map[mapping_key],role_course_map[[#This Row],[mapping_key]])&gt;1,"DUPLICATE","OK")</f>
        <v>OK</v>
      </c>
      <c r="M3579" t="str">
        <f>IF(COUNTIF(role_data[role_id],role_course_map[[#This Row],[role_id]])=0, "INVALID","VALID")</f>
        <v>VALID</v>
      </c>
      <c r="N3579" t="str">
        <f>IF(COUNTIF(course_data[course_id],role_course_map[[#This Row],[course_id]])=0, "INVALID","VALID")</f>
        <v>VALID</v>
      </c>
    </row>
    <row r="3580" spans="1:14" x14ac:dyDescent="0.35">
      <c r="A3580" t="s">
        <v>210</v>
      </c>
      <c r="B3580" s="5" t="str">
        <f>_xlfn.XLOOKUP(role_course_map[[#This Row],[role_id]], role_data[role_id], role_data[Role],"")</f>
        <v>ICH Manager</v>
      </c>
      <c r="C3580">
        <v>75406</v>
      </c>
      <c r="D3580" s="5" t="str">
        <f>_xlfn.XLOOKUP(role_course_map[[#This Row],[course_id]],course_data[course_id],course_data[title],"")</f>
        <v>Foundation Leadership and Management Programme (FLMP)</v>
      </c>
      <c r="E3580" s="5" t="str">
        <f>_xlfn.XLOOKUP(role_course_map[[#This Row],[course_id]],course_data[course_id],course_data[topic],"")</f>
        <v>SAS: Staff development and experience</v>
      </c>
      <c r="F3580" s="5" t="str">
        <f>_xlfn.XLOOKUP(role_course_map[[#This Row],[course_id]],course_data[course_id],course_data[type],"")</f>
        <v>Page</v>
      </c>
      <c r="K3580" t="str">
        <f>role_course_map[[#This Row],[role_id]] &amp; "|" &amp; role_course_map[[#This Row],[course_id]]</f>
        <v>R0098|75406</v>
      </c>
      <c r="L3580" t="str">
        <f>IF(COUNTIF(role_course_map[mapping_key],role_course_map[[#This Row],[mapping_key]])&gt;1,"DUPLICATE","OK")</f>
        <v>OK</v>
      </c>
      <c r="M3580" t="str">
        <f>IF(COUNTIF(role_data[role_id],role_course_map[[#This Row],[role_id]])=0, "INVALID","VALID")</f>
        <v>VALID</v>
      </c>
      <c r="N3580" t="str">
        <f>IF(COUNTIF(course_data[course_id],role_course_map[[#This Row],[course_id]])=0, "INVALID","VALID")</f>
        <v>VALID</v>
      </c>
    </row>
    <row r="3581" spans="1:14" x14ac:dyDescent="0.35">
      <c r="A3581" t="s">
        <v>210</v>
      </c>
      <c r="B3581" s="5" t="str">
        <f>_xlfn.XLOOKUP(role_course_map[[#This Row],[role_id]], role_data[role_id], role_data[Role],"")</f>
        <v>ICH Manager</v>
      </c>
      <c r="C3581">
        <v>999057</v>
      </c>
      <c r="D3581" s="5" t="str">
        <f>_xlfn.XLOOKUP(role_course_map[[#This Row],[course_id]],course_data[course_id],course_data[title],"")</f>
        <v>Fatigue Awareness</v>
      </c>
      <c r="E3581" s="5" t="str">
        <f>_xlfn.XLOOKUP(role_course_map[[#This Row],[course_id]],course_data[course_id],course_data[topic],"")</f>
        <v>SAS : Health and Safety</v>
      </c>
      <c r="F3581" s="5" t="str">
        <f>_xlfn.XLOOKUP(role_course_map[[#This Row],[course_id]],course_data[course_id],course_data[type],"")</f>
        <v>eLearning</v>
      </c>
      <c r="K3581" t="str">
        <f>role_course_map[[#This Row],[role_id]] &amp; "|" &amp; role_course_map[[#This Row],[course_id]]</f>
        <v>R0098|999057</v>
      </c>
      <c r="L3581" t="str">
        <f>IF(COUNTIF(role_course_map[mapping_key],role_course_map[[#This Row],[mapping_key]])&gt;1,"DUPLICATE","OK")</f>
        <v>OK</v>
      </c>
      <c r="M3581" t="str">
        <f>IF(COUNTIF(role_data[role_id],role_course_map[[#This Row],[role_id]])=0, "INVALID","VALID")</f>
        <v>VALID</v>
      </c>
      <c r="N3581" t="str">
        <f>IF(COUNTIF(course_data[course_id],role_course_map[[#This Row],[course_id]])=0, "INVALID","VALID")</f>
        <v>VALID</v>
      </c>
    </row>
    <row r="3582" spans="1:14" x14ac:dyDescent="0.35">
      <c r="A3582" t="s">
        <v>210</v>
      </c>
      <c r="B3582" s="5" t="str">
        <f>_xlfn.XLOOKUP(role_course_map[[#This Row],[role_id]], role_data[role_id], role_data[Role],"")</f>
        <v>ICH Manager</v>
      </c>
      <c r="C3582">
        <v>999058</v>
      </c>
      <c r="D3582" s="5" t="str">
        <f>_xlfn.XLOOKUP(role_course_map[[#This Row],[course_id]],course_data[course_id],course_data[title],"")</f>
        <v>Stress Identification &amp; Stress Management</v>
      </c>
      <c r="E3582" s="5" t="str">
        <f>_xlfn.XLOOKUP(role_course_map[[#This Row],[course_id]],course_data[course_id],course_data[topic],"")</f>
        <v>SAS : Health and Safety</v>
      </c>
      <c r="F3582" s="5" t="str">
        <f>_xlfn.XLOOKUP(role_course_map[[#This Row],[course_id]],course_data[course_id],course_data[type],"")</f>
        <v>eLearning</v>
      </c>
      <c r="K3582" t="str">
        <f>role_course_map[[#This Row],[role_id]] &amp; "|" &amp; role_course_map[[#This Row],[course_id]]</f>
        <v>R0098|999058</v>
      </c>
      <c r="L3582" t="str">
        <f>IF(COUNTIF(role_course_map[mapping_key],role_course_map[[#This Row],[mapping_key]])&gt;1,"DUPLICATE","OK")</f>
        <v>OK</v>
      </c>
      <c r="M3582" t="str">
        <f>IF(COUNTIF(role_data[role_id],role_course_map[[#This Row],[role_id]])=0, "INVALID","VALID")</f>
        <v>VALID</v>
      </c>
      <c r="N3582" t="str">
        <f>IF(COUNTIF(course_data[course_id],role_course_map[[#This Row],[course_id]])=0, "INVALID","VALID")</f>
        <v>VALID</v>
      </c>
    </row>
    <row r="3583" spans="1:14" x14ac:dyDescent="0.35">
      <c r="A3583" t="s">
        <v>210</v>
      </c>
      <c r="B3583" s="5" t="str">
        <f>_xlfn.XLOOKUP(role_course_map[[#This Row],[role_id]], role_data[role_id], role_data[Role],"")</f>
        <v>ICH Manager</v>
      </c>
      <c r="C3583">
        <v>999056</v>
      </c>
      <c r="D3583" s="5" t="str">
        <f>_xlfn.XLOOKUP(role_course_map[[#This Row],[course_id]],course_data[course_id],course_data[title],"")</f>
        <v>Driver Assessment &amp; Training</v>
      </c>
      <c r="E3583" s="5" t="str">
        <f>_xlfn.XLOOKUP(role_course_map[[#This Row],[course_id]],course_data[course_id],course_data[topic],"")</f>
        <v>SAS : Health and Safety</v>
      </c>
      <c r="F3583" s="5" t="str">
        <f>_xlfn.XLOOKUP(role_course_map[[#This Row],[course_id]],course_data[course_id],course_data[type],"")</f>
        <v>eLearning</v>
      </c>
      <c r="K3583" t="str">
        <f>role_course_map[[#This Row],[role_id]] &amp; "|" &amp; role_course_map[[#This Row],[course_id]]</f>
        <v>R0098|999056</v>
      </c>
      <c r="L3583" t="str">
        <f>IF(COUNTIF(role_course_map[mapping_key],role_course_map[[#This Row],[mapping_key]])&gt;1,"DUPLICATE","OK")</f>
        <v>OK</v>
      </c>
      <c r="M3583" t="str">
        <f>IF(COUNTIF(role_data[role_id],role_course_map[[#This Row],[role_id]])=0, "INVALID","VALID")</f>
        <v>VALID</v>
      </c>
      <c r="N3583" t="str">
        <f>IF(COUNTIF(course_data[course_id],role_course_map[[#This Row],[course_id]])=0, "INVALID","VALID")</f>
        <v>VALID</v>
      </c>
    </row>
    <row r="3584" spans="1:14" x14ac:dyDescent="0.35">
      <c r="A3584" t="s">
        <v>210</v>
      </c>
      <c r="B3584" s="5" t="str">
        <f>_xlfn.XLOOKUP(role_course_map[[#This Row],[role_id]], role_data[role_id], role_data[Role],"")</f>
        <v>ICH Manager</v>
      </c>
      <c r="C3584">
        <v>64322</v>
      </c>
      <c r="D3584" s="5" t="str">
        <f>_xlfn.XLOOKUP(role_course_map[[#This Row],[course_id]],course_data[course_id],course_data[title],"")</f>
        <v>Adult support and protection: practice level 2 [skilled]</v>
      </c>
      <c r="E3584" s="5" t="str">
        <f>_xlfn.XLOOKUP(role_course_map[[#This Row],[course_id]],course_data[course_id],course_data[topic],"")</f>
        <v>SAS : Public Protection</v>
      </c>
      <c r="F3584" s="5" t="str">
        <f>_xlfn.XLOOKUP(role_course_map[[#This Row],[course_id]],course_data[course_id],course_data[type],"")</f>
        <v>eLearning</v>
      </c>
      <c r="K3584" t="str">
        <f>role_course_map[[#This Row],[role_id]] &amp; "|" &amp; role_course_map[[#This Row],[course_id]]</f>
        <v>R0098|64322</v>
      </c>
      <c r="L3584" t="str">
        <f>IF(COUNTIF(role_course_map[mapping_key],role_course_map[[#This Row],[mapping_key]])&gt;1,"DUPLICATE","OK")</f>
        <v>OK</v>
      </c>
      <c r="M3584" t="str">
        <f>IF(COUNTIF(role_data[role_id],role_course_map[[#This Row],[role_id]])=0, "INVALID","VALID")</f>
        <v>VALID</v>
      </c>
      <c r="N3584" t="str">
        <f>IF(COUNTIF(course_data[course_id],role_course_map[[#This Row],[course_id]])=0, "INVALID","VALID")</f>
        <v>VALID</v>
      </c>
    </row>
    <row r="3585" spans="1:14" x14ac:dyDescent="0.35">
      <c r="A3585" t="s">
        <v>210</v>
      </c>
      <c r="B3585" s="5" t="str">
        <f>_xlfn.XLOOKUP(role_course_map[[#This Row],[role_id]], role_data[role_id], role_data[Role],"")</f>
        <v>ICH Manager</v>
      </c>
      <c r="C3585">
        <v>64324</v>
      </c>
      <c r="D3585" s="5" t="str">
        <f>_xlfn.XLOOKUP(role_course_map[[#This Row],[course_id]],course_data[course_id],course_data[title],"")</f>
        <v>Child protection: practice level 2 [skilled]</v>
      </c>
      <c r="E3585" s="5" t="str">
        <f>_xlfn.XLOOKUP(role_course_map[[#This Row],[course_id]],course_data[course_id],course_data[topic],"")</f>
        <v>SAS : Public Protection</v>
      </c>
      <c r="F3585" s="5" t="str">
        <f>_xlfn.XLOOKUP(role_course_map[[#This Row],[course_id]],course_data[course_id],course_data[type],"")</f>
        <v>eLearning</v>
      </c>
      <c r="K3585" t="str">
        <f>role_course_map[[#This Row],[role_id]] &amp; "|" &amp; role_course_map[[#This Row],[course_id]]</f>
        <v>R0098|64324</v>
      </c>
      <c r="L3585" t="str">
        <f>IF(COUNTIF(role_course_map[mapping_key],role_course_map[[#This Row],[mapping_key]])&gt;1,"DUPLICATE","OK")</f>
        <v>OK</v>
      </c>
      <c r="M3585" t="str">
        <f>IF(COUNTIF(role_data[role_id],role_course_map[[#This Row],[role_id]])=0, "INVALID","VALID")</f>
        <v>VALID</v>
      </c>
      <c r="N3585" t="str">
        <f>IF(COUNTIF(course_data[course_id],role_course_map[[#This Row],[course_id]])=0, "INVALID","VALID")</f>
        <v>VALID</v>
      </c>
    </row>
    <row r="3586" spans="1:14" x14ac:dyDescent="0.35">
      <c r="A3586" t="s">
        <v>210</v>
      </c>
      <c r="B3586" s="5" t="str">
        <f>_xlfn.XLOOKUP(role_course_map[[#This Row],[role_id]], role_data[role_id], role_data[Role],"")</f>
        <v>ICH Manager</v>
      </c>
      <c r="C3586">
        <v>76716</v>
      </c>
      <c r="D3586" s="5" t="str">
        <f>_xlfn.XLOOKUP(role_course_map[[#This Row],[course_id]],course_data[course_id],course_data[title],"")</f>
        <v>Domestic abuse awareness training tool (DAART)</v>
      </c>
      <c r="E3586" s="5" t="str">
        <f>_xlfn.XLOOKUP(role_course_map[[#This Row],[course_id]],course_data[course_id],course_data[topic],"")</f>
        <v>SAS : Public Protection</v>
      </c>
      <c r="F3586" s="5" t="str">
        <f>_xlfn.XLOOKUP(role_course_map[[#This Row],[course_id]],course_data[course_id],course_data[type],"")</f>
        <v>eLearning</v>
      </c>
      <c r="K3586" t="str">
        <f>role_course_map[[#This Row],[role_id]] &amp; "|" &amp; role_course_map[[#This Row],[course_id]]</f>
        <v>R0098|76716</v>
      </c>
      <c r="L3586" t="str">
        <f>IF(COUNTIF(role_course_map[mapping_key],role_course_map[[#This Row],[mapping_key]])&gt;1,"DUPLICATE","OK")</f>
        <v>OK</v>
      </c>
      <c r="M3586" t="str">
        <f>IF(COUNTIF(role_data[role_id],role_course_map[[#This Row],[role_id]])=0, "INVALID","VALID")</f>
        <v>VALID</v>
      </c>
      <c r="N3586" t="str">
        <f>IF(COUNTIF(course_data[course_id],role_course_map[[#This Row],[course_id]])=0, "INVALID","VALID")</f>
        <v>VALID</v>
      </c>
    </row>
    <row r="3587" spans="1:14" x14ac:dyDescent="0.35">
      <c r="A3587" t="s">
        <v>210</v>
      </c>
      <c r="B3587" s="5" t="str">
        <f>_xlfn.XLOOKUP(role_course_map[[#This Row],[role_id]], role_data[role_id], role_data[Role],"")</f>
        <v>ICH Manager</v>
      </c>
      <c r="C3587">
        <v>79666</v>
      </c>
      <c r="D3587" s="5" t="str">
        <f>_xlfn.XLOOKUP(role_course_map[[#This Row],[course_id]],course_data[course_id],course_data[title],"")</f>
        <v>Getting it right for every child (GIRFEC): informed level</v>
      </c>
      <c r="E3587" s="5" t="str">
        <f>_xlfn.XLOOKUP(role_course_map[[#This Row],[course_id]],course_data[course_id],course_data[topic],"")</f>
        <v>SAS : Public Protection</v>
      </c>
      <c r="F3587" s="5" t="str">
        <f>_xlfn.XLOOKUP(role_course_map[[#This Row],[course_id]],course_data[course_id],course_data[type],"")</f>
        <v>eLearning</v>
      </c>
      <c r="K3587" t="str">
        <f>role_course_map[[#This Row],[role_id]] &amp; "|" &amp; role_course_map[[#This Row],[course_id]]</f>
        <v>R0098|79666</v>
      </c>
      <c r="L3587" t="str">
        <f>IF(COUNTIF(role_course_map[mapping_key],role_course_map[[#This Row],[mapping_key]])&gt;1,"DUPLICATE","OK")</f>
        <v>OK</v>
      </c>
      <c r="M3587" t="str">
        <f>IF(COUNTIF(role_data[role_id],role_course_map[[#This Row],[role_id]])=0, "INVALID","VALID")</f>
        <v>VALID</v>
      </c>
      <c r="N3587" t="str">
        <f>IF(COUNTIF(course_data[course_id],role_course_map[[#This Row],[course_id]])=0, "INVALID","VALID")</f>
        <v>VALID</v>
      </c>
    </row>
    <row r="3588" spans="1:14" x14ac:dyDescent="0.35">
      <c r="A3588" t="s">
        <v>210</v>
      </c>
      <c r="B3588" s="5" t="str">
        <f>_xlfn.XLOOKUP(role_course_map[[#This Row],[role_id]], role_data[role_id], role_data[Role],"")</f>
        <v>ICH Manager</v>
      </c>
      <c r="C3588">
        <v>999074</v>
      </c>
      <c r="D3588" s="5" t="str">
        <f>_xlfn.XLOOKUP(role_course_map[[#This Row],[course_id]],course_data[course_id],course_data[title],"")</f>
        <v>SAS-specific Children’s rights</v>
      </c>
      <c r="E3588" s="5" t="str">
        <f>_xlfn.XLOOKUP(role_course_map[[#This Row],[course_id]],course_data[course_id],course_data[topic],"")</f>
        <v>SAS : Public Protection</v>
      </c>
      <c r="F3588" s="5" t="str">
        <f>_xlfn.XLOOKUP(role_course_map[[#This Row],[course_id]],course_data[course_id],course_data[type],"")</f>
        <v>eLearning</v>
      </c>
      <c r="K3588" t="str">
        <f>role_course_map[[#This Row],[role_id]] &amp; "|" &amp; role_course_map[[#This Row],[course_id]]</f>
        <v>R0098|999074</v>
      </c>
      <c r="L3588" t="str">
        <f>IF(COUNTIF(role_course_map[mapping_key],role_course_map[[#This Row],[mapping_key]])&gt;1,"DUPLICATE","OK")</f>
        <v>OK</v>
      </c>
      <c r="M3588" t="str">
        <f>IF(COUNTIF(role_data[role_id],role_course_map[[#This Row],[role_id]])=0, "INVALID","VALID")</f>
        <v>VALID</v>
      </c>
      <c r="N3588" t="str">
        <f>IF(COUNTIF(course_data[course_id],role_course_map[[#This Row],[course_id]])=0, "INVALID","VALID")</f>
        <v>VALID</v>
      </c>
    </row>
    <row r="3589" spans="1:14" x14ac:dyDescent="0.35">
      <c r="A3589" t="s">
        <v>210</v>
      </c>
      <c r="B3589" s="5" t="str">
        <f>_xlfn.XLOOKUP(role_course_map[[#This Row],[role_id]], role_data[role_id], role_data[Role],"")</f>
        <v>ICH Manager</v>
      </c>
      <c r="C3589">
        <v>999075</v>
      </c>
      <c r="D3589" s="5" t="str">
        <f>_xlfn.XLOOKUP(role_course_map[[#This Row],[course_id]],course_data[course_id],course_data[title],"")</f>
        <v>Multiagency local or bespoke Level 3 delivery training</v>
      </c>
      <c r="E3589" s="5" t="str">
        <f>_xlfn.XLOOKUP(role_course_map[[#This Row],[course_id]],course_data[course_id],course_data[topic],"")</f>
        <v>SAS : Public Protection</v>
      </c>
      <c r="F3589" s="5" t="str">
        <f>_xlfn.XLOOKUP(role_course_map[[#This Row],[course_id]],course_data[course_id],course_data[type],"")</f>
        <v>eLearning</v>
      </c>
      <c r="K3589" t="str">
        <f>role_course_map[[#This Row],[role_id]] &amp; "|" &amp; role_course_map[[#This Row],[course_id]]</f>
        <v>R0098|999075</v>
      </c>
      <c r="L3589" t="str">
        <f>IF(COUNTIF(role_course_map[mapping_key],role_course_map[[#This Row],[mapping_key]])&gt;1,"DUPLICATE","OK")</f>
        <v>OK</v>
      </c>
      <c r="M3589" t="str">
        <f>IF(COUNTIF(role_data[role_id],role_course_map[[#This Row],[role_id]])=0, "INVALID","VALID")</f>
        <v>VALID</v>
      </c>
      <c r="N3589" t="str">
        <f>IF(COUNTIF(course_data[course_id],role_course_map[[#This Row],[course_id]])=0, "INVALID","VALID")</f>
        <v>VALID</v>
      </c>
    </row>
    <row r="3590" spans="1:14" x14ac:dyDescent="0.35">
      <c r="A3590" t="s">
        <v>210</v>
      </c>
      <c r="B3590" s="5" t="str">
        <f>_xlfn.XLOOKUP(role_course_map[[#This Row],[role_id]], role_data[role_id], role_data[Role],"")</f>
        <v>ICH Manager</v>
      </c>
      <c r="C3590">
        <v>15249</v>
      </c>
      <c r="D3590" s="5" t="str">
        <f>_xlfn.XLOOKUP(role_course_map[[#This Row],[course_id]],course_data[course_id],course_data[title],"")</f>
        <v>Human trafficking</v>
      </c>
      <c r="E3590" s="5" t="str">
        <f>_xlfn.XLOOKUP(role_course_map[[#This Row],[course_id]],course_data[course_id],course_data[topic],"")</f>
        <v>SAS : Public Protection</v>
      </c>
      <c r="F3590" s="5" t="str">
        <f>_xlfn.XLOOKUP(role_course_map[[#This Row],[course_id]],course_data[course_id],course_data[type],"")</f>
        <v>eLearning</v>
      </c>
      <c r="K3590" t="str">
        <f>role_course_map[[#This Row],[role_id]] &amp; "|" &amp; role_course_map[[#This Row],[course_id]]</f>
        <v>R0098|15249</v>
      </c>
      <c r="L3590" t="str">
        <f>IF(COUNTIF(role_course_map[mapping_key],role_course_map[[#This Row],[mapping_key]])&gt;1,"DUPLICATE","OK")</f>
        <v>OK</v>
      </c>
      <c r="M3590" t="str">
        <f>IF(COUNTIF(role_data[role_id],role_course_map[[#This Row],[role_id]])=0, "INVALID","VALID")</f>
        <v>VALID</v>
      </c>
      <c r="N3590" t="str">
        <f>IF(COUNTIF(course_data[course_id],role_course_map[[#This Row],[course_id]])=0, "INVALID","VALID")</f>
        <v>VALID</v>
      </c>
    </row>
    <row r="3591" spans="1:14" x14ac:dyDescent="0.35">
      <c r="A3591" t="s">
        <v>210</v>
      </c>
      <c r="B3591" s="5" t="str">
        <f>_xlfn.XLOOKUP(role_course_map[[#This Row],[role_id]], role_data[role_id], role_data[Role],"")</f>
        <v>ICH Manager</v>
      </c>
      <c r="C3591">
        <v>999092</v>
      </c>
      <c r="D3591" s="5" t="str">
        <f>_xlfn.XLOOKUP(role_course_map[[#This Row],[course_id]],course_data[course_id],course_data[title],"")</f>
        <v>Health &amp; Wellbeing Awareness for Managers</v>
      </c>
      <c r="E3591" s="5" t="str">
        <f>_xlfn.XLOOKUP(role_course_map[[#This Row],[course_id]],course_data[course_id],course_data[topic],"")</f>
        <v>SAS: Staff development and experience</v>
      </c>
      <c r="F3591" s="5" t="str">
        <f>_xlfn.XLOOKUP(role_course_map[[#This Row],[course_id]],course_data[course_id],course_data[type],"")</f>
        <v>eLearning</v>
      </c>
      <c r="K3591" t="str">
        <f>role_course_map[[#This Row],[role_id]] &amp; "|" &amp; role_course_map[[#This Row],[course_id]]</f>
        <v>R0098|999092</v>
      </c>
      <c r="L3591" t="str">
        <f>IF(COUNTIF(role_course_map[mapping_key],role_course_map[[#This Row],[mapping_key]])&gt;1,"DUPLICATE","OK")</f>
        <v>OK</v>
      </c>
      <c r="M3591" t="str">
        <f>IF(COUNTIF(role_data[role_id],role_course_map[[#This Row],[role_id]])=0, "INVALID","VALID")</f>
        <v>VALID</v>
      </c>
      <c r="N3591" t="str">
        <f>IF(COUNTIF(course_data[course_id],role_course_map[[#This Row],[course_id]])=0, "INVALID","VALID")</f>
        <v>VALID</v>
      </c>
    </row>
    <row r="3592" spans="1:14" x14ac:dyDescent="0.35">
      <c r="A3592" t="s">
        <v>210</v>
      </c>
      <c r="B3592" s="5" t="str">
        <f>_xlfn.XLOOKUP(role_course_map[[#This Row],[role_id]], role_data[role_id], role_data[Role],"")</f>
        <v>ICH Manager</v>
      </c>
      <c r="C3592">
        <v>999093</v>
      </c>
      <c r="D3592" s="5" t="str">
        <f>_xlfn.XLOOKUP(role_course_map[[#This Row],[course_id]],course_data[course_id],course_data[title],"")</f>
        <v>Managing Wellbeing Refresher for Managers</v>
      </c>
      <c r="E3592" s="5" t="str">
        <f>_xlfn.XLOOKUP(role_course_map[[#This Row],[course_id]],course_data[course_id],course_data[topic],"")</f>
        <v>SAS: Staff development and experience</v>
      </c>
      <c r="F3592" s="5" t="str">
        <f>_xlfn.XLOOKUP(role_course_map[[#This Row],[course_id]],course_data[course_id],course_data[type],"")</f>
        <v>eLearning</v>
      </c>
      <c r="K3592" t="str">
        <f>role_course_map[[#This Row],[role_id]] &amp; "|" &amp; role_course_map[[#This Row],[course_id]]</f>
        <v>R0098|999093</v>
      </c>
      <c r="L3592" t="str">
        <f>IF(COUNTIF(role_course_map[mapping_key],role_course_map[[#This Row],[mapping_key]])&gt;1,"DUPLICATE","OK")</f>
        <v>OK</v>
      </c>
      <c r="M3592" t="str">
        <f>IF(COUNTIF(role_data[role_id],role_course_map[[#This Row],[role_id]])=0, "INVALID","VALID")</f>
        <v>VALID</v>
      </c>
      <c r="N3592" t="str">
        <f>IF(COUNTIF(course_data[course_id],role_course_map[[#This Row],[course_id]])=0, "INVALID","VALID")</f>
        <v>VALID</v>
      </c>
    </row>
    <row r="3593" spans="1:14" x14ac:dyDescent="0.35">
      <c r="A3593" t="s">
        <v>210</v>
      </c>
      <c r="B3593" s="5" t="str">
        <f>_xlfn.XLOOKUP(role_course_map[[#This Row],[role_id]], role_data[role_id], role_data[Role],"")</f>
        <v>ICH Manager</v>
      </c>
      <c r="C3593">
        <v>999094</v>
      </c>
      <c r="D3593" s="5" t="str">
        <f>_xlfn.XLOOKUP(role_course_map[[#This Row],[course_id]],course_data[course_id],course_data[title],"")</f>
        <v>Being well, Mind, Body &amp; Workplace</v>
      </c>
      <c r="E3593" s="5" t="str">
        <f>_xlfn.XLOOKUP(role_course_map[[#This Row],[course_id]],course_data[course_id],course_data[topic],"")</f>
        <v>SAS: Staff development and experience</v>
      </c>
      <c r="F3593" s="5" t="str">
        <f>_xlfn.XLOOKUP(role_course_map[[#This Row],[course_id]],course_data[course_id],course_data[type],"")</f>
        <v>eLearning</v>
      </c>
      <c r="K3593" t="str">
        <f>role_course_map[[#This Row],[role_id]] &amp; "|" &amp; role_course_map[[#This Row],[course_id]]</f>
        <v>R0098|999094</v>
      </c>
      <c r="L3593" t="str">
        <f>IF(COUNTIF(role_course_map[mapping_key],role_course_map[[#This Row],[mapping_key]])&gt;1,"DUPLICATE","OK")</f>
        <v>OK</v>
      </c>
      <c r="M3593" t="str">
        <f>IF(COUNTIF(role_data[role_id],role_course_map[[#This Row],[role_id]])=0, "INVALID","VALID")</f>
        <v>VALID</v>
      </c>
      <c r="N3593" t="str">
        <f>IF(COUNTIF(course_data[course_id],role_course_map[[#This Row],[course_id]])=0, "INVALID","VALID")</f>
        <v>VALID</v>
      </c>
    </row>
    <row r="3594" spans="1:14" x14ac:dyDescent="0.35">
      <c r="A3594" t="s">
        <v>156</v>
      </c>
      <c r="B3594" s="5" t="str">
        <f>_xlfn.XLOOKUP(role_course_map[[#This Row],[role_id]], role_data[role_id], role_data[Role],"")</f>
        <v>MPDS Auditor/A&amp;E Auditor</v>
      </c>
      <c r="C3594">
        <v>999001</v>
      </c>
      <c r="D3594" s="5" t="str">
        <f>_xlfn.XLOOKUP(role_course_map[[#This Row],[course_id]],course_data[course_id],course_data[title],"")</f>
        <v>IAED - EMD</v>
      </c>
      <c r="E3594" s="5" t="str">
        <f>_xlfn.XLOOKUP(role_course_map[[#This Row],[course_id]],course_data[course_id],course_data[topic],"")</f>
        <v>SAS : Ambulance Control Centre (ACC)</v>
      </c>
      <c r="F3594" s="5" t="str">
        <f>_xlfn.XLOOKUP(role_course_map[[#This Row],[course_id]],course_data[course_id],course_data[type],"")</f>
        <v>Course</v>
      </c>
      <c r="K3594" t="str">
        <f>role_course_map[[#This Row],[role_id]] &amp; "|" &amp; role_course_map[[#This Row],[course_id]]</f>
        <v>R0072|999001</v>
      </c>
      <c r="L3594" t="str">
        <f>IF(COUNTIF(role_course_map[mapping_key],role_course_map[[#This Row],[mapping_key]])&gt;1,"DUPLICATE","OK")</f>
        <v>OK</v>
      </c>
      <c r="M3594" t="str">
        <f>IF(COUNTIF(role_data[role_id],role_course_map[[#This Row],[role_id]])=0, "INVALID","VALID")</f>
        <v>VALID</v>
      </c>
      <c r="N3594" t="str">
        <f>IF(COUNTIF(course_data[course_id],role_course_map[[#This Row],[course_id]])=0, "INVALID","VALID")</f>
        <v>VALID</v>
      </c>
    </row>
    <row r="3595" spans="1:14" x14ac:dyDescent="0.35">
      <c r="A3595" t="s">
        <v>156</v>
      </c>
      <c r="B3595" s="5" t="str">
        <f>_xlfn.XLOOKUP(role_course_map[[#This Row],[role_id]], role_data[role_id], role_data[Role],"")</f>
        <v>MPDS Auditor/A&amp;E Auditor</v>
      </c>
      <c r="C3595">
        <v>999004</v>
      </c>
      <c r="D3595" s="5" t="str">
        <f>_xlfn.XLOOKUP(role_course_map[[#This Row],[course_id]],course_data[course_id],course_data[title],"")</f>
        <v>IAED - QA</v>
      </c>
      <c r="E3595" s="5" t="str">
        <f>_xlfn.XLOOKUP(role_course_map[[#This Row],[course_id]],course_data[course_id],course_data[topic],"")</f>
        <v>SAS : Ambulance Control Centre (ACC)</v>
      </c>
      <c r="F3595" s="5" t="str">
        <f>_xlfn.XLOOKUP(role_course_map[[#This Row],[course_id]],course_data[course_id],course_data[type],"")</f>
        <v>Course</v>
      </c>
      <c r="K3595" t="str">
        <f>role_course_map[[#This Row],[role_id]] &amp; "|" &amp; role_course_map[[#This Row],[course_id]]</f>
        <v>R0072|999004</v>
      </c>
      <c r="L3595" t="str">
        <f>IF(COUNTIF(role_course_map[mapping_key],role_course_map[[#This Row],[mapping_key]])&gt;1,"DUPLICATE","OK")</f>
        <v>OK</v>
      </c>
      <c r="M3595" t="str">
        <f>IF(COUNTIF(role_data[role_id],role_course_map[[#This Row],[role_id]])=0, "INVALID","VALID")</f>
        <v>VALID</v>
      </c>
      <c r="N3595" t="str">
        <f>IF(COUNTIF(course_data[course_id],role_course_map[[#This Row],[course_id]])=0, "INVALID","VALID")</f>
        <v>VALID</v>
      </c>
    </row>
    <row r="3596" spans="1:14" x14ac:dyDescent="0.35">
      <c r="A3596" t="s">
        <v>156</v>
      </c>
      <c r="B3596" s="5" t="str">
        <f>_xlfn.XLOOKUP(role_course_map[[#This Row],[role_id]], role_data[role_id], role_data[Role],"")</f>
        <v>MPDS Auditor/A&amp;E Auditor</v>
      </c>
      <c r="C3596">
        <v>999057</v>
      </c>
      <c r="D3596" s="5" t="str">
        <f>_xlfn.XLOOKUP(role_course_map[[#This Row],[course_id]],course_data[course_id],course_data[title],"")</f>
        <v>Fatigue Awareness</v>
      </c>
      <c r="E3596" s="5" t="str">
        <f>_xlfn.XLOOKUP(role_course_map[[#This Row],[course_id]],course_data[course_id],course_data[topic],"")</f>
        <v>SAS : Health and Safety</v>
      </c>
      <c r="F3596" s="5" t="str">
        <f>_xlfn.XLOOKUP(role_course_map[[#This Row],[course_id]],course_data[course_id],course_data[type],"")</f>
        <v>eLearning</v>
      </c>
      <c r="K3596" t="str">
        <f>role_course_map[[#This Row],[role_id]] &amp; "|" &amp; role_course_map[[#This Row],[course_id]]</f>
        <v>R0072|999057</v>
      </c>
      <c r="L3596" t="str">
        <f>IF(COUNTIF(role_course_map[mapping_key],role_course_map[[#This Row],[mapping_key]])&gt;1,"DUPLICATE","OK")</f>
        <v>OK</v>
      </c>
      <c r="M3596" t="str">
        <f>IF(COUNTIF(role_data[role_id],role_course_map[[#This Row],[role_id]])=0, "INVALID","VALID")</f>
        <v>VALID</v>
      </c>
      <c r="N3596" t="str">
        <f>IF(COUNTIF(course_data[course_id],role_course_map[[#This Row],[course_id]])=0, "INVALID","VALID")</f>
        <v>VALID</v>
      </c>
    </row>
    <row r="3597" spans="1:14" x14ac:dyDescent="0.35">
      <c r="A3597" t="s">
        <v>156</v>
      </c>
      <c r="B3597" s="5" t="str">
        <f>_xlfn.XLOOKUP(role_course_map[[#This Row],[role_id]], role_data[role_id], role_data[Role],"")</f>
        <v>MPDS Auditor/A&amp;E Auditor</v>
      </c>
      <c r="C3597">
        <v>999058</v>
      </c>
      <c r="D3597" s="5" t="str">
        <f>_xlfn.XLOOKUP(role_course_map[[#This Row],[course_id]],course_data[course_id],course_data[title],"")</f>
        <v>Stress Identification &amp; Stress Management</v>
      </c>
      <c r="E3597" s="5" t="str">
        <f>_xlfn.XLOOKUP(role_course_map[[#This Row],[course_id]],course_data[course_id],course_data[topic],"")</f>
        <v>SAS : Health and Safety</v>
      </c>
      <c r="F3597" s="5" t="str">
        <f>_xlfn.XLOOKUP(role_course_map[[#This Row],[course_id]],course_data[course_id],course_data[type],"")</f>
        <v>eLearning</v>
      </c>
      <c r="K3597" t="str">
        <f>role_course_map[[#This Row],[role_id]] &amp; "|" &amp; role_course_map[[#This Row],[course_id]]</f>
        <v>R0072|999058</v>
      </c>
      <c r="L3597" t="str">
        <f>IF(COUNTIF(role_course_map[mapping_key],role_course_map[[#This Row],[mapping_key]])&gt;1,"DUPLICATE","OK")</f>
        <v>OK</v>
      </c>
      <c r="M3597" t="str">
        <f>IF(COUNTIF(role_data[role_id],role_course_map[[#This Row],[role_id]])=0, "INVALID","VALID")</f>
        <v>VALID</v>
      </c>
      <c r="N3597" t="str">
        <f>IF(COUNTIF(course_data[course_id],role_course_map[[#This Row],[course_id]])=0, "INVALID","VALID")</f>
        <v>VALID</v>
      </c>
    </row>
    <row r="3598" spans="1:14" x14ac:dyDescent="0.35">
      <c r="A3598" t="s">
        <v>156</v>
      </c>
      <c r="B3598" s="5" t="str">
        <f>_xlfn.XLOOKUP(role_course_map[[#This Row],[role_id]], role_data[role_id], role_data[Role],"")</f>
        <v>MPDS Auditor/A&amp;E Auditor</v>
      </c>
      <c r="C3598">
        <v>999056</v>
      </c>
      <c r="D3598" s="5" t="str">
        <f>_xlfn.XLOOKUP(role_course_map[[#This Row],[course_id]],course_data[course_id],course_data[title],"")</f>
        <v>Driver Assessment &amp; Training</v>
      </c>
      <c r="E3598" s="5" t="str">
        <f>_xlfn.XLOOKUP(role_course_map[[#This Row],[course_id]],course_data[course_id],course_data[topic],"")</f>
        <v>SAS : Health and Safety</v>
      </c>
      <c r="F3598" s="5" t="str">
        <f>_xlfn.XLOOKUP(role_course_map[[#This Row],[course_id]],course_data[course_id],course_data[type],"")</f>
        <v>eLearning</v>
      </c>
      <c r="K3598" t="str">
        <f>role_course_map[[#This Row],[role_id]] &amp; "|" &amp; role_course_map[[#This Row],[course_id]]</f>
        <v>R0072|999056</v>
      </c>
      <c r="L3598" t="str">
        <f>IF(COUNTIF(role_course_map[mapping_key],role_course_map[[#This Row],[mapping_key]])&gt;1,"DUPLICATE","OK")</f>
        <v>OK</v>
      </c>
      <c r="M3598" t="str">
        <f>IF(COUNTIF(role_data[role_id],role_course_map[[#This Row],[role_id]])=0, "INVALID","VALID")</f>
        <v>VALID</v>
      </c>
      <c r="N3598" t="str">
        <f>IF(COUNTIF(course_data[course_id],role_course_map[[#This Row],[course_id]])=0, "INVALID","VALID")</f>
        <v>VALID</v>
      </c>
    </row>
    <row r="3599" spans="1:14" x14ac:dyDescent="0.35">
      <c r="A3599" t="s">
        <v>156</v>
      </c>
      <c r="B3599" s="5" t="str">
        <f>_xlfn.XLOOKUP(role_course_map[[#This Row],[role_id]], role_data[role_id], role_data[Role],"")</f>
        <v>MPDS Auditor/A&amp;E Auditor</v>
      </c>
      <c r="C3599">
        <v>64322</v>
      </c>
      <c r="D3599" s="5" t="str">
        <f>_xlfn.XLOOKUP(role_course_map[[#This Row],[course_id]],course_data[course_id],course_data[title],"")</f>
        <v>Adult support and protection: practice level 2 [skilled]</v>
      </c>
      <c r="E3599" s="5" t="str">
        <f>_xlfn.XLOOKUP(role_course_map[[#This Row],[course_id]],course_data[course_id],course_data[topic],"")</f>
        <v>SAS : Public Protection</v>
      </c>
      <c r="F3599" s="5" t="str">
        <f>_xlfn.XLOOKUP(role_course_map[[#This Row],[course_id]],course_data[course_id],course_data[type],"")</f>
        <v>eLearning</v>
      </c>
      <c r="K3599" t="str">
        <f>role_course_map[[#This Row],[role_id]] &amp; "|" &amp; role_course_map[[#This Row],[course_id]]</f>
        <v>R0072|64322</v>
      </c>
      <c r="L3599" t="str">
        <f>IF(COUNTIF(role_course_map[mapping_key],role_course_map[[#This Row],[mapping_key]])&gt;1,"DUPLICATE","OK")</f>
        <v>OK</v>
      </c>
      <c r="M3599" t="str">
        <f>IF(COUNTIF(role_data[role_id],role_course_map[[#This Row],[role_id]])=0, "INVALID","VALID")</f>
        <v>VALID</v>
      </c>
      <c r="N3599" t="str">
        <f>IF(COUNTIF(course_data[course_id],role_course_map[[#This Row],[course_id]])=0, "INVALID","VALID")</f>
        <v>VALID</v>
      </c>
    </row>
    <row r="3600" spans="1:14" x14ac:dyDescent="0.35">
      <c r="A3600" t="s">
        <v>156</v>
      </c>
      <c r="B3600" s="5" t="str">
        <f>_xlfn.XLOOKUP(role_course_map[[#This Row],[role_id]], role_data[role_id], role_data[Role],"")</f>
        <v>MPDS Auditor/A&amp;E Auditor</v>
      </c>
      <c r="C3600">
        <v>64324</v>
      </c>
      <c r="D3600" s="5" t="str">
        <f>_xlfn.XLOOKUP(role_course_map[[#This Row],[course_id]],course_data[course_id],course_data[title],"")</f>
        <v>Child protection: practice level 2 [skilled]</v>
      </c>
      <c r="E3600" s="5" t="str">
        <f>_xlfn.XLOOKUP(role_course_map[[#This Row],[course_id]],course_data[course_id],course_data[topic],"")</f>
        <v>SAS : Public Protection</v>
      </c>
      <c r="F3600" s="5" t="str">
        <f>_xlfn.XLOOKUP(role_course_map[[#This Row],[course_id]],course_data[course_id],course_data[type],"")</f>
        <v>eLearning</v>
      </c>
      <c r="K3600" t="str">
        <f>role_course_map[[#This Row],[role_id]] &amp; "|" &amp; role_course_map[[#This Row],[course_id]]</f>
        <v>R0072|64324</v>
      </c>
      <c r="L3600" t="str">
        <f>IF(COUNTIF(role_course_map[mapping_key],role_course_map[[#This Row],[mapping_key]])&gt;1,"DUPLICATE","OK")</f>
        <v>OK</v>
      </c>
      <c r="M3600" t="str">
        <f>IF(COUNTIF(role_data[role_id],role_course_map[[#This Row],[role_id]])=0, "INVALID","VALID")</f>
        <v>VALID</v>
      </c>
      <c r="N3600" t="str">
        <f>IF(COUNTIF(course_data[course_id],role_course_map[[#This Row],[course_id]])=0, "INVALID","VALID")</f>
        <v>VALID</v>
      </c>
    </row>
    <row r="3601" spans="1:14" x14ac:dyDescent="0.35">
      <c r="A3601" t="s">
        <v>156</v>
      </c>
      <c r="B3601" s="5" t="str">
        <f>_xlfn.XLOOKUP(role_course_map[[#This Row],[role_id]], role_data[role_id], role_data[Role],"")</f>
        <v>MPDS Auditor/A&amp;E Auditor</v>
      </c>
      <c r="C3601">
        <v>76716</v>
      </c>
      <c r="D3601" s="5" t="str">
        <f>_xlfn.XLOOKUP(role_course_map[[#This Row],[course_id]],course_data[course_id],course_data[title],"")</f>
        <v>Domestic abuse awareness training tool (DAART)</v>
      </c>
      <c r="E3601" s="5" t="str">
        <f>_xlfn.XLOOKUP(role_course_map[[#This Row],[course_id]],course_data[course_id],course_data[topic],"")</f>
        <v>SAS : Public Protection</v>
      </c>
      <c r="F3601" s="5" t="str">
        <f>_xlfn.XLOOKUP(role_course_map[[#This Row],[course_id]],course_data[course_id],course_data[type],"")</f>
        <v>eLearning</v>
      </c>
      <c r="K3601" t="str">
        <f>role_course_map[[#This Row],[role_id]] &amp; "|" &amp; role_course_map[[#This Row],[course_id]]</f>
        <v>R0072|76716</v>
      </c>
      <c r="L3601" t="str">
        <f>IF(COUNTIF(role_course_map[mapping_key],role_course_map[[#This Row],[mapping_key]])&gt;1,"DUPLICATE","OK")</f>
        <v>OK</v>
      </c>
      <c r="M3601" t="str">
        <f>IF(COUNTIF(role_data[role_id],role_course_map[[#This Row],[role_id]])=0, "INVALID","VALID")</f>
        <v>VALID</v>
      </c>
      <c r="N3601" t="str">
        <f>IF(COUNTIF(course_data[course_id],role_course_map[[#This Row],[course_id]])=0, "INVALID","VALID")</f>
        <v>VALID</v>
      </c>
    </row>
    <row r="3602" spans="1:14" x14ac:dyDescent="0.35">
      <c r="A3602" t="s">
        <v>156</v>
      </c>
      <c r="B3602" s="5" t="str">
        <f>_xlfn.XLOOKUP(role_course_map[[#This Row],[role_id]], role_data[role_id], role_data[Role],"")</f>
        <v>MPDS Auditor/A&amp;E Auditor</v>
      </c>
      <c r="C3602">
        <v>79666</v>
      </c>
      <c r="D3602" s="5" t="str">
        <f>_xlfn.XLOOKUP(role_course_map[[#This Row],[course_id]],course_data[course_id],course_data[title],"")</f>
        <v>Getting it right for every child (GIRFEC): informed level</v>
      </c>
      <c r="E3602" s="5" t="str">
        <f>_xlfn.XLOOKUP(role_course_map[[#This Row],[course_id]],course_data[course_id],course_data[topic],"")</f>
        <v>SAS : Public Protection</v>
      </c>
      <c r="F3602" s="5" t="str">
        <f>_xlfn.XLOOKUP(role_course_map[[#This Row],[course_id]],course_data[course_id],course_data[type],"")</f>
        <v>eLearning</v>
      </c>
      <c r="K3602" t="str">
        <f>role_course_map[[#This Row],[role_id]] &amp; "|" &amp; role_course_map[[#This Row],[course_id]]</f>
        <v>R0072|79666</v>
      </c>
      <c r="L3602" t="str">
        <f>IF(COUNTIF(role_course_map[mapping_key],role_course_map[[#This Row],[mapping_key]])&gt;1,"DUPLICATE","OK")</f>
        <v>OK</v>
      </c>
      <c r="M3602" t="str">
        <f>IF(COUNTIF(role_data[role_id],role_course_map[[#This Row],[role_id]])=0, "INVALID","VALID")</f>
        <v>VALID</v>
      </c>
      <c r="N3602" t="str">
        <f>IF(COUNTIF(course_data[course_id],role_course_map[[#This Row],[course_id]])=0, "INVALID","VALID")</f>
        <v>VALID</v>
      </c>
    </row>
    <row r="3603" spans="1:14" x14ac:dyDescent="0.35">
      <c r="A3603" t="s">
        <v>156</v>
      </c>
      <c r="B3603" s="5" t="str">
        <f>_xlfn.XLOOKUP(role_course_map[[#This Row],[role_id]], role_data[role_id], role_data[Role],"")</f>
        <v>MPDS Auditor/A&amp;E Auditor</v>
      </c>
      <c r="C3603">
        <v>999074</v>
      </c>
      <c r="D3603" s="5" t="str">
        <f>_xlfn.XLOOKUP(role_course_map[[#This Row],[course_id]],course_data[course_id],course_data[title],"")</f>
        <v>SAS-specific Children’s rights</v>
      </c>
      <c r="E3603" s="5" t="str">
        <f>_xlfn.XLOOKUP(role_course_map[[#This Row],[course_id]],course_data[course_id],course_data[topic],"")</f>
        <v>SAS : Public Protection</v>
      </c>
      <c r="F3603" s="5" t="str">
        <f>_xlfn.XLOOKUP(role_course_map[[#This Row],[course_id]],course_data[course_id],course_data[type],"")</f>
        <v>eLearning</v>
      </c>
      <c r="K3603" t="str">
        <f>role_course_map[[#This Row],[role_id]] &amp; "|" &amp; role_course_map[[#This Row],[course_id]]</f>
        <v>R0072|999074</v>
      </c>
      <c r="L3603" t="str">
        <f>IF(COUNTIF(role_course_map[mapping_key],role_course_map[[#This Row],[mapping_key]])&gt;1,"DUPLICATE","OK")</f>
        <v>OK</v>
      </c>
      <c r="M3603" t="str">
        <f>IF(COUNTIF(role_data[role_id],role_course_map[[#This Row],[role_id]])=0, "INVALID","VALID")</f>
        <v>VALID</v>
      </c>
      <c r="N3603" t="str">
        <f>IF(COUNTIF(course_data[course_id],role_course_map[[#This Row],[course_id]])=0, "INVALID","VALID")</f>
        <v>VALID</v>
      </c>
    </row>
    <row r="3604" spans="1:14" x14ac:dyDescent="0.35">
      <c r="A3604" t="s">
        <v>156</v>
      </c>
      <c r="B3604" s="5" t="str">
        <f>_xlfn.XLOOKUP(role_course_map[[#This Row],[role_id]], role_data[role_id], role_data[Role],"")</f>
        <v>MPDS Auditor/A&amp;E Auditor</v>
      </c>
      <c r="C3604">
        <v>999075</v>
      </c>
      <c r="D3604" s="5" t="str">
        <f>_xlfn.XLOOKUP(role_course_map[[#This Row],[course_id]],course_data[course_id],course_data[title],"")</f>
        <v>Multiagency local or bespoke Level 3 delivery training</v>
      </c>
      <c r="E3604" s="5" t="str">
        <f>_xlfn.XLOOKUP(role_course_map[[#This Row],[course_id]],course_data[course_id],course_data[topic],"")</f>
        <v>SAS : Public Protection</v>
      </c>
      <c r="F3604" s="5" t="str">
        <f>_xlfn.XLOOKUP(role_course_map[[#This Row],[course_id]],course_data[course_id],course_data[type],"")</f>
        <v>eLearning</v>
      </c>
      <c r="K3604" t="str">
        <f>role_course_map[[#This Row],[role_id]] &amp; "|" &amp; role_course_map[[#This Row],[course_id]]</f>
        <v>R0072|999075</v>
      </c>
      <c r="L3604" t="str">
        <f>IF(COUNTIF(role_course_map[mapping_key],role_course_map[[#This Row],[mapping_key]])&gt;1,"DUPLICATE","OK")</f>
        <v>OK</v>
      </c>
      <c r="M3604" t="str">
        <f>IF(COUNTIF(role_data[role_id],role_course_map[[#This Row],[role_id]])=0, "INVALID","VALID")</f>
        <v>VALID</v>
      </c>
      <c r="N3604" t="str">
        <f>IF(COUNTIF(course_data[course_id],role_course_map[[#This Row],[course_id]])=0, "INVALID","VALID")</f>
        <v>VALID</v>
      </c>
    </row>
    <row r="3605" spans="1:14" x14ac:dyDescent="0.35">
      <c r="A3605" t="s">
        <v>156</v>
      </c>
      <c r="B3605" s="5" t="str">
        <f>_xlfn.XLOOKUP(role_course_map[[#This Row],[role_id]], role_data[role_id], role_data[Role],"")</f>
        <v>MPDS Auditor/A&amp;E Auditor</v>
      </c>
      <c r="C3605">
        <v>15249</v>
      </c>
      <c r="D3605" s="5" t="str">
        <f>_xlfn.XLOOKUP(role_course_map[[#This Row],[course_id]],course_data[course_id],course_data[title],"")</f>
        <v>Human trafficking</v>
      </c>
      <c r="E3605" s="5" t="str">
        <f>_xlfn.XLOOKUP(role_course_map[[#This Row],[course_id]],course_data[course_id],course_data[topic],"")</f>
        <v>SAS : Public Protection</v>
      </c>
      <c r="F3605" s="5" t="str">
        <f>_xlfn.XLOOKUP(role_course_map[[#This Row],[course_id]],course_data[course_id],course_data[type],"")</f>
        <v>eLearning</v>
      </c>
      <c r="K3605" t="str">
        <f>role_course_map[[#This Row],[role_id]] &amp; "|" &amp; role_course_map[[#This Row],[course_id]]</f>
        <v>R0072|15249</v>
      </c>
      <c r="L3605" t="str">
        <f>IF(COUNTIF(role_course_map[mapping_key],role_course_map[[#This Row],[mapping_key]])&gt;1,"DUPLICATE","OK")</f>
        <v>OK</v>
      </c>
      <c r="M3605" t="str">
        <f>IF(COUNTIF(role_data[role_id],role_course_map[[#This Row],[role_id]])=0, "INVALID","VALID")</f>
        <v>VALID</v>
      </c>
      <c r="N3605" t="str">
        <f>IF(COUNTIF(course_data[course_id],role_course_map[[#This Row],[course_id]])=0, "INVALID","VALID")</f>
        <v>VALID</v>
      </c>
    </row>
    <row r="3606" spans="1:14" x14ac:dyDescent="0.35">
      <c r="A3606" t="s">
        <v>156</v>
      </c>
      <c r="B3606" s="5" t="str">
        <f>_xlfn.XLOOKUP(role_course_map[[#This Row],[role_id]], role_data[role_id], role_data[Role],"")</f>
        <v>MPDS Auditor/A&amp;E Auditor</v>
      </c>
      <c r="C3606">
        <v>999094</v>
      </c>
      <c r="D3606" s="5" t="str">
        <f>_xlfn.XLOOKUP(role_course_map[[#This Row],[course_id]],course_data[course_id],course_data[title],"")</f>
        <v>Being well, Mind, Body &amp; Workplace</v>
      </c>
      <c r="E3606" s="5" t="str">
        <f>_xlfn.XLOOKUP(role_course_map[[#This Row],[course_id]],course_data[course_id],course_data[topic],"")</f>
        <v>SAS: Staff development and experience</v>
      </c>
      <c r="F3606" s="5" t="str">
        <f>_xlfn.XLOOKUP(role_course_map[[#This Row],[course_id]],course_data[course_id],course_data[type],"")</f>
        <v>eLearning</v>
      </c>
      <c r="K3606" t="str">
        <f>role_course_map[[#This Row],[role_id]] &amp; "|" &amp; role_course_map[[#This Row],[course_id]]</f>
        <v>R0072|999094</v>
      </c>
      <c r="L3606" t="str">
        <f>IF(COUNTIF(role_course_map[mapping_key],role_course_map[[#This Row],[mapping_key]])&gt;1,"DUPLICATE","OK")</f>
        <v>OK</v>
      </c>
      <c r="M3606" t="str">
        <f>IF(COUNTIF(role_data[role_id],role_course_map[[#This Row],[role_id]])=0, "INVALID","VALID")</f>
        <v>VALID</v>
      </c>
      <c r="N3606" t="str">
        <f>IF(COUNTIF(course_data[course_id],role_course_map[[#This Row],[course_id]])=0, "INVALID","VALID")</f>
        <v>VALID</v>
      </c>
    </row>
    <row r="3607" spans="1:14" x14ac:dyDescent="0.35">
      <c r="A3607" t="s">
        <v>370</v>
      </c>
      <c r="B3607" s="5" t="str">
        <f>_xlfn.XLOOKUP(role_course_map[[#This Row],[role_id]], role_data[role_id], role_data[Role],"")</f>
        <v>Organisational Development Lead</v>
      </c>
      <c r="C3607">
        <v>999056</v>
      </c>
      <c r="D3607" s="5" t="str">
        <f>_xlfn.XLOOKUP(role_course_map[[#This Row],[course_id]],course_data[course_id],course_data[title],"")</f>
        <v>Driver Assessment &amp; Training</v>
      </c>
      <c r="E3607" s="5" t="str">
        <f>_xlfn.XLOOKUP(role_course_map[[#This Row],[course_id]],course_data[course_id],course_data[topic],"")</f>
        <v>SAS : Health and Safety</v>
      </c>
      <c r="F3607" s="5" t="str">
        <f>_xlfn.XLOOKUP(role_course_map[[#This Row],[course_id]],course_data[course_id],course_data[type],"")</f>
        <v>eLearning</v>
      </c>
      <c r="K3607" t="str">
        <f>role_course_map[[#This Row],[role_id]] &amp; "|" &amp; role_course_map[[#This Row],[course_id]]</f>
        <v>R0177|999056</v>
      </c>
      <c r="L3607" t="str">
        <f>IF(COUNTIF(role_course_map[mapping_key],role_course_map[[#This Row],[mapping_key]])&gt;1,"DUPLICATE","OK")</f>
        <v>OK</v>
      </c>
      <c r="M3607" t="str">
        <f>IF(COUNTIF(role_data[role_id],role_course_map[[#This Row],[role_id]])=0, "INVALID","VALID")</f>
        <v>VALID</v>
      </c>
      <c r="N3607" t="str">
        <f>IF(COUNTIF(course_data[course_id],role_course_map[[#This Row],[course_id]])=0, "INVALID","VALID")</f>
        <v>VALID</v>
      </c>
    </row>
    <row r="3608" spans="1:14" x14ac:dyDescent="0.35">
      <c r="A3608" t="s">
        <v>370</v>
      </c>
      <c r="B3608" s="5" t="str">
        <f>_xlfn.XLOOKUP(role_course_map[[#This Row],[role_id]], role_data[role_id], role_data[Role],"")</f>
        <v>Organisational Development Lead</v>
      </c>
      <c r="C3608">
        <v>999057</v>
      </c>
      <c r="D3608" s="5" t="str">
        <f>_xlfn.XLOOKUP(role_course_map[[#This Row],[course_id]],course_data[course_id],course_data[title],"")</f>
        <v>Fatigue Awareness</v>
      </c>
      <c r="E3608" s="5" t="str">
        <f>_xlfn.XLOOKUP(role_course_map[[#This Row],[course_id]],course_data[course_id],course_data[topic],"")</f>
        <v>SAS : Health and Safety</v>
      </c>
      <c r="F3608" s="5" t="str">
        <f>_xlfn.XLOOKUP(role_course_map[[#This Row],[course_id]],course_data[course_id],course_data[type],"")</f>
        <v>eLearning</v>
      </c>
      <c r="K3608" t="str">
        <f>role_course_map[[#This Row],[role_id]] &amp; "|" &amp; role_course_map[[#This Row],[course_id]]</f>
        <v>R0177|999057</v>
      </c>
      <c r="L3608" t="str">
        <f>IF(COUNTIF(role_course_map[mapping_key],role_course_map[[#This Row],[mapping_key]])&gt;1,"DUPLICATE","OK")</f>
        <v>OK</v>
      </c>
      <c r="M3608" t="str">
        <f>IF(COUNTIF(role_data[role_id],role_course_map[[#This Row],[role_id]])=0, "INVALID","VALID")</f>
        <v>VALID</v>
      </c>
      <c r="N3608" t="str">
        <f>IF(COUNTIF(course_data[course_id],role_course_map[[#This Row],[course_id]])=0, "INVALID","VALID")</f>
        <v>VALID</v>
      </c>
    </row>
    <row r="3609" spans="1:14" x14ac:dyDescent="0.35">
      <c r="A3609" t="s">
        <v>370</v>
      </c>
      <c r="B3609" s="5" t="str">
        <f>_xlfn.XLOOKUP(role_course_map[[#This Row],[role_id]], role_data[role_id], role_data[Role],"")</f>
        <v>Organisational Development Lead</v>
      </c>
      <c r="C3609">
        <v>999058</v>
      </c>
      <c r="D3609" s="5" t="str">
        <f>_xlfn.XLOOKUP(role_course_map[[#This Row],[course_id]],course_data[course_id],course_data[title],"")</f>
        <v>Stress Identification &amp; Stress Management</v>
      </c>
      <c r="E3609" s="5" t="str">
        <f>_xlfn.XLOOKUP(role_course_map[[#This Row],[course_id]],course_data[course_id],course_data[topic],"")</f>
        <v>SAS : Health and Safety</v>
      </c>
      <c r="F3609" s="5" t="str">
        <f>_xlfn.XLOOKUP(role_course_map[[#This Row],[course_id]],course_data[course_id],course_data[type],"")</f>
        <v>eLearning</v>
      </c>
      <c r="K3609" t="str">
        <f>role_course_map[[#This Row],[role_id]] &amp; "|" &amp; role_course_map[[#This Row],[course_id]]</f>
        <v>R0177|999058</v>
      </c>
      <c r="L3609" t="str">
        <f>IF(COUNTIF(role_course_map[mapping_key],role_course_map[[#This Row],[mapping_key]])&gt;1,"DUPLICATE","OK")</f>
        <v>OK</v>
      </c>
      <c r="M3609" t="str">
        <f>IF(COUNTIF(role_data[role_id],role_course_map[[#This Row],[role_id]])=0, "INVALID","VALID")</f>
        <v>VALID</v>
      </c>
      <c r="N3609" t="str">
        <f>IF(COUNTIF(course_data[course_id],role_course_map[[#This Row],[course_id]])=0, "INVALID","VALID")</f>
        <v>VALID</v>
      </c>
    </row>
    <row r="3610" spans="1:14" x14ac:dyDescent="0.35">
      <c r="A3610" t="s">
        <v>370</v>
      </c>
      <c r="B3610" s="5" t="str">
        <f>_xlfn.XLOOKUP(role_course_map[[#This Row],[role_id]], role_data[role_id], role_data[Role],"")</f>
        <v>Organisational Development Lead</v>
      </c>
      <c r="C3610">
        <v>999094</v>
      </c>
      <c r="D3610" s="5" t="str">
        <f>_xlfn.XLOOKUP(role_course_map[[#This Row],[course_id]],course_data[course_id],course_data[title],"")</f>
        <v>Being well, Mind, Body &amp; Workplace</v>
      </c>
      <c r="E3610" s="5" t="str">
        <f>_xlfn.XLOOKUP(role_course_map[[#This Row],[course_id]],course_data[course_id],course_data[topic],"")</f>
        <v>SAS: Staff development and experience</v>
      </c>
      <c r="F3610" s="5" t="str">
        <f>_xlfn.XLOOKUP(role_course_map[[#This Row],[course_id]],course_data[course_id],course_data[type],"")</f>
        <v>eLearning</v>
      </c>
      <c r="K3610" t="str">
        <f>role_course_map[[#This Row],[role_id]] &amp; "|" &amp; role_course_map[[#This Row],[course_id]]</f>
        <v>R0177|999094</v>
      </c>
      <c r="L3610" t="str">
        <f>IF(COUNTIF(role_course_map[mapping_key],role_course_map[[#This Row],[mapping_key]])&gt;1,"DUPLICATE","OK")</f>
        <v>OK</v>
      </c>
      <c r="M3610" t="str">
        <f>IF(COUNTIF(role_data[role_id],role_course_map[[#This Row],[role_id]])=0, "INVALID","VALID")</f>
        <v>VALID</v>
      </c>
      <c r="N3610" t="str">
        <f>IF(COUNTIF(course_data[course_id],role_course_map[[#This Row],[course_id]])=0, "INVALID","VALID")</f>
        <v>VALID</v>
      </c>
    </row>
    <row r="3611" spans="1:14" x14ac:dyDescent="0.35">
      <c r="A3611" t="s">
        <v>13</v>
      </c>
      <c r="B3611" s="5" t="str">
        <f>_xlfn.XLOOKUP(role_course_map[[#This Row],[role_id]], role_data[role_id], role_data[Role],"")</f>
        <v>Patient Experience Manager</v>
      </c>
      <c r="C3611">
        <v>999056</v>
      </c>
      <c r="D3611" s="5" t="str">
        <f>_xlfn.XLOOKUP(role_course_map[[#This Row],[course_id]],course_data[course_id],course_data[title],"")</f>
        <v>Driver Assessment &amp; Training</v>
      </c>
      <c r="E3611" s="5" t="str">
        <f>_xlfn.XLOOKUP(role_course_map[[#This Row],[course_id]],course_data[course_id],course_data[topic],"")</f>
        <v>SAS : Health and Safety</v>
      </c>
      <c r="F3611" s="5" t="str">
        <f>_xlfn.XLOOKUP(role_course_map[[#This Row],[course_id]],course_data[course_id],course_data[type],"")</f>
        <v>eLearning</v>
      </c>
      <c r="K3611" t="str">
        <f>role_course_map[[#This Row],[role_id]] &amp; "|" &amp; role_course_map[[#This Row],[course_id]]</f>
        <v>R0005|999056</v>
      </c>
      <c r="L3611" t="str">
        <f>IF(COUNTIF(role_course_map[mapping_key],role_course_map[[#This Row],[mapping_key]])&gt;1,"DUPLICATE","OK")</f>
        <v>OK</v>
      </c>
      <c r="M3611" t="str">
        <f>IF(COUNTIF(role_data[role_id],role_course_map[[#This Row],[role_id]])=0, "INVALID","VALID")</f>
        <v>VALID</v>
      </c>
      <c r="N3611" t="str">
        <f>IF(COUNTIF(course_data[course_id],role_course_map[[#This Row],[course_id]])=0, "INVALID","VALID")</f>
        <v>VALID</v>
      </c>
    </row>
    <row r="3612" spans="1:14" x14ac:dyDescent="0.35">
      <c r="A3612" t="s">
        <v>13</v>
      </c>
      <c r="B3612" s="5" t="str">
        <f>_xlfn.XLOOKUP(role_course_map[[#This Row],[role_id]], role_data[role_id], role_data[Role],"")</f>
        <v>Patient Experience Manager</v>
      </c>
      <c r="C3612">
        <v>999057</v>
      </c>
      <c r="D3612" s="5" t="str">
        <f>_xlfn.XLOOKUP(role_course_map[[#This Row],[course_id]],course_data[course_id],course_data[title],"")</f>
        <v>Fatigue Awareness</v>
      </c>
      <c r="E3612" s="5" t="str">
        <f>_xlfn.XLOOKUP(role_course_map[[#This Row],[course_id]],course_data[course_id],course_data[topic],"")</f>
        <v>SAS : Health and Safety</v>
      </c>
      <c r="F3612" s="5" t="str">
        <f>_xlfn.XLOOKUP(role_course_map[[#This Row],[course_id]],course_data[course_id],course_data[type],"")</f>
        <v>eLearning</v>
      </c>
      <c r="K3612" t="str">
        <f>role_course_map[[#This Row],[role_id]] &amp; "|" &amp; role_course_map[[#This Row],[course_id]]</f>
        <v>R0005|999057</v>
      </c>
      <c r="L3612" t="str">
        <f>IF(COUNTIF(role_course_map[mapping_key],role_course_map[[#This Row],[mapping_key]])&gt;1,"DUPLICATE","OK")</f>
        <v>OK</v>
      </c>
      <c r="M3612" t="str">
        <f>IF(COUNTIF(role_data[role_id],role_course_map[[#This Row],[role_id]])=0, "INVALID","VALID")</f>
        <v>VALID</v>
      </c>
      <c r="N3612" t="str">
        <f>IF(COUNTIF(course_data[course_id],role_course_map[[#This Row],[course_id]])=0, "INVALID","VALID")</f>
        <v>VALID</v>
      </c>
    </row>
    <row r="3613" spans="1:14" x14ac:dyDescent="0.35">
      <c r="A3613" t="s">
        <v>13</v>
      </c>
      <c r="B3613" s="5" t="str">
        <f>_xlfn.XLOOKUP(role_course_map[[#This Row],[role_id]], role_data[role_id], role_data[Role],"")</f>
        <v>Patient Experience Manager</v>
      </c>
      <c r="C3613">
        <v>999058</v>
      </c>
      <c r="D3613" s="5" t="str">
        <f>_xlfn.XLOOKUP(role_course_map[[#This Row],[course_id]],course_data[course_id],course_data[title],"")</f>
        <v>Stress Identification &amp; Stress Management</v>
      </c>
      <c r="E3613" s="5" t="str">
        <f>_xlfn.XLOOKUP(role_course_map[[#This Row],[course_id]],course_data[course_id],course_data[topic],"")</f>
        <v>SAS : Health and Safety</v>
      </c>
      <c r="F3613" s="5" t="str">
        <f>_xlfn.XLOOKUP(role_course_map[[#This Row],[course_id]],course_data[course_id],course_data[type],"")</f>
        <v>eLearning</v>
      </c>
      <c r="K3613" t="str">
        <f>role_course_map[[#This Row],[role_id]] &amp; "|" &amp; role_course_map[[#This Row],[course_id]]</f>
        <v>R0005|999058</v>
      </c>
      <c r="L3613" t="str">
        <f>IF(COUNTIF(role_course_map[mapping_key],role_course_map[[#This Row],[mapping_key]])&gt;1,"DUPLICATE","OK")</f>
        <v>OK</v>
      </c>
      <c r="M3613" t="str">
        <f>IF(COUNTIF(role_data[role_id],role_course_map[[#This Row],[role_id]])=0, "INVALID","VALID")</f>
        <v>VALID</v>
      </c>
      <c r="N3613" t="str">
        <f>IF(COUNTIF(course_data[course_id],role_course_map[[#This Row],[course_id]])=0, "INVALID","VALID")</f>
        <v>VALID</v>
      </c>
    </row>
    <row r="3614" spans="1:14" x14ac:dyDescent="0.35">
      <c r="A3614" t="s">
        <v>13</v>
      </c>
      <c r="B3614" s="5" t="str">
        <f>_xlfn.XLOOKUP(role_course_map[[#This Row],[role_id]], role_data[role_id], role_data[Role],"")</f>
        <v>Patient Experience Manager</v>
      </c>
      <c r="C3614">
        <v>999092</v>
      </c>
      <c r="D3614" s="5" t="str">
        <f>_xlfn.XLOOKUP(role_course_map[[#This Row],[course_id]],course_data[course_id],course_data[title],"")</f>
        <v>Health &amp; Wellbeing Awareness for Managers</v>
      </c>
      <c r="E3614" s="5" t="str">
        <f>_xlfn.XLOOKUP(role_course_map[[#This Row],[course_id]],course_data[course_id],course_data[topic],"")</f>
        <v>SAS: Staff development and experience</v>
      </c>
      <c r="F3614" s="5" t="str">
        <f>_xlfn.XLOOKUP(role_course_map[[#This Row],[course_id]],course_data[course_id],course_data[type],"")</f>
        <v>eLearning</v>
      </c>
      <c r="K3614" t="str">
        <f>role_course_map[[#This Row],[role_id]] &amp; "|" &amp; role_course_map[[#This Row],[course_id]]</f>
        <v>R0005|999092</v>
      </c>
      <c r="L3614" t="str">
        <f>IF(COUNTIF(role_course_map[mapping_key],role_course_map[[#This Row],[mapping_key]])&gt;1,"DUPLICATE","OK")</f>
        <v>OK</v>
      </c>
      <c r="M3614" t="str">
        <f>IF(COUNTIF(role_data[role_id],role_course_map[[#This Row],[role_id]])=0, "INVALID","VALID")</f>
        <v>VALID</v>
      </c>
      <c r="N3614" t="str">
        <f>IF(COUNTIF(course_data[course_id],role_course_map[[#This Row],[course_id]])=0, "INVALID","VALID")</f>
        <v>VALID</v>
      </c>
    </row>
    <row r="3615" spans="1:14" x14ac:dyDescent="0.35">
      <c r="A3615" t="s">
        <v>13</v>
      </c>
      <c r="B3615" s="5" t="str">
        <f>_xlfn.XLOOKUP(role_course_map[[#This Row],[role_id]], role_data[role_id], role_data[Role],"")</f>
        <v>Patient Experience Manager</v>
      </c>
      <c r="C3615">
        <v>999093</v>
      </c>
      <c r="D3615" s="5" t="str">
        <f>_xlfn.XLOOKUP(role_course_map[[#This Row],[course_id]],course_data[course_id],course_data[title],"")</f>
        <v>Managing Wellbeing Refresher for Managers</v>
      </c>
      <c r="E3615" s="5" t="str">
        <f>_xlfn.XLOOKUP(role_course_map[[#This Row],[course_id]],course_data[course_id],course_data[topic],"")</f>
        <v>SAS: Staff development and experience</v>
      </c>
      <c r="F3615" s="5" t="str">
        <f>_xlfn.XLOOKUP(role_course_map[[#This Row],[course_id]],course_data[course_id],course_data[type],"")</f>
        <v>eLearning</v>
      </c>
      <c r="K3615" t="str">
        <f>role_course_map[[#This Row],[role_id]] &amp; "|" &amp; role_course_map[[#This Row],[course_id]]</f>
        <v>R0005|999093</v>
      </c>
      <c r="L3615" t="str">
        <f>IF(COUNTIF(role_course_map[mapping_key],role_course_map[[#This Row],[mapping_key]])&gt;1,"DUPLICATE","OK")</f>
        <v>OK</v>
      </c>
      <c r="M3615" t="str">
        <f>IF(COUNTIF(role_data[role_id],role_course_map[[#This Row],[role_id]])=0, "INVALID","VALID")</f>
        <v>VALID</v>
      </c>
      <c r="N3615" t="str">
        <f>IF(COUNTIF(course_data[course_id],role_course_map[[#This Row],[course_id]])=0, "INVALID","VALID")</f>
        <v>VALID</v>
      </c>
    </row>
    <row r="3616" spans="1:14" x14ac:dyDescent="0.35">
      <c r="A3616" t="s">
        <v>13</v>
      </c>
      <c r="B3616" s="5" t="str">
        <f>_xlfn.XLOOKUP(role_course_map[[#This Row],[role_id]], role_data[role_id], role_data[Role],"")</f>
        <v>Patient Experience Manager</v>
      </c>
      <c r="C3616">
        <v>999094</v>
      </c>
      <c r="D3616" s="5" t="str">
        <f>_xlfn.XLOOKUP(role_course_map[[#This Row],[course_id]],course_data[course_id],course_data[title],"")</f>
        <v>Being well, Mind, Body &amp; Workplace</v>
      </c>
      <c r="E3616" s="5" t="str">
        <f>_xlfn.XLOOKUP(role_course_map[[#This Row],[course_id]],course_data[course_id],course_data[topic],"")</f>
        <v>SAS: Staff development and experience</v>
      </c>
      <c r="F3616" s="5" t="str">
        <f>_xlfn.XLOOKUP(role_course_map[[#This Row],[course_id]],course_data[course_id],course_data[type],"")</f>
        <v>eLearning</v>
      </c>
      <c r="K3616" t="str">
        <f>role_course_map[[#This Row],[role_id]] &amp; "|" &amp; role_course_map[[#This Row],[course_id]]</f>
        <v>R0005|999094</v>
      </c>
      <c r="L3616" t="str">
        <f>IF(COUNTIF(role_course_map[mapping_key],role_course_map[[#This Row],[mapping_key]])&gt;1,"DUPLICATE","OK")</f>
        <v>OK</v>
      </c>
      <c r="M3616" t="str">
        <f>IF(COUNTIF(role_data[role_id],role_course_map[[#This Row],[role_id]])=0, "INVALID","VALID")</f>
        <v>VALID</v>
      </c>
      <c r="N3616" t="str">
        <f>IF(COUNTIF(course_data[course_id],role_course_map[[#This Row],[course_id]])=0, "INVALID","VALID")</f>
        <v>VALID</v>
      </c>
    </row>
    <row r="3617" spans="1:14" x14ac:dyDescent="0.35">
      <c r="A3617" t="s">
        <v>176</v>
      </c>
      <c r="B3617" s="5" t="str">
        <f>_xlfn.XLOOKUP(role_course_map[[#This Row],[role_id]], role_data[role_id], role_data[Role],"")</f>
        <v>Specialist Services Desk Dispatcher</v>
      </c>
      <c r="C3617">
        <v>78279</v>
      </c>
      <c r="D3617" s="5" t="str">
        <f>_xlfn.XLOOKUP(role_course_map[[#This Row],[course_id]],course_data[course_id],course_data[title],"")</f>
        <v>Airwave Terminal</v>
      </c>
      <c r="E3617" s="5" t="str">
        <f>_xlfn.XLOOKUP(role_course_map[[#This Row],[course_id]],course_data[course_id],course_data[topic],"")</f>
        <v>SAS: Systems Training</v>
      </c>
      <c r="F3617" s="5" t="str">
        <f>_xlfn.XLOOKUP(role_course_map[[#This Row],[course_id]],course_data[course_id],course_data[type],"")</f>
        <v>Course</v>
      </c>
      <c r="K3617" t="str">
        <f>role_course_map[[#This Row],[role_id]] &amp; "|" &amp; role_course_map[[#This Row],[course_id]]</f>
        <v>R0082|78279</v>
      </c>
      <c r="L3617" t="str">
        <f>IF(COUNTIF(role_course_map[mapping_key],role_course_map[[#This Row],[mapping_key]])&gt;1,"DUPLICATE","OK")</f>
        <v>OK</v>
      </c>
      <c r="M3617" t="str">
        <f>IF(COUNTIF(role_data[role_id],role_course_map[[#This Row],[role_id]])=0, "INVALID","VALID")</f>
        <v>VALID</v>
      </c>
      <c r="N3617" t="str">
        <f>IF(COUNTIF(course_data[course_id],role_course_map[[#This Row],[course_id]])=0, "INVALID","VALID")</f>
        <v>VALID</v>
      </c>
    </row>
    <row r="3618" spans="1:14" x14ac:dyDescent="0.35">
      <c r="A3618" t="s">
        <v>176</v>
      </c>
      <c r="B3618" s="5" t="str">
        <f>_xlfn.XLOOKUP(role_course_map[[#This Row],[role_id]], role_data[role_id], role_data[Role],"")</f>
        <v>Specialist Services Desk Dispatcher</v>
      </c>
      <c r="C3618">
        <v>75406</v>
      </c>
      <c r="D3618" s="5" t="str">
        <f>_xlfn.XLOOKUP(role_course_map[[#This Row],[course_id]],course_data[course_id],course_data[title],"")</f>
        <v>Foundation Leadership and Management Programme (FLMP)</v>
      </c>
      <c r="E3618" s="5" t="str">
        <f>_xlfn.XLOOKUP(role_course_map[[#This Row],[course_id]],course_data[course_id],course_data[topic],"")</f>
        <v>SAS: Staff development and experience</v>
      </c>
      <c r="F3618" s="5" t="str">
        <f>_xlfn.XLOOKUP(role_course_map[[#This Row],[course_id]],course_data[course_id],course_data[type],"")</f>
        <v>Page</v>
      </c>
      <c r="K3618" t="str">
        <f>role_course_map[[#This Row],[role_id]] &amp; "|" &amp; role_course_map[[#This Row],[course_id]]</f>
        <v>R0082|75406</v>
      </c>
      <c r="L3618" t="str">
        <f>IF(COUNTIF(role_course_map[mapping_key],role_course_map[[#This Row],[mapping_key]])&gt;1,"DUPLICATE","OK")</f>
        <v>OK</v>
      </c>
      <c r="M3618" t="str">
        <f>IF(COUNTIF(role_data[role_id],role_course_map[[#This Row],[role_id]])=0, "INVALID","VALID")</f>
        <v>VALID</v>
      </c>
      <c r="N3618" t="str">
        <f>IF(COUNTIF(course_data[course_id],role_course_map[[#This Row],[course_id]])=0, "INVALID","VALID")</f>
        <v>VALID</v>
      </c>
    </row>
    <row r="3619" spans="1:14" x14ac:dyDescent="0.35">
      <c r="A3619" t="s">
        <v>176</v>
      </c>
      <c r="B3619" s="5" t="str">
        <f>_xlfn.XLOOKUP(role_course_map[[#This Row],[role_id]], role_data[role_id], role_data[Role],"")</f>
        <v>Specialist Services Desk Dispatcher</v>
      </c>
      <c r="C3619">
        <v>999056</v>
      </c>
      <c r="D3619" s="5" t="str">
        <f>_xlfn.XLOOKUP(role_course_map[[#This Row],[course_id]],course_data[course_id],course_data[title],"")</f>
        <v>Driver Assessment &amp; Training</v>
      </c>
      <c r="E3619" s="5" t="str">
        <f>_xlfn.XLOOKUP(role_course_map[[#This Row],[course_id]],course_data[course_id],course_data[topic],"")</f>
        <v>SAS : Health and Safety</v>
      </c>
      <c r="F3619" s="5" t="str">
        <f>_xlfn.XLOOKUP(role_course_map[[#This Row],[course_id]],course_data[course_id],course_data[type],"")</f>
        <v>eLearning</v>
      </c>
      <c r="K3619" t="str">
        <f>role_course_map[[#This Row],[role_id]] &amp; "|" &amp; role_course_map[[#This Row],[course_id]]</f>
        <v>R0082|999056</v>
      </c>
      <c r="L3619" t="str">
        <f>IF(COUNTIF(role_course_map[mapping_key],role_course_map[[#This Row],[mapping_key]])&gt;1,"DUPLICATE","OK")</f>
        <v>OK</v>
      </c>
      <c r="M3619" t="str">
        <f>IF(COUNTIF(role_data[role_id],role_course_map[[#This Row],[role_id]])=0, "INVALID","VALID")</f>
        <v>VALID</v>
      </c>
      <c r="N3619" t="str">
        <f>IF(COUNTIF(course_data[course_id],role_course_map[[#This Row],[course_id]])=0, "INVALID","VALID")</f>
        <v>VALID</v>
      </c>
    </row>
    <row r="3620" spans="1:14" x14ac:dyDescent="0.35">
      <c r="A3620" t="s">
        <v>176</v>
      </c>
      <c r="B3620" s="5" t="str">
        <f>_xlfn.XLOOKUP(role_course_map[[#This Row],[role_id]], role_data[role_id], role_data[Role],"")</f>
        <v>Specialist Services Desk Dispatcher</v>
      </c>
      <c r="C3620">
        <v>999057</v>
      </c>
      <c r="D3620" s="5" t="str">
        <f>_xlfn.XLOOKUP(role_course_map[[#This Row],[course_id]],course_data[course_id],course_data[title],"")</f>
        <v>Fatigue Awareness</v>
      </c>
      <c r="E3620" s="5" t="str">
        <f>_xlfn.XLOOKUP(role_course_map[[#This Row],[course_id]],course_data[course_id],course_data[topic],"")</f>
        <v>SAS : Health and Safety</v>
      </c>
      <c r="F3620" s="5" t="str">
        <f>_xlfn.XLOOKUP(role_course_map[[#This Row],[course_id]],course_data[course_id],course_data[type],"")</f>
        <v>eLearning</v>
      </c>
      <c r="K3620" t="str">
        <f>role_course_map[[#This Row],[role_id]] &amp; "|" &amp; role_course_map[[#This Row],[course_id]]</f>
        <v>R0082|999057</v>
      </c>
      <c r="L3620" t="str">
        <f>IF(COUNTIF(role_course_map[mapping_key],role_course_map[[#This Row],[mapping_key]])&gt;1,"DUPLICATE","OK")</f>
        <v>OK</v>
      </c>
      <c r="M3620" t="str">
        <f>IF(COUNTIF(role_data[role_id],role_course_map[[#This Row],[role_id]])=0, "INVALID","VALID")</f>
        <v>VALID</v>
      </c>
      <c r="N3620" t="str">
        <f>IF(COUNTIF(course_data[course_id],role_course_map[[#This Row],[course_id]])=0, "INVALID","VALID")</f>
        <v>VALID</v>
      </c>
    </row>
    <row r="3621" spans="1:14" x14ac:dyDescent="0.35">
      <c r="A3621" t="s">
        <v>176</v>
      </c>
      <c r="B3621" s="5" t="str">
        <f>_xlfn.XLOOKUP(role_course_map[[#This Row],[role_id]], role_data[role_id], role_data[Role],"")</f>
        <v>Specialist Services Desk Dispatcher</v>
      </c>
      <c r="C3621">
        <v>999058</v>
      </c>
      <c r="D3621" s="5" t="str">
        <f>_xlfn.XLOOKUP(role_course_map[[#This Row],[course_id]],course_data[course_id],course_data[title],"")</f>
        <v>Stress Identification &amp; Stress Management</v>
      </c>
      <c r="E3621" s="5" t="str">
        <f>_xlfn.XLOOKUP(role_course_map[[#This Row],[course_id]],course_data[course_id],course_data[topic],"")</f>
        <v>SAS : Health and Safety</v>
      </c>
      <c r="F3621" s="5" t="str">
        <f>_xlfn.XLOOKUP(role_course_map[[#This Row],[course_id]],course_data[course_id],course_data[type],"")</f>
        <v>eLearning</v>
      </c>
      <c r="K3621" t="str">
        <f>role_course_map[[#This Row],[role_id]] &amp; "|" &amp; role_course_map[[#This Row],[course_id]]</f>
        <v>R0082|999058</v>
      </c>
      <c r="L3621" t="str">
        <f>IF(COUNTIF(role_course_map[mapping_key],role_course_map[[#This Row],[mapping_key]])&gt;1,"DUPLICATE","OK")</f>
        <v>OK</v>
      </c>
      <c r="M3621" t="str">
        <f>IF(COUNTIF(role_data[role_id],role_course_map[[#This Row],[role_id]])=0, "INVALID","VALID")</f>
        <v>VALID</v>
      </c>
      <c r="N3621" t="str">
        <f>IF(COUNTIF(course_data[course_id],role_course_map[[#This Row],[course_id]])=0, "INVALID","VALID")</f>
        <v>VALID</v>
      </c>
    </row>
    <row r="3622" spans="1:14" x14ac:dyDescent="0.35">
      <c r="A3622" t="s">
        <v>176</v>
      </c>
      <c r="B3622" s="5" t="str">
        <f>_xlfn.XLOOKUP(role_course_map[[#This Row],[role_id]], role_data[role_id], role_data[Role],"")</f>
        <v>Specialist Services Desk Dispatcher</v>
      </c>
      <c r="C3622">
        <v>999094</v>
      </c>
      <c r="D3622" s="5" t="str">
        <f>_xlfn.XLOOKUP(role_course_map[[#This Row],[course_id]],course_data[course_id],course_data[title],"")</f>
        <v>Being well, Mind, Body &amp; Workplace</v>
      </c>
      <c r="E3622" s="5" t="str">
        <f>_xlfn.XLOOKUP(role_course_map[[#This Row],[course_id]],course_data[course_id],course_data[topic],"")</f>
        <v>SAS: Staff development and experience</v>
      </c>
      <c r="F3622" s="5" t="str">
        <f>_xlfn.XLOOKUP(role_course_map[[#This Row],[course_id]],course_data[course_id],course_data[type],"")</f>
        <v>eLearning</v>
      </c>
      <c r="K3622" t="str">
        <f>role_course_map[[#This Row],[role_id]] &amp; "|" &amp; role_course_map[[#This Row],[course_id]]</f>
        <v>R0082|999094</v>
      </c>
      <c r="L3622" t="str">
        <f>IF(COUNTIF(role_course_map[mapping_key],role_course_map[[#This Row],[mapping_key]])&gt;1,"DUPLICATE","OK")</f>
        <v>OK</v>
      </c>
      <c r="M3622" t="str">
        <f>IF(COUNTIF(role_data[role_id],role_course_map[[#This Row],[role_id]])=0, "INVALID","VALID")</f>
        <v>VALID</v>
      </c>
      <c r="N3622" t="str">
        <f>IF(COUNTIF(course_data[course_id],role_course_map[[#This Row],[course_id]])=0, "INVALID","VALID")</f>
        <v>VALID</v>
      </c>
    </row>
    <row r="3623" spans="1:14" x14ac:dyDescent="0.35">
      <c r="A3623" t="s">
        <v>423</v>
      </c>
      <c r="B3623" s="5" t="str">
        <f>_xlfn.XLOOKUP(role_course_map[[#This Row],[role_id]], role_data[role_id], role_data[Role],"")</f>
        <v>Strategy Implementation Manager</v>
      </c>
      <c r="C3623">
        <v>999072</v>
      </c>
      <c r="D3623" s="5" t="str">
        <f>_xlfn.XLOOKUP(role_course_map[[#This Row],[course_id]],course_data[course_id],course_data[title],"")</f>
        <v>PMO Induction</v>
      </c>
      <c r="E3623" s="5" t="str">
        <f>_xlfn.XLOOKUP(role_course_map[[#This Row],[course_id]],course_data[course_id],course_data[topic],"")</f>
        <v>SAS : Project Management Office</v>
      </c>
      <c r="F3623" s="5" t="str">
        <f>_xlfn.XLOOKUP(role_course_map[[#This Row],[course_id]],course_data[course_id],course_data[type],"")</f>
        <v>Course</v>
      </c>
      <c r="K3623" t="str">
        <f>role_course_map[[#This Row],[role_id]] &amp; "|" &amp; role_course_map[[#This Row],[course_id]]</f>
        <v>R0200|999072</v>
      </c>
      <c r="L3623" t="str">
        <f>IF(COUNTIF(role_course_map[mapping_key],role_course_map[[#This Row],[mapping_key]])&gt;1,"DUPLICATE","OK")</f>
        <v>OK</v>
      </c>
      <c r="M3623" t="str">
        <f>IF(COUNTIF(role_data[role_id],role_course_map[[#This Row],[role_id]])=0, "INVALID","VALID")</f>
        <v>VALID</v>
      </c>
      <c r="N3623" t="str">
        <f>IF(COUNTIF(course_data[course_id],role_course_map[[#This Row],[course_id]])=0, "INVALID","VALID")</f>
        <v>VALID</v>
      </c>
    </row>
    <row r="3624" spans="1:14" x14ac:dyDescent="0.35">
      <c r="A3624" t="s">
        <v>423</v>
      </c>
      <c r="B3624" s="5" t="str">
        <f>_xlfn.XLOOKUP(role_course_map[[#This Row],[role_id]], role_data[role_id], role_data[Role],"")</f>
        <v>Strategy Implementation Manager</v>
      </c>
      <c r="C3624">
        <v>999073</v>
      </c>
      <c r="D3624" s="5" t="str">
        <f>_xlfn.XLOOKUP(role_course_map[[#This Row],[course_id]],course_data[course_id],course_data[title],"")</f>
        <v>Introduction to Change Management</v>
      </c>
      <c r="E3624" s="5" t="str">
        <f>_xlfn.XLOOKUP(role_course_map[[#This Row],[course_id]],course_data[course_id],course_data[topic],"")</f>
        <v>SAS : Project Management Office</v>
      </c>
      <c r="F3624" s="5" t="str">
        <f>_xlfn.XLOOKUP(role_course_map[[#This Row],[course_id]],course_data[course_id],course_data[type],"")</f>
        <v>eLearning</v>
      </c>
      <c r="K3624" t="str">
        <f>role_course_map[[#This Row],[role_id]] &amp; "|" &amp; role_course_map[[#This Row],[course_id]]</f>
        <v>R0200|999073</v>
      </c>
      <c r="L3624" t="str">
        <f>IF(COUNTIF(role_course_map[mapping_key],role_course_map[[#This Row],[mapping_key]])&gt;1,"DUPLICATE","OK")</f>
        <v>OK</v>
      </c>
      <c r="M3624" t="str">
        <f>IF(COUNTIF(role_data[role_id],role_course_map[[#This Row],[role_id]])=0, "INVALID","VALID")</f>
        <v>VALID</v>
      </c>
      <c r="N3624" t="str">
        <f>IF(COUNTIF(course_data[course_id],role_course_map[[#This Row],[course_id]])=0, "INVALID","VALID")</f>
        <v>VALID</v>
      </c>
    </row>
    <row r="3625" spans="1:14" x14ac:dyDescent="0.35">
      <c r="A3625" t="s">
        <v>423</v>
      </c>
      <c r="B3625" s="5" t="str">
        <f>_xlfn.XLOOKUP(role_course_map[[#This Row],[role_id]], role_data[role_id], role_data[Role],"")</f>
        <v>Strategy Implementation Manager</v>
      </c>
      <c r="C3625">
        <v>999062</v>
      </c>
      <c r="D3625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3625" s="5" t="str">
        <f>_xlfn.XLOOKUP(role_course_map[[#This Row],[course_id]],course_data[course_id],course_data[topic],"")</f>
        <v>SAS : Health and Safety</v>
      </c>
      <c r="F3625" s="5" t="str">
        <f>_xlfn.XLOOKUP(role_course_map[[#This Row],[course_id]],course_data[course_id],course_data[type],"")</f>
        <v>Course</v>
      </c>
      <c r="K3625" t="str">
        <f>role_course_map[[#This Row],[role_id]] &amp; "|" &amp; role_course_map[[#This Row],[course_id]]</f>
        <v>R0200|999062</v>
      </c>
      <c r="L3625" t="str">
        <f>IF(COUNTIF(role_course_map[mapping_key],role_course_map[[#This Row],[mapping_key]])&gt;1,"DUPLICATE","OK")</f>
        <v>OK</v>
      </c>
      <c r="M3625" t="str">
        <f>IF(COUNTIF(role_data[role_id],role_course_map[[#This Row],[role_id]])=0, "INVALID","VALID")</f>
        <v>VALID</v>
      </c>
      <c r="N3625" t="str">
        <f>IF(COUNTIF(course_data[course_id],role_course_map[[#This Row],[course_id]])=0, "INVALID","VALID")</f>
        <v>VALID</v>
      </c>
    </row>
    <row r="3626" spans="1:14" x14ac:dyDescent="0.35">
      <c r="A3626" t="s">
        <v>423</v>
      </c>
      <c r="B3626" s="5" t="str">
        <f>_xlfn.XLOOKUP(role_course_map[[#This Row],[role_id]], role_data[role_id], role_data[Role],"")</f>
        <v>Strategy Implementation Manager</v>
      </c>
      <c r="C3626">
        <v>999057</v>
      </c>
      <c r="D3626" s="5" t="str">
        <f>_xlfn.XLOOKUP(role_course_map[[#This Row],[course_id]],course_data[course_id],course_data[title],"")</f>
        <v>Fatigue Awareness</v>
      </c>
      <c r="E3626" s="5" t="str">
        <f>_xlfn.XLOOKUP(role_course_map[[#This Row],[course_id]],course_data[course_id],course_data[topic],"")</f>
        <v>SAS : Health and Safety</v>
      </c>
      <c r="F3626" s="5" t="str">
        <f>_xlfn.XLOOKUP(role_course_map[[#This Row],[course_id]],course_data[course_id],course_data[type],"")</f>
        <v>eLearning</v>
      </c>
      <c r="K3626" t="str">
        <f>role_course_map[[#This Row],[role_id]] &amp; "|" &amp; role_course_map[[#This Row],[course_id]]</f>
        <v>R0200|999057</v>
      </c>
      <c r="L3626" t="str">
        <f>IF(COUNTIF(role_course_map[mapping_key],role_course_map[[#This Row],[mapping_key]])&gt;1,"DUPLICATE","OK")</f>
        <v>OK</v>
      </c>
      <c r="M3626" t="str">
        <f>IF(COUNTIF(role_data[role_id],role_course_map[[#This Row],[role_id]])=0, "INVALID","VALID")</f>
        <v>VALID</v>
      </c>
      <c r="N3626" t="str">
        <f>IF(COUNTIF(course_data[course_id],role_course_map[[#This Row],[course_id]])=0, "INVALID","VALID")</f>
        <v>VALID</v>
      </c>
    </row>
    <row r="3627" spans="1:14" x14ac:dyDescent="0.35">
      <c r="A3627" t="s">
        <v>423</v>
      </c>
      <c r="B3627" s="5" t="str">
        <f>_xlfn.XLOOKUP(role_course_map[[#This Row],[role_id]], role_data[role_id], role_data[Role],"")</f>
        <v>Strategy Implementation Manager</v>
      </c>
      <c r="C3627">
        <v>999058</v>
      </c>
      <c r="D3627" s="5" t="str">
        <f>_xlfn.XLOOKUP(role_course_map[[#This Row],[course_id]],course_data[course_id],course_data[title],"")</f>
        <v>Stress Identification &amp; Stress Management</v>
      </c>
      <c r="E3627" s="5" t="str">
        <f>_xlfn.XLOOKUP(role_course_map[[#This Row],[course_id]],course_data[course_id],course_data[topic],"")</f>
        <v>SAS : Health and Safety</v>
      </c>
      <c r="F3627" s="5" t="str">
        <f>_xlfn.XLOOKUP(role_course_map[[#This Row],[course_id]],course_data[course_id],course_data[type],"")</f>
        <v>eLearning</v>
      </c>
      <c r="K3627" t="str">
        <f>role_course_map[[#This Row],[role_id]] &amp; "|" &amp; role_course_map[[#This Row],[course_id]]</f>
        <v>R0200|999058</v>
      </c>
      <c r="L3627" t="str">
        <f>IF(COUNTIF(role_course_map[mapping_key],role_course_map[[#This Row],[mapping_key]])&gt;1,"DUPLICATE","OK")</f>
        <v>OK</v>
      </c>
      <c r="M3627" t="str">
        <f>IF(COUNTIF(role_data[role_id],role_course_map[[#This Row],[role_id]])=0, "INVALID","VALID")</f>
        <v>VALID</v>
      </c>
      <c r="N3627" t="str">
        <f>IF(COUNTIF(course_data[course_id],role_course_map[[#This Row],[course_id]])=0, "INVALID","VALID")</f>
        <v>VALID</v>
      </c>
    </row>
    <row r="3628" spans="1:14" x14ac:dyDescent="0.35">
      <c r="A3628" t="s">
        <v>423</v>
      </c>
      <c r="B3628" s="5" t="str">
        <f>_xlfn.XLOOKUP(role_course_map[[#This Row],[role_id]], role_data[role_id], role_data[Role],"")</f>
        <v>Strategy Implementation Manager</v>
      </c>
      <c r="C3628">
        <v>999056</v>
      </c>
      <c r="D3628" s="5" t="str">
        <f>_xlfn.XLOOKUP(role_course_map[[#This Row],[course_id]],course_data[course_id],course_data[title],"")</f>
        <v>Driver Assessment &amp; Training</v>
      </c>
      <c r="E3628" s="5" t="str">
        <f>_xlfn.XLOOKUP(role_course_map[[#This Row],[course_id]],course_data[course_id],course_data[topic],"")</f>
        <v>SAS : Health and Safety</v>
      </c>
      <c r="F3628" s="5" t="str">
        <f>_xlfn.XLOOKUP(role_course_map[[#This Row],[course_id]],course_data[course_id],course_data[type],"")</f>
        <v>eLearning</v>
      </c>
      <c r="K3628" t="str">
        <f>role_course_map[[#This Row],[role_id]] &amp; "|" &amp; role_course_map[[#This Row],[course_id]]</f>
        <v>R0200|999056</v>
      </c>
      <c r="L3628" t="str">
        <f>IF(COUNTIF(role_course_map[mapping_key],role_course_map[[#This Row],[mapping_key]])&gt;1,"DUPLICATE","OK")</f>
        <v>OK</v>
      </c>
      <c r="M3628" t="str">
        <f>IF(COUNTIF(role_data[role_id],role_course_map[[#This Row],[role_id]])=0, "INVALID","VALID")</f>
        <v>VALID</v>
      </c>
      <c r="N3628" t="str">
        <f>IF(COUNTIF(course_data[course_id],role_course_map[[#This Row],[course_id]])=0, "INVALID","VALID")</f>
        <v>VALID</v>
      </c>
    </row>
    <row r="3629" spans="1:14" x14ac:dyDescent="0.35">
      <c r="A3629" t="s">
        <v>423</v>
      </c>
      <c r="B3629" s="5" t="str">
        <f>_xlfn.XLOOKUP(role_course_map[[#This Row],[role_id]], role_data[role_id], role_data[Role],"")</f>
        <v>Strategy Implementation Manager</v>
      </c>
      <c r="C3629">
        <v>75406</v>
      </c>
      <c r="D3629" s="5" t="str">
        <f>_xlfn.XLOOKUP(role_course_map[[#This Row],[course_id]],course_data[course_id],course_data[title],"")</f>
        <v>Foundation Leadership and Management Programme (FLMP)</v>
      </c>
      <c r="E3629" s="5" t="str">
        <f>_xlfn.XLOOKUP(role_course_map[[#This Row],[course_id]],course_data[course_id],course_data[topic],"")</f>
        <v>SAS: Staff development and experience</v>
      </c>
      <c r="F3629" s="5" t="str">
        <f>_xlfn.XLOOKUP(role_course_map[[#This Row],[course_id]],course_data[course_id],course_data[type],"")</f>
        <v>Page</v>
      </c>
      <c r="K3629" t="str">
        <f>role_course_map[[#This Row],[role_id]] &amp; "|" &amp; role_course_map[[#This Row],[course_id]]</f>
        <v>R0200|75406</v>
      </c>
      <c r="L3629" t="str">
        <f>IF(COUNTIF(role_course_map[mapping_key],role_course_map[[#This Row],[mapping_key]])&gt;1,"DUPLICATE","OK")</f>
        <v>OK</v>
      </c>
      <c r="M3629" t="str">
        <f>IF(COUNTIF(role_data[role_id],role_course_map[[#This Row],[role_id]])=0, "INVALID","VALID")</f>
        <v>VALID</v>
      </c>
      <c r="N3629" t="str">
        <f>IF(COUNTIF(course_data[course_id],role_course_map[[#This Row],[course_id]])=0, "INVALID","VALID")</f>
        <v>VALID</v>
      </c>
    </row>
    <row r="3630" spans="1:14" x14ac:dyDescent="0.35">
      <c r="A3630" t="s">
        <v>423</v>
      </c>
      <c r="B3630" s="5" t="str">
        <f>_xlfn.XLOOKUP(role_course_map[[#This Row],[role_id]], role_data[role_id], role_data[Role],"")</f>
        <v>Strategy Implementation Manager</v>
      </c>
      <c r="C3630">
        <v>999092</v>
      </c>
      <c r="D3630" s="5" t="str">
        <f>_xlfn.XLOOKUP(role_course_map[[#This Row],[course_id]],course_data[course_id],course_data[title],"")</f>
        <v>Health &amp; Wellbeing Awareness for Managers</v>
      </c>
      <c r="E3630" s="5" t="str">
        <f>_xlfn.XLOOKUP(role_course_map[[#This Row],[course_id]],course_data[course_id],course_data[topic],"")</f>
        <v>SAS: Staff development and experience</v>
      </c>
      <c r="F3630" s="5" t="str">
        <f>_xlfn.XLOOKUP(role_course_map[[#This Row],[course_id]],course_data[course_id],course_data[type],"")</f>
        <v>eLearning</v>
      </c>
      <c r="K3630" t="str">
        <f>role_course_map[[#This Row],[role_id]] &amp; "|" &amp; role_course_map[[#This Row],[course_id]]</f>
        <v>R0200|999092</v>
      </c>
      <c r="L3630" t="str">
        <f>IF(COUNTIF(role_course_map[mapping_key],role_course_map[[#This Row],[mapping_key]])&gt;1,"DUPLICATE","OK")</f>
        <v>OK</v>
      </c>
      <c r="M3630" t="str">
        <f>IF(COUNTIF(role_data[role_id],role_course_map[[#This Row],[role_id]])=0, "INVALID","VALID")</f>
        <v>VALID</v>
      </c>
      <c r="N3630" t="str">
        <f>IF(COUNTIF(course_data[course_id],role_course_map[[#This Row],[course_id]])=0, "INVALID","VALID")</f>
        <v>VALID</v>
      </c>
    </row>
    <row r="3631" spans="1:14" x14ac:dyDescent="0.35">
      <c r="A3631" t="s">
        <v>423</v>
      </c>
      <c r="B3631" s="5" t="str">
        <f>_xlfn.XLOOKUP(role_course_map[[#This Row],[role_id]], role_data[role_id], role_data[Role],"")</f>
        <v>Strategy Implementation Manager</v>
      </c>
      <c r="C3631">
        <v>999093</v>
      </c>
      <c r="D3631" s="5" t="str">
        <f>_xlfn.XLOOKUP(role_course_map[[#This Row],[course_id]],course_data[course_id],course_data[title],"")</f>
        <v>Managing Wellbeing Refresher for Managers</v>
      </c>
      <c r="E3631" s="5" t="str">
        <f>_xlfn.XLOOKUP(role_course_map[[#This Row],[course_id]],course_data[course_id],course_data[topic],"")</f>
        <v>SAS: Staff development and experience</v>
      </c>
      <c r="F3631" s="5" t="str">
        <f>_xlfn.XLOOKUP(role_course_map[[#This Row],[course_id]],course_data[course_id],course_data[type],"")</f>
        <v>eLearning</v>
      </c>
      <c r="K3631" t="str">
        <f>role_course_map[[#This Row],[role_id]] &amp; "|" &amp; role_course_map[[#This Row],[course_id]]</f>
        <v>R0200|999093</v>
      </c>
      <c r="L3631" t="str">
        <f>IF(COUNTIF(role_course_map[mapping_key],role_course_map[[#This Row],[mapping_key]])&gt;1,"DUPLICATE","OK")</f>
        <v>OK</v>
      </c>
      <c r="M3631" t="str">
        <f>IF(COUNTIF(role_data[role_id],role_course_map[[#This Row],[role_id]])=0, "INVALID","VALID")</f>
        <v>VALID</v>
      </c>
      <c r="N3631" t="str">
        <f>IF(COUNTIF(course_data[course_id],role_course_map[[#This Row],[course_id]])=0, "INVALID","VALID")</f>
        <v>VALID</v>
      </c>
    </row>
    <row r="3632" spans="1:14" x14ac:dyDescent="0.35">
      <c r="A3632" t="s">
        <v>423</v>
      </c>
      <c r="B3632" s="5" t="str">
        <f>_xlfn.XLOOKUP(role_course_map[[#This Row],[role_id]], role_data[role_id], role_data[Role],"")</f>
        <v>Strategy Implementation Manager</v>
      </c>
      <c r="C3632">
        <v>999094</v>
      </c>
      <c r="D3632" s="5" t="str">
        <f>_xlfn.XLOOKUP(role_course_map[[#This Row],[course_id]],course_data[course_id],course_data[title],"")</f>
        <v>Being well, Mind, Body &amp; Workplace</v>
      </c>
      <c r="E3632" s="5" t="str">
        <f>_xlfn.XLOOKUP(role_course_map[[#This Row],[course_id]],course_data[course_id],course_data[topic],"")</f>
        <v>SAS: Staff development and experience</v>
      </c>
      <c r="F3632" s="5" t="str">
        <f>_xlfn.XLOOKUP(role_course_map[[#This Row],[course_id]],course_data[course_id],course_data[type],"")</f>
        <v>eLearning</v>
      </c>
      <c r="K3632" t="str">
        <f>role_course_map[[#This Row],[role_id]] &amp; "|" &amp; role_course_map[[#This Row],[course_id]]</f>
        <v>R0200|999094</v>
      </c>
      <c r="L3632" t="str">
        <f>IF(COUNTIF(role_course_map[mapping_key],role_course_map[[#This Row],[mapping_key]])&gt;1,"DUPLICATE","OK")</f>
        <v>OK</v>
      </c>
      <c r="M3632" t="str">
        <f>IF(COUNTIF(role_data[role_id],role_course_map[[#This Row],[role_id]])=0, "INVALID","VALID")</f>
        <v>VALID</v>
      </c>
      <c r="N3632" t="str">
        <f>IF(COUNTIF(course_data[course_id],role_course_map[[#This Row],[course_id]])=0, "INVALID","VALID")</f>
        <v>VALID</v>
      </c>
    </row>
    <row r="3633" spans="1:14" x14ac:dyDescent="0.35">
      <c r="A3633" t="s">
        <v>15</v>
      </c>
      <c r="B3633" s="5" t="str">
        <f>_xlfn.XLOOKUP(role_course_map[[#This Row],[role_id]], role_data[role_id], role_data[Role],"")</f>
        <v>Web and Intranet Analyst Developer</v>
      </c>
      <c r="C3633">
        <v>999057</v>
      </c>
      <c r="D3633" s="5" t="str">
        <f>_xlfn.XLOOKUP(role_course_map[[#This Row],[course_id]],course_data[course_id],course_data[title],"")</f>
        <v>Fatigue Awareness</v>
      </c>
      <c r="E3633" s="5" t="str">
        <f>_xlfn.XLOOKUP(role_course_map[[#This Row],[course_id]],course_data[course_id],course_data[topic],"")</f>
        <v>SAS : Health and Safety</v>
      </c>
      <c r="F3633" s="5" t="str">
        <f>_xlfn.XLOOKUP(role_course_map[[#This Row],[course_id]],course_data[course_id],course_data[type],"")</f>
        <v>eLearning</v>
      </c>
      <c r="K3633" t="str">
        <f>role_course_map[[#This Row],[role_id]] &amp; "|" &amp; role_course_map[[#This Row],[course_id]]</f>
        <v>R0006|999057</v>
      </c>
      <c r="L3633" t="str">
        <f>IF(COUNTIF(role_course_map[mapping_key],role_course_map[[#This Row],[mapping_key]])&gt;1,"DUPLICATE","OK")</f>
        <v>OK</v>
      </c>
      <c r="M3633" t="str">
        <f>IF(COUNTIF(role_data[role_id],role_course_map[[#This Row],[role_id]])=0, "INVALID","VALID")</f>
        <v>VALID</v>
      </c>
      <c r="N3633" t="str">
        <f>IF(COUNTIF(course_data[course_id],role_course_map[[#This Row],[course_id]])=0, "INVALID","VALID")</f>
        <v>VALID</v>
      </c>
    </row>
    <row r="3634" spans="1:14" x14ac:dyDescent="0.35">
      <c r="A3634" t="s">
        <v>15</v>
      </c>
      <c r="B3634" s="5" t="str">
        <f>_xlfn.XLOOKUP(role_course_map[[#This Row],[role_id]], role_data[role_id], role_data[Role],"")</f>
        <v>Web and Intranet Analyst Developer</v>
      </c>
      <c r="C3634">
        <v>999058</v>
      </c>
      <c r="D3634" s="5" t="str">
        <f>_xlfn.XLOOKUP(role_course_map[[#This Row],[course_id]],course_data[course_id],course_data[title],"")</f>
        <v>Stress Identification &amp; Stress Management</v>
      </c>
      <c r="E3634" s="5" t="str">
        <f>_xlfn.XLOOKUP(role_course_map[[#This Row],[course_id]],course_data[course_id],course_data[topic],"")</f>
        <v>SAS : Health and Safety</v>
      </c>
      <c r="F3634" s="5" t="str">
        <f>_xlfn.XLOOKUP(role_course_map[[#This Row],[course_id]],course_data[course_id],course_data[type],"")</f>
        <v>eLearning</v>
      </c>
      <c r="K3634" t="str">
        <f>role_course_map[[#This Row],[role_id]] &amp; "|" &amp; role_course_map[[#This Row],[course_id]]</f>
        <v>R0006|999058</v>
      </c>
      <c r="L3634" t="str">
        <f>IF(COUNTIF(role_course_map[mapping_key],role_course_map[[#This Row],[mapping_key]])&gt;1,"DUPLICATE","OK")</f>
        <v>OK</v>
      </c>
      <c r="M3634" t="str">
        <f>IF(COUNTIF(role_data[role_id],role_course_map[[#This Row],[role_id]])=0, "INVALID","VALID")</f>
        <v>VALID</v>
      </c>
      <c r="N3634" t="str">
        <f>IF(COUNTIF(course_data[course_id],role_course_map[[#This Row],[course_id]])=0, "INVALID","VALID")</f>
        <v>VALID</v>
      </c>
    </row>
    <row r="3635" spans="1:14" x14ac:dyDescent="0.35">
      <c r="A3635" t="s">
        <v>15</v>
      </c>
      <c r="B3635" s="5" t="str">
        <f>_xlfn.XLOOKUP(role_course_map[[#This Row],[role_id]], role_data[role_id], role_data[Role],"")</f>
        <v>Web and Intranet Analyst Developer</v>
      </c>
      <c r="C3635">
        <v>999056</v>
      </c>
      <c r="D3635" s="5" t="str">
        <f>_xlfn.XLOOKUP(role_course_map[[#This Row],[course_id]],course_data[course_id],course_data[title],"")</f>
        <v>Driver Assessment &amp; Training</v>
      </c>
      <c r="E3635" s="5" t="str">
        <f>_xlfn.XLOOKUP(role_course_map[[#This Row],[course_id]],course_data[course_id],course_data[topic],"")</f>
        <v>SAS : Health and Safety</v>
      </c>
      <c r="F3635" s="5" t="str">
        <f>_xlfn.XLOOKUP(role_course_map[[#This Row],[course_id]],course_data[course_id],course_data[type],"")</f>
        <v>eLearning</v>
      </c>
      <c r="K3635" t="str">
        <f>role_course_map[[#This Row],[role_id]] &amp; "|" &amp; role_course_map[[#This Row],[course_id]]</f>
        <v>R0006|999056</v>
      </c>
      <c r="L3635" t="str">
        <f>IF(COUNTIF(role_course_map[mapping_key],role_course_map[[#This Row],[mapping_key]])&gt;1,"DUPLICATE","OK")</f>
        <v>OK</v>
      </c>
      <c r="M3635" t="str">
        <f>IF(COUNTIF(role_data[role_id],role_course_map[[#This Row],[role_id]])=0, "INVALID","VALID")</f>
        <v>VALID</v>
      </c>
      <c r="N3635" t="str">
        <f>IF(COUNTIF(course_data[course_id],role_course_map[[#This Row],[course_id]])=0, "INVALID","VALID")</f>
        <v>VALID</v>
      </c>
    </row>
    <row r="3636" spans="1:14" x14ac:dyDescent="0.35">
      <c r="A3636" t="s">
        <v>15</v>
      </c>
      <c r="B3636" s="5" t="str">
        <f>_xlfn.XLOOKUP(role_course_map[[#This Row],[role_id]], role_data[role_id], role_data[Role],"")</f>
        <v>Web and Intranet Analyst Developer</v>
      </c>
      <c r="C3636">
        <v>999094</v>
      </c>
      <c r="D3636" s="5" t="str">
        <f>_xlfn.XLOOKUP(role_course_map[[#This Row],[course_id]],course_data[course_id],course_data[title],"")</f>
        <v>Being well, Mind, Body &amp; Workplace</v>
      </c>
      <c r="E3636" s="5" t="str">
        <f>_xlfn.XLOOKUP(role_course_map[[#This Row],[course_id]],course_data[course_id],course_data[topic],"")</f>
        <v>SAS: Staff development and experience</v>
      </c>
      <c r="F3636" s="5" t="str">
        <f>_xlfn.XLOOKUP(role_course_map[[#This Row],[course_id]],course_data[course_id],course_data[type],"")</f>
        <v>eLearning</v>
      </c>
      <c r="K3636" t="str">
        <f>role_course_map[[#This Row],[role_id]] &amp; "|" &amp; role_course_map[[#This Row],[course_id]]</f>
        <v>R0006|999094</v>
      </c>
      <c r="L3636" t="str">
        <f>IF(COUNTIF(role_course_map[mapping_key],role_course_map[[#This Row],[mapping_key]])&gt;1,"DUPLICATE","OK")</f>
        <v>OK</v>
      </c>
      <c r="M3636" t="str">
        <f>IF(COUNTIF(role_data[role_id],role_course_map[[#This Row],[role_id]])=0, "INVALID","VALID")</f>
        <v>VALID</v>
      </c>
      <c r="N3636" t="str">
        <f>IF(COUNTIF(course_data[course_id],role_course_map[[#This Row],[course_id]])=0, "INVALID","VALID")</f>
        <v>VALID</v>
      </c>
    </row>
    <row r="3637" spans="1:14" x14ac:dyDescent="0.35">
      <c r="A3637" t="s">
        <v>372</v>
      </c>
      <c r="B3637" s="5" t="str">
        <f>_xlfn.XLOOKUP(role_course_map[[#This Row],[role_id]], role_data[role_id], role_data[Role],"")</f>
        <v>Wellbeing Lead</v>
      </c>
      <c r="C3637">
        <v>999057</v>
      </c>
      <c r="D3637" s="5" t="str">
        <f>_xlfn.XLOOKUP(role_course_map[[#This Row],[course_id]],course_data[course_id],course_data[title],"")</f>
        <v>Fatigue Awareness</v>
      </c>
      <c r="E3637" s="5" t="str">
        <f>_xlfn.XLOOKUP(role_course_map[[#This Row],[course_id]],course_data[course_id],course_data[topic],"")</f>
        <v>SAS : Health and Safety</v>
      </c>
      <c r="F3637" s="5" t="str">
        <f>_xlfn.XLOOKUP(role_course_map[[#This Row],[course_id]],course_data[course_id],course_data[type],"")</f>
        <v>eLearning</v>
      </c>
      <c r="K3637" t="str">
        <f>role_course_map[[#This Row],[role_id]] &amp; "|" &amp; role_course_map[[#This Row],[course_id]]</f>
        <v>R0178|999057</v>
      </c>
      <c r="L3637" t="str">
        <f>IF(COUNTIF(role_course_map[mapping_key],role_course_map[[#This Row],[mapping_key]])&gt;1,"DUPLICATE","OK")</f>
        <v>OK</v>
      </c>
      <c r="M3637" t="str">
        <f>IF(COUNTIF(role_data[role_id],role_course_map[[#This Row],[role_id]])=0, "INVALID","VALID")</f>
        <v>VALID</v>
      </c>
      <c r="N3637" t="str">
        <f>IF(COUNTIF(course_data[course_id],role_course_map[[#This Row],[course_id]])=0, "INVALID","VALID")</f>
        <v>VALID</v>
      </c>
    </row>
    <row r="3638" spans="1:14" x14ac:dyDescent="0.35">
      <c r="A3638" t="s">
        <v>372</v>
      </c>
      <c r="B3638" s="5" t="str">
        <f>_xlfn.XLOOKUP(role_course_map[[#This Row],[role_id]], role_data[role_id], role_data[Role],"")</f>
        <v>Wellbeing Lead</v>
      </c>
      <c r="C3638">
        <v>999058</v>
      </c>
      <c r="D3638" s="5" t="str">
        <f>_xlfn.XLOOKUP(role_course_map[[#This Row],[course_id]],course_data[course_id],course_data[title],"")</f>
        <v>Stress Identification &amp; Stress Management</v>
      </c>
      <c r="E3638" s="5" t="str">
        <f>_xlfn.XLOOKUP(role_course_map[[#This Row],[course_id]],course_data[course_id],course_data[topic],"")</f>
        <v>SAS : Health and Safety</v>
      </c>
      <c r="F3638" s="5" t="str">
        <f>_xlfn.XLOOKUP(role_course_map[[#This Row],[course_id]],course_data[course_id],course_data[type],"")</f>
        <v>eLearning</v>
      </c>
      <c r="K3638" t="str">
        <f>role_course_map[[#This Row],[role_id]] &amp; "|" &amp; role_course_map[[#This Row],[course_id]]</f>
        <v>R0178|999058</v>
      </c>
      <c r="L3638" t="str">
        <f>IF(COUNTIF(role_course_map[mapping_key],role_course_map[[#This Row],[mapping_key]])&gt;1,"DUPLICATE","OK")</f>
        <v>OK</v>
      </c>
      <c r="M3638" t="str">
        <f>IF(COUNTIF(role_data[role_id],role_course_map[[#This Row],[role_id]])=0, "INVALID","VALID")</f>
        <v>VALID</v>
      </c>
      <c r="N3638" t="str">
        <f>IF(COUNTIF(course_data[course_id],role_course_map[[#This Row],[course_id]])=0, "INVALID","VALID")</f>
        <v>VALID</v>
      </c>
    </row>
    <row r="3639" spans="1:14" x14ac:dyDescent="0.35">
      <c r="A3639" t="s">
        <v>372</v>
      </c>
      <c r="B3639" s="5" t="str">
        <f>_xlfn.XLOOKUP(role_course_map[[#This Row],[role_id]], role_data[role_id], role_data[Role],"")</f>
        <v>Wellbeing Lead</v>
      </c>
      <c r="C3639">
        <v>999056</v>
      </c>
      <c r="D3639" s="5" t="str">
        <f>_xlfn.XLOOKUP(role_course_map[[#This Row],[course_id]],course_data[course_id],course_data[title],"")</f>
        <v>Driver Assessment &amp; Training</v>
      </c>
      <c r="E3639" s="5" t="str">
        <f>_xlfn.XLOOKUP(role_course_map[[#This Row],[course_id]],course_data[course_id],course_data[topic],"")</f>
        <v>SAS : Health and Safety</v>
      </c>
      <c r="F3639" s="5" t="str">
        <f>_xlfn.XLOOKUP(role_course_map[[#This Row],[course_id]],course_data[course_id],course_data[type],"")</f>
        <v>eLearning</v>
      </c>
      <c r="K3639" t="str">
        <f>role_course_map[[#This Row],[role_id]] &amp; "|" &amp; role_course_map[[#This Row],[course_id]]</f>
        <v>R0178|999056</v>
      </c>
      <c r="L3639" t="str">
        <f>IF(COUNTIF(role_course_map[mapping_key],role_course_map[[#This Row],[mapping_key]])&gt;1,"DUPLICATE","OK")</f>
        <v>OK</v>
      </c>
      <c r="M3639" t="str">
        <f>IF(COUNTIF(role_data[role_id],role_course_map[[#This Row],[role_id]])=0, "INVALID","VALID")</f>
        <v>VALID</v>
      </c>
      <c r="N3639" t="str">
        <f>IF(COUNTIF(course_data[course_id],role_course_map[[#This Row],[course_id]])=0, "INVALID","VALID")</f>
        <v>VALID</v>
      </c>
    </row>
    <row r="3640" spans="1:14" x14ac:dyDescent="0.35">
      <c r="A3640" t="s">
        <v>372</v>
      </c>
      <c r="B3640" s="5" t="str">
        <f>_xlfn.XLOOKUP(role_course_map[[#This Row],[role_id]], role_data[role_id], role_data[Role],"")</f>
        <v>Wellbeing Lead</v>
      </c>
      <c r="C3640">
        <v>999094</v>
      </c>
      <c r="D3640" s="5" t="str">
        <f>_xlfn.XLOOKUP(role_course_map[[#This Row],[course_id]],course_data[course_id],course_data[title],"")</f>
        <v>Being well, Mind, Body &amp; Workplace</v>
      </c>
      <c r="E3640" s="5" t="str">
        <f>_xlfn.XLOOKUP(role_course_map[[#This Row],[course_id]],course_data[course_id],course_data[topic],"")</f>
        <v>SAS: Staff development and experience</v>
      </c>
      <c r="F3640" s="5" t="str">
        <f>_xlfn.XLOOKUP(role_course_map[[#This Row],[course_id]],course_data[course_id],course_data[type],"")</f>
        <v>eLearning</v>
      </c>
      <c r="K3640" t="str">
        <f>role_course_map[[#This Row],[role_id]] &amp; "|" &amp; role_course_map[[#This Row],[course_id]]</f>
        <v>R0178|999094</v>
      </c>
      <c r="L3640" t="str">
        <f>IF(COUNTIF(role_course_map[mapping_key],role_course_map[[#This Row],[mapping_key]])&gt;1,"DUPLICATE","OK")</f>
        <v>OK</v>
      </c>
      <c r="M3640" t="str">
        <f>IF(COUNTIF(role_data[role_id],role_course_map[[#This Row],[role_id]])=0, "INVALID","VALID")</f>
        <v>VALID</v>
      </c>
      <c r="N3640" t="str">
        <f>IF(COUNTIF(course_data[course_id],role_course_map[[#This Row],[course_id]])=0, "INVALID","VALID")</f>
        <v>VALID</v>
      </c>
    </row>
    <row r="3641" spans="1:14" x14ac:dyDescent="0.35">
      <c r="A3641" t="s">
        <v>4</v>
      </c>
      <c r="B3641" s="5" t="str">
        <f>_xlfn.XLOOKUP(role_course_map[[#This Row],[role_id]], role_data[role_id], role_data[Role],"")</f>
        <v>Communications and Engagement Manager</v>
      </c>
      <c r="C3641">
        <v>999057</v>
      </c>
      <c r="D3641" s="5" t="str">
        <f>_xlfn.XLOOKUP(role_course_map[[#This Row],[course_id]],course_data[course_id],course_data[title],"")</f>
        <v>Fatigue Awareness</v>
      </c>
      <c r="E3641" s="5" t="str">
        <f>_xlfn.XLOOKUP(role_course_map[[#This Row],[course_id]],course_data[course_id],course_data[topic],"")</f>
        <v>SAS : Health and Safety</v>
      </c>
      <c r="F3641" s="5" t="str">
        <f>_xlfn.XLOOKUP(role_course_map[[#This Row],[course_id]],course_data[course_id],course_data[type],"")</f>
        <v>eLearning</v>
      </c>
      <c r="K3641" t="str">
        <f>role_course_map[[#This Row],[role_id]] &amp; "|" &amp; role_course_map[[#This Row],[course_id]]</f>
        <v>R0001|999057</v>
      </c>
      <c r="L3641" t="str">
        <f>IF(COUNTIF(role_course_map[mapping_key],role_course_map[[#This Row],[mapping_key]])&gt;1,"DUPLICATE","OK")</f>
        <v>OK</v>
      </c>
      <c r="M3641" t="str">
        <f>IF(COUNTIF(role_data[role_id],role_course_map[[#This Row],[role_id]])=0, "INVALID","VALID")</f>
        <v>VALID</v>
      </c>
      <c r="N3641" t="str">
        <f>IF(COUNTIF(course_data[course_id],role_course_map[[#This Row],[course_id]])=0, "INVALID","VALID")</f>
        <v>VALID</v>
      </c>
    </row>
    <row r="3642" spans="1:14" x14ac:dyDescent="0.35">
      <c r="A3642" t="s">
        <v>4</v>
      </c>
      <c r="B3642" s="5" t="str">
        <f>_xlfn.XLOOKUP(role_course_map[[#This Row],[role_id]], role_data[role_id], role_data[Role],"")</f>
        <v>Communications and Engagement Manager</v>
      </c>
      <c r="C3642">
        <v>999058</v>
      </c>
      <c r="D3642" s="5" t="str">
        <f>_xlfn.XLOOKUP(role_course_map[[#This Row],[course_id]],course_data[course_id],course_data[title],"")</f>
        <v>Stress Identification &amp; Stress Management</v>
      </c>
      <c r="E3642" s="5" t="str">
        <f>_xlfn.XLOOKUP(role_course_map[[#This Row],[course_id]],course_data[course_id],course_data[topic],"")</f>
        <v>SAS : Health and Safety</v>
      </c>
      <c r="F3642" s="5" t="str">
        <f>_xlfn.XLOOKUP(role_course_map[[#This Row],[course_id]],course_data[course_id],course_data[type],"")</f>
        <v>eLearning</v>
      </c>
      <c r="K3642" t="str">
        <f>role_course_map[[#This Row],[role_id]] &amp; "|" &amp; role_course_map[[#This Row],[course_id]]</f>
        <v>R0001|999058</v>
      </c>
      <c r="L3642" t="str">
        <f>IF(COUNTIF(role_course_map[mapping_key],role_course_map[[#This Row],[mapping_key]])&gt;1,"DUPLICATE","OK")</f>
        <v>OK</v>
      </c>
      <c r="M3642" t="str">
        <f>IF(COUNTIF(role_data[role_id],role_course_map[[#This Row],[role_id]])=0, "INVALID","VALID")</f>
        <v>VALID</v>
      </c>
      <c r="N3642" t="str">
        <f>IF(COUNTIF(course_data[course_id],role_course_map[[#This Row],[course_id]])=0, "INVALID","VALID")</f>
        <v>VALID</v>
      </c>
    </row>
    <row r="3643" spans="1:14" x14ac:dyDescent="0.35">
      <c r="A3643" t="s">
        <v>4</v>
      </c>
      <c r="B3643" s="5" t="str">
        <f>_xlfn.XLOOKUP(role_course_map[[#This Row],[role_id]], role_data[role_id], role_data[Role],"")</f>
        <v>Communications and Engagement Manager</v>
      </c>
      <c r="C3643">
        <v>999056</v>
      </c>
      <c r="D3643" s="5" t="str">
        <f>_xlfn.XLOOKUP(role_course_map[[#This Row],[course_id]],course_data[course_id],course_data[title],"")</f>
        <v>Driver Assessment &amp; Training</v>
      </c>
      <c r="E3643" s="5" t="str">
        <f>_xlfn.XLOOKUP(role_course_map[[#This Row],[course_id]],course_data[course_id],course_data[topic],"")</f>
        <v>SAS : Health and Safety</v>
      </c>
      <c r="F3643" s="5" t="str">
        <f>_xlfn.XLOOKUP(role_course_map[[#This Row],[course_id]],course_data[course_id],course_data[type],"")</f>
        <v>eLearning</v>
      </c>
      <c r="K3643" t="str">
        <f>role_course_map[[#This Row],[role_id]] &amp; "|" &amp; role_course_map[[#This Row],[course_id]]</f>
        <v>R0001|999056</v>
      </c>
      <c r="L3643" t="str">
        <f>IF(COUNTIF(role_course_map[mapping_key],role_course_map[[#This Row],[mapping_key]])&gt;1,"DUPLICATE","OK")</f>
        <v>OK</v>
      </c>
      <c r="M3643" t="str">
        <f>IF(COUNTIF(role_data[role_id],role_course_map[[#This Row],[role_id]])=0, "INVALID","VALID")</f>
        <v>VALID</v>
      </c>
      <c r="N3643" t="str">
        <f>IF(COUNTIF(course_data[course_id],role_course_map[[#This Row],[course_id]])=0, "INVALID","VALID")</f>
        <v>VALID</v>
      </c>
    </row>
    <row r="3644" spans="1:14" x14ac:dyDescent="0.35">
      <c r="A3644" t="s">
        <v>4</v>
      </c>
      <c r="B3644" s="5" t="str">
        <f>_xlfn.XLOOKUP(role_course_map[[#This Row],[role_id]], role_data[role_id], role_data[Role],"")</f>
        <v>Communications and Engagement Manager</v>
      </c>
      <c r="C3644">
        <v>999094</v>
      </c>
      <c r="D3644" s="5" t="str">
        <f>_xlfn.XLOOKUP(role_course_map[[#This Row],[course_id]],course_data[course_id],course_data[title],"")</f>
        <v>Being well, Mind, Body &amp; Workplace</v>
      </c>
      <c r="E3644" s="5" t="str">
        <f>_xlfn.XLOOKUP(role_course_map[[#This Row],[course_id]],course_data[course_id],course_data[topic],"")</f>
        <v>SAS: Staff development and experience</v>
      </c>
      <c r="F3644" s="5" t="str">
        <f>_xlfn.XLOOKUP(role_course_map[[#This Row],[course_id]],course_data[course_id],course_data[type],"")</f>
        <v>eLearning</v>
      </c>
      <c r="K3644" t="str">
        <f>role_course_map[[#This Row],[role_id]] &amp; "|" &amp; role_course_map[[#This Row],[course_id]]</f>
        <v>R0001|999094</v>
      </c>
      <c r="L3644" t="str">
        <f>IF(COUNTIF(role_course_map[mapping_key],role_course_map[[#This Row],[mapping_key]])&gt;1,"DUPLICATE","OK")</f>
        <v>OK</v>
      </c>
      <c r="M3644" t="str">
        <f>IF(COUNTIF(role_data[role_id],role_course_map[[#This Row],[role_id]])=0, "INVALID","VALID")</f>
        <v>VALID</v>
      </c>
      <c r="N3644" t="str">
        <f>IF(COUNTIF(course_data[course_id],role_course_map[[#This Row],[course_id]])=0, "INVALID","VALID")</f>
        <v>VALID</v>
      </c>
    </row>
    <row r="3645" spans="1:14" x14ac:dyDescent="0.35">
      <c r="A3645" t="s">
        <v>195</v>
      </c>
      <c r="B3645" s="5" t="str">
        <f>_xlfn.XLOOKUP(role_course_map[[#This Row],[role_id]], role_data[role_id], role_data[Role],"")</f>
        <v>Clinical Effectiveness Lead</v>
      </c>
      <c r="C3645">
        <v>79218</v>
      </c>
      <c r="D3645" s="5" t="str">
        <f>_xlfn.XLOOKUP(role_course_map[[#This Row],[course_id]],course_data[course_id],course_data[title],"")</f>
        <v>Life support</v>
      </c>
      <c r="E3645" s="5" t="str">
        <f>_xlfn.XLOOKUP(role_course_map[[#This Row],[course_id]],course_data[course_id],course_data[topic],"")</f>
        <v>SAS : Clinical Practice</v>
      </c>
      <c r="F3645" s="5" t="str">
        <f>_xlfn.XLOOKUP(role_course_map[[#This Row],[course_id]],course_data[course_id],course_data[type],"")</f>
        <v>Page</v>
      </c>
      <c r="K3645" t="str">
        <f>role_course_map[[#This Row],[role_id]] &amp; "|" &amp; role_course_map[[#This Row],[course_id]]</f>
        <v>R0091|79218</v>
      </c>
      <c r="L3645" t="str">
        <f>IF(COUNTIF(role_course_map[mapping_key],role_course_map[[#This Row],[mapping_key]])&gt;1,"DUPLICATE","OK")</f>
        <v>OK</v>
      </c>
      <c r="M3645" t="str">
        <f>IF(COUNTIF(role_data[role_id],role_course_map[[#This Row],[role_id]])=0, "INVALID","VALID")</f>
        <v>VALID</v>
      </c>
      <c r="N3645" t="str">
        <f>IF(COUNTIF(course_data[course_id],role_course_map[[#This Row],[course_id]])=0, "INVALID","VALID")</f>
        <v>VALID</v>
      </c>
    </row>
    <row r="3646" spans="1:14" x14ac:dyDescent="0.35">
      <c r="A3646" t="s">
        <v>195</v>
      </c>
      <c r="B3646" s="5" t="str">
        <f>_xlfn.XLOOKUP(role_course_map[[#This Row],[role_id]], role_data[role_id], role_data[Role],"")</f>
        <v>Clinical Effectiveness Lead</v>
      </c>
      <c r="C3646">
        <v>999009</v>
      </c>
      <c r="D3646" s="5" t="str">
        <f>_xlfn.XLOOKUP(role_course_map[[#This Row],[course_id]],course_data[course_id],course_data[title],"")</f>
        <v>Life Support</v>
      </c>
      <c r="E3646" s="5" t="str">
        <f>_xlfn.XLOOKUP(role_course_map[[#This Row],[course_id]],course_data[course_id],course_data[topic],"")</f>
        <v>SAS : Clinical Practice</v>
      </c>
      <c r="F3646" s="5" t="str">
        <f>_xlfn.XLOOKUP(role_course_map[[#This Row],[course_id]],course_data[course_id],course_data[type],"")</f>
        <v>Course</v>
      </c>
      <c r="K3646" t="str">
        <f>role_course_map[[#This Row],[role_id]] &amp; "|" &amp; role_course_map[[#This Row],[course_id]]</f>
        <v>R0091|999009</v>
      </c>
      <c r="L3646" t="str">
        <f>IF(COUNTIF(role_course_map[mapping_key],role_course_map[[#This Row],[mapping_key]])&gt;1,"DUPLICATE","OK")</f>
        <v>OK</v>
      </c>
      <c r="M3646" t="str">
        <f>IF(COUNTIF(role_data[role_id],role_course_map[[#This Row],[role_id]])=0, "INVALID","VALID")</f>
        <v>VALID</v>
      </c>
      <c r="N3646" t="str">
        <f>IF(COUNTIF(course_data[course_id],role_course_map[[#This Row],[course_id]])=0, "INVALID","VALID")</f>
        <v>VALID</v>
      </c>
    </row>
    <row r="3647" spans="1:14" x14ac:dyDescent="0.35">
      <c r="A3647" t="s">
        <v>195</v>
      </c>
      <c r="B3647" s="5" t="str">
        <f>_xlfn.XLOOKUP(role_course_map[[#This Row],[role_id]], role_data[role_id], role_data[Role],"")</f>
        <v>Clinical Effectiveness Lead</v>
      </c>
      <c r="C3647">
        <v>999007</v>
      </c>
      <c r="D3647" s="5" t="str">
        <f>_xlfn.XLOOKUP(role_course_map[[#This Row],[course_id]],course_data[course_id],course_data[title],"")</f>
        <v>Obstetrics</v>
      </c>
      <c r="E3647" s="5" t="str">
        <f>_xlfn.XLOOKUP(role_course_map[[#This Row],[course_id]],course_data[course_id],course_data[topic],"")</f>
        <v>SAS : Clinical Practice</v>
      </c>
      <c r="F3647" s="5" t="str">
        <f>_xlfn.XLOOKUP(role_course_map[[#This Row],[course_id]],course_data[course_id],course_data[type],"")</f>
        <v>Course</v>
      </c>
      <c r="K3647" t="str">
        <f>role_course_map[[#This Row],[role_id]] &amp; "|" &amp; role_course_map[[#This Row],[course_id]]</f>
        <v>R0091|999007</v>
      </c>
      <c r="L3647" t="str">
        <f>IF(COUNTIF(role_course_map[mapping_key],role_course_map[[#This Row],[mapping_key]])&gt;1,"DUPLICATE","OK")</f>
        <v>OK</v>
      </c>
      <c r="M3647" t="str">
        <f>IF(COUNTIF(role_data[role_id],role_course_map[[#This Row],[role_id]])=0, "INVALID","VALID")</f>
        <v>VALID</v>
      </c>
      <c r="N3647" t="str">
        <f>IF(COUNTIF(course_data[course_id],role_course_map[[#This Row],[course_id]])=0, "INVALID","VALID")</f>
        <v>VALID</v>
      </c>
    </row>
    <row r="3648" spans="1:14" x14ac:dyDescent="0.35">
      <c r="A3648" t="s">
        <v>195</v>
      </c>
      <c r="B3648" s="5" t="str">
        <f>_xlfn.XLOOKUP(role_course_map[[#This Row],[role_id]], role_data[role_id], role_data[Role],"")</f>
        <v>Clinical Effectiveness Lead</v>
      </c>
      <c r="C3648">
        <v>999008</v>
      </c>
      <c r="D3648" s="5" t="str">
        <f>_xlfn.XLOOKUP(role_course_map[[#This Row],[course_id]],course_data[course_id],course_data[title],"")</f>
        <v>Obstetrics</v>
      </c>
      <c r="E3648" s="5" t="str">
        <f>_xlfn.XLOOKUP(role_course_map[[#This Row],[course_id]],course_data[course_id],course_data[topic],"")</f>
        <v>SAS : Clinical Practice</v>
      </c>
      <c r="F3648" s="5" t="str">
        <f>_xlfn.XLOOKUP(role_course_map[[#This Row],[course_id]],course_data[course_id],course_data[type],"")</f>
        <v>eLearning</v>
      </c>
      <c r="K3648" t="str">
        <f>role_course_map[[#This Row],[role_id]] &amp; "|" &amp; role_course_map[[#This Row],[course_id]]</f>
        <v>R0091|999008</v>
      </c>
      <c r="L3648" t="str">
        <f>IF(COUNTIF(role_course_map[mapping_key],role_course_map[[#This Row],[mapping_key]])&gt;1,"DUPLICATE","OK")</f>
        <v>OK</v>
      </c>
      <c r="M3648" t="str">
        <f>IF(COUNTIF(role_data[role_id],role_course_map[[#This Row],[role_id]])=0, "INVALID","VALID")</f>
        <v>VALID</v>
      </c>
      <c r="N3648" t="str">
        <f>IF(COUNTIF(course_data[course_id],role_course_map[[#This Row],[course_id]])=0, "INVALID","VALID")</f>
        <v>VALID</v>
      </c>
    </row>
    <row r="3649" spans="1:14" x14ac:dyDescent="0.35">
      <c r="A3649" t="s">
        <v>195</v>
      </c>
      <c r="B3649" s="5" t="str">
        <f>_xlfn.XLOOKUP(role_course_map[[#This Row],[role_id]], role_data[role_id], role_data[Role],"")</f>
        <v>Clinical Effectiveness Lead</v>
      </c>
      <c r="C3649">
        <v>999010</v>
      </c>
      <c r="D3649" s="5" t="str">
        <f>_xlfn.XLOOKUP(role_course_map[[#This Row],[course_id]],course_data[course_id],course_data[title],"")</f>
        <v>Paediatrics</v>
      </c>
      <c r="E3649" s="5" t="str">
        <f>_xlfn.XLOOKUP(role_course_map[[#This Row],[course_id]],course_data[course_id],course_data[topic],"")</f>
        <v>SAS : Clinical Practice</v>
      </c>
      <c r="F3649" s="5" t="str">
        <f>_xlfn.XLOOKUP(role_course_map[[#This Row],[course_id]],course_data[course_id],course_data[type],"")</f>
        <v>Course</v>
      </c>
      <c r="K3649" t="str">
        <f>role_course_map[[#This Row],[role_id]] &amp; "|" &amp; role_course_map[[#This Row],[course_id]]</f>
        <v>R0091|999010</v>
      </c>
      <c r="L3649" t="str">
        <f>IF(COUNTIF(role_course_map[mapping_key],role_course_map[[#This Row],[mapping_key]])&gt;1,"DUPLICATE","OK")</f>
        <v>OK</v>
      </c>
      <c r="M3649" t="str">
        <f>IF(COUNTIF(role_data[role_id],role_course_map[[#This Row],[role_id]])=0, "INVALID","VALID")</f>
        <v>VALID</v>
      </c>
      <c r="N3649" t="str">
        <f>IF(COUNTIF(course_data[course_id],role_course_map[[#This Row],[course_id]])=0, "INVALID","VALID")</f>
        <v>VALID</v>
      </c>
    </row>
    <row r="3650" spans="1:14" x14ac:dyDescent="0.35">
      <c r="A3650" t="s">
        <v>195</v>
      </c>
      <c r="B3650" s="5" t="str">
        <f>_xlfn.XLOOKUP(role_course_map[[#This Row],[role_id]], role_data[role_id], role_data[Role],"")</f>
        <v>Clinical Effectiveness Lead</v>
      </c>
      <c r="C3650">
        <v>999011</v>
      </c>
      <c r="D3650" s="5" t="str">
        <f>_xlfn.XLOOKUP(role_course_map[[#This Row],[course_id]],course_data[course_id],course_data[title],"")</f>
        <v>Paediatrics</v>
      </c>
      <c r="E3650" s="5" t="str">
        <f>_xlfn.XLOOKUP(role_course_map[[#This Row],[course_id]],course_data[course_id],course_data[topic],"")</f>
        <v>SAS : Clinical Practice</v>
      </c>
      <c r="F3650" s="5" t="str">
        <f>_xlfn.XLOOKUP(role_course_map[[#This Row],[course_id]],course_data[course_id],course_data[type],"")</f>
        <v>eLearning</v>
      </c>
      <c r="K3650" t="str">
        <f>role_course_map[[#This Row],[role_id]] &amp; "|" &amp; role_course_map[[#This Row],[course_id]]</f>
        <v>R0091|999011</v>
      </c>
      <c r="L3650" t="str">
        <f>IF(COUNTIF(role_course_map[mapping_key],role_course_map[[#This Row],[mapping_key]])&gt;1,"DUPLICATE","OK")</f>
        <v>OK</v>
      </c>
      <c r="M3650" t="str">
        <f>IF(COUNTIF(role_data[role_id],role_course_map[[#This Row],[role_id]])=0, "INVALID","VALID")</f>
        <v>VALID</v>
      </c>
      <c r="N3650" t="str">
        <f>IF(COUNTIF(course_data[course_id],role_course_map[[#This Row],[course_id]])=0, "INVALID","VALID")</f>
        <v>VALID</v>
      </c>
    </row>
    <row r="3651" spans="1:14" x14ac:dyDescent="0.35">
      <c r="A3651" t="s">
        <v>195</v>
      </c>
      <c r="B3651" s="5" t="str">
        <f>_xlfn.XLOOKUP(role_course_map[[#This Row],[role_id]], role_data[role_id], role_data[Role],"")</f>
        <v>Clinical Effectiveness Lead</v>
      </c>
      <c r="C3651">
        <v>999012</v>
      </c>
      <c r="D3651" s="5" t="str">
        <f>_xlfn.XLOOKUP(role_course_map[[#This Row],[course_id]],course_data[course_id],course_data[title],"")</f>
        <v>Trauma</v>
      </c>
      <c r="E3651" s="5" t="str">
        <f>_xlfn.XLOOKUP(role_course_map[[#This Row],[course_id]],course_data[course_id],course_data[topic],"")</f>
        <v>SAS : Clinical Practice</v>
      </c>
      <c r="F3651" s="5" t="str">
        <f>_xlfn.XLOOKUP(role_course_map[[#This Row],[course_id]],course_data[course_id],course_data[type],"")</f>
        <v>Course</v>
      </c>
      <c r="K3651" t="str">
        <f>role_course_map[[#This Row],[role_id]] &amp; "|" &amp; role_course_map[[#This Row],[course_id]]</f>
        <v>R0091|999012</v>
      </c>
      <c r="L3651" t="str">
        <f>IF(COUNTIF(role_course_map[mapping_key],role_course_map[[#This Row],[mapping_key]])&gt;1,"DUPLICATE","OK")</f>
        <v>OK</v>
      </c>
      <c r="M3651" t="str">
        <f>IF(COUNTIF(role_data[role_id],role_course_map[[#This Row],[role_id]])=0, "INVALID","VALID")</f>
        <v>VALID</v>
      </c>
      <c r="N3651" t="str">
        <f>IF(COUNTIF(course_data[course_id],role_course_map[[#This Row],[course_id]])=0, "INVALID","VALID")</f>
        <v>VALID</v>
      </c>
    </row>
    <row r="3652" spans="1:14" x14ac:dyDescent="0.35">
      <c r="A3652" t="s">
        <v>195</v>
      </c>
      <c r="B3652" s="5" t="str">
        <f>_xlfn.XLOOKUP(role_course_map[[#This Row],[role_id]], role_data[role_id], role_data[Role],"")</f>
        <v>Clinical Effectiveness Lead</v>
      </c>
      <c r="C3652">
        <v>999013</v>
      </c>
      <c r="D3652" s="5" t="str">
        <f>_xlfn.XLOOKUP(role_course_map[[#This Row],[course_id]],course_data[course_id],course_data[title],"")</f>
        <v>Trauma</v>
      </c>
      <c r="E3652" s="5" t="str">
        <f>_xlfn.XLOOKUP(role_course_map[[#This Row],[course_id]],course_data[course_id],course_data[topic],"")</f>
        <v>SAS : Clinical Practice</v>
      </c>
      <c r="F3652" s="5" t="str">
        <f>_xlfn.XLOOKUP(role_course_map[[#This Row],[course_id]],course_data[course_id],course_data[type],"")</f>
        <v>eLearning</v>
      </c>
      <c r="K3652" t="str">
        <f>role_course_map[[#This Row],[role_id]] &amp; "|" &amp; role_course_map[[#This Row],[course_id]]</f>
        <v>R0091|999013</v>
      </c>
      <c r="L3652" t="str">
        <f>IF(COUNTIF(role_course_map[mapping_key],role_course_map[[#This Row],[mapping_key]])&gt;1,"DUPLICATE","OK")</f>
        <v>OK</v>
      </c>
      <c r="M3652" t="str">
        <f>IF(COUNTIF(role_data[role_id],role_course_map[[#This Row],[role_id]])=0, "INVALID","VALID")</f>
        <v>VALID</v>
      </c>
      <c r="N3652" t="str">
        <f>IF(COUNTIF(course_data[course_id],role_course_map[[#This Row],[course_id]])=0, "INVALID","VALID")</f>
        <v>VALID</v>
      </c>
    </row>
    <row r="3653" spans="1:14" x14ac:dyDescent="0.35">
      <c r="A3653" t="s">
        <v>195</v>
      </c>
      <c r="B3653" s="5" t="str">
        <f>_xlfn.XLOOKUP(role_course_map[[#This Row],[role_id]], role_data[role_id], role_data[Role],"")</f>
        <v>Clinical Effectiveness Lead</v>
      </c>
      <c r="C3653">
        <v>999014</v>
      </c>
      <c r="D3653" s="5" t="str">
        <f>_xlfn.XLOOKUP(role_course_map[[#This Row],[course_id]],course_data[course_id],course_data[title],"")</f>
        <v>Patient Assessment</v>
      </c>
      <c r="E3653" s="5" t="str">
        <f>_xlfn.XLOOKUP(role_course_map[[#This Row],[course_id]],course_data[course_id],course_data[topic],"")</f>
        <v>SAS : Clinical Practice</v>
      </c>
      <c r="F3653" s="5" t="str">
        <f>_xlfn.XLOOKUP(role_course_map[[#This Row],[course_id]],course_data[course_id],course_data[type],"")</f>
        <v>Course</v>
      </c>
      <c r="K3653" t="str">
        <f>role_course_map[[#This Row],[role_id]] &amp; "|" &amp; role_course_map[[#This Row],[course_id]]</f>
        <v>R0091|999014</v>
      </c>
      <c r="L3653" t="str">
        <f>IF(COUNTIF(role_course_map[mapping_key],role_course_map[[#This Row],[mapping_key]])&gt;1,"DUPLICATE","OK")</f>
        <v>OK</v>
      </c>
      <c r="M3653" t="str">
        <f>IF(COUNTIF(role_data[role_id],role_course_map[[#This Row],[role_id]])=0, "INVALID","VALID")</f>
        <v>VALID</v>
      </c>
      <c r="N3653" t="str">
        <f>IF(COUNTIF(course_data[course_id],role_course_map[[#This Row],[course_id]])=0, "INVALID","VALID")</f>
        <v>VALID</v>
      </c>
    </row>
    <row r="3654" spans="1:14" x14ac:dyDescent="0.35">
      <c r="A3654" t="s">
        <v>195</v>
      </c>
      <c r="B3654" s="5" t="str">
        <f>_xlfn.XLOOKUP(role_course_map[[#This Row],[role_id]], role_data[role_id], role_data[Role],"")</f>
        <v>Clinical Effectiveness Lead</v>
      </c>
      <c r="C3654">
        <v>999015</v>
      </c>
      <c r="D3654" s="5" t="str">
        <f>_xlfn.XLOOKUP(role_course_map[[#This Row],[course_id]],course_data[course_id],course_data[title],"")</f>
        <v>Patient Assessment</v>
      </c>
      <c r="E3654" s="5" t="str">
        <f>_xlfn.XLOOKUP(role_course_map[[#This Row],[course_id]],course_data[course_id],course_data[topic],"")</f>
        <v>SAS : Clinical Practice</v>
      </c>
      <c r="F3654" s="5" t="str">
        <f>_xlfn.XLOOKUP(role_course_map[[#This Row],[course_id]],course_data[course_id],course_data[type],"")</f>
        <v>eLearning</v>
      </c>
      <c r="K3654" t="str">
        <f>role_course_map[[#This Row],[role_id]] &amp; "|" &amp; role_course_map[[#This Row],[course_id]]</f>
        <v>R0091|999015</v>
      </c>
      <c r="L3654" t="str">
        <f>IF(COUNTIF(role_course_map[mapping_key],role_course_map[[#This Row],[mapping_key]])&gt;1,"DUPLICATE","OK")</f>
        <v>OK</v>
      </c>
      <c r="M3654" t="str">
        <f>IF(COUNTIF(role_data[role_id],role_course_map[[#This Row],[role_id]])=0, "INVALID","VALID")</f>
        <v>VALID</v>
      </c>
      <c r="N3654" t="str">
        <f>IF(COUNTIF(course_data[course_id],role_course_map[[#This Row],[course_id]])=0, "INVALID","VALID")</f>
        <v>VALID</v>
      </c>
    </row>
    <row r="3655" spans="1:14" x14ac:dyDescent="0.35">
      <c r="A3655" t="s">
        <v>195</v>
      </c>
      <c r="B3655" s="5" t="str">
        <f>_xlfn.XLOOKUP(role_course_map[[#This Row],[role_id]], role_data[role_id], role_data[Role],"")</f>
        <v>Clinical Effectiveness Lead</v>
      </c>
      <c r="C3655">
        <v>999016</v>
      </c>
      <c r="D3655" s="5" t="str">
        <f>_xlfn.XLOOKUP(role_course_map[[#This Row],[course_id]],course_data[course_id],course_data[title],"")</f>
        <v>Clinical Skills</v>
      </c>
      <c r="E3655" s="5" t="str">
        <f>_xlfn.XLOOKUP(role_course_map[[#This Row],[course_id]],course_data[course_id],course_data[topic],"")</f>
        <v>SAS : Clinical Practice</v>
      </c>
      <c r="F3655" s="5" t="str">
        <f>_xlfn.XLOOKUP(role_course_map[[#This Row],[course_id]],course_data[course_id],course_data[type],"")</f>
        <v>Course</v>
      </c>
      <c r="K3655" t="str">
        <f>role_course_map[[#This Row],[role_id]] &amp; "|" &amp; role_course_map[[#This Row],[course_id]]</f>
        <v>R0091|999016</v>
      </c>
      <c r="L3655" t="str">
        <f>IF(COUNTIF(role_course_map[mapping_key],role_course_map[[#This Row],[mapping_key]])&gt;1,"DUPLICATE","OK")</f>
        <v>OK</v>
      </c>
      <c r="M3655" t="str">
        <f>IF(COUNTIF(role_data[role_id],role_course_map[[#This Row],[role_id]])=0, "INVALID","VALID")</f>
        <v>VALID</v>
      </c>
      <c r="N3655" t="str">
        <f>IF(COUNTIF(course_data[course_id],role_course_map[[#This Row],[course_id]])=0, "INVALID","VALID")</f>
        <v>VALID</v>
      </c>
    </row>
    <row r="3656" spans="1:14" x14ac:dyDescent="0.35">
      <c r="A3656" t="s">
        <v>195</v>
      </c>
      <c r="B3656" s="5" t="str">
        <f>_xlfn.XLOOKUP(role_course_map[[#This Row],[role_id]], role_data[role_id], role_data[Role],"")</f>
        <v>Clinical Effectiveness Lead</v>
      </c>
      <c r="C3656">
        <v>999017</v>
      </c>
      <c r="D3656" s="5" t="str">
        <f>_xlfn.XLOOKUP(role_course_map[[#This Row],[course_id]],course_data[course_id],course_data[title],"")</f>
        <v>Clinical Skills</v>
      </c>
      <c r="E3656" s="5" t="str">
        <f>_xlfn.XLOOKUP(role_course_map[[#This Row],[course_id]],course_data[course_id],course_data[topic],"")</f>
        <v>SAS : Clinical Practice</v>
      </c>
      <c r="F3656" s="5" t="str">
        <f>_xlfn.XLOOKUP(role_course_map[[#This Row],[course_id]],course_data[course_id],course_data[type],"")</f>
        <v>eLearning</v>
      </c>
      <c r="K3656" t="str">
        <f>role_course_map[[#This Row],[role_id]] &amp; "|" &amp; role_course_map[[#This Row],[course_id]]</f>
        <v>R0091|999017</v>
      </c>
      <c r="L3656" t="str">
        <f>IF(COUNTIF(role_course_map[mapping_key],role_course_map[[#This Row],[mapping_key]])&gt;1,"DUPLICATE","OK")</f>
        <v>OK</v>
      </c>
      <c r="M3656" t="str">
        <f>IF(COUNTIF(role_data[role_id],role_course_map[[#This Row],[role_id]])=0, "INVALID","VALID")</f>
        <v>VALID</v>
      </c>
      <c r="N3656" t="str">
        <f>IF(COUNTIF(course_data[course_id],role_course_map[[#This Row],[course_id]])=0, "INVALID","VALID")</f>
        <v>VALID</v>
      </c>
    </row>
    <row r="3657" spans="1:14" x14ac:dyDescent="0.35">
      <c r="A3657" t="s">
        <v>195</v>
      </c>
      <c r="B3657" s="5" t="str">
        <f>_xlfn.XLOOKUP(role_course_map[[#This Row],[role_id]], role_data[role_id], role_data[Role],"")</f>
        <v>Clinical Effectiveness Lead</v>
      </c>
      <c r="C3657">
        <v>999018</v>
      </c>
      <c r="D3657" s="5" t="str">
        <f>_xlfn.XLOOKUP(role_course_map[[#This Row],[course_id]],course_data[course_id],course_data[title],"")</f>
        <v>Learning from Events</v>
      </c>
      <c r="E3657" s="5" t="str">
        <f>_xlfn.XLOOKUP(role_course_map[[#This Row],[course_id]],course_data[course_id],course_data[topic],"")</f>
        <v>SAS : Clinical Practice</v>
      </c>
      <c r="F3657" s="5" t="str">
        <f>_xlfn.XLOOKUP(role_course_map[[#This Row],[course_id]],course_data[course_id],course_data[type],"")</f>
        <v>eLearning</v>
      </c>
      <c r="K3657" t="str">
        <f>role_course_map[[#This Row],[role_id]] &amp; "|" &amp; role_course_map[[#This Row],[course_id]]</f>
        <v>R0091|999018</v>
      </c>
      <c r="L3657" t="str">
        <f>IF(COUNTIF(role_course_map[mapping_key],role_course_map[[#This Row],[mapping_key]])&gt;1,"DUPLICATE","OK")</f>
        <v>OK</v>
      </c>
      <c r="M3657" t="str">
        <f>IF(COUNTIF(role_data[role_id],role_course_map[[#This Row],[role_id]])=0, "INVALID","VALID")</f>
        <v>VALID</v>
      </c>
      <c r="N3657" t="str">
        <f>IF(COUNTIF(course_data[course_id],role_course_map[[#This Row],[course_id]])=0, "INVALID","VALID")</f>
        <v>VALID</v>
      </c>
    </row>
    <row r="3658" spans="1:14" x14ac:dyDescent="0.35">
      <c r="A3658" t="s">
        <v>195</v>
      </c>
      <c r="B3658" s="5" t="str">
        <f>_xlfn.XLOOKUP(role_course_map[[#This Row],[role_id]], role_data[role_id], role_data[Role],"")</f>
        <v>Clinical Effectiveness Lead</v>
      </c>
      <c r="C3658">
        <v>999019</v>
      </c>
      <c r="D3658" s="5" t="str">
        <f>_xlfn.XLOOKUP(role_course_map[[#This Row],[course_id]],course_data[course_id],course_data[title],"")</f>
        <v>Medicines Management</v>
      </c>
      <c r="E3658" s="5" t="str">
        <f>_xlfn.XLOOKUP(role_course_map[[#This Row],[course_id]],course_data[course_id],course_data[topic],"")</f>
        <v>SAS : Clinical Practice</v>
      </c>
      <c r="F3658" s="5" t="str">
        <f>_xlfn.XLOOKUP(role_course_map[[#This Row],[course_id]],course_data[course_id],course_data[type],"")</f>
        <v>eLearning</v>
      </c>
      <c r="K3658" t="str">
        <f>role_course_map[[#This Row],[role_id]] &amp; "|" &amp; role_course_map[[#This Row],[course_id]]</f>
        <v>R0091|999019</v>
      </c>
      <c r="L3658" t="str">
        <f>IF(COUNTIF(role_course_map[mapping_key],role_course_map[[#This Row],[mapping_key]])&gt;1,"DUPLICATE","OK")</f>
        <v>OK</v>
      </c>
      <c r="M3658" t="str">
        <f>IF(COUNTIF(role_data[role_id],role_course_map[[#This Row],[role_id]])=0, "INVALID","VALID")</f>
        <v>VALID</v>
      </c>
      <c r="N3658" t="str">
        <f>IF(COUNTIF(course_data[course_id],role_course_map[[#This Row],[course_id]])=0, "INVALID","VALID")</f>
        <v>VALID</v>
      </c>
    </row>
    <row r="3659" spans="1:14" x14ac:dyDescent="0.35">
      <c r="A3659" t="s">
        <v>195</v>
      </c>
      <c r="B3659" s="5" t="str">
        <f>_xlfn.XLOOKUP(role_course_map[[#This Row],[role_id]], role_data[role_id], role_data[Role],"")</f>
        <v>Clinical Effectiveness Lead</v>
      </c>
      <c r="C3659">
        <v>999020</v>
      </c>
      <c r="D3659" s="5" t="str">
        <f>_xlfn.XLOOKUP(role_course_map[[#This Row],[course_id]],course_data[course_id],course_data[title],"")</f>
        <v>JRCALC Update</v>
      </c>
      <c r="E3659" s="5" t="str">
        <f>_xlfn.XLOOKUP(role_course_map[[#This Row],[course_id]],course_data[course_id],course_data[topic],"")</f>
        <v>SAS : Clinical Practice</v>
      </c>
      <c r="F3659" s="5" t="str">
        <f>_xlfn.XLOOKUP(role_course_map[[#This Row],[course_id]],course_data[course_id],course_data[type],"")</f>
        <v>eLearning</v>
      </c>
      <c r="K3659" t="str">
        <f>role_course_map[[#This Row],[role_id]] &amp; "|" &amp; role_course_map[[#This Row],[course_id]]</f>
        <v>R0091|999020</v>
      </c>
      <c r="L3659" t="str">
        <f>IF(COUNTIF(role_course_map[mapping_key],role_course_map[[#This Row],[mapping_key]])&gt;1,"DUPLICATE","OK")</f>
        <v>OK</v>
      </c>
      <c r="M3659" t="str">
        <f>IF(COUNTIF(role_data[role_id],role_course_map[[#This Row],[role_id]])=0, "INVALID","VALID")</f>
        <v>VALID</v>
      </c>
      <c r="N3659" t="str">
        <f>IF(COUNTIF(course_data[course_id],role_course_map[[#This Row],[course_id]])=0, "INVALID","VALID")</f>
        <v>VALID</v>
      </c>
    </row>
    <row r="3660" spans="1:14" x14ac:dyDescent="0.35">
      <c r="A3660" t="s">
        <v>195</v>
      </c>
      <c r="B3660" s="5" t="str">
        <f>_xlfn.XLOOKUP(role_course_map[[#This Row],[role_id]], role_data[role_id], role_data[Role],"")</f>
        <v>Clinical Effectiveness Lead</v>
      </c>
      <c r="C3660">
        <v>999021</v>
      </c>
      <c r="D3660" s="5" t="str">
        <f>_xlfn.XLOOKUP(role_course_map[[#This Row],[course_id]],course_data[course_id],course_data[title],"")</f>
        <v>Mental Health</v>
      </c>
      <c r="E3660" s="5" t="str">
        <f>_xlfn.XLOOKUP(role_course_map[[#This Row],[course_id]],course_data[course_id],course_data[topic],"")</f>
        <v>SAS : Clinical Practice</v>
      </c>
      <c r="F3660" s="5" t="str">
        <f>_xlfn.XLOOKUP(role_course_map[[#This Row],[course_id]],course_data[course_id],course_data[type],"")</f>
        <v>eLearning</v>
      </c>
      <c r="K3660" t="str">
        <f>role_course_map[[#This Row],[role_id]] &amp; "|" &amp; role_course_map[[#This Row],[course_id]]</f>
        <v>R0091|999021</v>
      </c>
      <c r="L3660" t="str">
        <f>IF(COUNTIF(role_course_map[mapping_key],role_course_map[[#This Row],[mapping_key]])&gt;1,"DUPLICATE","OK")</f>
        <v>OK</v>
      </c>
      <c r="M3660" t="str">
        <f>IF(COUNTIF(role_data[role_id],role_course_map[[#This Row],[role_id]])=0, "INVALID","VALID")</f>
        <v>VALID</v>
      </c>
      <c r="N3660" t="str">
        <f>IF(COUNTIF(course_data[course_id],role_course_map[[#This Row],[course_id]])=0, "INVALID","VALID")</f>
        <v>VALID</v>
      </c>
    </row>
    <row r="3661" spans="1:14" x14ac:dyDescent="0.35">
      <c r="A3661" t="s">
        <v>195</v>
      </c>
      <c r="B3661" s="5" t="str">
        <f>_xlfn.XLOOKUP(role_course_map[[#This Row],[role_id]], role_data[role_id], role_data[Role],"")</f>
        <v>Clinical Effectiveness Lead</v>
      </c>
      <c r="C3661">
        <v>999022</v>
      </c>
      <c r="D3661" s="5" t="str">
        <f>_xlfn.XLOOKUP(role_course_map[[#This Row],[course_id]],course_data[course_id],course_data[title],"")</f>
        <v>Learning Disabilities</v>
      </c>
      <c r="E3661" s="5" t="str">
        <f>_xlfn.XLOOKUP(role_course_map[[#This Row],[course_id]],course_data[course_id],course_data[topic],"")</f>
        <v>SAS : Clinical Practice</v>
      </c>
      <c r="F3661" s="5" t="str">
        <f>_xlfn.XLOOKUP(role_course_map[[#This Row],[course_id]],course_data[course_id],course_data[type],"")</f>
        <v>eLearning</v>
      </c>
      <c r="K3661" t="str">
        <f>role_course_map[[#This Row],[role_id]] &amp; "|" &amp; role_course_map[[#This Row],[course_id]]</f>
        <v>R0091|999022</v>
      </c>
      <c r="L3661" t="str">
        <f>IF(COUNTIF(role_course_map[mapping_key],role_course_map[[#This Row],[mapping_key]])&gt;1,"DUPLICATE","OK")</f>
        <v>OK</v>
      </c>
      <c r="M3661" t="str">
        <f>IF(COUNTIF(role_data[role_id],role_course_map[[#This Row],[role_id]])=0, "INVALID","VALID")</f>
        <v>VALID</v>
      </c>
      <c r="N3661" t="str">
        <f>IF(COUNTIF(course_data[course_id],role_course_map[[#This Row],[course_id]])=0, "INVALID","VALID")</f>
        <v>VALID</v>
      </c>
    </row>
    <row r="3662" spans="1:14" x14ac:dyDescent="0.35">
      <c r="A3662" t="s">
        <v>195</v>
      </c>
      <c r="B3662" s="5" t="str">
        <f>_xlfn.XLOOKUP(role_course_map[[#This Row],[role_id]], role_data[role_id], role_data[Role],"")</f>
        <v>Clinical Effectiveness Lead</v>
      </c>
      <c r="C3662">
        <v>75202</v>
      </c>
      <c r="D3662" s="5" t="str">
        <f>_xlfn.XLOOKUP(role_course_map[[#This Row],[course_id]],course_data[course_id],course_data[title],"")</f>
        <v>SAS : Clinical Practice</v>
      </c>
      <c r="E3662" s="5" t="str">
        <f>_xlfn.XLOOKUP(role_course_map[[#This Row],[course_id]],course_data[course_id],course_data[topic],"")</f>
        <v>SAS : Clinical Practice</v>
      </c>
      <c r="F3662" s="5" t="str">
        <f>_xlfn.XLOOKUP(role_course_map[[#This Row],[course_id]],course_data[course_id],course_data[type],"")</f>
        <v>Page</v>
      </c>
      <c r="K3662" t="str">
        <f>role_course_map[[#This Row],[role_id]] &amp; "|" &amp; role_course_map[[#This Row],[course_id]]</f>
        <v>R0091|75202</v>
      </c>
      <c r="L3662" t="str">
        <f>IF(COUNTIF(role_course_map[mapping_key],role_course_map[[#This Row],[mapping_key]])&gt;1,"DUPLICATE","OK")</f>
        <v>OK</v>
      </c>
      <c r="M3662" t="str">
        <f>IF(COUNTIF(role_data[role_id],role_course_map[[#This Row],[role_id]])=0, "INVALID","VALID")</f>
        <v>VALID</v>
      </c>
      <c r="N3662" t="str">
        <f>IF(COUNTIF(course_data[course_id],role_course_map[[#This Row],[course_id]])=0, "INVALID","VALID")</f>
        <v>VALID</v>
      </c>
    </row>
    <row r="3663" spans="1:14" x14ac:dyDescent="0.35">
      <c r="A3663" t="s">
        <v>195</v>
      </c>
      <c r="B3663" s="5" t="str">
        <f>_xlfn.XLOOKUP(role_course_map[[#This Row],[role_id]], role_data[role_id], role_data[Role],"")</f>
        <v>Clinical Effectiveness Lead</v>
      </c>
      <c r="C3663">
        <v>999023</v>
      </c>
      <c r="D3663" s="5" t="str">
        <f>_xlfn.XLOOKUP(role_course_map[[#This Row],[course_id]],course_data[course_id],course_data[title],"")</f>
        <v>Dementia</v>
      </c>
      <c r="E3663" s="5" t="str">
        <f>_xlfn.XLOOKUP(role_course_map[[#This Row],[course_id]],course_data[course_id],course_data[topic],"")</f>
        <v>SAS : Clinical Practice</v>
      </c>
      <c r="F3663" s="5" t="str">
        <f>_xlfn.XLOOKUP(role_course_map[[#This Row],[course_id]],course_data[course_id],course_data[type],"")</f>
        <v>eLearning</v>
      </c>
      <c r="K3663" t="str">
        <f>role_course_map[[#This Row],[role_id]] &amp; "|" &amp; role_course_map[[#This Row],[course_id]]</f>
        <v>R0091|999023</v>
      </c>
      <c r="L3663" t="str">
        <f>IF(COUNTIF(role_course_map[mapping_key],role_course_map[[#This Row],[mapping_key]])&gt;1,"DUPLICATE","OK")</f>
        <v>OK</v>
      </c>
      <c r="M3663" t="str">
        <f>IF(COUNTIF(role_data[role_id],role_course_map[[#This Row],[role_id]])=0, "INVALID","VALID")</f>
        <v>VALID</v>
      </c>
      <c r="N3663" t="str">
        <f>IF(COUNTIF(course_data[course_id],role_course_map[[#This Row],[course_id]])=0, "INVALID","VALID")</f>
        <v>VALID</v>
      </c>
    </row>
    <row r="3664" spans="1:14" x14ac:dyDescent="0.35">
      <c r="A3664" t="s">
        <v>195</v>
      </c>
      <c r="B3664" s="5" t="str">
        <f>_xlfn.XLOOKUP(role_course_map[[#This Row],[role_id]], role_data[role_id], role_data[Role],"")</f>
        <v>Clinical Effectiveness Lead</v>
      </c>
      <c r="C3664">
        <v>999024</v>
      </c>
      <c r="D3664" s="5" t="str">
        <f>_xlfn.XLOOKUP(role_course_map[[#This Row],[course_id]],course_data[course_id],course_data[title],"")</f>
        <v>Conditions requiring specific hospital management. I.e. Parkinsons</v>
      </c>
      <c r="E3664" s="5" t="str">
        <f>_xlfn.XLOOKUP(role_course_map[[#This Row],[course_id]],course_data[course_id],course_data[topic],"")</f>
        <v>SAS : Clinical Practice</v>
      </c>
      <c r="F3664" s="5" t="str">
        <f>_xlfn.XLOOKUP(role_course_map[[#This Row],[course_id]],course_data[course_id],course_data[type],"")</f>
        <v>eLearning</v>
      </c>
      <c r="K3664" t="str">
        <f>role_course_map[[#This Row],[role_id]] &amp; "|" &amp; role_course_map[[#This Row],[course_id]]</f>
        <v>R0091|999024</v>
      </c>
      <c r="L3664" t="str">
        <f>IF(COUNTIF(role_course_map[mapping_key],role_course_map[[#This Row],[mapping_key]])&gt;1,"DUPLICATE","OK")</f>
        <v>OK</v>
      </c>
      <c r="M3664" t="str">
        <f>IF(COUNTIF(role_data[role_id],role_course_map[[#This Row],[role_id]])=0, "INVALID","VALID")</f>
        <v>VALID</v>
      </c>
      <c r="N3664" t="str">
        <f>IF(COUNTIF(course_data[course_id],role_course_map[[#This Row],[course_id]])=0, "INVALID","VALID")</f>
        <v>VALID</v>
      </c>
    </row>
    <row r="3665" spans="1:14" x14ac:dyDescent="0.35">
      <c r="A3665" t="s">
        <v>195</v>
      </c>
      <c r="B3665" s="5" t="str">
        <f>_xlfn.XLOOKUP(role_course_map[[#This Row],[role_id]], role_data[role_id], role_data[Role],"")</f>
        <v>Clinical Effectiveness Lead</v>
      </c>
      <c r="C3665">
        <v>999095</v>
      </c>
      <c r="D3665" s="5" t="str">
        <f>_xlfn.XLOOKUP(role_course_map[[#This Row],[course_id]],course_data[course_id],course_data[title],"")</f>
        <v>Mentoring</v>
      </c>
      <c r="E3665" s="5" t="str">
        <f>_xlfn.XLOOKUP(role_course_map[[#This Row],[course_id]],course_data[course_id],course_data[topic],"")</f>
        <v>SAS: Staff development and experience</v>
      </c>
      <c r="F3665" s="5" t="str">
        <f>_xlfn.XLOOKUP(role_course_map[[#This Row],[course_id]],course_data[course_id],course_data[type],"")</f>
        <v>eLearning</v>
      </c>
      <c r="K3665" t="str">
        <f>role_course_map[[#This Row],[role_id]] &amp; "|" &amp; role_course_map[[#This Row],[course_id]]</f>
        <v>R0091|999095</v>
      </c>
      <c r="L3665" t="str">
        <f>IF(COUNTIF(role_course_map[mapping_key],role_course_map[[#This Row],[mapping_key]])&gt;1,"DUPLICATE","OK")</f>
        <v>OK</v>
      </c>
      <c r="M3665" t="str">
        <f>IF(COUNTIF(role_data[role_id],role_course_map[[#This Row],[role_id]])=0, "INVALID","VALID")</f>
        <v>VALID</v>
      </c>
      <c r="N3665" t="str">
        <f>IF(COUNTIF(course_data[course_id],role_course_map[[#This Row],[course_id]])=0, "INVALID","VALID")</f>
        <v>VALID</v>
      </c>
    </row>
    <row r="3666" spans="1:14" x14ac:dyDescent="0.35">
      <c r="A3666" t="s">
        <v>195</v>
      </c>
      <c r="B3666" s="5" t="str">
        <f>_xlfn.XLOOKUP(role_course_map[[#This Row],[role_id]], role_data[role_id], role_data[Role],"")</f>
        <v>Clinical Effectiveness Lead</v>
      </c>
      <c r="C3666">
        <v>999096</v>
      </c>
      <c r="D3666" s="5" t="str">
        <f>_xlfn.XLOOKUP(role_course_map[[#This Row],[course_id]],course_data[course_id],course_data[title],"")</f>
        <v>Supporting others in practice (Supervision)</v>
      </c>
      <c r="E3666" s="5" t="str">
        <f>_xlfn.XLOOKUP(role_course_map[[#This Row],[course_id]],course_data[course_id],course_data[topic],"")</f>
        <v>SAS: Staff development and experience</v>
      </c>
      <c r="F3666" s="5" t="str">
        <f>_xlfn.XLOOKUP(role_course_map[[#This Row],[course_id]],course_data[course_id],course_data[type],"")</f>
        <v>Course</v>
      </c>
      <c r="K3666" t="str">
        <f>role_course_map[[#This Row],[role_id]] &amp; "|" &amp; role_course_map[[#This Row],[course_id]]</f>
        <v>R0091|999096</v>
      </c>
      <c r="L3666" t="str">
        <f>IF(COUNTIF(role_course_map[mapping_key],role_course_map[[#This Row],[mapping_key]])&gt;1,"DUPLICATE","OK")</f>
        <v>OK</v>
      </c>
      <c r="M3666" t="str">
        <f>IF(COUNTIF(role_data[role_id],role_course_map[[#This Row],[role_id]])=0, "INVALID","VALID")</f>
        <v>VALID</v>
      </c>
      <c r="N3666" t="str">
        <f>IF(COUNTIF(course_data[course_id],role_course_map[[#This Row],[course_id]])=0, "INVALID","VALID")</f>
        <v>VALID</v>
      </c>
    </row>
    <row r="3667" spans="1:14" x14ac:dyDescent="0.35">
      <c r="A3667" t="s">
        <v>195</v>
      </c>
      <c r="B3667" s="5" t="str">
        <f>_xlfn.XLOOKUP(role_course_map[[#This Row],[role_id]], role_data[role_id], role_data[Role],"")</f>
        <v>Clinical Effectiveness Lead</v>
      </c>
      <c r="C3667">
        <v>999097</v>
      </c>
      <c r="D3667" s="5" t="str">
        <f>_xlfn.XLOOKUP(role_course_map[[#This Row],[course_id]],course_data[course_id],course_data[title],"")</f>
        <v>Personal Wellbeing</v>
      </c>
      <c r="E3667" s="5" t="str">
        <f>_xlfn.XLOOKUP(role_course_map[[#This Row],[course_id]],course_data[course_id],course_data[topic],"")</f>
        <v>SAS: Staff development and experience</v>
      </c>
      <c r="F3667" s="5" t="str">
        <f>_xlfn.XLOOKUP(role_course_map[[#This Row],[course_id]],course_data[course_id],course_data[type],"")</f>
        <v>eLearning</v>
      </c>
      <c r="K3667" t="str">
        <f>role_course_map[[#This Row],[role_id]] &amp; "|" &amp; role_course_map[[#This Row],[course_id]]</f>
        <v>R0091|999097</v>
      </c>
      <c r="L3667" t="str">
        <f>IF(COUNTIF(role_course_map[mapping_key],role_course_map[[#This Row],[mapping_key]])&gt;1,"DUPLICATE","OK")</f>
        <v>OK</v>
      </c>
      <c r="M3667" t="str">
        <f>IF(COUNTIF(role_data[role_id],role_course_map[[#This Row],[role_id]])=0, "INVALID","VALID")</f>
        <v>VALID</v>
      </c>
      <c r="N3667" t="str">
        <f>IF(COUNTIF(course_data[course_id],role_course_map[[#This Row],[course_id]])=0, "INVALID","VALID")</f>
        <v>VALID</v>
      </c>
    </row>
    <row r="3668" spans="1:14" x14ac:dyDescent="0.35">
      <c r="A3668" t="s">
        <v>195</v>
      </c>
      <c r="B3668" s="5" t="str">
        <f>_xlfn.XLOOKUP(role_course_map[[#This Row],[role_id]], role_data[role_id], role_data[Role],"")</f>
        <v>Clinical Effectiveness Lead</v>
      </c>
      <c r="C3668">
        <v>75407</v>
      </c>
      <c r="D3668" s="5" t="str">
        <f>_xlfn.XLOOKUP(role_course_map[[#This Row],[course_id]],course_data[course_id],course_data[title],"")</f>
        <v>Aspirant Leader Development Programme (ALDP)</v>
      </c>
      <c r="E3668" s="5" t="str">
        <f>_xlfn.XLOOKUP(role_course_map[[#This Row],[course_id]],course_data[course_id],course_data[topic],"")</f>
        <v>SAS: Staff development and experience</v>
      </c>
      <c r="F3668" s="5" t="str">
        <f>_xlfn.XLOOKUP(role_course_map[[#This Row],[course_id]],course_data[course_id],course_data[type],"")</f>
        <v>Page</v>
      </c>
      <c r="K3668" t="str">
        <f>role_course_map[[#This Row],[role_id]] &amp; "|" &amp; role_course_map[[#This Row],[course_id]]</f>
        <v>R0091|75407</v>
      </c>
      <c r="L3668" t="str">
        <f>IF(COUNTIF(role_course_map[mapping_key],role_course_map[[#This Row],[mapping_key]])&gt;1,"DUPLICATE","OK")</f>
        <v>OK</v>
      </c>
      <c r="M3668" t="str">
        <f>IF(COUNTIF(role_data[role_id],role_course_map[[#This Row],[role_id]])=0, "INVALID","VALID")</f>
        <v>VALID</v>
      </c>
      <c r="N3668" t="str">
        <f>IF(COUNTIF(course_data[course_id],role_course_map[[#This Row],[course_id]])=0, "INVALID","VALID")</f>
        <v>VALID</v>
      </c>
    </row>
    <row r="3669" spans="1:14" x14ac:dyDescent="0.35">
      <c r="A3669" t="s">
        <v>195</v>
      </c>
      <c r="B3669" s="5" t="str">
        <f>_xlfn.XLOOKUP(role_course_map[[#This Row],[role_id]], role_data[role_id], role_data[Role],"")</f>
        <v>Clinical Effectiveness Lead</v>
      </c>
      <c r="C3669">
        <v>79147</v>
      </c>
      <c r="D3669" s="5" t="str">
        <f>_xlfn.XLOOKUP(role_course_map[[#This Row],[course_id]],course_data[course_id],course_data[title],"")</f>
        <v>Driving risks at work</v>
      </c>
      <c r="E3669" s="5" t="str">
        <f>_xlfn.XLOOKUP(role_course_map[[#This Row],[course_id]],course_data[course_id],course_data[topic],"")</f>
        <v>SAS : Health and Safety</v>
      </c>
      <c r="F3669" s="5" t="str">
        <f>_xlfn.XLOOKUP(role_course_map[[#This Row],[course_id]],course_data[course_id],course_data[type],"")</f>
        <v>eLearning</v>
      </c>
      <c r="K3669" t="str">
        <f>role_course_map[[#This Row],[role_id]] &amp; "|" &amp; role_course_map[[#This Row],[course_id]]</f>
        <v>R0091|79147</v>
      </c>
      <c r="L3669" t="str">
        <f>IF(COUNTIF(role_course_map[mapping_key],role_course_map[[#This Row],[mapping_key]])&gt;1,"DUPLICATE","OK")</f>
        <v>OK</v>
      </c>
      <c r="M3669" t="str">
        <f>IF(COUNTIF(role_data[role_id],role_course_map[[#This Row],[role_id]])=0, "INVALID","VALID")</f>
        <v>VALID</v>
      </c>
      <c r="N3669" t="str">
        <f>IF(COUNTIF(course_data[course_id],role_course_map[[#This Row],[course_id]])=0, "INVALID","VALID")</f>
        <v>VALID</v>
      </c>
    </row>
    <row r="3670" spans="1:14" x14ac:dyDescent="0.35">
      <c r="A3670" t="s">
        <v>195</v>
      </c>
      <c r="B3670" s="5" t="str">
        <f>_xlfn.XLOOKUP(role_course_map[[#This Row],[role_id]], role_data[role_id], role_data[Role],"")</f>
        <v>Clinical Effectiveness Lead</v>
      </c>
      <c r="C3670">
        <v>999060</v>
      </c>
      <c r="D3670" s="5" t="str">
        <f>_xlfn.XLOOKUP(role_course_map[[#This Row],[course_id]],course_data[course_id],course_data[title],"")</f>
        <v>COSHH</v>
      </c>
      <c r="E3670" s="5" t="str">
        <f>_xlfn.XLOOKUP(role_course_map[[#This Row],[course_id]],course_data[course_id],course_data[topic],"")</f>
        <v>SAS : Health and Safety</v>
      </c>
      <c r="F3670" s="5" t="str">
        <f>_xlfn.XLOOKUP(role_course_map[[#This Row],[course_id]],course_data[course_id],course_data[type],"")</f>
        <v>eLearning</v>
      </c>
      <c r="K3670" t="str">
        <f>role_course_map[[#This Row],[role_id]] &amp; "|" &amp; role_course_map[[#This Row],[course_id]]</f>
        <v>R0091|999060</v>
      </c>
      <c r="L3670" t="str">
        <f>IF(COUNTIF(role_course_map[mapping_key],role_course_map[[#This Row],[mapping_key]])&gt;1,"DUPLICATE","OK")</f>
        <v>OK</v>
      </c>
      <c r="M3670" t="str">
        <f>IF(COUNTIF(role_data[role_id],role_course_map[[#This Row],[role_id]])=0, "INVALID","VALID")</f>
        <v>VALID</v>
      </c>
      <c r="N3670" t="str">
        <f>IF(COUNTIF(course_data[course_id],role_course_map[[#This Row],[course_id]])=0, "INVALID","VALID")</f>
        <v>VALID</v>
      </c>
    </row>
    <row r="3671" spans="1:14" x14ac:dyDescent="0.35">
      <c r="A3671" t="s">
        <v>195</v>
      </c>
      <c r="B3671" s="5" t="str">
        <f>_xlfn.XLOOKUP(role_course_map[[#This Row],[role_id]], role_data[role_id], role_data[Role],"")</f>
        <v>Clinical Effectiveness Lead</v>
      </c>
      <c r="C3671">
        <v>999066</v>
      </c>
      <c r="D3671" s="5" t="str">
        <f>_xlfn.XLOOKUP(role_course_map[[#This Row],[course_id]],course_data[course_id],course_data[title],"")</f>
        <v>NRRD Update i.e. Major Incidents/Methane/ Multiple Casualities</v>
      </c>
      <c r="E3671" s="5" t="str">
        <f>_xlfn.XLOOKUP(role_course_map[[#This Row],[course_id]],course_data[course_id],course_data[topic],"")</f>
        <v>SAS : National Risk and Resilience Department (NRRD)</v>
      </c>
      <c r="F3671" s="5" t="str">
        <f>_xlfn.XLOOKUP(role_course_map[[#This Row],[course_id]],course_data[course_id],course_data[type],"")</f>
        <v>eLearning</v>
      </c>
      <c r="K3671" t="str">
        <f>role_course_map[[#This Row],[role_id]] &amp; "|" &amp; role_course_map[[#This Row],[course_id]]</f>
        <v>R0091|999066</v>
      </c>
      <c r="L3671" t="str">
        <f>IF(COUNTIF(role_course_map[mapping_key],role_course_map[[#This Row],[mapping_key]])&gt;1,"DUPLICATE","OK")</f>
        <v>OK</v>
      </c>
      <c r="M3671" t="str">
        <f>IF(COUNTIF(role_data[role_id],role_course_map[[#This Row],[role_id]])=0, "INVALID","VALID")</f>
        <v>VALID</v>
      </c>
      <c r="N3671" t="str">
        <f>IF(COUNTIF(course_data[course_id],role_course_map[[#This Row],[course_id]])=0, "INVALID","VALID")</f>
        <v>VALID</v>
      </c>
    </row>
    <row r="3672" spans="1:14" x14ac:dyDescent="0.35">
      <c r="A3672" t="s">
        <v>195</v>
      </c>
      <c r="B3672" s="5" t="str">
        <f>_xlfn.XLOOKUP(role_course_map[[#This Row],[role_id]], role_data[role_id], role_data[Role],"")</f>
        <v>Clinical Effectiveness Lead</v>
      </c>
      <c r="C3672">
        <v>999025</v>
      </c>
      <c r="D3672" s="5" t="str">
        <f>_xlfn.XLOOKUP(role_course_map[[#This Row],[course_id]],course_data[course_id],course_data[title],"")</f>
        <v>Professional Standards</v>
      </c>
      <c r="E3672" s="5" t="str">
        <f>_xlfn.XLOOKUP(role_course_map[[#This Row],[course_id]],course_data[course_id],course_data[topic],"")</f>
        <v>SAS : Clinical Practice</v>
      </c>
      <c r="F3672" s="5" t="str">
        <f>_xlfn.XLOOKUP(role_course_map[[#This Row],[course_id]],course_data[course_id],course_data[type],"")</f>
        <v>eLearning</v>
      </c>
      <c r="K3672" t="str">
        <f>role_course_map[[#This Row],[role_id]] &amp; "|" &amp; role_course_map[[#This Row],[course_id]]</f>
        <v>R0091|999025</v>
      </c>
      <c r="L3672" t="str">
        <f>IF(COUNTIF(role_course_map[mapping_key],role_course_map[[#This Row],[mapping_key]])&gt;1,"DUPLICATE","OK")</f>
        <v>OK</v>
      </c>
      <c r="M3672" t="str">
        <f>IF(COUNTIF(role_data[role_id],role_course_map[[#This Row],[role_id]])=0, "INVALID","VALID")</f>
        <v>VALID</v>
      </c>
      <c r="N3672" t="str">
        <f>IF(COUNTIF(course_data[course_id],role_course_map[[#This Row],[course_id]])=0, "INVALID","VALID")</f>
        <v>VALID</v>
      </c>
    </row>
    <row r="3673" spans="1:14" x14ac:dyDescent="0.35">
      <c r="A3673" t="s">
        <v>195</v>
      </c>
      <c r="B3673" s="5" t="str">
        <f>_xlfn.XLOOKUP(role_course_map[[#This Row],[role_id]], role_data[role_id], role_data[Role],"")</f>
        <v>Clinical Effectiveness Lead</v>
      </c>
      <c r="C3673">
        <v>999026</v>
      </c>
      <c r="D3673" s="5" t="str">
        <f>_xlfn.XLOOKUP(role_course_map[[#This Row],[course_id]],course_data[course_id],course_data[title],"")</f>
        <v>Communication Standards</v>
      </c>
      <c r="E3673" s="5" t="str">
        <f>_xlfn.XLOOKUP(role_course_map[[#This Row],[course_id]],course_data[course_id],course_data[topic],"")</f>
        <v>SAS : Clinical Practice</v>
      </c>
      <c r="F3673" s="5" t="str">
        <f>_xlfn.XLOOKUP(role_course_map[[#This Row],[course_id]],course_data[course_id],course_data[type],"")</f>
        <v>eLearning</v>
      </c>
      <c r="K3673" t="str">
        <f>role_course_map[[#This Row],[role_id]] &amp; "|" &amp; role_course_map[[#This Row],[course_id]]</f>
        <v>R0091|999026</v>
      </c>
      <c r="L3673" t="str">
        <f>IF(COUNTIF(role_course_map[mapping_key],role_course_map[[#This Row],[mapping_key]])&gt;1,"DUPLICATE","OK")</f>
        <v>OK</v>
      </c>
      <c r="M3673" t="str">
        <f>IF(COUNTIF(role_data[role_id],role_course_map[[#This Row],[role_id]])=0, "INVALID","VALID")</f>
        <v>VALID</v>
      </c>
      <c r="N3673" t="str">
        <f>IF(COUNTIF(course_data[course_id],role_course_map[[#This Row],[course_id]])=0, "INVALID","VALID")</f>
        <v>VALID</v>
      </c>
    </row>
    <row r="3674" spans="1:14" x14ac:dyDescent="0.35">
      <c r="A3674" t="s">
        <v>195</v>
      </c>
      <c r="B3674" s="5" t="str">
        <f>_xlfn.XLOOKUP(role_course_map[[#This Row],[role_id]], role_data[role_id], role_data[Role],"")</f>
        <v>Clinical Effectiveness Lead</v>
      </c>
      <c r="C3674">
        <v>999056</v>
      </c>
      <c r="D3674" s="5" t="str">
        <f>_xlfn.XLOOKUP(role_course_map[[#This Row],[course_id]],course_data[course_id],course_data[title],"")</f>
        <v>Driver Assessment &amp; Training</v>
      </c>
      <c r="E3674" s="5" t="str">
        <f>_xlfn.XLOOKUP(role_course_map[[#This Row],[course_id]],course_data[course_id],course_data[topic],"")</f>
        <v>SAS : Health and Safety</v>
      </c>
      <c r="F3674" s="5" t="str">
        <f>_xlfn.XLOOKUP(role_course_map[[#This Row],[course_id]],course_data[course_id],course_data[type],"")</f>
        <v>eLearning</v>
      </c>
      <c r="K3674" t="str">
        <f>role_course_map[[#This Row],[role_id]] &amp; "|" &amp; role_course_map[[#This Row],[course_id]]</f>
        <v>R0091|999056</v>
      </c>
      <c r="L3674" t="str">
        <f>IF(COUNTIF(role_course_map[mapping_key],role_course_map[[#This Row],[mapping_key]])&gt;1,"DUPLICATE","OK")</f>
        <v>OK</v>
      </c>
      <c r="M3674" t="str">
        <f>IF(COUNTIF(role_data[role_id],role_course_map[[#This Row],[role_id]])=0, "INVALID","VALID")</f>
        <v>VALID</v>
      </c>
      <c r="N3674" t="str">
        <f>IF(COUNTIF(course_data[course_id],role_course_map[[#This Row],[course_id]])=0, "INVALID","VALID")</f>
        <v>VALID</v>
      </c>
    </row>
    <row r="3675" spans="1:14" x14ac:dyDescent="0.35">
      <c r="A3675" t="s">
        <v>195</v>
      </c>
      <c r="B3675" s="5" t="str">
        <f>_xlfn.XLOOKUP(role_course_map[[#This Row],[role_id]], role_data[role_id], role_data[Role],"")</f>
        <v>Clinical Effectiveness Lead</v>
      </c>
      <c r="C3675">
        <v>999057</v>
      </c>
      <c r="D3675" s="5" t="str">
        <f>_xlfn.XLOOKUP(role_course_map[[#This Row],[course_id]],course_data[course_id],course_data[title],"")</f>
        <v>Fatigue Awareness</v>
      </c>
      <c r="E3675" s="5" t="str">
        <f>_xlfn.XLOOKUP(role_course_map[[#This Row],[course_id]],course_data[course_id],course_data[topic],"")</f>
        <v>SAS : Health and Safety</v>
      </c>
      <c r="F3675" s="5" t="str">
        <f>_xlfn.XLOOKUP(role_course_map[[#This Row],[course_id]],course_data[course_id],course_data[type],"")</f>
        <v>eLearning</v>
      </c>
      <c r="K3675" t="str">
        <f>role_course_map[[#This Row],[role_id]] &amp; "|" &amp; role_course_map[[#This Row],[course_id]]</f>
        <v>R0091|999057</v>
      </c>
      <c r="L3675" t="str">
        <f>IF(COUNTIF(role_course_map[mapping_key],role_course_map[[#This Row],[mapping_key]])&gt;1,"DUPLICATE","OK")</f>
        <v>OK</v>
      </c>
      <c r="M3675" t="str">
        <f>IF(COUNTIF(role_data[role_id],role_course_map[[#This Row],[role_id]])=0, "INVALID","VALID")</f>
        <v>VALID</v>
      </c>
      <c r="N3675" t="str">
        <f>IF(COUNTIF(course_data[course_id],role_course_map[[#This Row],[course_id]])=0, "INVALID","VALID")</f>
        <v>VALID</v>
      </c>
    </row>
    <row r="3676" spans="1:14" x14ac:dyDescent="0.35">
      <c r="A3676" t="s">
        <v>195</v>
      </c>
      <c r="B3676" s="5" t="str">
        <f>_xlfn.XLOOKUP(role_course_map[[#This Row],[role_id]], role_data[role_id], role_data[Role],"")</f>
        <v>Clinical Effectiveness Lead</v>
      </c>
      <c r="C3676">
        <v>999058</v>
      </c>
      <c r="D3676" s="5" t="str">
        <f>_xlfn.XLOOKUP(role_course_map[[#This Row],[course_id]],course_data[course_id],course_data[title],"")</f>
        <v>Stress Identification &amp; Stress Management</v>
      </c>
      <c r="E3676" s="5" t="str">
        <f>_xlfn.XLOOKUP(role_course_map[[#This Row],[course_id]],course_data[course_id],course_data[topic],"")</f>
        <v>SAS : Health and Safety</v>
      </c>
      <c r="F3676" s="5" t="str">
        <f>_xlfn.XLOOKUP(role_course_map[[#This Row],[course_id]],course_data[course_id],course_data[type],"")</f>
        <v>eLearning</v>
      </c>
      <c r="K3676" t="str">
        <f>role_course_map[[#This Row],[role_id]] &amp; "|" &amp; role_course_map[[#This Row],[course_id]]</f>
        <v>R0091|999058</v>
      </c>
      <c r="L3676" t="str">
        <f>IF(COUNTIF(role_course_map[mapping_key],role_course_map[[#This Row],[mapping_key]])&gt;1,"DUPLICATE","OK")</f>
        <v>OK</v>
      </c>
      <c r="M3676" t="str">
        <f>IF(COUNTIF(role_data[role_id],role_course_map[[#This Row],[role_id]])=0, "INVALID","VALID")</f>
        <v>VALID</v>
      </c>
      <c r="N3676" t="str">
        <f>IF(COUNTIF(course_data[course_id],role_course_map[[#This Row],[course_id]])=0, "INVALID","VALID")</f>
        <v>VALID</v>
      </c>
    </row>
    <row r="3677" spans="1:14" x14ac:dyDescent="0.35">
      <c r="A3677" t="s">
        <v>195</v>
      </c>
      <c r="B3677" s="5" t="str">
        <f>_xlfn.XLOOKUP(role_course_map[[#This Row],[role_id]], role_data[role_id], role_data[Role],"")</f>
        <v>Clinical Effectiveness Lead</v>
      </c>
      <c r="C3677">
        <v>999061</v>
      </c>
      <c r="D3677" s="5" t="str">
        <f>_xlfn.XLOOKUP(role_course_map[[#This Row],[course_id]],course_data[course_id],course_data[title],"")</f>
        <v>Skin Awareness</v>
      </c>
      <c r="E3677" s="5" t="str">
        <f>_xlfn.XLOOKUP(role_course_map[[#This Row],[course_id]],course_data[course_id],course_data[topic],"")</f>
        <v>SAS : Health and Safety</v>
      </c>
      <c r="F3677" s="5" t="str">
        <f>_xlfn.XLOOKUP(role_course_map[[#This Row],[course_id]],course_data[course_id],course_data[type],"")</f>
        <v>eLearning</v>
      </c>
      <c r="K3677" t="str">
        <f>role_course_map[[#This Row],[role_id]] &amp; "|" &amp; role_course_map[[#This Row],[course_id]]</f>
        <v>R0091|999061</v>
      </c>
      <c r="L3677" t="str">
        <f>IF(COUNTIF(role_course_map[mapping_key],role_course_map[[#This Row],[mapping_key]])&gt;1,"DUPLICATE","OK")</f>
        <v>OK</v>
      </c>
      <c r="M3677" t="str">
        <f>IF(COUNTIF(role_data[role_id],role_course_map[[#This Row],[role_id]])=0, "INVALID","VALID")</f>
        <v>VALID</v>
      </c>
      <c r="N3677" t="str">
        <f>IF(COUNTIF(course_data[course_id],role_course_map[[#This Row],[course_id]])=0, "INVALID","VALID")</f>
        <v>VALID</v>
      </c>
    </row>
    <row r="3678" spans="1:14" x14ac:dyDescent="0.35">
      <c r="A3678" t="s">
        <v>195</v>
      </c>
      <c r="B3678" s="5" t="str">
        <f>_xlfn.XLOOKUP(role_course_map[[#This Row],[role_id]], role_data[role_id], role_data[Role],"")</f>
        <v>Clinical Effectiveness Lead</v>
      </c>
      <c r="C3678">
        <v>999027</v>
      </c>
      <c r="D3678" s="5" t="str">
        <f>_xlfn.XLOOKUP(role_course_map[[#This Row],[course_id]],course_data[course_id],course_data[title],"")</f>
        <v>Manual and Patient Handling Foundation Training - Level 2</v>
      </c>
      <c r="E3678" s="5" t="str">
        <f>_xlfn.XLOOKUP(role_course_map[[#This Row],[course_id]],course_data[course_id],course_data[topic],"")</f>
        <v>SAS : Clinical Practice</v>
      </c>
      <c r="F3678" s="5" t="str">
        <f>_xlfn.XLOOKUP(role_course_map[[#This Row],[course_id]],course_data[course_id],course_data[type],"")</f>
        <v>Course</v>
      </c>
      <c r="K3678" t="str">
        <f>role_course_map[[#This Row],[role_id]] &amp; "|" &amp; role_course_map[[#This Row],[course_id]]</f>
        <v>R0091|999027</v>
      </c>
      <c r="L3678" t="str">
        <f>IF(COUNTIF(role_course_map[mapping_key],role_course_map[[#This Row],[mapping_key]])&gt;1,"DUPLICATE","OK")</f>
        <v>OK</v>
      </c>
      <c r="M3678" t="str">
        <f>IF(COUNTIF(role_data[role_id],role_course_map[[#This Row],[role_id]])=0, "INVALID","VALID")</f>
        <v>VALID</v>
      </c>
      <c r="N3678" t="str">
        <f>IF(COUNTIF(course_data[course_id],role_course_map[[#This Row],[course_id]])=0, "INVALID","VALID")</f>
        <v>VALID</v>
      </c>
    </row>
    <row r="3679" spans="1:14" x14ac:dyDescent="0.35">
      <c r="A3679" t="s">
        <v>195</v>
      </c>
      <c r="B3679" s="5" t="str">
        <f>_xlfn.XLOOKUP(role_course_map[[#This Row],[role_id]], role_data[role_id], role_data[Role],"")</f>
        <v>Clinical Effectiveness Lead</v>
      </c>
      <c r="C3679">
        <v>999028</v>
      </c>
      <c r="D3679" s="5" t="str">
        <f>_xlfn.XLOOKUP(role_course_map[[#This Row],[course_id]],course_data[course_id],course_data[title],"")</f>
        <v>Manual and Patient Handling Competency Assessment - Level 3</v>
      </c>
      <c r="E3679" s="5" t="str">
        <f>_xlfn.XLOOKUP(role_course_map[[#This Row],[course_id]],course_data[course_id],course_data[topic],"")</f>
        <v>SAS : Clinical Practice</v>
      </c>
      <c r="F3679" s="5" t="str">
        <f>_xlfn.XLOOKUP(role_course_map[[#This Row],[course_id]],course_data[course_id],course_data[type],"")</f>
        <v>Course</v>
      </c>
      <c r="K3679" t="str">
        <f>role_course_map[[#This Row],[role_id]] &amp; "|" &amp; role_course_map[[#This Row],[course_id]]</f>
        <v>R0091|999028</v>
      </c>
      <c r="L3679" t="str">
        <f>IF(COUNTIF(role_course_map[mapping_key],role_course_map[[#This Row],[mapping_key]])&gt;1,"DUPLICATE","OK")</f>
        <v>OK</v>
      </c>
      <c r="M3679" t="str">
        <f>IF(COUNTIF(role_data[role_id],role_course_map[[#This Row],[role_id]])=0, "INVALID","VALID")</f>
        <v>VALID</v>
      </c>
      <c r="N3679" t="str">
        <f>IF(COUNTIF(course_data[course_id],role_course_map[[#This Row],[course_id]])=0, "INVALID","VALID")</f>
        <v>VALID</v>
      </c>
    </row>
    <row r="3680" spans="1:14" x14ac:dyDescent="0.35">
      <c r="A3680" t="s">
        <v>195</v>
      </c>
      <c r="B3680" s="5" t="str">
        <f>_xlfn.XLOOKUP(role_course_map[[#This Row],[role_id]], role_data[role_id], role_data[Role],"")</f>
        <v>Clinical Effectiveness Lead</v>
      </c>
      <c r="C3680">
        <v>999029</v>
      </c>
      <c r="D3680" s="5" t="str">
        <f>_xlfn.XLOOKUP(role_course_map[[#This Row],[course_id]],course_data[course_id],course_data[title],"")</f>
        <v>Manual and Patient Handling Competency Assessment Theory - Level 3</v>
      </c>
      <c r="E3680" s="5" t="str">
        <f>_xlfn.XLOOKUP(role_course_map[[#This Row],[course_id]],course_data[course_id],course_data[topic],"")</f>
        <v>SAS : Clinical Practice</v>
      </c>
      <c r="F3680" s="5" t="str">
        <f>_xlfn.XLOOKUP(role_course_map[[#This Row],[course_id]],course_data[course_id],course_data[type],"")</f>
        <v>Course</v>
      </c>
      <c r="K3680" t="str">
        <f>role_course_map[[#This Row],[role_id]] &amp; "|" &amp; role_course_map[[#This Row],[course_id]]</f>
        <v>R0091|999029</v>
      </c>
      <c r="L3680" t="str">
        <f>IF(COUNTIF(role_course_map[mapping_key],role_course_map[[#This Row],[mapping_key]])&gt;1,"DUPLICATE","OK")</f>
        <v>OK</v>
      </c>
      <c r="M3680" t="str">
        <f>IF(COUNTIF(role_data[role_id],role_course_map[[#This Row],[role_id]])=0, "INVALID","VALID")</f>
        <v>VALID</v>
      </c>
      <c r="N3680" t="str">
        <f>IF(COUNTIF(course_data[course_id],role_course_map[[#This Row],[course_id]])=0, "INVALID","VALID")</f>
        <v>VALID</v>
      </c>
    </row>
    <row r="3681" spans="1:14" x14ac:dyDescent="0.35">
      <c r="A3681" t="s">
        <v>195</v>
      </c>
      <c r="B3681" s="5" t="str">
        <f>_xlfn.XLOOKUP(role_course_map[[#This Row],[role_id]], role_data[role_id], role_data[Role],"")</f>
        <v>Clinical Effectiveness Lead</v>
      </c>
      <c r="C3681" t="s">
        <v>659</v>
      </c>
      <c r="D3681" s="5" t="str">
        <f>_xlfn.XLOOKUP(role_course_map[[#This Row],[course_id]],course_data[course_id],course_data[title],"")</f>
        <v>Prevention and Management of Violence and Aggression - Breakaway training Level 2 /Restrictive movement Level 3</v>
      </c>
      <c r="E3681" s="5" t="str">
        <f>_xlfn.XLOOKUP(role_course_map[[#This Row],[course_id]],course_data[course_id],course_data[topic],"")</f>
        <v>SAS : Health and Safety</v>
      </c>
      <c r="F3681" s="5" t="str">
        <f>_xlfn.XLOOKUP(role_course_map[[#This Row],[course_id]],course_data[course_id],course_data[type],"")</f>
        <v>Course</v>
      </c>
      <c r="K3681" t="str">
        <f>role_course_map[[#This Row],[role_id]] &amp; "|" &amp; role_course_map[[#This Row],[course_id]]</f>
        <v>R0091|2025-6 edition</v>
      </c>
      <c r="L3681" t="str">
        <f>IF(COUNTIF(role_course_map[mapping_key],role_course_map[[#This Row],[mapping_key]])&gt;1,"DUPLICATE","OK")</f>
        <v>OK</v>
      </c>
      <c r="M3681" t="str">
        <f>IF(COUNTIF(role_data[role_id],role_course_map[[#This Row],[role_id]])=0, "INVALID","VALID")</f>
        <v>VALID</v>
      </c>
      <c r="N3681" t="str">
        <f>IF(COUNTIF(course_data[course_id],role_course_map[[#This Row],[course_id]])=0, "INVALID","VALID")</f>
        <v>VALID</v>
      </c>
    </row>
    <row r="3682" spans="1:14" x14ac:dyDescent="0.35">
      <c r="A3682" t="s">
        <v>195</v>
      </c>
      <c r="B3682" s="5" t="str">
        <f>_xlfn.XLOOKUP(role_course_map[[#This Row],[role_id]], role_data[role_id], role_data[Role],"")</f>
        <v>Clinical Effectiveness Lead</v>
      </c>
      <c r="C3682">
        <v>999055</v>
      </c>
      <c r="D3682" s="5" t="str">
        <f>_xlfn.XLOOKUP(role_course_map[[#This Row],[course_id]],course_data[course_id],course_data[title],"")</f>
        <v>Prevention and Management of Violence and Aggression - Refresher</v>
      </c>
      <c r="E3682" s="5" t="str">
        <f>_xlfn.XLOOKUP(role_course_map[[#This Row],[course_id]],course_data[course_id],course_data[topic],"")</f>
        <v>SAS : Health and Safety</v>
      </c>
      <c r="F3682" s="5" t="str">
        <f>_xlfn.XLOOKUP(role_course_map[[#This Row],[course_id]],course_data[course_id],course_data[type],"")</f>
        <v>Course</v>
      </c>
      <c r="K3682" t="str">
        <f>role_course_map[[#This Row],[role_id]] &amp; "|" &amp; role_course_map[[#This Row],[course_id]]</f>
        <v>R0091|999055</v>
      </c>
      <c r="L3682" t="str">
        <f>IF(COUNTIF(role_course_map[mapping_key],role_course_map[[#This Row],[mapping_key]])&gt;1,"DUPLICATE","OK")</f>
        <v>OK</v>
      </c>
      <c r="M3682" t="str">
        <f>IF(COUNTIF(role_data[role_id],role_course_map[[#This Row],[role_id]])=0, "INVALID","VALID")</f>
        <v>VALID</v>
      </c>
      <c r="N3682" t="str">
        <f>IF(COUNTIF(course_data[course_id],role_course_map[[#This Row],[course_id]])=0, "INVALID","VALID")</f>
        <v>VALID</v>
      </c>
    </row>
    <row r="3683" spans="1:14" x14ac:dyDescent="0.35">
      <c r="A3683" t="s">
        <v>195</v>
      </c>
      <c r="B3683" s="5" t="str">
        <f>_xlfn.XLOOKUP(role_course_map[[#This Row],[role_id]], role_data[role_id], role_data[Role],"")</f>
        <v>Clinical Effectiveness Lead</v>
      </c>
      <c r="C3683">
        <v>64322</v>
      </c>
      <c r="D3683" s="5" t="str">
        <f>_xlfn.XLOOKUP(role_course_map[[#This Row],[course_id]],course_data[course_id],course_data[title],"")</f>
        <v>Adult support and protection: practice level 2 [skilled]</v>
      </c>
      <c r="E3683" s="5" t="str">
        <f>_xlfn.XLOOKUP(role_course_map[[#This Row],[course_id]],course_data[course_id],course_data[topic],"")</f>
        <v>SAS : Public Protection</v>
      </c>
      <c r="F3683" s="5" t="str">
        <f>_xlfn.XLOOKUP(role_course_map[[#This Row],[course_id]],course_data[course_id],course_data[type],"")</f>
        <v>eLearning</v>
      </c>
      <c r="K3683" t="str">
        <f>role_course_map[[#This Row],[role_id]] &amp; "|" &amp; role_course_map[[#This Row],[course_id]]</f>
        <v>R0091|64322</v>
      </c>
      <c r="L3683" t="str">
        <f>IF(COUNTIF(role_course_map[mapping_key],role_course_map[[#This Row],[mapping_key]])&gt;1,"DUPLICATE","OK")</f>
        <v>OK</v>
      </c>
      <c r="M3683" t="str">
        <f>IF(COUNTIF(role_data[role_id],role_course_map[[#This Row],[role_id]])=0, "INVALID","VALID")</f>
        <v>VALID</v>
      </c>
      <c r="N3683" t="str">
        <f>IF(COUNTIF(course_data[course_id],role_course_map[[#This Row],[course_id]])=0, "INVALID","VALID")</f>
        <v>VALID</v>
      </c>
    </row>
    <row r="3684" spans="1:14" x14ac:dyDescent="0.35">
      <c r="A3684" t="s">
        <v>195</v>
      </c>
      <c r="B3684" s="5" t="str">
        <f>_xlfn.XLOOKUP(role_course_map[[#This Row],[role_id]], role_data[role_id], role_data[Role],"")</f>
        <v>Clinical Effectiveness Lead</v>
      </c>
      <c r="C3684">
        <v>64324</v>
      </c>
      <c r="D3684" s="5" t="str">
        <f>_xlfn.XLOOKUP(role_course_map[[#This Row],[course_id]],course_data[course_id],course_data[title],"")</f>
        <v>Child protection: practice level 2 [skilled]</v>
      </c>
      <c r="E3684" s="5" t="str">
        <f>_xlfn.XLOOKUP(role_course_map[[#This Row],[course_id]],course_data[course_id],course_data[topic],"")</f>
        <v>SAS : Public Protection</v>
      </c>
      <c r="F3684" s="5" t="str">
        <f>_xlfn.XLOOKUP(role_course_map[[#This Row],[course_id]],course_data[course_id],course_data[type],"")</f>
        <v>eLearning</v>
      </c>
      <c r="K3684" t="str">
        <f>role_course_map[[#This Row],[role_id]] &amp; "|" &amp; role_course_map[[#This Row],[course_id]]</f>
        <v>R0091|64324</v>
      </c>
      <c r="L3684" t="str">
        <f>IF(COUNTIF(role_course_map[mapping_key],role_course_map[[#This Row],[mapping_key]])&gt;1,"DUPLICATE","OK")</f>
        <v>OK</v>
      </c>
      <c r="M3684" t="str">
        <f>IF(COUNTIF(role_data[role_id],role_course_map[[#This Row],[role_id]])=0, "INVALID","VALID")</f>
        <v>VALID</v>
      </c>
      <c r="N3684" t="str">
        <f>IF(COUNTIF(course_data[course_id],role_course_map[[#This Row],[course_id]])=0, "INVALID","VALID")</f>
        <v>VALID</v>
      </c>
    </row>
    <row r="3685" spans="1:14" x14ac:dyDescent="0.35">
      <c r="A3685" t="s">
        <v>195</v>
      </c>
      <c r="B3685" s="5" t="str">
        <f>_xlfn.XLOOKUP(role_course_map[[#This Row],[role_id]], role_data[role_id], role_data[Role],"")</f>
        <v>Clinical Effectiveness Lead</v>
      </c>
      <c r="C3685">
        <v>76716</v>
      </c>
      <c r="D3685" s="5" t="str">
        <f>_xlfn.XLOOKUP(role_course_map[[#This Row],[course_id]],course_data[course_id],course_data[title],"")</f>
        <v>Domestic abuse awareness training tool (DAART)</v>
      </c>
      <c r="E3685" s="5" t="str">
        <f>_xlfn.XLOOKUP(role_course_map[[#This Row],[course_id]],course_data[course_id],course_data[topic],"")</f>
        <v>SAS : Public Protection</v>
      </c>
      <c r="F3685" s="5" t="str">
        <f>_xlfn.XLOOKUP(role_course_map[[#This Row],[course_id]],course_data[course_id],course_data[type],"")</f>
        <v>eLearning</v>
      </c>
      <c r="K3685" t="str">
        <f>role_course_map[[#This Row],[role_id]] &amp; "|" &amp; role_course_map[[#This Row],[course_id]]</f>
        <v>R0091|76716</v>
      </c>
      <c r="L3685" t="str">
        <f>IF(COUNTIF(role_course_map[mapping_key],role_course_map[[#This Row],[mapping_key]])&gt;1,"DUPLICATE","OK")</f>
        <v>OK</v>
      </c>
      <c r="M3685" t="str">
        <f>IF(COUNTIF(role_data[role_id],role_course_map[[#This Row],[role_id]])=0, "INVALID","VALID")</f>
        <v>VALID</v>
      </c>
      <c r="N3685" t="str">
        <f>IF(COUNTIF(course_data[course_id],role_course_map[[#This Row],[course_id]])=0, "INVALID","VALID")</f>
        <v>VALID</v>
      </c>
    </row>
    <row r="3686" spans="1:14" x14ac:dyDescent="0.35">
      <c r="A3686" t="s">
        <v>195</v>
      </c>
      <c r="B3686" s="5" t="str">
        <f>_xlfn.XLOOKUP(role_course_map[[#This Row],[role_id]], role_data[role_id], role_data[Role],"")</f>
        <v>Clinical Effectiveness Lead</v>
      </c>
      <c r="C3686">
        <v>79666</v>
      </c>
      <c r="D3686" s="5" t="str">
        <f>_xlfn.XLOOKUP(role_course_map[[#This Row],[course_id]],course_data[course_id],course_data[title],"")</f>
        <v>Getting it right for every child (GIRFEC): informed level</v>
      </c>
      <c r="E3686" s="5" t="str">
        <f>_xlfn.XLOOKUP(role_course_map[[#This Row],[course_id]],course_data[course_id],course_data[topic],"")</f>
        <v>SAS : Public Protection</v>
      </c>
      <c r="F3686" s="5" t="str">
        <f>_xlfn.XLOOKUP(role_course_map[[#This Row],[course_id]],course_data[course_id],course_data[type],"")</f>
        <v>eLearning</v>
      </c>
      <c r="K3686" t="str">
        <f>role_course_map[[#This Row],[role_id]] &amp; "|" &amp; role_course_map[[#This Row],[course_id]]</f>
        <v>R0091|79666</v>
      </c>
      <c r="L3686" t="str">
        <f>IF(COUNTIF(role_course_map[mapping_key],role_course_map[[#This Row],[mapping_key]])&gt;1,"DUPLICATE","OK")</f>
        <v>OK</v>
      </c>
      <c r="M3686" t="str">
        <f>IF(COUNTIF(role_data[role_id],role_course_map[[#This Row],[role_id]])=0, "INVALID","VALID")</f>
        <v>VALID</v>
      </c>
      <c r="N3686" t="str">
        <f>IF(COUNTIF(course_data[course_id],role_course_map[[#This Row],[course_id]])=0, "INVALID","VALID")</f>
        <v>VALID</v>
      </c>
    </row>
    <row r="3687" spans="1:14" x14ac:dyDescent="0.35">
      <c r="A3687" t="s">
        <v>195</v>
      </c>
      <c r="B3687" s="5" t="str">
        <f>_xlfn.XLOOKUP(role_course_map[[#This Row],[role_id]], role_data[role_id], role_data[Role],"")</f>
        <v>Clinical Effectiveness Lead</v>
      </c>
      <c r="C3687">
        <v>999074</v>
      </c>
      <c r="D3687" s="5" t="str">
        <f>_xlfn.XLOOKUP(role_course_map[[#This Row],[course_id]],course_data[course_id],course_data[title],"")</f>
        <v>SAS-specific Children’s rights</v>
      </c>
      <c r="E3687" s="5" t="str">
        <f>_xlfn.XLOOKUP(role_course_map[[#This Row],[course_id]],course_data[course_id],course_data[topic],"")</f>
        <v>SAS : Public Protection</v>
      </c>
      <c r="F3687" s="5" t="str">
        <f>_xlfn.XLOOKUP(role_course_map[[#This Row],[course_id]],course_data[course_id],course_data[type],"")</f>
        <v>eLearning</v>
      </c>
      <c r="K3687" t="str">
        <f>role_course_map[[#This Row],[role_id]] &amp; "|" &amp; role_course_map[[#This Row],[course_id]]</f>
        <v>R0091|999074</v>
      </c>
      <c r="L3687" t="str">
        <f>IF(COUNTIF(role_course_map[mapping_key],role_course_map[[#This Row],[mapping_key]])&gt;1,"DUPLICATE","OK")</f>
        <v>OK</v>
      </c>
      <c r="M3687" t="str">
        <f>IF(COUNTIF(role_data[role_id],role_course_map[[#This Row],[role_id]])=0, "INVALID","VALID")</f>
        <v>VALID</v>
      </c>
      <c r="N3687" t="str">
        <f>IF(COUNTIF(course_data[course_id],role_course_map[[#This Row],[course_id]])=0, "INVALID","VALID")</f>
        <v>VALID</v>
      </c>
    </row>
    <row r="3688" spans="1:14" x14ac:dyDescent="0.35">
      <c r="A3688" t="s">
        <v>195</v>
      </c>
      <c r="B3688" s="5" t="str">
        <f>_xlfn.XLOOKUP(role_course_map[[#This Row],[role_id]], role_data[role_id], role_data[Role],"")</f>
        <v>Clinical Effectiveness Lead</v>
      </c>
      <c r="C3688">
        <v>999075</v>
      </c>
      <c r="D3688" s="5" t="str">
        <f>_xlfn.XLOOKUP(role_course_map[[#This Row],[course_id]],course_data[course_id],course_data[title],"")</f>
        <v>Multiagency local or bespoke Level 3 delivery training</v>
      </c>
      <c r="E3688" s="5" t="str">
        <f>_xlfn.XLOOKUP(role_course_map[[#This Row],[course_id]],course_data[course_id],course_data[topic],"")</f>
        <v>SAS : Public Protection</v>
      </c>
      <c r="F3688" s="5" t="str">
        <f>_xlfn.XLOOKUP(role_course_map[[#This Row],[course_id]],course_data[course_id],course_data[type],"")</f>
        <v>eLearning</v>
      </c>
      <c r="K3688" t="str">
        <f>role_course_map[[#This Row],[role_id]] &amp; "|" &amp; role_course_map[[#This Row],[course_id]]</f>
        <v>R0091|999075</v>
      </c>
      <c r="L3688" t="str">
        <f>IF(COUNTIF(role_course_map[mapping_key],role_course_map[[#This Row],[mapping_key]])&gt;1,"DUPLICATE","OK")</f>
        <v>OK</v>
      </c>
      <c r="M3688" t="str">
        <f>IF(COUNTIF(role_data[role_id],role_course_map[[#This Row],[role_id]])=0, "INVALID","VALID")</f>
        <v>VALID</v>
      </c>
      <c r="N3688" t="str">
        <f>IF(COUNTIF(course_data[course_id],role_course_map[[#This Row],[course_id]])=0, "INVALID","VALID")</f>
        <v>VALID</v>
      </c>
    </row>
    <row r="3689" spans="1:14" x14ac:dyDescent="0.35">
      <c r="A3689" t="s">
        <v>195</v>
      </c>
      <c r="B3689" s="5" t="str">
        <f>_xlfn.XLOOKUP(role_course_map[[#This Row],[role_id]], role_data[role_id], role_data[Role],"")</f>
        <v>Clinical Effectiveness Lead</v>
      </c>
      <c r="C3689">
        <v>15249</v>
      </c>
      <c r="D3689" s="5" t="str">
        <f>_xlfn.XLOOKUP(role_course_map[[#This Row],[course_id]],course_data[course_id],course_data[title],"")</f>
        <v>Human trafficking</v>
      </c>
      <c r="E3689" s="5" t="str">
        <f>_xlfn.XLOOKUP(role_course_map[[#This Row],[course_id]],course_data[course_id],course_data[topic],"")</f>
        <v>SAS : Public Protection</v>
      </c>
      <c r="F3689" s="5" t="str">
        <f>_xlfn.XLOOKUP(role_course_map[[#This Row],[course_id]],course_data[course_id],course_data[type],"")</f>
        <v>eLearning</v>
      </c>
      <c r="K3689" t="str">
        <f>role_course_map[[#This Row],[role_id]] &amp; "|" &amp; role_course_map[[#This Row],[course_id]]</f>
        <v>R0091|15249</v>
      </c>
      <c r="L3689" t="str">
        <f>IF(COUNTIF(role_course_map[mapping_key],role_course_map[[#This Row],[mapping_key]])&gt;1,"DUPLICATE","OK")</f>
        <v>OK</v>
      </c>
      <c r="M3689" t="str">
        <f>IF(COUNTIF(role_data[role_id],role_course_map[[#This Row],[role_id]])=0, "INVALID","VALID")</f>
        <v>VALID</v>
      </c>
      <c r="N3689" t="str">
        <f>IF(COUNTIF(course_data[course_id],role_course_map[[#This Row],[course_id]])=0, "INVALID","VALID")</f>
        <v>VALID</v>
      </c>
    </row>
    <row r="3690" spans="1:14" x14ac:dyDescent="0.35">
      <c r="A3690" t="s">
        <v>195</v>
      </c>
      <c r="B3690" s="5" t="str">
        <f>_xlfn.XLOOKUP(role_course_map[[#This Row],[role_id]], role_data[role_id], role_data[Role],"")</f>
        <v>Clinical Effectiveness Lead</v>
      </c>
      <c r="C3690">
        <v>89161</v>
      </c>
      <c r="D3690" s="5" t="str">
        <f>_xlfn.XLOOKUP(role_course_map[[#This Row],[course_id]],course_data[course_id],course_data[title],"")</f>
        <v>Personal Protective Equipment</v>
      </c>
      <c r="E3690" s="5" t="str">
        <f>_xlfn.XLOOKUP(role_course_map[[#This Row],[course_id]],course_data[course_id],course_data[topic],"")</f>
        <v>SAS : Infection Prevention and Control (IPC)</v>
      </c>
      <c r="F3690" s="5" t="str">
        <f>_xlfn.XLOOKUP(role_course_map[[#This Row],[course_id]],course_data[course_id],course_data[type],"")</f>
        <v>eLearning</v>
      </c>
      <c r="K3690" t="str">
        <f>role_course_map[[#This Row],[role_id]] &amp; "|" &amp; role_course_map[[#This Row],[course_id]]</f>
        <v>R0091|89161</v>
      </c>
      <c r="L3690" t="str">
        <f>IF(COUNTIF(role_course_map[mapping_key],role_course_map[[#This Row],[mapping_key]])&gt;1,"DUPLICATE","OK")</f>
        <v>OK</v>
      </c>
      <c r="M3690" t="str">
        <f>IF(COUNTIF(role_data[role_id],role_course_map[[#This Row],[role_id]])=0, "INVALID","VALID")</f>
        <v>VALID</v>
      </c>
      <c r="N3690" t="str">
        <f>IF(COUNTIF(course_data[course_id],role_course_map[[#This Row],[course_id]])=0, "INVALID","VALID")</f>
        <v>VALID</v>
      </c>
    </row>
    <row r="3691" spans="1:14" x14ac:dyDescent="0.35">
      <c r="A3691" t="s">
        <v>195</v>
      </c>
      <c r="B3691" s="5" t="str">
        <f>_xlfn.XLOOKUP(role_course_map[[#This Row],[role_id]], role_data[role_id], role_data[Role],"")</f>
        <v>Clinical Effectiveness Lead</v>
      </c>
      <c r="C3691">
        <v>89157</v>
      </c>
      <c r="D3691" s="5" t="str">
        <f>_xlfn.XLOOKUP(role_course_map[[#This Row],[course_id]],course_data[course_id],course_data[title],"")</f>
        <v>Safe Management of Care Equipment</v>
      </c>
      <c r="E3691" s="5" t="str">
        <f>_xlfn.XLOOKUP(role_course_map[[#This Row],[course_id]],course_data[course_id],course_data[topic],"")</f>
        <v>SAS : Infection Prevention and Control (IPC)</v>
      </c>
      <c r="F3691" s="5" t="str">
        <f>_xlfn.XLOOKUP(role_course_map[[#This Row],[course_id]],course_data[course_id],course_data[type],"")</f>
        <v>eLearning</v>
      </c>
      <c r="K3691" t="str">
        <f>role_course_map[[#This Row],[role_id]] &amp; "|" &amp; role_course_map[[#This Row],[course_id]]</f>
        <v>R0091|89157</v>
      </c>
      <c r="L3691" t="str">
        <f>IF(COUNTIF(role_course_map[mapping_key],role_course_map[[#This Row],[mapping_key]])&gt;1,"DUPLICATE","OK")</f>
        <v>OK</v>
      </c>
      <c r="M3691" t="str">
        <f>IF(COUNTIF(role_data[role_id],role_course_map[[#This Row],[role_id]])=0, "INVALID","VALID")</f>
        <v>VALID</v>
      </c>
      <c r="N3691" t="str">
        <f>IF(COUNTIF(course_data[course_id],role_course_map[[#This Row],[course_id]])=0, "INVALID","VALID")</f>
        <v>VALID</v>
      </c>
    </row>
    <row r="3692" spans="1:14" x14ac:dyDescent="0.35">
      <c r="A3692" t="s">
        <v>195</v>
      </c>
      <c r="B3692" s="5" t="str">
        <f>_xlfn.XLOOKUP(role_course_map[[#This Row],[role_id]], role_data[role_id], role_data[Role],"")</f>
        <v>Clinical Effectiveness Lead</v>
      </c>
      <c r="C3692">
        <v>89158</v>
      </c>
      <c r="D3692" s="5" t="str">
        <f>_xlfn.XLOOKUP(role_course_map[[#This Row],[course_id]],course_data[course_id],course_data[title],"")</f>
        <v>Safe Management of Care Environment</v>
      </c>
      <c r="E3692" s="5" t="str">
        <f>_xlfn.XLOOKUP(role_course_map[[#This Row],[course_id]],course_data[course_id],course_data[topic],"")</f>
        <v>SAS : Infection Prevention and Control (IPC)</v>
      </c>
      <c r="F3692" s="5" t="str">
        <f>_xlfn.XLOOKUP(role_course_map[[#This Row],[course_id]],course_data[course_id],course_data[type],"")</f>
        <v>eLearning</v>
      </c>
      <c r="K3692" t="str">
        <f>role_course_map[[#This Row],[role_id]] &amp; "|" &amp; role_course_map[[#This Row],[course_id]]</f>
        <v>R0091|89158</v>
      </c>
      <c r="L3692" t="str">
        <f>IF(COUNTIF(role_course_map[mapping_key],role_course_map[[#This Row],[mapping_key]])&gt;1,"DUPLICATE","OK")</f>
        <v>OK</v>
      </c>
      <c r="M3692" t="str">
        <f>IF(COUNTIF(role_data[role_id],role_course_map[[#This Row],[role_id]])=0, "INVALID","VALID")</f>
        <v>VALID</v>
      </c>
      <c r="N3692" t="str">
        <f>IF(COUNTIF(course_data[course_id],role_course_map[[#This Row],[course_id]])=0, "INVALID","VALID")</f>
        <v>VALID</v>
      </c>
    </row>
    <row r="3693" spans="1:14" x14ac:dyDescent="0.35">
      <c r="A3693" t="s">
        <v>195</v>
      </c>
      <c r="B3693" s="5" t="str">
        <f>_xlfn.XLOOKUP(role_course_map[[#This Row],[role_id]], role_data[role_id], role_data[Role],"")</f>
        <v>Clinical Effectiveness Lead</v>
      </c>
      <c r="C3693">
        <v>89159</v>
      </c>
      <c r="D3693" s="5" t="str">
        <f>_xlfn.XLOOKUP(role_course_map[[#This Row],[course_id]],course_data[course_id],course_data[title],"")</f>
        <v>Safe Management of Linen</v>
      </c>
      <c r="E3693" s="5" t="str">
        <f>_xlfn.XLOOKUP(role_course_map[[#This Row],[course_id]],course_data[course_id],course_data[topic],"")</f>
        <v>SAS : Infection Prevention and Control (IPC)</v>
      </c>
      <c r="F3693" s="5" t="str">
        <f>_xlfn.XLOOKUP(role_course_map[[#This Row],[course_id]],course_data[course_id],course_data[type],"")</f>
        <v>eLearning</v>
      </c>
      <c r="K3693" t="str">
        <f>role_course_map[[#This Row],[role_id]] &amp; "|" &amp; role_course_map[[#This Row],[course_id]]</f>
        <v>R0091|89159</v>
      </c>
      <c r="L3693" t="str">
        <f>IF(COUNTIF(role_course_map[mapping_key],role_course_map[[#This Row],[mapping_key]])&gt;1,"DUPLICATE","OK")</f>
        <v>OK</v>
      </c>
      <c r="M3693" t="str">
        <f>IF(COUNTIF(role_data[role_id],role_course_map[[#This Row],[role_id]])=0, "INVALID","VALID")</f>
        <v>VALID</v>
      </c>
      <c r="N3693" t="str">
        <f>IF(COUNTIF(course_data[course_id],role_course_map[[#This Row],[course_id]])=0, "INVALID","VALID")</f>
        <v>VALID</v>
      </c>
    </row>
    <row r="3694" spans="1:14" x14ac:dyDescent="0.35">
      <c r="A3694" t="s">
        <v>195</v>
      </c>
      <c r="B3694" s="5" t="str">
        <f>_xlfn.XLOOKUP(role_course_map[[#This Row],[role_id]], role_data[role_id], role_data[Role],"")</f>
        <v>Clinical Effectiveness Lead</v>
      </c>
      <c r="C3694">
        <v>89160</v>
      </c>
      <c r="D3694" s="5" t="str">
        <f>_xlfn.XLOOKUP(role_course_map[[#This Row],[course_id]],course_data[course_id],course_data[title],"")</f>
        <v>Safe Management of blood and body fluids</v>
      </c>
      <c r="E3694" s="5" t="str">
        <f>_xlfn.XLOOKUP(role_course_map[[#This Row],[course_id]],course_data[course_id],course_data[topic],"")</f>
        <v>SAS : Infection Prevention and Control (IPC)</v>
      </c>
      <c r="F3694" s="5" t="str">
        <f>_xlfn.XLOOKUP(role_course_map[[#This Row],[course_id]],course_data[course_id],course_data[type],"")</f>
        <v>eLearning</v>
      </c>
      <c r="K3694" t="str">
        <f>role_course_map[[#This Row],[role_id]] &amp; "|" &amp; role_course_map[[#This Row],[course_id]]</f>
        <v>R0091|89160</v>
      </c>
      <c r="L3694" t="str">
        <f>IF(COUNTIF(role_course_map[mapping_key],role_course_map[[#This Row],[mapping_key]])&gt;1,"DUPLICATE","OK")</f>
        <v>OK</v>
      </c>
      <c r="M3694" t="str">
        <f>IF(COUNTIF(role_data[role_id],role_course_map[[#This Row],[role_id]])=0, "INVALID","VALID")</f>
        <v>VALID</v>
      </c>
      <c r="N3694" t="str">
        <f>IF(COUNTIF(course_data[course_id],role_course_map[[#This Row],[course_id]])=0, "INVALID","VALID")</f>
        <v>VALID</v>
      </c>
    </row>
    <row r="3695" spans="1:14" x14ac:dyDescent="0.35">
      <c r="A3695" t="s">
        <v>195</v>
      </c>
      <c r="B3695" s="5" t="str">
        <f>_xlfn.XLOOKUP(role_course_map[[#This Row],[role_id]], role_data[role_id], role_data[Role],"")</f>
        <v>Clinical Effectiveness Lead</v>
      </c>
      <c r="C3695">
        <v>89154</v>
      </c>
      <c r="D3695" s="5" t="str">
        <f>_xlfn.XLOOKUP(role_course_map[[#This Row],[course_id]],course_data[course_id],course_data[title],"")</f>
        <v>Safe disposal of waste</v>
      </c>
      <c r="E3695" s="5" t="str">
        <f>_xlfn.XLOOKUP(role_course_map[[#This Row],[course_id]],course_data[course_id],course_data[topic],"")</f>
        <v>SAS : Infection Prevention and Control (IPC)</v>
      </c>
      <c r="F3695" s="5" t="str">
        <f>_xlfn.XLOOKUP(role_course_map[[#This Row],[course_id]],course_data[course_id],course_data[type],"")</f>
        <v>eLearning</v>
      </c>
      <c r="K3695" t="str">
        <f>role_course_map[[#This Row],[role_id]] &amp; "|" &amp; role_course_map[[#This Row],[course_id]]</f>
        <v>R0091|89154</v>
      </c>
      <c r="L3695" t="str">
        <f>IF(COUNTIF(role_course_map[mapping_key],role_course_map[[#This Row],[mapping_key]])&gt;1,"DUPLICATE","OK")</f>
        <v>OK</v>
      </c>
      <c r="M3695" t="str">
        <f>IF(COUNTIF(role_data[role_id],role_course_map[[#This Row],[role_id]])=0, "INVALID","VALID")</f>
        <v>VALID</v>
      </c>
      <c r="N3695" t="str">
        <f>IF(COUNTIF(course_data[course_id],role_course_map[[#This Row],[course_id]])=0, "INVALID","VALID")</f>
        <v>VALID</v>
      </c>
    </row>
    <row r="3696" spans="1:14" x14ac:dyDescent="0.35">
      <c r="A3696" t="s">
        <v>195</v>
      </c>
      <c r="B3696" s="5" t="str">
        <f>_xlfn.XLOOKUP(role_course_map[[#This Row],[role_id]], role_data[role_id], role_data[Role],"")</f>
        <v>Clinical Effectiveness Lead</v>
      </c>
      <c r="C3696">
        <v>89155</v>
      </c>
      <c r="D3696" s="5" t="str">
        <f>_xlfn.XLOOKUP(role_course_map[[#This Row],[course_id]],course_data[course_id],course_data[title],"")</f>
        <v>Prevention &amp; management of occupational exposure</v>
      </c>
      <c r="E3696" s="5" t="str">
        <f>_xlfn.XLOOKUP(role_course_map[[#This Row],[course_id]],course_data[course_id],course_data[topic],"")</f>
        <v>SAS : Infection Prevention and Control (IPC)</v>
      </c>
      <c r="F3696" s="5" t="str">
        <f>_xlfn.XLOOKUP(role_course_map[[#This Row],[course_id]],course_data[course_id],course_data[type],"")</f>
        <v>eLearning</v>
      </c>
      <c r="K3696" t="str">
        <f>role_course_map[[#This Row],[role_id]] &amp; "|" &amp; role_course_map[[#This Row],[course_id]]</f>
        <v>R0091|89155</v>
      </c>
      <c r="L3696" t="str">
        <f>IF(COUNTIF(role_course_map[mapping_key],role_course_map[[#This Row],[mapping_key]])&gt;1,"DUPLICATE","OK")</f>
        <v>OK</v>
      </c>
      <c r="M3696" t="str">
        <f>IF(COUNTIF(role_data[role_id],role_course_map[[#This Row],[role_id]])=0, "INVALID","VALID")</f>
        <v>VALID</v>
      </c>
      <c r="N3696" t="str">
        <f>IF(COUNTIF(course_data[course_id],role_course_map[[#This Row],[course_id]])=0, "INVALID","VALID")</f>
        <v>VALID</v>
      </c>
    </row>
    <row r="3697" spans="1:14" x14ac:dyDescent="0.35">
      <c r="A3697" t="s">
        <v>195</v>
      </c>
      <c r="B3697" s="5" t="str">
        <f>_xlfn.XLOOKUP(role_course_map[[#This Row],[role_id]], role_data[role_id], role_data[Role],"")</f>
        <v>Clinical Effectiveness Lead</v>
      </c>
      <c r="C3697">
        <v>999064</v>
      </c>
      <c r="D3697" s="5" t="str">
        <f>_xlfn.XLOOKUP(role_course_map[[#This Row],[course_id]],course_data[course_id],course_data[title],"")</f>
        <v>Infection prevention and control: Clostridioides difficile infection</v>
      </c>
      <c r="E3697" s="5" t="str">
        <f>_xlfn.XLOOKUP(role_course_map[[#This Row],[course_id]],course_data[course_id],course_data[topic],"")</f>
        <v>SAS : Infection Prevention and Control (IPC)</v>
      </c>
      <c r="F3697" s="5" t="str">
        <f>_xlfn.XLOOKUP(role_course_map[[#This Row],[course_id]],course_data[course_id],course_data[type],"")</f>
        <v>eLearning</v>
      </c>
      <c r="K3697" t="str">
        <f>role_course_map[[#This Row],[role_id]] &amp; "|" &amp; role_course_map[[#This Row],[course_id]]</f>
        <v>R0091|999064</v>
      </c>
      <c r="L3697" t="str">
        <f>IF(COUNTIF(role_course_map[mapping_key],role_course_map[[#This Row],[mapping_key]])&gt;1,"DUPLICATE","OK")</f>
        <v>OK</v>
      </c>
      <c r="M3697" t="str">
        <f>IF(COUNTIF(role_data[role_id],role_course_map[[#This Row],[role_id]])=0, "INVALID","VALID")</f>
        <v>VALID</v>
      </c>
      <c r="N3697" t="str">
        <f>IF(COUNTIF(course_data[course_id],role_course_map[[#This Row],[course_id]])=0, "INVALID","VALID")</f>
        <v>VALID</v>
      </c>
    </row>
    <row r="3698" spans="1:14" x14ac:dyDescent="0.35">
      <c r="A3698" t="s">
        <v>195</v>
      </c>
      <c r="B3698" s="5" t="str">
        <f>_xlfn.XLOOKUP(role_course_map[[#This Row],[role_id]], role_data[role_id], role_data[Role],"")</f>
        <v>Clinical Effectiveness Lead</v>
      </c>
      <c r="C3698">
        <v>3588</v>
      </c>
      <c r="D3698" s="5" t="str">
        <f>_xlfn.XLOOKUP(role_course_map[[#This Row],[course_id]],course_data[course_id],course_data[title],"")</f>
        <v>Antibiotic management</v>
      </c>
      <c r="E3698" s="5" t="str">
        <f>_xlfn.XLOOKUP(role_course_map[[#This Row],[course_id]],course_data[course_id],course_data[topic],"")</f>
        <v>SAS : Clinical Practice</v>
      </c>
      <c r="F3698" s="5" t="str">
        <f>_xlfn.XLOOKUP(role_course_map[[#This Row],[course_id]],course_data[course_id],course_data[type],"")</f>
        <v>Page</v>
      </c>
      <c r="K3698" t="str">
        <f>role_course_map[[#This Row],[role_id]] &amp; "|" &amp; role_course_map[[#This Row],[course_id]]</f>
        <v>R0091|3588</v>
      </c>
      <c r="L3698" t="str">
        <f>IF(COUNTIF(role_course_map[mapping_key],role_course_map[[#This Row],[mapping_key]])&gt;1,"DUPLICATE","OK")</f>
        <v>OK</v>
      </c>
      <c r="M3698" t="str">
        <f>IF(COUNTIF(role_data[role_id],role_course_map[[#This Row],[role_id]])=0, "INVALID","VALID")</f>
        <v>VALID</v>
      </c>
      <c r="N3698" t="str">
        <f>IF(COUNTIF(course_data[course_id],role_course_map[[#This Row],[course_id]])=0, "INVALID","VALID")</f>
        <v>VALID</v>
      </c>
    </row>
    <row r="3699" spans="1:14" x14ac:dyDescent="0.35">
      <c r="A3699" t="s">
        <v>195</v>
      </c>
      <c r="B3699" s="5" t="str">
        <f>_xlfn.XLOOKUP(role_course_map[[#This Row],[role_id]], role_data[role_id], role_data[Role],"")</f>
        <v>Clinical Effectiveness Lead</v>
      </c>
      <c r="C3699">
        <v>82383</v>
      </c>
      <c r="D3699" s="5" t="str">
        <f>_xlfn.XLOOKUP(role_course_map[[#This Row],[course_id]],course_data[course_id],course_data[title],"")</f>
        <v>Aseptic technique</v>
      </c>
      <c r="E3699" s="5" t="str">
        <f>_xlfn.XLOOKUP(role_course_map[[#This Row],[course_id]],course_data[course_id],course_data[topic],"")</f>
        <v>SAS : Infection Prevention and Control (IPC)</v>
      </c>
      <c r="F3699" s="5" t="str">
        <f>_xlfn.XLOOKUP(role_course_map[[#This Row],[course_id]],course_data[course_id],course_data[type],"")</f>
        <v>eLearning</v>
      </c>
      <c r="K3699" t="str">
        <f>role_course_map[[#This Row],[role_id]] &amp; "|" &amp; role_course_map[[#This Row],[course_id]]</f>
        <v>R0091|82383</v>
      </c>
      <c r="L3699" t="str">
        <f>IF(COUNTIF(role_course_map[mapping_key],role_course_map[[#This Row],[mapping_key]])&gt;1,"DUPLICATE","OK")</f>
        <v>OK</v>
      </c>
      <c r="M3699" t="str">
        <f>IF(COUNTIF(role_data[role_id],role_course_map[[#This Row],[role_id]])=0, "INVALID","VALID")</f>
        <v>VALID</v>
      </c>
      <c r="N3699" t="str">
        <f>IF(COUNTIF(course_data[course_id],role_course_map[[#This Row],[course_id]])=0, "INVALID","VALID")</f>
        <v>VALID</v>
      </c>
    </row>
    <row r="3700" spans="1:14" x14ac:dyDescent="0.35">
      <c r="A3700" t="s">
        <v>195</v>
      </c>
      <c r="B3700" s="5" t="str">
        <f>_xlfn.XLOOKUP(role_course_map[[#This Row],[role_id]], role_data[role_id], role_data[Role],"")</f>
        <v>Clinical Effectiveness Lead</v>
      </c>
      <c r="C3700">
        <v>3886</v>
      </c>
      <c r="D3700" s="5" t="str">
        <f>_xlfn.XLOOKUP(role_course_map[[#This Row],[course_id]],course_data[course_id],course_data[title],"")</f>
        <v>Prevention and management of pressure ulcers</v>
      </c>
      <c r="E3700" s="5" t="str">
        <f>_xlfn.XLOOKUP(role_course_map[[#This Row],[course_id]],course_data[course_id],course_data[topic],"")</f>
        <v>SAS : Clinical Practice</v>
      </c>
      <c r="F3700" s="5" t="str">
        <f>_xlfn.XLOOKUP(role_course_map[[#This Row],[course_id]],course_data[course_id],course_data[type],"")</f>
        <v>Page</v>
      </c>
      <c r="K3700" t="str">
        <f>role_course_map[[#This Row],[role_id]] &amp; "|" &amp; role_course_map[[#This Row],[course_id]]</f>
        <v>R0091|3886</v>
      </c>
      <c r="L3700" t="str">
        <f>IF(COUNTIF(role_course_map[mapping_key],role_course_map[[#This Row],[mapping_key]])&gt;1,"DUPLICATE","OK")</f>
        <v>OK</v>
      </c>
      <c r="M3700" t="str">
        <f>IF(COUNTIF(role_data[role_id],role_course_map[[#This Row],[role_id]])=0, "INVALID","VALID")</f>
        <v>VALID</v>
      </c>
      <c r="N3700" t="str">
        <f>IF(COUNTIF(course_data[course_id],role_course_map[[#This Row],[course_id]])=0, "INVALID","VALID")</f>
        <v>VALID</v>
      </c>
    </row>
    <row r="3701" spans="1:14" x14ac:dyDescent="0.35">
      <c r="A3701" t="s">
        <v>195</v>
      </c>
      <c r="B3701" s="5" t="str">
        <f>_xlfn.XLOOKUP(role_course_map[[#This Row],[role_id]], role_data[role_id], role_data[Role],"")</f>
        <v>Clinical Effectiveness Lead</v>
      </c>
      <c r="C3701">
        <v>999094</v>
      </c>
      <c r="D3701" s="5" t="str">
        <f>_xlfn.XLOOKUP(role_course_map[[#This Row],[course_id]],course_data[course_id],course_data[title],"")</f>
        <v>Being well, Mind, Body &amp; Workplace</v>
      </c>
      <c r="E3701" s="5" t="str">
        <f>_xlfn.XLOOKUP(role_course_map[[#This Row],[course_id]],course_data[course_id],course_data[topic],"")</f>
        <v>SAS: Staff development and experience</v>
      </c>
      <c r="F3701" s="5" t="str">
        <f>_xlfn.XLOOKUP(role_course_map[[#This Row],[course_id]],course_data[course_id],course_data[type],"")</f>
        <v>eLearning</v>
      </c>
      <c r="K3701" t="str">
        <f>role_course_map[[#This Row],[role_id]] &amp; "|" &amp; role_course_map[[#This Row],[course_id]]</f>
        <v>R0091|999094</v>
      </c>
      <c r="L3701" t="str">
        <f>IF(COUNTIF(role_course_map[mapping_key],role_course_map[[#This Row],[mapping_key]])&gt;1,"DUPLICATE","OK")</f>
        <v>OK</v>
      </c>
      <c r="M3701" t="str">
        <f>IF(COUNTIF(role_data[role_id],role_course_map[[#This Row],[role_id]])=0, "INVALID","VALID")</f>
        <v>VALID</v>
      </c>
      <c r="N3701" t="str">
        <f>IF(COUNTIF(course_data[course_id],role_course_map[[#This Row],[course_id]])=0, "INVALID","VALID")</f>
        <v>VALID</v>
      </c>
    </row>
    <row r="3702" spans="1:14" x14ac:dyDescent="0.35">
      <c r="A3702" t="s">
        <v>327</v>
      </c>
      <c r="B3702" s="5" t="str">
        <f>_xlfn.XLOOKUP(role_course_map[[#This Row],[role_id]], role_data[role_id], role_data[Role],"")</f>
        <v>Clinical Training Officer</v>
      </c>
      <c r="C3702">
        <v>999058</v>
      </c>
      <c r="D3702" s="5" t="str">
        <f>_xlfn.XLOOKUP(role_course_map[[#This Row],[course_id]],course_data[course_id],course_data[title],"")</f>
        <v>Stress Identification &amp; Stress Management</v>
      </c>
      <c r="E3702" s="5" t="str">
        <f>_xlfn.XLOOKUP(role_course_map[[#This Row],[course_id]],course_data[course_id],course_data[topic],"")</f>
        <v>SAS : Health and Safety</v>
      </c>
      <c r="F3702" s="5" t="str">
        <f>_xlfn.XLOOKUP(role_course_map[[#This Row],[course_id]],course_data[course_id],course_data[type],"")</f>
        <v>eLearning</v>
      </c>
      <c r="K3702" t="str">
        <f>role_course_map[[#This Row],[role_id]] &amp; "|" &amp; role_course_map[[#This Row],[course_id]]</f>
        <v>R0157|999058</v>
      </c>
      <c r="L3702" t="str">
        <f>IF(COUNTIF(role_course_map[mapping_key],role_course_map[[#This Row],[mapping_key]])&gt;1,"DUPLICATE","OK")</f>
        <v>OK</v>
      </c>
      <c r="M3702" t="str">
        <f>IF(COUNTIF(role_data[role_id],role_course_map[[#This Row],[role_id]])=0, "INVALID","VALID")</f>
        <v>VALID</v>
      </c>
      <c r="N3702" t="str">
        <f>IF(COUNTIF(course_data[course_id],role_course_map[[#This Row],[course_id]])=0, "INVALID","VALID")</f>
        <v>VALID</v>
      </c>
    </row>
    <row r="3703" spans="1:14" x14ac:dyDescent="0.35">
      <c r="A3703" t="s">
        <v>327</v>
      </c>
      <c r="B3703" s="5" t="str">
        <f>_xlfn.XLOOKUP(role_course_map[[#This Row],[role_id]], role_data[role_id], role_data[Role],"")</f>
        <v>Clinical Training Officer</v>
      </c>
      <c r="C3703">
        <v>999056</v>
      </c>
      <c r="D3703" s="5" t="str">
        <f>_xlfn.XLOOKUP(role_course_map[[#This Row],[course_id]],course_data[course_id],course_data[title],"")</f>
        <v>Driver Assessment &amp; Training</v>
      </c>
      <c r="E3703" s="5" t="str">
        <f>_xlfn.XLOOKUP(role_course_map[[#This Row],[course_id]],course_data[course_id],course_data[topic],"")</f>
        <v>SAS : Health and Safety</v>
      </c>
      <c r="F3703" s="5" t="str">
        <f>_xlfn.XLOOKUP(role_course_map[[#This Row],[course_id]],course_data[course_id],course_data[type],"")</f>
        <v>eLearning</v>
      </c>
      <c r="K3703" t="str">
        <f>role_course_map[[#This Row],[role_id]] &amp; "|" &amp; role_course_map[[#This Row],[course_id]]</f>
        <v>R0157|999056</v>
      </c>
      <c r="L3703" t="str">
        <f>IF(COUNTIF(role_course_map[mapping_key],role_course_map[[#This Row],[mapping_key]])&gt;1,"DUPLICATE","OK")</f>
        <v>OK</v>
      </c>
      <c r="M3703" t="str">
        <f>IF(COUNTIF(role_data[role_id],role_course_map[[#This Row],[role_id]])=0, "INVALID","VALID")</f>
        <v>VALID</v>
      </c>
      <c r="N3703" t="str">
        <f>IF(COUNTIF(course_data[course_id],role_course_map[[#This Row],[course_id]])=0, "INVALID","VALID")</f>
        <v>VALID</v>
      </c>
    </row>
    <row r="3704" spans="1:14" x14ac:dyDescent="0.35">
      <c r="A3704" t="s">
        <v>327</v>
      </c>
      <c r="B3704" s="5" t="str">
        <f>_xlfn.XLOOKUP(role_course_map[[#This Row],[role_id]], role_data[role_id], role_data[Role],"")</f>
        <v>Clinical Training Officer</v>
      </c>
      <c r="C3704">
        <v>999057</v>
      </c>
      <c r="D3704" s="5" t="str">
        <f>_xlfn.XLOOKUP(role_course_map[[#This Row],[course_id]],course_data[course_id],course_data[title],"")</f>
        <v>Fatigue Awareness</v>
      </c>
      <c r="E3704" s="5" t="str">
        <f>_xlfn.XLOOKUP(role_course_map[[#This Row],[course_id]],course_data[course_id],course_data[topic],"")</f>
        <v>SAS : Health and Safety</v>
      </c>
      <c r="F3704" s="5" t="str">
        <f>_xlfn.XLOOKUP(role_course_map[[#This Row],[course_id]],course_data[course_id],course_data[type],"")</f>
        <v>eLearning</v>
      </c>
      <c r="K3704" t="str">
        <f>role_course_map[[#This Row],[role_id]] &amp; "|" &amp; role_course_map[[#This Row],[course_id]]</f>
        <v>R0157|999057</v>
      </c>
      <c r="L3704" t="str">
        <f>IF(COUNTIF(role_course_map[mapping_key],role_course_map[[#This Row],[mapping_key]])&gt;1,"DUPLICATE","OK")</f>
        <v>OK</v>
      </c>
      <c r="M3704" t="str">
        <f>IF(COUNTIF(role_data[role_id],role_course_map[[#This Row],[role_id]])=0, "INVALID","VALID")</f>
        <v>VALID</v>
      </c>
      <c r="N3704" t="str">
        <f>IF(COUNTIF(course_data[course_id],role_course_map[[#This Row],[course_id]])=0, "INVALID","VALID")</f>
        <v>VALID</v>
      </c>
    </row>
    <row r="3705" spans="1:14" x14ac:dyDescent="0.35">
      <c r="A3705" t="s">
        <v>327</v>
      </c>
      <c r="B3705" s="5" t="str">
        <f>_xlfn.XLOOKUP(role_course_map[[#This Row],[role_id]], role_data[role_id], role_data[Role],"")</f>
        <v>Clinical Training Officer</v>
      </c>
      <c r="C3705">
        <v>999061</v>
      </c>
      <c r="D3705" s="5" t="str">
        <f>_xlfn.XLOOKUP(role_course_map[[#This Row],[course_id]],course_data[course_id],course_data[title],"")</f>
        <v>Skin Awareness</v>
      </c>
      <c r="E3705" s="5" t="str">
        <f>_xlfn.XLOOKUP(role_course_map[[#This Row],[course_id]],course_data[course_id],course_data[topic],"")</f>
        <v>SAS : Health and Safety</v>
      </c>
      <c r="F3705" s="5" t="str">
        <f>_xlfn.XLOOKUP(role_course_map[[#This Row],[course_id]],course_data[course_id],course_data[type],"")</f>
        <v>eLearning</v>
      </c>
      <c r="K3705" t="str">
        <f>role_course_map[[#This Row],[role_id]] &amp; "|" &amp; role_course_map[[#This Row],[course_id]]</f>
        <v>R0157|999061</v>
      </c>
      <c r="L3705" t="str">
        <f>IF(COUNTIF(role_course_map[mapping_key],role_course_map[[#This Row],[mapping_key]])&gt;1,"DUPLICATE","OK")</f>
        <v>OK</v>
      </c>
      <c r="M3705" t="str">
        <f>IF(COUNTIF(role_data[role_id],role_course_map[[#This Row],[role_id]])=0, "INVALID","VALID")</f>
        <v>VALID</v>
      </c>
      <c r="N3705" t="str">
        <f>IF(COUNTIF(course_data[course_id],role_course_map[[#This Row],[course_id]])=0, "INVALID","VALID")</f>
        <v>VALID</v>
      </c>
    </row>
    <row r="3706" spans="1:14" x14ac:dyDescent="0.35">
      <c r="A3706" t="s">
        <v>327</v>
      </c>
      <c r="B3706" s="5" t="str">
        <f>_xlfn.XLOOKUP(role_course_map[[#This Row],[role_id]], role_data[role_id], role_data[Role],"")</f>
        <v>Clinical Training Officer</v>
      </c>
      <c r="C3706">
        <v>999094</v>
      </c>
      <c r="D3706" s="5" t="str">
        <f>_xlfn.XLOOKUP(role_course_map[[#This Row],[course_id]],course_data[course_id],course_data[title],"")</f>
        <v>Being well, Mind, Body &amp; Workplace</v>
      </c>
      <c r="E3706" s="5" t="str">
        <f>_xlfn.XLOOKUP(role_course_map[[#This Row],[course_id]],course_data[course_id],course_data[topic],"")</f>
        <v>SAS: Staff development and experience</v>
      </c>
      <c r="F3706" s="5" t="str">
        <f>_xlfn.XLOOKUP(role_course_map[[#This Row],[course_id]],course_data[course_id],course_data[type],"")</f>
        <v>eLearning</v>
      </c>
      <c r="K3706" t="str">
        <f>role_course_map[[#This Row],[role_id]] &amp; "|" &amp; role_course_map[[#This Row],[course_id]]</f>
        <v>R0157|999094</v>
      </c>
      <c r="L3706" t="str">
        <f>IF(COUNTIF(role_course_map[mapping_key],role_course_map[[#This Row],[mapping_key]])&gt;1,"DUPLICATE","OK")</f>
        <v>OK</v>
      </c>
      <c r="M3706" t="str">
        <f>IF(COUNTIF(role_data[role_id],role_course_map[[#This Row],[role_id]])=0, "INVALID","VALID")</f>
        <v>VALID</v>
      </c>
      <c r="N3706" t="str">
        <f>IF(COUNTIF(course_data[course_id],role_course_map[[#This Row],[course_id]])=0, "INVALID","VALID")</f>
        <v>VALID</v>
      </c>
    </row>
    <row r="3707" spans="1:14" x14ac:dyDescent="0.35">
      <c r="A3707" t="s">
        <v>327</v>
      </c>
      <c r="B3707" s="5" t="str">
        <f>_xlfn.XLOOKUP(role_course_map[[#This Row],[role_id]], role_data[role_id], role_data[Role],"")</f>
        <v>Clinical Training Officer</v>
      </c>
      <c r="D3707" s="5" t="s">
        <v>1062</v>
      </c>
      <c r="E3707" s="5" t="str">
        <f>_xlfn.XLOOKUP(role_course_map[[#This Row],[course_id]],course_data[course_id],course_data[topic],"")</f>
        <v/>
      </c>
      <c r="F3707" s="5" t="str">
        <f>_xlfn.XLOOKUP(role_course_map[[#This Row],[course_id]],course_data[course_id],course_data[type],"")</f>
        <v/>
      </c>
      <c r="K3707" t="str">
        <f>role_course_map[[#This Row],[role_id]] &amp; "|" &amp; role_course_map[[#This Row],[course_id]]</f>
        <v>R0157|</v>
      </c>
      <c r="L3707" t="str">
        <f>IF(COUNTIF(role_course_map[mapping_key],role_course_map[[#This Row],[mapping_key]])&gt;1,"DUPLICATE","OK")</f>
        <v>OK</v>
      </c>
      <c r="M3707" t="str">
        <f>IF(COUNTIF(role_data[role_id],role_course_map[[#This Row],[role_id]])=0, "INVALID","VALID")</f>
        <v>VALID</v>
      </c>
      <c r="N3707" t="str">
        <f>IF(COUNTIF(course_data[course_id],role_course_map[[#This Row],[course_id]])=0, "INVALID","VALID")</f>
        <v>INVALID</v>
      </c>
    </row>
    <row r="3708" spans="1:14" x14ac:dyDescent="0.35">
      <c r="A3708" t="s">
        <v>327</v>
      </c>
      <c r="B3708" s="5" t="str">
        <f>_xlfn.XLOOKUP(role_course_map[[#This Row],[role_id]], role_data[role_id], role_data[Role],"")</f>
        <v>Clinical Training Officer</v>
      </c>
      <c r="C3708">
        <v>82211</v>
      </c>
      <c r="D3708" s="5" t="str">
        <f>_xlfn.XLOOKUP(role_course_map[[#This Row],[course_id]],course_data[course_id],course_data[title],"")</f>
        <v>MTA Command &amp; Control</v>
      </c>
      <c r="E3708" s="5" t="str">
        <f>_xlfn.XLOOKUP(role_course_map[[#This Row],[course_id]],course_data[course_id],course_data[topic],"")</f>
        <v>SAS : National Risk and Resilience Department (NRRD)</v>
      </c>
      <c r="F3708" s="5" t="str">
        <f>_xlfn.XLOOKUP(role_course_map[[#This Row],[course_id]],course_data[course_id],course_data[type],"")</f>
        <v>eLearning</v>
      </c>
      <c r="K3708" t="str">
        <f>role_course_map[[#This Row],[role_id]] &amp; "|" &amp; role_course_map[[#This Row],[course_id]]</f>
        <v>R0157|82211</v>
      </c>
      <c r="L3708" t="str">
        <f>IF(COUNTIF(role_course_map[mapping_key],role_course_map[[#This Row],[mapping_key]])&gt;1,"DUPLICATE","OK")</f>
        <v>OK</v>
      </c>
      <c r="M3708" t="str">
        <f>IF(COUNTIF(role_data[role_id],role_course_map[[#This Row],[role_id]])=0, "INVALID","VALID")</f>
        <v>VALID</v>
      </c>
      <c r="N3708" t="str">
        <f>IF(COUNTIF(course_data[course_id],role_course_map[[#This Row],[course_id]])=0, "INVALID","VALID")</f>
        <v>VALID</v>
      </c>
    </row>
    <row r="3709" spans="1:14" x14ac:dyDescent="0.35">
      <c r="A3709" t="s">
        <v>327</v>
      </c>
      <c r="B3709" s="5" t="str">
        <f>_xlfn.XLOOKUP(role_course_map[[#This Row],[role_id]], role_data[role_id], role_data[Role],"")</f>
        <v>Clinical Training Officer</v>
      </c>
      <c r="C3709">
        <v>999067</v>
      </c>
      <c r="D3709" s="5" t="str">
        <f>_xlfn.XLOOKUP(role_course_map[[#This Row],[course_id]],course_data[course_id],course_data[title],"")</f>
        <v>Major incident awareness - Course overview</v>
      </c>
      <c r="E3709" s="5" t="str">
        <f>_xlfn.XLOOKUP(role_course_map[[#This Row],[course_id]],course_data[course_id],course_data[topic],"")</f>
        <v>SAS : National Risk and Resilience Department (NRRD)</v>
      </c>
      <c r="F3709" s="5" t="str">
        <f>_xlfn.XLOOKUP(role_course_map[[#This Row],[course_id]],course_data[course_id],course_data[type],"")</f>
        <v>eLearning</v>
      </c>
      <c r="K3709" t="str">
        <f>role_course_map[[#This Row],[role_id]] &amp; "|" &amp; role_course_map[[#This Row],[course_id]]</f>
        <v>R0157|999067</v>
      </c>
      <c r="L3709" t="str">
        <f>IF(COUNTIF(role_course_map[mapping_key],role_course_map[[#This Row],[mapping_key]])&gt;1,"DUPLICATE","OK")</f>
        <v>OK</v>
      </c>
      <c r="M3709" t="str">
        <f>IF(COUNTIF(role_data[role_id],role_course_map[[#This Row],[role_id]])=0, "INVALID","VALID")</f>
        <v>VALID</v>
      </c>
      <c r="N3709" t="str">
        <f>IF(COUNTIF(course_data[course_id],role_course_map[[#This Row],[course_id]])=0, "INVALID","VALID")</f>
        <v>VALID</v>
      </c>
    </row>
    <row r="3710" spans="1:14" x14ac:dyDescent="0.35">
      <c r="A3710" t="s">
        <v>327</v>
      </c>
      <c r="B3710" s="5" t="str">
        <f>_xlfn.XLOOKUP(role_course_map[[#This Row],[role_id]], role_data[role_id], role_data[Role],"")</f>
        <v>Clinical Training Officer</v>
      </c>
      <c r="C3710">
        <v>999068</v>
      </c>
      <c r="D3710" s="5" t="str">
        <f>_xlfn.XLOOKUP(role_course_map[[#This Row],[course_id]],course_data[course_id],course_data[title],"")</f>
        <v xml:space="preserve">Major incident awareness for responders </v>
      </c>
      <c r="E3710" s="5" t="str">
        <f>_xlfn.XLOOKUP(role_course_map[[#This Row],[course_id]],course_data[course_id],course_data[topic],"")</f>
        <v>SAS : National Risk and Resilience Department (NRRD)</v>
      </c>
      <c r="F3710" s="5" t="str">
        <f>_xlfn.XLOOKUP(role_course_map[[#This Row],[course_id]],course_data[course_id],course_data[type],"")</f>
        <v>eLearning</v>
      </c>
      <c r="K3710" t="str">
        <f>role_course_map[[#This Row],[role_id]] &amp; "|" &amp; role_course_map[[#This Row],[course_id]]</f>
        <v>R0157|999068</v>
      </c>
      <c r="L3710" t="str">
        <f>IF(COUNTIF(role_course_map[mapping_key],role_course_map[[#This Row],[mapping_key]])&gt;1,"DUPLICATE","OK")</f>
        <v>OK</v>
      </c>
      <c r="M3710" t="str">
        <f>IF(COUNTIF(role_data[role_id],role_course_map[[#This Row],[role_id]])=0, "INVALID","VALID")</f>
        <v>VALID</v>
      </c>
      <c r="N3710" t="str">
        <f>IF(COUNTIF(course_data[course_id],role_course_map[[#This Row],[course_id]])=0, "INVALID","VALID")</f>
        <v>VALID</v>
      </c>
    </row>
    <row r="3711" spans="1:14" x14ac:dyDescent="0.35">
      <c r="A3711" t="s">
        <v>327</v>
      </c>
      <c r="B3711" s="5" t="str">
        <f>_xlfn.XLOOKUP(role_course_map[[#This Row],[role_id]], role_data[role_id], role_data[Role],"")</f>
        <v>Clinical Training Officer</v>
      </c>
      <c r="C3711">
        <v>999069</v>
      </c>
      <c r="D3711" s="5" t="str">
        <f>_xlfn.XLOOKUP(role_course_map[[#This Row],[course_id]],course_data[course_id],course_data[title],"")</f>
        <v>Non-specialist MTFA response (JOPS3)</v>
      </c>
      <c r="E3711" s="5" t="str">
        <f>_xlfn.XLOOKUP(role_course_map[[#This Row],[course_id]],course_data[course_id],course_data[topic],"")</f>
        <v>SAS : National Risk and Resilience Department (NRRD)</v>
      </c>
      <c r="F3711" s="5" t="str">
        <f>_xlfn.XLOOKUP(role_course_map[[#This Row],[course_id]],course_data[course_id],course_data[type],"")</f>
        <v>eLearning</v>
      </c>
      <c r="K3711" t="str">
        <f>role_course_map[[#This Row],[role_id]] &amp; "|" &amp; role_course_map[[#This Row],[course_id]]</f>
        <v>R0157|999069</v>
      </c>
      <c r="L3711" t="str">
        <f>IF(COUNTIF(role_course_map[mapping_key],role_course_map[[#This Row],[mapping_key]])&gt;1,"DUPLICATE","OK")</f>
        <v>OK</v>
      </c>
      <c r="M3711" t="str">
        <f>IF(COUNTIF(role_data[role_id],role_course_map[[#This Row],[role_id]])=0, "INVALID","VALID")</f>
        <v>VALID</v>
      </c>
      <c r="N3711" t="str">
        <f>IF(COUNTIF(course_data[course_id],role_course_map[[#This Row],[course_id]])=0, "INVALID","VALID")</f>
        <v>VALID</v>
      </c>
    </row>
    <row r="3712" spans="1:14" x14ac:dyDescent="0.35">
      <c r="A3712" t="s">
        <v>327</v>
      </c>
      <c r="B3712" s="5" t="str">
        <f>_xlfn.XLOOKUP(role_course_map[[#This Row],[role_id]], role_data[role_id], role_data[Role],"")</f>
        <v>Clinical Training Officer</v>
      </c>
      <c r="C3712">
        <v>999070</v>
      </c>
      <c r="D3712" s="5" t="str">
        <f>_xlfn.XLOOKUP(role_course_map[[#This Row],[course_id]],course_data[course_id],course_data[title],"")</f>
        <v xml:space="preserve">SAS: JESIP (NEW) </v>
      </c>
      <c r="E3712" s="5" t="str">
        <f>_xlfn.XLOOKUP(role_course_map[[#This Row],[course_id]],course_data[course_id],course_data[topic],"")</f>
        <v>SAS : National Risk and Resilience Department (NRRD)</v>
      </c>
      <c r="F3712" s="5" t="str">
        <f>_xlfn.XLOOKUP(role_course_map[[#This Row],[course_id]],course_data[course_id],course_data[type],"")</f>
        <v>eLearning</v>
      </c>
      <c r="K3712" t="str">
        <f>role_course_map[[#This Row],[role_id]] &amp; "|" &amp; role_course_map[[#This Row],[course_id]]</f>
        <v>R0157|999070</v>
      </c>
      <c r="L3712" t="str">
        <f>IF(COUNTIF(role_course_map[mapping_key],role_course_map[[#This Row],[mapping_key]])&gt;1,"DUPLICATE","OK")</f>
        <v>OK</v>
      </c>
      <c r="M3712" t="str">
        <f>IF(COUNTIF(role_data[role_id],role_course_map[[#This Row],[role_id]])=0, "INVALID","VALID")</f>
        <v>VALID</v>
      </c>
      <c r="N3712" t="str">
        <f>IF(COUNTIF(course_data[course_id],role_course_map[[#This Row],[course_id]])=0, "INVALID","VALID")</f>
        <v>VALID</v>
      </c>
    </row>
    <row r="3713" spans="1:14" x14ac:dyDescent="0.35">
      <c r="A3713" t="s">
        <v>72</v>
      </c>
      <c r="B3713" s="5" t="str">
        <f>_xlfn.XLOOKUP(role_course_map[[#This Row],[role_id]], role_data[role_id], role_data[Role],"")</f>
        <v>Fleet Systems Administrator/Manager</v>
      </c>
      <c r="C3713">
        <v>999062</v>
      </c>
      <c r="D3713" s="5" t="str">
        <f>_xlfn.XLOOKUP(role_course_map[[#This Row],[course_id]],course_data[course_id],course_data[title],"")</f>
        <v>H&amp;S Management Responsibilities Course (either REHIS Intermediate course) or IOSH Managing Safely or equivalent</v>
      </c>
      <c r="E3713" s="5" t="str">
        <f>_xlfn.XLOOKUP(role_course_map[[#This Row],[course_id]],course_data[course_id],course_data[topic],"")</f>
        <v>SAS : Health and Safety</v>
      </c>
      <c r="F3713" s="5" t="str">
        <f>_xlfn.XLOOKUP(role_course_map[[#This Row],[course_id]],course_data[course_id],course_data[type],"")</f>
        <v>Course</v>
      </c>
      <c r="K3713" t="str">
        <f>role_course_map[[#This Row],[role_id]] &amp; "|" &amp; role_course_map[[#This Row],[course_id]]</f>
        <v>R0031|999062</v>
      </c>
      <c r="L3713" t="str">
        <f>IF(COUNTIF(role_course_map[mapping_key],role_course_map[[#This Row],[mapping_key]])&gt;1,"DUPLICATE","OK")</f>
        <v>OK</v>
      </c>
      <c r="M3713" t="str">
        <f>IF(COUNTIF(role_data[role_id],role_course_map[[#This Row],[role_id]])=0, "INVALID","VALID")</f>
        <v>VALID</v>
      </c>
      <c r="N3713" t="str">
        <f>IF(COUNTIF(course_data[course_id],role_course_map[[#This Row],[course_id]])=0, "INVALID","VALID")</f>
        <v>VALID</v>
      </c>
    </row>
    <row r="3714" spans="1:14" x14ac:dyDescent="0.35">
      <c r="A3714" t="s">
        <v>72</v>
      </c>
      <c r="B3714" s="5" t="str">
        <f>_xlfn.XLOOKUP(role_course_map[[#This Row],[role_id]], role_data[role_id], role_data[Role],"")</f>
        <v>Fleet Systems Administrator/Manager</v>
      </c>
      <c r="C3714">
        <v>999056</v>
      </c>
      <c r="D3714" s="5" t="str">
        <f>_xlfn.XLOOKUP(role_course_map[[#This Row],[course_id]],course_data[course_id],course_data[title],"")</f>
        <v>Driver Assessment &amp; Training</v>
      </c>
      <c r="E3714" s="5" t="str">
        <f>_xlfn.XLOOKUP(role_course_map[[#This Row],[course_id]],course_data[course_id],course_data[topic],"")</f>
        <v>SAS : Health and Safety</v>
      </c>
      <c r="F3714" s="5" t="str">
        <f>_xlfn.XLOOKUP(role_course_map[[#This Row],[course_id]],course_data[course_id],course_data[type],"")</f>
        <v>eLearning</v>
      </c>
      <c r="K3714" t="str">
        <f>role_course_map[[#This Row],[role_id]] &amp; "|" &amp; role_course_map[[#This Row],[course_id]]</f>
        <v>R0031|999056</v>
      </c>
      <c r="L3714" t="str">
        <f>IF(COUNTIF(role_course_map[mapping_key],role_course_map[[#This Row],[mapping_key]])&gt;1,"DUPLICATE","OK")</f>
        <v>OK</v>
      </c>
      <c r="M3714" t="str">
        <f>IF(COUNTIF(role_data[role_id],role_course_map[[#This Row],[role_id]])=0, "INVALID","VALID")</f>
        <v>VALID</v>
      </c>
      <c r="N3714" t="str">
        <f>IF(COUNTIF(course_data[course_id],role_course_map[[#This Row],[course_id]])=0, "INVALID","VALID")</f>
        <v>VALID</v>
      </c>
    </row>
    <row r="3715" spans="1:14" x14ac:dyDescent="0.35">
      <c r="A3715" t="s">
        <v>72</v>
      </c>
      <c r="B3715" s="5" t="str">
        <f>_xlfn.XLOOKUP(role_course_map[[#This Row],[role_id]], role_data[role_id], role_data[Role],"")</f>
        <v>Fleet Systems Administrator/Manager</v>
      </c>
      <c r="C3715">
        <v>999057</v>
      </c>
      <c r="D3715" s="5" t="str">
        <f>_xlfn.XLOOKUP(role_course_map[[#This Row],[course_id]],course_data[course_id],course_data[title],"")</f>
        <v>Fatigue Awareness</v>
      </c>
      <c r="E3715" s="5" t="str">
        <f>_xlfn.XLOOKUP(role_course_map[[#This Row],[course_id]],course_data[course_id],course_data[topic],"")</f>
        <v>SAS : Health and Safety</v>
      </c>
      <c r="F3715" s="5" t="str">
        <f>_xlfn.XLOOKUP(role_course_map[[#This Row],[course_id]],course_data[course_id],course_data[type],"")</f>
        <v>eLearning</v>
      </c>
      <c r="K3715" t="str">
        <f>role_course_map[[#This Row],[role_id]] &amp; "|" &amp; role_course_map[[#This Row],[course_id]]</f>
        <v>R0031|999057</v>
      </c>
      <c r="L3715" t="str">
        <f>IF(COUNTIF(role_course_map[mapping_key],role_course_map[[#This Row],[mapping_key]])&gt;1,"DUPLICATE","OK")</f>
        <v>OK</v>
      </c>
      <c r="M3715" t="str">
        <f>IF(COUNTIF(role_data[role_id],role_course_map[[#This Row],[role_id]])=0, "INVALID","VALID")</f>
        <v>VALID</v>
      </c>
      <c r="N3715" t="str">
        <f>IF(COUNTIF(course_data[course_id],role_course_map[[#This Row],[course_id]])=0, "INVALID","VALID")</f>
        <v>VALID</v>
      </c>
    </row>
    <row r="3716" spans="1:14" x14ac:dyDescent="0.35">
      <c r="A3716" t="s">
        <v>72</v>
      </c>
      <c r="B3716" s="5" t="str">
        <f>_xlfn.XLOOKUP(role_course_map[[#This Row],[role_id]], role_data[role_id], role_data[Role],"")</f>
        <v>Fleet Systems Administrator/Manager</v>
      </c>
      <c r="C3716">
        <v>999058</v>
      </c>
      <c r="D3716" s="5" t="str">
        <f>_xlfn.XLOOKUP(role_course_map[[#This Row],[course_id]],course_data[course_id],course_data[title],"")</f>
        <v>Stress Identification &amp; Stress Management</v>
      </c>
      <c r="E3716" s="5" t="str">
        <f>_xlfn.XLOOKUP(role_course_map[[#This Row],[course_id]],course_data[course_id],course_data[topic],"")</f>
        <v>SAS : Health and Safety</v>
      </c>
      <c r="F3716" s="5" t="str">
        <f>_xlfn.XLOOKUP(role_course_map[[#This Row],[course_id]],course_data[course_id],course_data[type],"")</f>
        <v>eLearning</v>
      </c>
      <c r="K3716" t="str">
        <f>role_course_map[[#This Row],[role_id]] &amp; "|" &amp; role_course_map[[#This Row],[course_id]]</f>
        <v>R0031|999058</v>
      </c>
      <c r="L3716" t="str">
        <f>IF(COUNTIF(role_course_map[mapping_key],role_course_map[[#This Row],[mapping_key]])&gt;1,"DUPLICATE","OK")</f>
        <v>OK</v>
      </c>
      <c r="M3716" t="str">
        <f>IF(COUNTIF(role_data[role_id],role_course_map[[#This Row],[role_id]])=0, "INVALID","VALID")</f>
        <v>VALID</v>
      </c>
      <c r="N3716" t="str">
        <f>IF(COUNTIF(course_data[course_id],role_course_map[[#This Row],[course_id]])=0, "INVALID","VALID")</f>
        <v>VALID</v>
      </c>
    </row>
    <row r="3717" spans="1:14" x14ac:dyDescent="0.35">
      <c r="A3717" t="s">
        <v>72</v>
      </c>
      <c r="B3717" s="5" t="str">
        <f>_xlfn.XLOOKUP(role_course_map[[#This Row],[role_id]], role_data[role_id], role_data[Role],"")</f>
        <v>Fleet Systems Administrator/Manager</v>
      </c>
      <c r="C3717">
        <v>999061</v>
      </c>
      <c r="D3717" s="5" t="str">
        <f>_xlfn.XLOOKUP(role_course_map[[#This Row],[course_id]],course_data[course_id],course_data[title],"")</f>
        <v>Skin Awareness</v>
      </c>
      <c r="E3717" s="5" t="str">
        <f>_xlfn.XLOOKUP(role_course_map[[#This Row],[course_id]],course_data[course_id],course_data[topic],"")</f>
        <v>SAS : Health and Safety</v>
      </c>
      <c r="F3717" s="5" t="str">
        <f>_xlfn.XLOOKUP(role_course_map[[#This Row],[course_id]],course_data[course_id],course_data[type],"")</f>
        <v>eLearning</v>
      </c>
      <c r="K3717" t="str">
        <f>role_course_map[[#This Row],[role_id]] &amp; "|" &amp; role_course_map[[#This Row],[course_id]]</f>
        <v>R0031|999061</v>
      </c>
      <c r="L3717" t="str">
        <f>IF(COUNTIF(role_course_map[mapping_key],role_course_map[[#This Row],[mapping_key]])&gt;1,"DUPLICATE","OK")</f>
        <v>OK</v>
      </c>
      <c r="M3717" t="str">
        <f>IF(COUNTIF(role_data[role_id],role_course_map[[#This Row],[role_id]])=0, "INVALID","VALID")</f>
        <v>VALID</v>
      </c>
      <c r="N3717" t="str">
        <f>IF(COUNTIF(course_data[course_id],role_course_map[[#This Row],[course_id]])=0, "INVALID","VALID")</f>
        <v>VALID</v>
      </c>
    </row>
    <row r="3718" spans="1:14" x14ac:dyDescent="0.35">
      <c r="A3718" t="s">
        <v>72</v>
      </c>
      <c r="B3718" s="5" t="str">
        <f>_xlfn.XLOOKUP(role_course_map[[#This Row],[role_id]], role_data[role_id], role_data[Role],"")</f>
        <v>Fleet Systems Administrator/Manager</v>
      </c>
      <c r="C3718">
        <v>999041</v>
      </c>
      <c r="D3718" s="5" t="str">
        <f>_xlfn.XLOOKUP(role_course_map[[#This Row],[course_id]],course_data[course_id],course_data[title],"")</f>
        <v>EV (IMI L1) Charging</v>
      </c>
      <c r="E3718" s="5" t="str">
        <f>_xlfn.XLOOKUP(role_course_map[[#This Row],[course_id]],course_data[course_id],course_data[topic],"")</f>
        <v>SAS : Fleet</v>
      </c>
      <c r="F3718" s="5" t="str">
        <f>_xlfn.XLOOKUP(role_course_map[[#This Row],[course_id]],course_data[course_id],course_data[type],"")</f>
        <v>Course</v>
      </c>
      <c r="K3718" t="str">
        <f>role_course_map[[#This Row],[role_id]] &amp; "|" &amp; role_course_map[[#This Row],[course_id]]</f>
        <v>R0031|999041</v>
      </c>
      <c r="L3718" t="str">
        <f>IF(COUNTIF(role_course_map[mapping_key],role_course_map[[#This Row],[mapping_key]])&gt;1,"DUPLICATE","OK")</f>
        <v>OK</v>
      </c>
      <c r="M3718" t="str">
        <f>IF(COUNTIF(role_data[role_id],role_course_map[[#This Row],[role_id]])=0, "INVALID","VALID")</f>
        <v>VALID</v>
      </c>
      <c r="N3718" t="str">
        <f>IF(COUNTIF(course_data[course_id],role_course_map[[#This Row],[course_id]])=0, "INVALID","VALID")</f>
        <v>VALID</v>
      </c>
    </row>
    <row r="3719" spans="1:14" x14ac:dyDescent="0.35">
      <c r="A3719" t="s">
        <v>72</v>
      </c>
      <c r="B3719" s="5" t="str">
        <f>_xlfn.XLOOKUP(role_course_map[[#This Row],[role_id]], role_data[role_id], role_data[Role],"")</f>
        <v>Fleet Systems Administrator/Manager</v>
      </c>
      <c r="C3719">
        <v>999092</v>
      </c>
      <c r="D3719" s="5" t="str">
        <f>_xlfn.XLOOKUP(role_course_map[[#This Row],[course_id]],course_data[course_id],course_data[title],"")</f>
        <v>Health &amp; Wellbeing Awareness for Managers</v>
      </c>
      <c r="E3719" s="5" t="str">
        <f>_xlfn.XLOOKUP(role_course_map[[#This Row],[course_id]],course_data[course_id],course_data[topic],"")</f>
        <v>SAS: Staff development and experience</v>
      </c>
      <c r="F3719" s="5" t="str">
        <f>_xlfn.XLOOKUP(role_course_map[[#This Row],[course_id]],course_data[course_id],course_data[type],"")</f>
        <v>eLearning</v>
      </c>
      <c r="K3719" t="str">
        <f>role_course_map[[#This Row],[role_id]] &amp; "|" &amp; role_course_map[[#This Row],[course_id]]</f>
        <v>R0031|999092</v>
      </c>
      <c r="L3719" t="str">
        <f>IF(COUNTIF(role_course_map[mapping_key],role_course_map[[#This Row],[mapping_key]])&gt;1,"DUPLICATE","OK")</f>
        <v>OK</v>
      </c>
      <c r="M3719" t="str">
        <f>IF(COUNTIF(role_data[role_id],role_course_map[[#This Row],[role_id]])=0, "INVALID","VALID")</f>
        <v>VALID</v>
      </c>
      <c r="N3719" t="str">
        <f>IF(COUNTIF(course_data[course_id],role_course_map[[#This Row],[course_id]])=0, "INVALID","VALID")</f>
        <v>VALID</v>
      </c>
    </row>
    <row r="3720" spans="1:14" x14ac:dyDescent="0.35">
      <c r="A3720" t="s">
        <v>72</v>
      </c>
      <c r="B3720" s="5" t="str">
        <f>_xlfn.XLOOKUP(role_course_map[[#This Row],[role_id]], role_data[role_id], role_data[Role],"")</f>
        <v>Fleet Systems Administrator/Manager</v>
      </c>
      <c r="C3720">
        <v>999093</v>
      </c>
      <c r="D3720" s="5" t="str">
        <f>_xlfn.XLOOKUP(role_course_map[[#This Row],[course_id]],course_data[course_id],course_data[title],"")</f>
        <v>Managing Wellbeing Refresher for Managers</v>
      </c>
      <c r="E3720" s="5" t="str">
        <f>_xlfn.XLOOKUP(role_course_map[[#This Row],[course_id]],course_data[course_id],course_data[topic],"")</f>
        <v>SAS: Staff development and experience</v>
      </c>
      <c r="F3720" s="5" t="str">
        <f>_xlfn.XLOOKUP(role_course_map[[#This Row],[course_id]],course_data[course_id],course_data[type],"")</f>
        <v>eLearning</v>
      </c>
      <c r="K3720" t="str">
        <f>role_course_map[[#This Row],[role_id]] &amp; "|" &amp; role_course_map[[#This Row],[course_id]]</f>
        <v>R0031|999093</v>
      </c>
      <c r="L3720" t="str">
        <f>IF(COUNTIF(role_course_map[mapping_key],role_course_map[[#This Row],[mapping_key]])&gt;1,"DUPLICATE","OK")</f>
        <v>OK</v>
      </c>
      <c r="M3720" t="str">
        <f>IF(COUNTIF(role_data[role_id],role_course_map[[#This Row],[role_id]])=0, "INVALID","VALID")</f>
        <v>VALID</v>
      </c>
      <c r="N3720" t="str">
        <f>IF(COUNTIF(course_data[course_id],role_course_map[[#This Row],[course_id]])=0, "INVALID","VALID")</f>
        <v>VALID</v>
      </c>
    </row>
    <row r="3721" spans="1:14" x14ac:dyDescent="0.35">
      <c r="A3721" t="s">
        <v>72</v>
      </c>
      <c r="B3721" s="5" t="str">
        <f>_xlfn.XLOOKUP(role_course_map[[#This Row],[role_id]], role_data[role_id], role_data[Role],"")</f>
        <v>Fleet Systems Administrator/Manager</v>
      </c>
      <c r="C3721">
        <v>999094</v>
      </c>
      <c r="D3721" s="5" t="str">
        <f>_xlfn.XLOOKUP(role_course_map[[#This Row],[course_id]],course_data[course_id],course_data[title],"")</f>
        <v>Being well, Mind, Body &amp; Workplace</v>
      </c>
      <c r="E3721" s="5" t="str">
        <f>_xlfn.XLOOKUP(role_course_map[[#This Row],[course_id]],course_data[course_id],course_data[topic],"")</f>
        <v>SAS: Staff development and experience</v>
      </c>
      <c r="F3721" s="5" t="str">
        <f>_xlfn.XLOOKUP(role_course_map[[#This Row],[course_id]],course_data[course_id],course_data[type],"")</f>
        <v>eLearning</v>
      </c>
      <c r="K3721" t="str">
        <f>role_course_map[[#This Row],[role_id]] &amp; "|" &amp; role_course_map[[#This Row],[course_id]]</f>
        <v>R0031|999094</v>
      </c>
      <c r="L3721" t="str">
        <f>IF(COUNTIF(role_course_map[mapping_key],role_course_map[[#This Row],[mapping_key]])&gt;1,"DUPLICATE","OK")</f>
        <v>OK</v>
      </c>
      <c r="M3721" t="str">
        <f>IF(COUNTIF(role_data[role_id],role_course_map[[#This Row],[role_id]])=0, "INVALID","VALID")</f>
        <v>VALID</v>
      </c>
      <c r="N3721" t="str">
        <f>IF(COUNTIF(course_data[course_id],role_course_map[[#This Row],[course_id]])=0, "INVALID","VALID")</f>
        <v>VALID</v>
      </c>
    </row>
    <row r="3722" spans="1:14" x14ac:dyDescent="0.35">
      <c r="B3722" s="5" t="str">
        <f>_xlfn.XLOOKUP(role_course_map[[#This Row],[role_id]], role_data[role_id], role_data[Role],"")</f>
        <v/>
      </c>
      <c r="D3722" s="5" t="str">
        <f>_xlfn.XLOOKUP(role_course_map[[#This Row],[course_id]],course_data[course_id],course_data[title],"")</f>
        <v/>
      </c>
      <c r="E3722" s="5" t="str">
        <f>_xlfn.XLOOKUP(role_course_map[[#This Row],[course_id]],course_data[course_id],course_data[topic],"")</f>
        <v/>
      </c>
      <c r="F3722" s="5" t="str">
        <f>_xlfn.XLOOKUP(role_course_map[[#This Row],[course_id]],course_data[course_id],course_data[type],"")</f>
        <v/>
      </c>
      <c r="K3722" t="str">
        <f>role_course_map[[#This Row],[role_id]] &amp; "|" &amp; role_course_map[[#This Row],[course_id]]</f>
        <v>|</v>
      </c>
      <c r="L3722" t="str">
        <f>IF(COUNTIF(role_course_map[mapping_key],role_course_map[[#This Row],[mapping_key]])&gt;1,"DUPLICATE","OK")</f>
        <v>DUPLICATE</v>
      </c>
      <c r="M3722" t="str">
        <f>IF(COUNTIF(role_data[role_id],role_course_map[[#This Row],[role_id]])=0, "INVALID","VALID")</f>
        <v>INVALID</v>
      </c>
      <c r="N3722" t="str">
        <f>IF(COUNTIF(course_data[course_id],role_course_map[[#This Row],[course_id]])=0, "INVALID","VALID")</f>
        <v>INVALID</v>
      </c>
    </row>
    <row r="3723" spans="1:14" x14ac:dyDescent="0.35">
      <c r="B3723" s="5" t="str">
        <f>_xlfn.XLOOKUP(role_course_map[[#This Row],[role_id]], role_data[role_id], role_data[Role],"")</f>
        <v/>
      </c>
      <c r="D3723" s="5" t="str">
        <f>_xlfn.XLOOKUP(role_course_map[[#This Row],[course_id]],course_data[course_id],course_data[title],"")</f>
        <v/>
      </c>
      <c r="E3723" s="5" t="str">
        <f>_xlfn.XLOOKUP(role_course_map[[#This Row],[course_id]],course_data[course_id],course_data[topic],"")</f>
        <v/>
      </c>
      <c r="F3723" s="5" t="str">
        <f>_xlfn.XLOOKUP(role_course_map[[#This Row],[course_id]],course_data[course_id],course_data[type],"")</f>
        <v/>
      </c>
      <c r="K3723" t="str">
        <f>role_course_map[[#This Row],[role_id]] &amp; "|" &amp; role_course_map[[#This Row],[course_id]]</f>
        <v>|</v>
      </c>
      <c r="L3723" t="str">
        <f>IF(COUNTIF(role_course_map[mapping_key],role_course_map[[#This Row],[mapping_key]])&gt;1,"DUPLICATE","OK")</f>
        <v>DUPLICATE</v>
      </c>
      <c r="M3723" t="str">
        <f>IF(COUNTIF(role_data[role_id],role_course_map[[#This Row],[role_id]])=0, "INVALID","VALID")</f>
        <v>INVALID</v>
      </c>
      <c r="N3723" t="str">
        <f>IF(COUNTIF(course_data[course_id],role_course_map[[#This Row],[course_id]])=0, "INVALID","VALID")</f>
        <v>INVALID</v>
      </c>
    </row>
    <row r="3724" spans="1:14" x14ac:dyDescent="0.35">
      <c r="B3724" s="5" t="str">
        <f>_xlfn.XLOOKUP(role_course_map[[#This Row],[role_id]], role_data[role_id], role_data[Role],"")</f>
        <v/>
      </c>
      <c r="D3724" s="5" t="str">
        <f>_xlfn.XLOOKUP(role_course_map[[#This Row],[course_id]],course_data[course_id],course_data[title],"")</f>
        <v/>
      </c>
      <c r="E3724" s="5" t="str">
        <f>_xlfn.XLOOKUP(role_course_map[[#This Row],[course_id]],course_data[course_id],course_data[topic],"")</f>
        <v/>
      </c>
      <c r="F3724" s="5" t="str">
        <f>_xlfn.XLOOKUP(role_course_map[[#This Row],[course_id]],course_data[course_id],course_data[type],"")</f>
        <v/>
      </c>
      <c r="K3724" t="str">
        <f>role_course_map[[#This Row],[role_id]] &amp; "|" &amp; role_course_map[[#This Row],[course_id]]</f>
        <v>|</v>
      </c>
      <c r="L3724" t="str">
        <f>IF(COUNTIF(role_course_map[mapping_key],role_course_map[[#This Row],[mapping_key]])&gt;1,"DUPLICATE","OK")</f>
        <v>DUPLICATE</v>
      </c>
      <c r="M3724" t="str">
        <f>IF(COUNTIF(role_data[role_id],role_course_map[[#This Row],[role_id]])=0, "INVALID","VALID")</f>
        <v>INVALID</v>
      </c>
      <c r="N3724" t="str">
        <f>IF(COUNTIF(course_data[course_id],role_course_map[[#This Row],[course_id]])=0, "INVALID","VALID")</f>
        <v>INVALID</v>
      </c>
    </row>
    <row r="3725" spans="1:14" x14ac:dyDescent="0.35">
      <c r="B3725" s="5" t="str">
        <f>_xlfn.XLOOKUP(role_course_map[[#This Row],[role_id]], role_data[role_id], role_data[Role],"")</f>
        <v/>
      </c>
      <c r="D3725" s="5" t="str">
        <f>_xlfn.XLOOKUP(role_course_map[[#This Row],[course_id]],course_data[course_id],course_data[title],"")</f>
        <v/>
      </c>
      <c r="E3725" s="5" t="str">
        <f>_xlfn.XLOOKUP(role_course_map[[#This Row],[course_id]],course_data[course_id],course_data[topic],"")</f>
        <v/>
      </c>
      <c r="F3725" s="5" t="str">
        <f>_xlfn.XLOOKUP(role_course_map[[#This Row],[course_id]],course_data[course_id],course_data[type],"")</f>
        <v/>
      </c>
      <c r="K3725" t="str">
        <f>role_course_map[[#This Row],[role_id]] &amp; "|" &amp; role_course_map[[#This Row],[course_id]]</f>
        <v>|</v>
      </c>
      <c r="L3725" t="str">
        <f>IF(COUNTIF(role_course_map[mapping_key],role_course_map[[#This Row],[mapping_key]])&gt;1,"DUPLICATE","OK")</f>
        <v>DUPLICATE</v>
      </c>
      <c r="M3725" t="str">
        <f>IF(COUNTIF(role_data[role_id],role_course_map[[#This Row],[role_id]])=0, "INVALID","VALID")</f>
        <v>INVALID</v>
      </c>
      <c r="N3725" t="str">
        <f>IF(COUNTIF(course_data[course_id],role_course_map[[#This Row],[course_id]])=0, "INVALID","VALID")</f>
        <v>INVALID</v>
      </c>
    </row>
    <row r="3726" spans="1:14" x14ac:dyDescent="0.35">
      <c r="B3726" s="5" t="str">
        <f>_xlfn.XLOOKUP(role_course_map[[#This Row],[role_id]], role_data[role_id], role_data[Role],"")</f>
        <v/>
      </c>
      <c r="D3726" s="5" t="str">
        <f>_xlfn.XLOOKUP(role_course_map[[#This Row],[course_id]],course_data[course_id],course_data[title],"")</f>
        <v/>
      </c>
      <c r="E3726" s="5" t="str">
        <f>_xlfn.XLOOKUP(role_course_map[[#This Row],[course_id]],course_data[course_id],course_data[topic],"")</f>
        <v/>
      </c>
      <c r="F3726" s="5" t="str">
        <f>_xlfn.XLOOKUP(role_course_map[[#This Row],[course_id]],course_data[course_id],course_data[type],"")</f>
        <v/>
      </c>
      <c r="K3726" t="str">
        <f>role_course_map[[#This Row],[role_id]] &amp; "|" &amp; role_course_map[[#This Row],[course_id]]</f>
        <v>|</v>
      </c>
      <c r="L3726" t="str">
        <f>IF(COUNTIF(role_course_map[mapping_key],role_course_map[[#This Row],[mapping_key]])&gt;1,"DUPLICATE","OK")</f>
        <v>DUPLICATE</v>
      </c>
      <c r="M3726" t="str">
        <f>IF(COUNTIF(role_data[role_id],role_course_map[[#This Row],[role_id]])=0, "INVALID","VALID")</f>
        <v>INVALID</v>
      </c>
      <c r="N3726" t="str">
        <f>IF(COUNTIF(course_data[course_id],role_course_map[[#This Row],[course_id]])=0, "INVALID","VALID")</f>
        <v>INVALID</v>
      </c>
    </row>
    <row r="3727" spans="1:14" x14ac:dyDescent="0.35">
      <c r="B3727" s="5" t="str">
        <f>_xlfn.XLOOKUP(role_course_map[[#This Row],[role_id]], role_data[role_id], role_data[Role],"")</f>
        <v/>
      </c>
      <c r="D3727" s="5" t="str">
        <f>_xlfn.XLOOKUP(role_course_map[[#This Row],[course_id]],course_data[course_id],course_data[title],"")</f>
        <v/>
      </c>
      <c r="E3727" s="5" t="str">
        <f>_xlfn.XLOOKUP(role_course_map[[#This Row],[course_id]],course_data[course_id],course_data[topic],"")</f>
        <v/>
      </c>
      <c r="F3727" s="5" t="str">
        <f>_xlfn.XLOOKUP(role_course_map[[#This Row],[course_id]],course_data[course_id],course_data[type],"")</f>
        <v/>
      </c>
      <c r="K3727" t="str">
        <f>role_course_map[[#This Row],[role_id]] &amp; "|" &amp; role_course_map[[#This Row],[course_id]]</f>
        <v>|</v>
      </c>
      <c r="L3727" t="str">
        <f>IF(COUNTIF(role_course_map[mapping_key],role_course_map[[#This Row],[mapping_key]])&gt;1,"DUPLICATE","OK")</f>
        <v>DUPLICATE</v>
      </c>
      <c r="M3727" t="str">
        <f>IF(COUNTIF(role_data[role_id],role_course_map[[#This Row],[role_id]])=0, "INVALID","VALID")</f>
        <v>INVALID</v>
      </c>
      <c r="N3727" t="str">
        <f>IF(COUNTIF(course_data[course_id],role_course_map[[#This Row],[course_id]])=0, "INVALID","VALID")</f>
        <v>INVALID</v>
      </c>
    </row>
    <row r="3728" spans="1:14" x14ac:dyDescent="0.35">
      <c r="B3728" s="5" t="str">
        <f>_xlfn.XLOOKUP(role_course_map[[#This Row],[role_id]], role_data[role_id], role_data[Role],"")</f>
        <v/>
      </c>
      <c r="D3728" s="5" t="str">
        <f>_xlfn.XLOOKUP(role_course_map[[#This Row],[course_id]],course_data[course_id],course_data[title],"")</f>
        <v/>
      </c>
      <c r="E3728" s="5" t="str">
        <f>_xlfn.XLOOKUP(role_course_map[[#This Row],[course_id]],course_data[course_id],course_data[topic],"")</f>
        <v/>
      </c>
      <c r="F3728" s="5" t="str">
        <f>_xlfn.XLOOKUP(role_course_map[[#This Row],[course_id]],course_data[course_id],course_data[type],"")</f>
        <v/>
      </c>
      <c r="K3728" t="str">
        <f>role_course_map[[#This Row],[role_id]] &amp; "|" &amp; role_course_map[[#This Row],[course_id]]</f>
        <v>|</v>
      </c>
      <c r="L3728" t="str">
        <f>IF(COUNTIF(role_course_map[mapping_key],role_course_map[[#This Row],[mapping_key]])&gt;1,"DUPLICATE","OK")</f>
        <v>DUPLICATE</v>
      </c>
      <c r="M3728" t="str">
        <f>IF(COUNTIF(role_data[role_id],role_course_map[[#This Row],[role_id]])=0, "INVALID","VALID")</f>
        <v>INVALID</v>
      </c>
      <c r="N3728" t="str">
        <f>IF(COUNTIF(course_data[course_id],role_course_map[[#This Row],[course_id]])=0, "INVALID","VALID")</f>
        <v>INVALID</v>
      </c>
    </row>
    <row r="3729" spans="2:14" x14ac:dyDescent="0.35">
      <c r="B3729" s="5" t="str">
        <f>_xlfn.XLOOKUP(role_course_map[[#This Row],[role_id]], role_data[role_id], role_data[Role],"")</f>
        <v/>
      </c>
      <c r="D3729" s="5" t="str">
        <f>_xlfn.XLOOKUP(role_course_map[[#This Row],[course_id]],course_data[course_id],course_data[title],"")</f>
        <v/>
      </c>
      <c r="E3729" s="5" t="str">
        <f>_xlfn.XLOOKUP(role_course_map[[#This Row],[course_id]],course_data[course_id],course_data[topic],"")</f>
        <v/>
      </c>
      <c r="F3729" s="5" t="str">
        <f>_xlfn.XLOOKUP(role_course_map[[#This Row],[course_id]],course_data[course_id],course_data[type],"")</f>
        <v/>
      </c>
      <c r="K3729" t="str">
        <f>role_course_map[[#This Row],[role_id]] &amp; "|" &amp; role_course_map[[#This Row],[course_id]]</f>
        <v>|</v>
      </c>
      <c r="L3729" t="str">
        <f>IF(COUNTIF(role_course_map[mapping_key],role_course_map[[#This Row],[mapping_key]])&gt;1,"DUPLICATE","OK")</f>
        <v>DUPLICATE</v>
      </c>
      <c r="M3729" t="str">
        <f>IF(COUNTIF(role_data[role_id],role_course_map[[#This Row],[role_id]])=0, "INVALID","VALID")</f>
        <v>INVALID</v>
      </c>
      <c r="N3729" t="str">
        <f>IF(COUNTIF(course_data[course_id],role_course_map[[#This Row],[course_id]])=0, "INVALID","VALID")</f>
        <v>INVALID</v>
      </c>
    </row>
    <row r="3730" spans="2:14" x14ac:dyDescent="0.35">
      <c r="B3730" s="5" t="str">
        <f>_xlfn.XLOOKUP(role_course_map[[#This Row],[role_id]], role_data[role_id], role_data[Role],"")</f>
        <v/>
      </c>
      <c r="D3730" s="5" t="str">
        <f>_xlfn.XLOOKUP(role_course_map[[#This Row],[course_id]],course_data[course_id],course_data[title],"")</f>
        <v/>
      </c>
      <c r="E3730" s="5" t="str">
        <f>_xlfn.XLOOKUP(role_course_map[[#This Row],[course_id]],course_data[course_id],course_data[topic],"")</f>
        <v/>
      </c>
      <c r="F3730" s="5" t="str">
        <f>_xlfn.XLOOKUP(role_course_map[[#This Row],[course_id]],course_data[course_id],course_data[type],"")</f>
        <v/>
      </c>
      <c r="K3730" t="str">
        <f>role_course_map[[#This Row],[role_id]] &amp; "|" &amp; role_course_map[[#This Row],[course_id]]</f>
        <v>|</v>
      </c>
      <c r="L3730" t="str">
        <f>IF(COUNTIF(role_course_map[mapping_key],role_course_map[[#This Row],[mapping_key]])&gt;1,"DUPLICATE","OK")</f>
        <v>DUPLICATE</v>
      </c>
      <c r="M3730" t="str">
        <f>IF(COUNTIF(role_data[role_id],role_course_map[[#This Row],[role_id]])=0, "INVALID","VALID")</f>
        <v>INVALID</v>
      </c>
      <c r="N3730" t="str">
        <f>IF(COUNTIF(course_data[course_id],role_course_map[[#This Row],[course_id]])=0, "INVALID","VALID")</f>
        <v>INVALID</v>
      </c>
    </row>
    <row r="3731" spans="2:14" x14ac:dyDescent="0.35">
      <c r="B3731" s="5" t="str">
        <f>_xlfn.XLOOKUP(role_course_map[[#This Row],[role_id]], role_data[role_id], role_data[Role],"")</f>
        <v/>
      </c>
      <c r="D3731" s="5" t="str">
        <f>_xlfn.XLOOKUP(role_course_map[[#This Row],[course_id]],course_data[course_id],course_data[title],"")</f>
        <v/>
      </c>
      <c r="E3731" s="5" t="str">
        <f>_xlfn.XLOOKUP(role_course_map[[#This Row],[course_id]],course_data[course_id],course_data[topic],"")</f>
        <v/>
      </c>
      <c r="F3731" s="5" t="str">
        <f>_xlfn.XLOOKUP(role_course_map[[#This Row],[course_id]],course_data[course_id],course_data[type],"")</f>
        <v/>
      </c>
      <c r="K3731" t="str">
        <f>role_course_map[[#This Row],[role_id]] &amp; "|" &amp; role_course_map[[#This Row],[course_id]]</f>
        <v>|</v>
      </c>
      <c r="L3731" t="str">
        <f>IF(COUNTIF(role_course_map[mapping_key],role_course_map[[#This Row],[mapping_key]])&gt;1,"DUPLICATE","OK")</f>
        <v>DUPLICATE</v>
      </c>
      <c r="M3731" t="str">
        <f>IF(COUNTIF(role_data[role_id],role_course_map[[#This Row],[role_id]])=0, "INVALID","VALID")</f>
        <v>INVALID</v>
      </c>
      <c r="N3731" t="str">
        <f>IF(COUNTIF(course_data[course_id],role_course_map[[#This Row],[course_id]])=0, "INVALID","VALID")</f>
        <v>INVALID</v>
      </c>
    </row>
    <row r="3732" spans="2:14" x14ac:dyDescent="0.35">
      <c r="B3732" s="5" t="str">
        <f>_xlfn.XLOOKUP(role_course_map[[#This Row],[role_id]], role_data[role_id], role_data[Role],"")</f>
        <v/>
      </c>
      <c r="D3732" s="5" t="str">
        <f>_xlfn.XLOOKUP(role_course_map[[#This Row],[course_id]],course_data[course_id],course_data[title],"")</f>
        <v/>
      </c>
      <c r="E3732" s="5" t="str">
        <f>_xlfn.XLOOKUP(role_course_map[[#This Row],[course_id]],course_data[course_id],course_data[topic],"")</f>
        <v/>
      </c>
      <c r="F3732" s="5" t="str">
        <f>_xlfn.XLOOKUP(role_course_map[[#This Row],[course_id]],course_data[course_id],course_data[type],"")</f>
        <v/>
      </c>
      <c r="K3732" t="str">
        <f>role_course_map[[#This Row],[role_id]] &amp; "|" &amp; role_course_map[[#This Row],[course_id]]</f>
        <v>|</v>
      </c>
      <c r="L3732" t="str">
        <f>IF(COUNTIF(role_course_map[mapping_key],role_course_map[[#This Row],[mapping_key]])&gt;1,"DUPLICATE","OK")</f>
        <v>DUPLICATE</v>
      </c>
      <c r="M3732" t="str">
        <f>IF(COUNTIF(role_data[role_id],role_course_map[[#This Row],[role_id]])=0, "INVALID","VALID")</f>
        <v>INVALID</v>
      </c>
      <c r="N3732" t="str">
        <f>IF(COUNTIF(course_data[course_id],role_course_map[[#This Row],[course_id]])=0, "INVALID","VALID")</f>
        <v>INVALID</v>
      </c>
    </row>
    <row r="3733" spans="2:14" x14ac:dyDescent="0.35">
      <c r="B3733" s="5" t="str">
        <f>_xlfn.XLOOKUP(role_course_map[[#This Row],[role_id]], role_data[role_id], role_data[Role],"")</f>
        <v/>
      </c>
      <c r="D3733" s="5" t="str">
        <f>_xlfn.XLOOKUP(role_course_map[[#This Row],[course_id]],course_data[course_id],course_data[title],"")</f>
        <v/>
      </c>
      <c r="E3733" s="5" t="str">
        <f>_xlfn.XLOOKUP(role_course_map[[#This Row],[course_id]],course_data[course_id],course_data[topic],"")</f>
        <v/>
      </c>
      <c r="F3733" s="5" t="str">
        <f>_xlfn.XLOOKUP(role_course_map[[#This Row],[course_id]],course_data[course_id],course_data[type],"")</f>
        <v/>
      </c>
      <c r="K3733" t="str">
        <f>role_course_map[[#This Row],[role_id]] &amp; "|" &amp; role_course_map[[#This Row],[course_id]]</f>
        <v>|</v>
      </c>
      <c r="L3733" t="str">
        <f>IF(COUNTIF(role_course_map[mapping_key],role_course_map[[#This Row],[mapping_key]])&gt;1,"DUPLICATE","OK")</f>
        <v>DUPLICATE</v>
      </c>
      <c r="M3733" t="str">
        <f>IF(COUNTIF(role_data[role_id],role_course_map[[#This Row],[role_id]])=0, "INVALID","VALID")</f>
        <v>INVALID</v>
      </c>
      <c r="N3733" t="str">
        <f>IF(COUNTIF(course_data[course_id],role_course_map[[#This Row],[course_id]])=0, "INVALID","VALID")</f>
        <v>INVALID</v>
      </c>
    </row>
    <row r="3734" spans="2:14" x14ac:dyDescent="0.35">
      <c r="B3734" s="5" t="str">
        <f>_xlfn.XLOOKUP(role_course_map[[#This Row],[role_id]], role_data[role_id], role_data[Role],"")</f>
        <v/>
      </c>
      <c r="D3734" s="5" t="str">
        <f>_xlfn.XLOOKUP(role_course_map[[#This Row],[course_id]],course_data[course_id],course_data[title],"")</f>
        <v/>
      </c>
      <c r="E3734" s="5" t="str">
        <f>_xlfn.XLOOKUP(role_course_map[[#This Row],[course_id]],course_data[course_id],course_data[topic],"")</f>
        <v/>
      </c>
      <c r="F3734" s="5" t="str">
        <f>_xlfn.XLOOKUP(role_course_map[[#This Row],[course_id]],course_data[course_id],course_data[type],"")</f>
        <v/>
      </c>
      <c r="K3734" t="str">
        <f>role_course_map[[#This Row],[role_id]] &amp; "|" &amp; role_course_map[[#This Row],[course_id]]</f>
        <v>|</v>
      </c>
      <c r="L3734" t="str">
        <f>IF(COUNTIF(role_course_map[mapping_key],role_course_map[[#This Row],[mapping_key]])&gt;1,"DUPLICATE","OK")</f>
        <v>DUPLICATE</v>
      </c>
      <c r="M3734" t="str">
        <f>IF(COUNTIF(role_data[role_id],role_course_map[[#This Row],[role_id]])=0, "INVALID","VALID")</f>
        <v>INVALID</v>
      </c>
      <c r="N3734" t="str">
        <f>IF(COUNTIF(course_data[course_id],role_course_map[[#This Row],[course_id]])=0, "INVALID","VALID")</f>
        <v>INVALID</v>
      </c>
    </row>
    <row r="3735" spans="2:14" x14ac:dyDescent="0.35">
      <c r="B3735" s="5" t="str">
        <f>_xlfn.XLOOKUP(role_course_map[[#This Row],[role_id]], role_data[role_id], role_data[Role],"")</f>
        <v/>
      </c>
      <c r="D3735" s="5" t="str">
        <f>_xlfn.XLOOKUP(role_course_map[[#This Row],[course_id]],course_data[course_id],course_data[title],"")</f>
        <v/>
      </c>
      <c r="E3735" s="5" t="str">
        <f>_xlfn.XLOOKUP(role_course_map[[#This Row],[course_id]],course_data[course_id],course_data[topic],"")</f>
        <v/>
      </c>
      <c r="F3735" s="5" t="str">
        <f>_xlfn.XLOOKUP(role_course_map[[#This Row],[course_id]],course_data[course_id],course_data[type],"")</f>
        <v/>
      </c>
      <c r="K3735" t="str">
        <f>role_course_map[[#This Row],[role_id]] &amp; "|" &amp; role_course_map[[#This Row],[course_id]]</f>
        <v>|</v>
      </c>
      <c r="L3735" t="str">
        <f>IF(COUNTIF(role_course_map[mapping_key],role_course_map[[#This Row],[mapping_key]])&gt;1,"DUPLICATE","OK")</f>
        <v>DUPLICATE</v>
      </c>
      <c r="M3735" t="str">
        <f>IF(COUNTIF(role_data[role_id],role_course_map[[#This Row],[role_id]])=0, "INVALID","VALID")</f>
        <v>INVALID</v>
      </c>
      <c r="N3735" t="str">
        <f>IF(COUNTIF(course_data[course_id],role_course_map[[#This Row],[course_id]])=0, "INVALID","VALID")</f>
        <v>INVALID</v>
      </c>
    </row>
    <row r="3736" spans="2:14" x14ac:dyDescent="0.35">
      <c r="B3736" s="5" t="str">
        <f>_xlfn.XLOOKUP(role_course_map[[#This Row],[role_id]], role_data[role_id], role_data[Role],"")</f>
        <v/>
      </c>
      <c r="D3736" s="5" t="str">
        <f>_xlfn.XLOOKUP(role_course_map[[#This Row],[course_id]],course_data[course_id],course_data[title],"")</f>
        <v/>
      </c>
      <c r="E3736" s="5" t="str">
        <f>_xlfn.XLOOKUP(role_course_map[[#This Row],[course_id]],course_data[course_id],course_data[topic],"")</f>
        <v/>
      </c>
      <c r="F3736" s="5" t="str">
        <f>_xlfn.XLOOKUP(role_course_map[[#This Row],[course_id]],course_data[course_id],course_data[type],"")</f>
        <v/>
      </c>
      <c r="K3736" t="str">
        <f>role_course_map[[#This Row],[role_id]] &amp; "|" &amp; role_course_map[[#This Row],[course_id]]</f>
        <v>|</v>
      </c>
      <c r="L3736" t="str">
        <f>IF(COUNTIF(role_course_map[mapping_key],role_course_map[[#This Row],[mapping_key]])&gt;1,"DUPLICATE","OK")</f>
        <v>DUPLICATE</v>
      </c>
      <c r="M3736" t="str">
        <f>IF(COUNTIF(role_data[role_id],role_course_map[[#This Row],[role_id]])=0, "INVALID","VALID")</f>
        <v>INVALID</v>
      </c>
      <c r="N3736" t="str">
        <f>IF(COUNTIF(course_data[course_id],role_course_map[[#This Row],[course_id]])=0, "INVALID","VALID")</f>
        <v>INVALID</v>
      </c>
    </row>
    <row r="3737" spans="2:14" x14ac:dyDescent="0.35">
      <c r="B3737" s="5" t="str">
        <f>_xlfn.XLOOKUP(role_course_map[[#This Row],[role_id]], role_data[role_id], role_data[Role],"")</f>
        <v/>
      </c>
      <c r="D3737" s="5" t="str">
        <f>_xlfn.XLOOKUP(role_course_map[[#This Row],[course_id]],course_data[course_id],course_data[title],"")</f>
        <v/>
      </c>
      <c r="E3737" s="5" t="str">
        <f>_xlfn.XLOOKUP(role_course_map[[#This Row],[course_id]],course_data[course_id],course_data[topic],"")</f>
        <v/>
      </c>
      <c r="F3737" s="5" t="str">
        <f>_xlfn.XLOOKUP(role_course_map[[#This Row],[course_id]],course_data[course_id],course_data[type],"")</f>
        <v/>
      </c>
      <c r="K3737" t="str">
        <f>role_course_map[[#This Row],[role_id]] &amp; "|" &amp; role_course_map[[#This Row],[course_id]]</f>
        <v>|</v>
      </c>
      <c r="L3737" t="str">
        <f>IF(COUNTIF(role_course_map[mapping_key],role_course_map[[#This Row],[mapping_key]])&gt;1,"DUPLICATE","OK")</f>
        <v>DUPLICATE</v>
      </c>
      <c r="M3737" t="str">
        <f>IF(COUNTIF(role_data[role_id],role_course_map[[#This Row],[role_id]])=0, "INVALID","VALID")</f>
        <v>INVALID</v>
      </c>
      <c r="N3737" t="str">
        <f>IF(COUNTIF(course_data[course_id],role_course_map[[#This Row],[course_id]])=0, "INVALID","VALID")</f>
        <v>INVALID</v>
      </c>
    </row>
    <row r="3738" spans="2:14" x14ac:dyDescent="0.35">
      <c r="B3738" s="5" t="str">
        <f>_xlfn.XLOOKUP(role_course_map[[#This Row],[role_id]], role_data[role_id], role_data[Role],"")</f>
        <v/>
      </c>
      <c r="D3738" s="5" t="str">
        <f>_xlfn.XLOOKUP(role_course_map[[#This Row],[course_id]],course_data[course_id],course_data[title],"")</f>
        <v/>
      </c>
      <c r="E3738" s="5" t="str">
        <f>_xlfn.XLOOKUP(role_course_map[[#This Row],[course_id]],course_data[course_id],course_data[topic],"")</f>
        <v/>
      </c>
      <c r="F3738" s="5" t="str">
        <f>_xlfn.XLOOKUP(role_course_map[[#This Row],[course_id]],course_data[course_id],course_data[type],"")</f>
        <v/>
      </c>
      <c r="K3738" t="str">
        <f>role_course_map[[#This Row],[role_id]] &amp; "|" &amp; role_course_map[[#This Row],[course_id]]</f>
        <v>|</v>
      </c>
      <c r="L3738" t="str">
        <f>IF(COUNTIF(role_course_map[mapping_key],role_course_map[[#This Row],[mapping_key]])&gt;1,"DUPLICATE","OK")</f>
        <v>DUPLICATE</v>
      </c>
      <c r="M3738" t="str">
        <f>IF(COUNTIF(role_data[role_id],role_course_map[[#This Row],[role_id]])=0, "INVALID","VALID")</f>
        <v>INVALID</v>
      </c>
      <c r="N3738" t="str">
        <f>IF(COUNTIF(course_data[course_id],role_course_map[[#This Row],[course_id]])=0, "INVALID","VALID")</f>
        <v>INVALID</v>
      </c>
    </row>
    <row r="3739" spans="2:14" x14ac:dyDescent="0.35">
      <c r="B3739" s="5" t="str">
        <f>_xlfn.XLOOKUP(role_course_map[[#This Row],[role_id]], role_data[role_id], role_data[Role],"")</f>
        <v/>
      </c>
      <c r="D3739" s="5" t="str">
        <f>_xlfn.XLOOKUP(role_course_map[[#This Row],[course_id]],course_data[course_id],course_data[title],"")</f>
        <v/>
      </c>
      <c r="E3739" s="5" t="str">
        <f>_xlfn.XLOOKUP(role_course_map[[#This Row],[course_id]],course_data[course_id],course_data[topic],"")</f>
        <v/>
      </c>
      <c r="F3739" s="5" t="str">
        <f>_xlfn.XLOOKUP(role_course_map[[#This Row],[course_id]],course_data[course_id],course_data[type],"")</f>
        <v/>
      </c>
      <c r="K3739" t="str">
        <f>role_course_map[[#This Row],[role_id]] &amp; "|" &amp; role_course_map[[#This Row],[course_id]]</f>
        <v>|</v>
      </c>
      <c r="L3739" t="str">
        <f>IF(COUNTIF(role_course_map[mapping_key],role_course_map[[#This Row],[mapping_key]])&gt;1,"DUPLICATE","OK")</f>
        <v>DUPLICATE</v>
      </c>
      <c r="M3739" t="str">
        <f>IF(COUNTIF(role_data[role_id],role_course_map[[#This Row],[role_id]])=0, "INVALID","VALID")</f>
        <v>INVALID</v>
      </c>
      <c r="N3739" t="str">
        <f>IF(COUNTIF(course_data[course_id],role_course_map[[#This Row],[course_id]])=0, "INVALID","VALID")</f>
        <v>INVALID</v>
      </c>
    </row>
    <row r="3740" spans="2:14" x14ac:dyDescent="0.35">
      <c r="B3740" s="5" t="str">
        <f>_xlfn.XLOOKUP(role_course_map[[#This Row],[role_id]], role_data[role_id], role_data[Role],"")</f>
        <v/>
      </c>
      <c r="D3740" s="5" t="str">
        <f>_xlfn.XLOOKUP(role_course_map[[#This Row],[course_id]],course_data[course_id],course_data[title],"")</f>
        <v/>
      </c>
      <c r="E3740" s="5" t="str">
        <f>_xlfn.XLOOKUP(role_course_map[[#This Row],[course_id]],course_data[course_id],course_data[topic],"")</f>
        <v/>
      </c>
      <c r="F3740" s="5" t="str">
        <f>_xlfn.XLOOKUP(role_course_map[[#This Row],[course_id]],course_data[course_id],course_data[type],"")</f>
        <v/>
      </c>
      <c r="K3740" t="str">
        <f>role_course_map[[#This Row],[role_id]] &amp; "|" &amp; role_course_map[[#This Row],[course_id]]</f>
        <v>|</v>
      </c>
      <c r="L3740" t="str">
        <f>IF(COUNTIF(role_course_map[mapping_key],role_course_map[[#This Row],[mapping_key]])&gt;1,"DUPLICATE","OK")</f>
        <v>DUPLICATE</v>
      </c>
      <c r="M3740" t="str">
        <f>IF(COUNTIF(role_data[role_id],role_course_map[[#This Row],[role_id]])=0, "INVALID","VALID")</f>
        <v>INVALID</v>
      </c>
      <c r="N3740" t="str">
        <f>IF(COUNTIF(course_data[course_id],role_course_map[[#This Row],[course_id]])=0, "INVALID","VALID")</f>
        <v>INVALID</v>
      </c>
    </row>
    <row r="3741" spans="2:14" x14ac:dyDescent="0.35">
      <c r="B3741" s="5" t="str">
        <f>_xlfn.XLOOKUP(role_course_map[[#This Row],[role_id]], role_data[role_id], role_data[Role],"")</f>
        <v/>
      </c>
      <c r="D3741" s="5" t="str">
        <f>_xlfn.XLOOKUP(role_course_map[[#This Row],[course_id]],course_data[course_id],course_data[title],"")</f>
        <v/>
      </c>
      <c r="E3741" s="5" t="str">
        <f>_xlfn.XLOOKUP(role_course_map[[#This Row],[course_id]],course_data[course_id],course_data[topic],"")</f>
        <v/>
      </c>
      <c r="F3741" s="5" t="str">
        <f>_xlfn.XLOOKUP(role_course_map[[#This Row],[course_id]],course_data[course_id],course_data[type],"")</f>
        <v/>
      </c>
      <c r="K3741" t="str">
        <f>role_course_map[[#This Row],[role_id]] &amp; "|" &amp; role_course_map[[#This Row],[course_id]]</f>
        <v>|</v>
      </c>
      <c r="L3741" t="str">
        <f>IF(COUNTIF(role_course_map[mapping_key],role_course_map[[#This Row],[mapping_key]])&gt;1,"DUPLICATE","OK")</f>
        <v>DUPLICATE</v>
      </c>
      <c r="M3741" t="str">
        <f>IF(COUNTIF(role_data[role_id],role_course_map[[#This Row],[role_id]])=0, "INVALID","VALID")</f>
        <v>INVALID</v>
      </c>
      <c r="N3741" t="str">
        <f>IF(COUNTIF(course_data[course_id],role_course_map[[#This Row],[course_id]])=0, "INVALID","VALID")</f>
        <v>INVALID</v>
      </c>
    </row>
    <row r="3742" spans="2:14" x14ac:dyDescent="0.35">
      <c r="B3742" s="5" t="str">
        <f>_xlfn.XLOOKUP(role_course_map[[#This Row],[role_id]], role_data[role_id], role_data[Role],"")</f>
        <v/>
      </c>
      <c r="D3742" s="5" t="str">
        <f>_xlfn.XLOOKUP(role_course_map[[#This Row],[course_id]],course_data[course_id],course_data[title],"")</f>
        <v/>
      </c>
      <c r="E3742" s="5" t="str">
        <f>_xlfn.XLOOKUP(role_course_map[[#This Row],[course_id]],course_data[course_id],course_data[topic],"")</f>
        <v/>
      </c>
      <c r="F3742" s="5" t="str">
        <f>_xlfn.XLOOKUP(role_course_map[[#This Row],[course_id]],course_data[course_id],course_data[type],"")</f>
        <v/>
      </c>
      <c r="K3742" t="str">
        <f>role_course_map[[#This Row],[role_id]] &amp; "|" &amp; role_course_map[[#This Row],[course_id]]</f>
        <v>|</v>
      </c>
      <c r="L3742" t="str">
        <f>IF(COUNTIF(role_course_map[mapping_key],role_course_map[[#This Row],[mapping_key]])&gt;1,"DUPLICATE","OK")</f>
        <v>DUPLICATE</v>
      </c>
      <c r="M3742" t="str">
        <f>IF(COUNTIF(role_data[role_id],role_course_map[[#This Row],[role_id]])=0, "INVALID","VALID")</f>
        <v>INVALID</v>
      </c>
      <c r="N3742" t="str">
        <f>IF(COUNTIF(course_data[course_id],role_course_map[[#This Row],[course_id]])=0, "INVALID","VALID")</f>
        <v>INVALID</v>
      </c>
    </row>
    <row r="3743" spans="2:14" x14ac:dyDescent="0.35">
      <c r="B3743" s="5" t="str">
        <f>_xlfn.XLOOKUP(role_course_map[[#This Row],[role_id]], role_data[role_id], role_data[Role],"")</f>
        <v/>
      </c>
      <c r="D3743" s="5" t="str">
        <f>_xlfn.XLOOKUP(role_course_map[[#This Row],[course_id]],course_data[course_id],course_data[title],"")</f>
        <v/>
      </c>
      <c r="E3743" s="5" t="str">
        <f>_xlfn.XLOOKUP(role_course_map[[#This Row],[course_id]],course_data[course_id],course_data[topic],"")</f>
        <v/>
      </c>
      <c r="F3743" s="5" t="str">
        <f>_xlfn.XLOOKUP(role_course_map[[#This Row],[course_id]],course_data[course_id],course_data[type],"")</f>
        <v/>
      </c>
      <c r="K3743" t="str">
        <f>role_course_map[[#This Row],[role_id]] &amp; "|" &amp; role_course_map[[#This Row],[course_id]]</f>
        <v>|</v>
      </c>
      <c r="L3743" t="str">
        <f>IF(COUNTIF(role_course_map[mapping_key],role_course_map[[#This Row],[mapping_key]])&gt;1,"DUPLICATE","OK")</f>
        <v>DUPLICATE</v>
      </c>
      <c r="M3743" t="str">
        <f>IF(COUNTIF(role_data[role_id],role_course_map[[#This Row],[role_id]])=0, "INVALID","VALID")</f>
        <v>INVALID</v>
      </c>
      <c r="N3743" t="str">
        <f>IF(COUNTIF(course_data[course_id],role_course_map[[#This Row],[course_id]])=0, "INVALID","VALID")</f>
        <v>INVALID</v>
      </c>
    </row>
    <row r="3744" spans="2:14" x14ac:dyDescent="0.35">
      <c r="B3744" s="5" t="str">
        <f>_xlfn.XLOOKUP(role_course_map[[#This Row],[role_id]], role_data[role_id], role_data[Role],"")</f>
        <v/>
      </c>
      <c r="D3744" s="5" t="str">
        <f>_xlfn.XLOOKUP(role_course_map[[#This Row],[course_id]],course_data[course_id],course_data[title],"")</f>
        <v/>
      </c>
      <c r="E3744" s="5" t="str">
        <f>_xlfn.XLOOKUP(role_course_map[[#This Row],[course_id]],course_data[course_id],course_data[topic],"")</f>
        <v/>
      </c>
      <c r="F3744" s="5" t="str">
        <f>_xlfn.XLOOKUP(role_course_map[[#This Row],[course_id]],course_data[course_id],course_data[type],"")</f>
        <v/>
      </c>
      <c r="K3744" t="str">
        <f>role_course_map[[#This Row],[role_id]] &amp; "|" &amp; role_course_map[[#This Row],[course_id]]</f>
        <v>|</v>
      </c>
      <c r="L3744" t="str">
        <f>IF(COUNTIF(role_course_map[mapping_key],role_course_map[[#This Row],[mapping_key]])&gt;1,"DUPLICATE","OK")</f>
        <v>DUPLICATE</v>
      </c>
      <c r="M3744" t="str">
        <f>IF(COUNTIF(role_data[role_id],role_course_map[[#This Row],[role_id]])=0, "INVALID","VALID")</f>
        <v>INVALID</v>
      </c>
      <c r="N3744" t="str">
        <f>IF(COUNTIF(course_data[course_id],role_course_map[[#This Row],[course_id]])=0, "INVALID","VALID")</f>
        <v>INVALID</v>
      </c>
    </row>
    <row r="3745" spans="2:14" x14ac:dyDescent="0.35">
      <c r="B3745" s="5" t="str">
        <f>_xlfn.XLOOKUP(role_course_map[[#This Row],[role_id]], role_data[role_id], role_data[Role],"")</f>
        <v/>
      </c>
      <c r="D3745" s="5" t="str">
        <f>_xlfn.XLOOKUP(role_course_map[[#This Row],[course_id]],course_data[course_id],course_data[title],"")</f>
        <v/>
      </c>
      <c r="E3745" s="5" t="str">
        <f>_xlfn.XLOOKUP(role_course_map[[#This Row],[course_id]],course_data[course_id],course_data[topic],"")</f>
        <v/>
      </c>
      <c r="F3745" s="5" t="str">
        <f>_xlfn.XLOOKUP(role_course_map[[#This Row],[course_id]],course_data[course_id],course_data[type],"")</f>
        <v/>
      </c>
      <c r="K3745" t="str">
        <f>role_course_map[[#This Row],[role_id]] &amp; "|" &amp; role_course_map[[#This Row],[course_id]]</f>
        <v>|</v>
      </c>
      <c r="L3745" t="str">
        <f>IF(COUNTIF(role_course_map[mapping_key],role_course_map[[#This Row],[mapping_key]])&gt;1,"DUPLICATE","OK")</f>
        <v>DUPLICATE</v>
      </c>
      <c r="M3745" t="str">
        <f>IF(COUNTIF(role_data[role_id],role_course_map[[#This Row],[role_id]])=0, "INVALID","VALID")</f>
        <v>INVALID</v>
      </c>
      <c r="N3745" t="str">
        <f>IF(COUNTIF(course_data[course_id],role_course_map[[#This Row],[course_id]])=0, "INVALID","VALID")</f>
        <v>INVALID</v>
      </c>
    </row>
    <row r="3746" spans="2:14" x14ac:dyDescent="0.35">
      <c r="B3746" s="5" t="str">
        <f>_xlfn.XLOOKUP(role_course_map[[#This Row],[role_id]], role_data[role_id], role_data[Role],"")</f>
        <v/>
      </c>
      <c r="D3746" s="5" t="str">
        <f>_xlfn.XLOOKUP(role_course_map[[#This Row],[course_id]],course_data[course_id],course_data[title],"")</f>
        <v/>
      </c>
      <c r="E3746" s="5" t="str">
        <f>_xlfn.XLOOKUP(role_course_map[[#This Row],[course_id]],course_data[course_id],course_data[topic],"")</f>
        <v/>
      </c>
      <c r="F3746" s="5" t="str">
        <f>_xlfn.XLOOKUP(role_course_map[[#This Row],[course_id]],course_data[course_id],course_data[type],"")</f>
        <v/>
      </c>
      <c r="K3746" t="str">
        <f>role_course_map[[#This Row],[role_id]] &amp; "|" &amp; role_course_map[[#This Row],[course_id]]</f>
        <v>|</v>
      </c>
      <c r="L3746" t="str">
        <f>IF(COUNTIF(role_course_map[mapping_key],role_course_map[[#This Row],[mapping_key]])&gt;1,"DUPLICATE","OK")</f>
        <v>DUPLICATE</v>
      </c>
      <c r="M3746" t="str">
        <f>IF(COUNTIF(role_data[role_id],role_course_map[[#This Row],[role_id]])=0, "INVALID","VALID")</f>
        <v>INVALID</v>
      </c>
      <c r="N3746" t="str">
        <f>IF(COUNTIF(course_data[course_id],role_course_map[[#This Row],[course_id]])=0, "INVALID","VALID")</f>
        <v>INVALID</v>
      </c>
    </row>
    <row r="3747" spans="2:14" x14ac:dyDescent="0.35">
      <c r="B3747" s="5" t="str">
        <f>_xlfn.XLOOKUP(role_course_map[[#This Row],[role_id]], role_data[role_id], role_data[Role],"")</f>
        <v/>
      </c>
      <c r="D3747" s="5" t="str">
        <f>_xlfn.XLOOKUP(role_course_map[[#This Row],[course_id]],course_data[course_id],course_data[title],"")</f>
        <v/>
      </c>
      <c r="E3747" s="5" t="str">
        <f>_xlfn.XLOOKUP(role_course_map[[#This Row],[course_id]],course_data[course_id],course_data[topic],"")</f>
        <v/>
      </c>
      <c r="F3747" s="5" t="str">
        <f>_xlfn.XLOOKUP(role_course_map[[#This Row],[course_id]],course_data[course_id],course_data[type],"")</f>
        <v/>
      </c>
      <c r="K3747" t="str">
        <f>role_course_map[[#This Row],[role_id]] &amp; "|" &amp; role_course_map[[#This Row],[course_id]]</f>
        <v>|</v>
      </c>
      <c r="L3747" t="str">
        <f>IF(COUNTIF(role_course_map[mapping_key],role_course_map[[#This Row],[mapping_key]])&gt;1,"DUPLICATE","OK")</f>
        <v>DUPLICATE</v>
      </c>
      <c r="M3747" t="str">
        <f>IF(COUNTIF(role_data[role_id],role_course_map[[#This Row],[role_id]])=0, "INVALID","VALID")</f>
        <v>INVALID</v>
      </c>
      <c r="N3747" t="str">
        <f>IF(COUNTIF(course_data[course_id],role_course_map[[#This Row],[course_id]])=0, "INVALID","VALID")</f>
        <v>INVALID</v>
      </c>
    </row>
    <row r="3748" spans="2:14" x14ac:dyDescent="0.35">
      <c r="B3748" s="5" t="str">
        <f>_xlfn.XLOOKUP(role_course_map[[#This Row],[role_id]], role_data[role_id], role_data[Role],"")</f>
        <v/>
      </c>
      <c r="D3748" s="5" t="str">
        <f>_xlfn.XLOOKUP(role_course_map[[#This Row],[course_id]],course_data[course_id],course_data[title],"")</f>
        <v/>
      </c>
      <c r="E3748" s="5" t="str">
        <f>_xlfn.XLOOKUP(role_course_map[[#This Row],[course_id]],course_data[course_id],course_data[topic],"")</f>
        <v/>
      </c>
      <c r="F3748" s="5" t="str">
        <f>_xlfn.XLOOKUP(role_course_map[[#This Row],[course_id]],course_data[course_id],course_data[type],"")</f>
        <v/>
      </c>
      <c r="K3748" t="str">
        <f>role_course_map[[#This Row],[role_id]] &amp; "|" &amp; role_course_map[[#This Row],[course_id]]</f>
        <v>|</v>
      </c>
      <c r="L3748" t="str">
        <f>IF(COUNTIF(role_course_map[mapping_key],role_course_map[[#This Row],[mapping_key]])&gt;1,"DUPLICATE","OK")</f>
        <v>DUPLICATE</v>
      </c>
      <c r="M3748" t="str">
        <f>IF(COUNTIF(role_data[role_id],role_course_map[[#This Row],[role_id]])=0, "INVALID","VALID")</f>
        <v>INVALID</v>
      </c>
      <c r="N3748" t="str">
        <f>IF(COUNTIF(course_data[course_id],role_course_map[[#This Row],[course_id]])=0, "INVALID","VALID")</f>
        <v>INVALID</v>
      </c>
    </row>
    <row r="3749" spans="2:14" x14ac:dyDescent="0.35">
      <c r="B3749" s="5" t="str">
        <f>_xlfn.XLOOKUP(role_course_map[[#This Row],[role_id]], role_data[role_id], role_data[Role],"")</f>
        <v/>
      </c>
      <c r="D3749" s="5" t="str">
        <f>_xlfn.XLOOKUP(role_course_map[[#This Row],[course_id]],course_data[course_id],course_data[title],"")</f>
        <v/>
      </c>
      <c r="E3749" s="5" t="str">
        <f>_xlfn.XLOOKUP(role_course_map[[#This Row],[course_id]],course_data[course_id],course_data[topic],"")</f>
        <v/>
      </c>
      <c r="F3749" s="5" t="str">
        <f>_xlfn.XLOOKUP(role_course_map[[#This Row],[course_id]],course_data[course_id],course_data[type],"")</f>
        <v/>
      </c>
      <c r="K3749" t="str">
        <f>role_course_map[[#This Row],[role_id]] &amp; "|" &amp; role_course_map[[#This Row],[course_id]]</f>
        <v>|</v>
      </c>
      <c r="L3749" t="str">
        <f>IF(COUNTIF(role_course_map[mapping_key],role_course_map[[#This Row],[mapping_key]])&gt;1,"DUPLICATE","OK")</f>
        <v>DUPLICATE</v>
      </c>
      <c r="M3749" t="str">
        <f>IF(COUNTIF(role_data[role_id],role_course_map[[#This Row],[role_id]])=0, "INVALID","VALID")</f>
        <v>INVALID</v>
      </c>
      <c r="N3749" t="str">
        <f>IF(COUNTIF(course_data[course_id],role_course_map[[#This Row],[course_id]])=0, "INVALID","VALID")</f>
        <v>INVALID</v>
      </c>
    </row>
    <row r="3750" spans="2:14" x14ac:dyDescent="0.35">
      <c r="B3750" s="5" t="str">
        <f>_xlfn.XLOOKUP(role_course_map[[#This Row],[role_id]], role_data[role_id], role_data[Role],"")</f>
        <v/>
      </c>
      <c r="D3750" s="5" t="str">
        <f>_xlfn.XLOOKUP(role_course_map[[#This Row],[course_id]],course_data[course_id],course_data[title],"")</f>
        <v/>
      </c>
      <c r="E3750" s="5" t="str">
        <f>_xlfn.XLOOKUP(role_course_map[[#This Row],[course_id]],course_data[course_id],course_data[topic],"")</f>
        <v/>
      </c>
      <c r="F3750" s="5" t="str">
        <f>_xlfn.XLOOKUP(role_course_map[[#This Row],[course_id]],course_data[course_id],course_data[type],"")</f>
        <v/>
      </c>
      <c r="K3750" t="str">
        <f>role_course_map[[#This Row],[role_id]] &amp; "|" &amp; role_course_map[[#This Row],[course_id]]</f>
        <v>|</v>
      </c>
      <c r="L3750" t="str">
        <f>IF(COUNTIF(role_course_map[mapping_key],role_course_map[[#This Row],[mapping_key]])&gt;1,"DUPLICATE","OK")</f>
        <v>DUPLICATE</v>
      </c>
      <c r="M3750" t="str">
        <f>IF(COUNTIF(role_data[role_id],role_course_map[[#This Row],[role_id]])=0, "INVALID","VALID")</f>
        <v>INVALID</v>
      </c>
      <c r="N3750" t="str">
        <f>IF(COUNTIF(course_data[course_id],role_course_map[[#This Row],[course_id]])=0, "INVALID","VALID")</f>
        <v>INVALID</v>
      </c>
    </row>
    <row r="3751" spans="2:14" x14ac:dyDescent="0.35">
      <c r="B3751" s="5" t="str">
        <f>_xlfn.XLOOKUP(role_course_map[[#This Row],[role_id]], role_data[role_id], role_data[Role],"")</f>
        <v/>
      </c>
      <c r="D3751" s="5" t="str">
        <f>_xlfn.XLOOKUP(role_course_map[[#This Row],[course_id]],course_data[course_id],course_data[title],"")</f>
        <v/>
      </c>
      <c r="E3751" s="5" t="str">
        <f>_xlfn.XLOOKUP(role_course_map[[#This Row],[course_id]],course_data[course_id],course_data[topic],"")</f>
        <v/>
      </c>
      <c r="F3751" s="5" t="str">
        <f>_xlfn.XLOOKUP(role_course_map[[#This Row],[course_id]],course_data[course_id],course_data[type],"")</f>
        <v/>
      </c>
      <c r="K3751" t="str">
        <f>role_course_map[[#This Row],[role_id]] &amp; "|" &amp; role_course_map[[#This Row],[course_id]]</f>
        <v>|</v>
      </c>
      <c r="L3751" t="str">
        <f>IF(COUNTIF(role_course_map[mapping_key],role_course_map[[#This Row],[mapping_key]])&gt;1,"DUPLICATE","OK")</f>
        <v>DUPLICATE</v>
      </c>
      <c r="M3751" t="str">
        <f>IF(COUNTIF(role_data[role_id],role_course_map[[#This Row],[role_id]])=0, "INVALID","VALID")</f>
        <v>INVALID</v>
      </c>
      <c r="N3751" t="str">
        <f>IF(COUNTIF(course_data[course_id],role_course_map[[#This Row],[course_id]])=0, "INVALID","VALID")</f>
        <v>INVALID</v>
      </c>
    </row>
    <row r="3752" spans="2:14" x14ac:dyDescent="0.35">
      <c r="B3752" s="5" t="str">
        <f>_xlfn.XLOOKUP(role_course_map[[#This Row],[role_id]], role_data[role_id], role_data[Role],"")</f>
        <v/>
      </c>
      <c r="D3752" s="5" t="str">
        <f>_xlfn.XLOOKUP(role_course_map[[#This Row],[course_id]],course_data[course_id],course_data[title],"")</f>
        <v/>
      </c>
      <c r="E3752" s="5" t="str">
        <f>_xlfn.XLOOKUP(role_course_map[[#This Row],[course_id]],course_data[course_id],course_data[topic],"")</f>
        <v/>
      </c>
      <c r="F3752" s="5" t="str">
        <f>_xlfn.XLOOKUP(role_course_map[[#This Row],[course_id]],course_data[course_id],course_data[type],"")</f>
        <v/>
      </c>
      <c r="K3752" t="str">
        <f>role_course_map[[#This Row],[role_id]] &amp; "|" &amp; role_course_map[[#This Row],[course_id]]</f>
        <v>|</v>
      </c>
      <c r="L3752" t="str">
        <f>IF(COUNTIF(role_course_map[mapping_key],role_course_map[[#This Row],[mapping_key]])&gt;1,"DUPLICATE","OK")</f>
        <v>DUPLICATE</v>
      </c>
      <c r="M3752" t="str">
        <f>IF(COUNTIF(role_data[role_id],role_course_map[[#This Row],[role_id]])=0, "INVALID","VALID")</f>
        <v>INVALID</v>
      </c>
      <c r="N3752" t="str">
        <f>IF(COUNTIF(course_data[course_id],role_course_map[[#This Row],[course_id]])=0, "INVALID","VALID")</f>
        <v>INVALID</v>
      </c>
    </row>
    <row r="3753" spans="2:14" x14ac:dyDescent="0.35">
      <c r="B3753" s="5" t="str">
        <f>_xlfn.XLOOKUP(role_course_map[[#This Row],[role_id]], role_data[role_id], role_data[Role],"")</f>
        <v/>
      </c>
      <c r="D3753" s="5" t="str">
        <f>_xlfn.XLOOKUP(role_course_map[[#This Row],[course_id]],course_data[course_id],course_data[title],"")</f>
        <v/>
      </c>
      <c r="E3753" s="5" t="str">
        <f>_xlfn.XLOOKUP(role_course_map[[#This Row],[course_id]],course_data[course_id],course_data[topic],"")</f>
        <v/>
      </c>
      <c r="F3753" s="5" t="str">
        <f>_xlfn.XLOOKUP(role_course_map[[#This Row],[course_id]],course_data[course_id],course_data[type],"")</f>
        <v/>
      </c>
      <c r="K3753" t="str">
        <f>role_course_map[[#This Row],[role_id]] &amp; "|" &amp; role_course_map[[#This Row],[course_id]]</f>
        <v>|</v>
      </c>
      <c r="L3753" t="str">
        <f>IF(COUNTIF(role_course_map[mapping_key],role_course_map[[#This Row],[mapping_key]])&gt;1,"DUPLICATE","OK")</f>
        <v>DUPLICATE</v>
      </c>
      <c r="M3753" t="str">
        <f>IF(COUNTIF(role_data[role_id],role_course_map[[#This Row],[role_id]])=0, "INVALID","VALID")</f>
        <v>INVALID</v>
      </c>
      <c r="N3753" t="str">
        <f>IF(COUNTIF(course_data[course_id],role_course_map[[#This Row],[course_id]])=0, "INVALID","VALID")</f>
        <v>INVALID</v>
      </c>
    </row>
    <row r="3754" spans="2:14" x14ac:dyDescent="0.35">
      <c r="B3754" s="5" t="str">
        <f>_xlfn.XLOOKUP(role_course_map[[#This Row],[role_id]], role_data[role_id], role_data[Role],"")</f>
        <v/>
      </c>
      <c r="D3754" s="5" t="str">
        <f>_xlfn.XLOOKUP(role_course_map[[#This Row],[course_id]],course_data[course_id],course_data[title],"")</f>
        <v/>
      </c>
      <c r="E3754" s="5" t="str">
        <f>_xlfn.XLOOKUP(role_course_map[[#This Row],[course_id]],course_data[course_id],course_data[topic],"")</f>
        <v/>
      </c>
      <c r="F3754" s="5" t="str">
        <f>_xlfn.XLOOKUP(role_course_map[[#This Row],[course_id]],course_data[course_id],course_data[type],"")</f>
        <v/>
      </c>
      <c r="K3754" t="str">
        <f>role_course_map[[#This Row],[role_id]] &amp; "|" &amp; role_course_map[[#This Row],[course_id]]</f>
        <v>|</v>
      </c>
      <c r="L3754" t="str">
        <f>IF(COUNTIF(role_course_map[mapping_key],role_course_map[[#This Row],[mapping_key]])&gt;1,"DUPLICATE","OK")</f>
        <v>DUPLICATE</v>
      </c>
      <c r="M3754" t="str">
        <f>IF(COUNTIF(role_data[role_id],role_course_map[[#This Row],[role_id]])=0, "INVALID","VALID")</f>
        <v>INVALID</v>
      </c>
      <c r="N3754" t="str">
        <f>IF(COUNTIF(course_data[course_id],role_course_map[[#This Row],[course_id]])=0, "INVALID","VALID")</f>
        <v>INVALID</v>
      </c>
    </row>
    <row r="3755" spans="2:14" x14ac:dyDescent="0.35">
      <c r="B3755" s="5" t="str">
        <f>_xlfn.XLOOKUP(role_course_map[[#This Row],[role_id]], role_data[role_id], role_data[Role],"")</f>
        <v/>
      </c>
      <c r="D3755" s="5" t="str">
        <f>_xlfn.XLOOKUP(role_course_map[[#This Row],[course_id]],course_data[course_id],course_data[title],"")</f>
        <v/>
      </c>
      <c r="E3755" s="5" t="str">
        <f>_xlfn.XLOOKUP(role_course_map[[#This Row],[course_id]],course_data[course_id],course_data[topic],"")</f>
        <v/>
      </c>
      <c r="F3755" s="5" t="str">
        <f>_xlfn.XLOOKUP(role_course_map[[#This Row],[course_id]],course_data[course_id],course_data[type],"")</f>
        <v/>
      </c>
      <c r="K3755" t="str">
        <f>role_course_map[[#This Row],[role_id]] &amp; "|" &amp; role_course_map[[#This Row],[course_id]]</f>
        <v>|</v>
      </c>
      <c r="L3755" t="str">
        <f>IF(COUNTIF(role_course_map[mapping_key],role_course_map[[#This Row],[mapping_key]])&gt;1,"DUPLICATE","OK")</f>
        <v>DUPLICATE</v>
      </c>
      <c r="M3755" t="str">
        <f>IF(COUNTIF(role_data[role_id],role_course_map[[#This Row],[role_id]])=0, "INVALID","VALID")</f>
        <v>INVALID</v>
      </c>
      <c r="N3755" t="str">
        <f>IF(COUNTIF(course_data[course_id],role_course_map[[#This Row],[course_id]])=0, "INVALID","VALID")</f>
        <v>INVALID</v>
      </c>
    </row>
    <row r="3756" spans="2:14" x14ac:dyDescent="0.35">
      <c r="B3756" s="5" t="str">
        <f>_xlfn.XLOOKUP(role_course_map[[#This Row],[role_id]], role_data[role_id], role_data[Role],"")</f>
        <v/>
      </c>
      <c r="D3756" s="5" t="str">
        <f>_xlfn.XLOOKUP(role_course_map[[#This Row],[course_id]],course_data[course_id],course_data[title],"")</f>
        <v/>
      </c>
      <c r="E3756" s="5" t="str">
        <f>_xlfn.XLOOKUP(role_course_map[[#This Row],[course_id]],course_data[course_id],course_data[topic],"")</f>
        <v/>
      </c>
      <c r="F3756" s="5" t="str">
        <f>_xlfn.XLOOKUP(role_course_map[[#This Row],[course_id]],course_data[course_id],course_data[type],"")</f>
        <v/>
      </c>
      <c r="K3756" t="str">
        <f>role_course_map[[#This Row],[role_id]] &amp; "|" &amp; role_course_map[[#This Row],[course_id]]</f>
        <v>|</v>
      </c>
      <c r="L3756" t="str">
        <f>IF(COUNTIF(role_course_map[mapping_key],role_course_map[[#This Row],[mapping_key]])&gt;1,"DUPLICATE","OK")</f>
        <v>DUPLICATE</v>
      </c>
      <c r="M3756" t="str">
        <f>IF(COUNTIF(role_data[role_id],role_course_map[[#This Row],[role_id]])=0, "INVALID","VALID")</f>
        <v>INVALID</v>
      </c>
      <c r="N3756" t="str">
        <f>IF(COUNTIF(course_data[course_id],role_course_map[[#This Row],[course_id]])=0, "INVALID","VALID")</f>
        <v>INVALID</v>
      </c>
    </row>
    <row r="3757" spans="2:14" x14ac:dyDescent="0.35">
      <c r="B3757" s="5" t="str">
        <f>_xlfn.XLOOKUP(role_course_map[[#This Row],[role_id]], role_data[role_id], role_data[Role],"")</f>
        <v/>
      </c>
      <c r="D3757" s="5" t="str">
        <f>_xlfn.XLOOKUP(role_course_map[[#This Row],[course_id]],course_data[course_id],course_data[title],"")</f>
        <v/>
      </c>
      <c r="E3757" s="5" t="str">
        <f>_xlfn.XLOOKUP(role_course_map[[#This Row],[course_id]],course_data[course_id],course_data[topic],"")</f>
        <v/>
      </c>
      <c r="F3757" s="5" t="str">
        <f>_xlfn.XLOOKUP(role_course_map[[#This Row],[course_id]],course_data[course_id],course_data[type],"")</f>
        <v/>
      </c>
      <c r="K3757" t="str">
        <f>role_course_map[[#This Row],[role_id]] &amp; "|" &amp; role_course_map[[#This Row],[course_id]]</f>
        <v>|</v>
      </c>
      <c r="L3757" t="str">
        <f>IF(COUNTIF(role_course_map[mapping_key],role_course_map[[#This Row],[mapping_key]])&gt;1,"DUPLICATE","OK")</f>
        <v>DUPLICATE</v>
      </c>
      <c r="M3757" t="str">
        <f>IF(COUNTIF(role_data[role_id],role_course_map[[#This Row],[role_id]])=0, "INVALID","VALID")</f>
        <v>INVALID</v>
      </c>
      <c r="N3757" t="str">
        <f>IF(COUNTIF(course_data[course_id],role_course_map[[#This Row],[course_id]])=0, "INVALID","VALID")</f>
        <v>INVALID</v>
      </c>
    </row>
    <row r="3758" spans="2:14" x14ac:dyDescent="0.35">
      <c r="B3758" s="5" t="str">
        <f>_xlfn.XLOOKUP(role_course_map[[#This Row],[role_id]], role_data[role_id], role_data[Role],"")</f>
        <v/>
      </c>
      <c r="D3758" s="5" t="str">
        <f>_xlfn.XLOOKUP(role_course_map[[#This Row],[course_id]],course_data[course_id],course_data[title],"")</f>
        <v/>
      </c>
      <c r="E3758" s="5" t="str">
        <f>_xlfn.XLOOKUP(role_course_map[[#This Row],[course_id]],course_data[course_id],course_data[topic],"")</f>
        <v/>
      </c>
      <c r="F3758" s="5" t="str">
        <f>_xlfn.XLOOKUP(role_course_map[[#This Row],[course_id]],course_data[course_id],course_data[type],"")</f>
        <v/>
      </c>
      <c r="K3758" t="str">
        <f>role_course_map[[#This Row],[role_id]] &amp; "|" &amp; role_course_map[[#This Row],[course_id]]</f>
        <v>|</v>
      </c>
      <c r="L3758" t="str">
        <f>IF(COUNTIF(role_course_map[mapping_key],role_course_map[[#This Row],[mapping_key]])&gt;1,"DUPLICATE","OK")</f>
        <v>DUPLICATE</v>
      </c>
      <c r="M3758" t="str">
        <f>IF(COUNTIF(role_data[role_id],role_course_map[[#This Row],[role_id]])=0, "INVALID","VALID")</f>
        <v>INVALID</v>
      </c>
      <c r="N3758" t="str">
        <f>IF(COUNTIF(course_data[course_id],role_course_map[[#This Row],[course_id]])=0, "INVALID","VALID")</f>
        <v>INVALID</v>
      </c>
    </row>
    <row r="3759" spans="2:14" x14ac:dyDescent="0.35">
      <c r="B3759" s="5" t="str">
        <f>_xlfn.XLOOKUP(role_course_map[[#This Row],[role_id]], role_data[role_id], role_data[Role],"")</f>
        <v/>
      </c>
      <c r="D3759" s="5" t="str">
        <f>_xlfn.XLOOKUP(role_course_map[[#This Row],[course_id]],course_data[course_id],course_data[title],"")</f>
        <v/>
      </c>
      <c r="E3759" s="5" t="str">
        <f>_xlfn.XLOOKUP(role_course_map[[#This Row],[course_id]],course_data[course_id],course_data[topic],"")</f>
        <v/>
      </c>
      <c r="F3759" s="5" t="str">
        <f>_xlfn.XLOOKUP(role_course_map[[#This Row],[course_id]],course_data[course_id],course_data[type],"")</f>
        <v/>
      </c>
      <c r="K3759" t="str">
        <f>role_course_map[[#This Row],[role_id]] &amp; "|" &amp; role_course_map[[#This Row],[course_id]]</f>
        <v>|</v>
      </c>
      <c r="L3759" t="str">
        <f>IF(COUNTIF(role_course_map[mapping_key],role_course_map[[#This Row],[mapping_key]])&gt;1,"DUPLICATE","OK")</f>
        <v>DUPLICATE</v>
      </c>
      <c r="M3759" t="str">
        <f>IF(COUNTIF(role_data[role_id],role_course_map[[#This Row],[role_id]])=0, "INVALID","VALID")</f>
        <v>INVALID</v>
      </c>
      <c r="N3759" t="str">
        <f>IF(COUNTIF(course_data[course_id],role_course_map[[#This Row],[course_id]])=0, "INVALID","VALID")</f>
        <v>INVALID</v>
      </c>
    </row>
    <row r="3760" spans="2:14" x14ac:dyDescent="0.35">
      <c r="B3760" s="5" t="str">
        <f>_xlfn.XLOOKUP(role_course_map[[#This Row],[role_id]], role_data[role_id], role_data[Role],"")</f>
        <v/>
      </c>
      <c r="D3760" s="5" t="str">
        <f>_xlfn.XLOOKUP(role_course_map[[#This Row],[course_id]],course_data[course_id],course_data[title],"")</f>
        <v/>
      </c>
      <c r="E3760" s="5" t="str">
        <f>_xlfn.XLOOKUP(role_course_map[[#This Row],[course_id]],course_data[course_id],course_data[topic],"")</f>
        <v/>
      </c>
      <c r="F3760" s="5" t="str">
        <f>_xlfn.XLOOKUP(role_course_map[[#This Row],[course_id]],course_data[course_id],course_data[type],"")</f>
        <v/>
      </c>
      <c r="K3760" t="str">
        <f>role_course_map[[#This Row],[role_id]] &amp; "|" &amp; role_course_map[[#This Row],[course_id]]</f>
        <v>|</v>
      </c>
      <c r="L3760" t="str">
        <f>IF(COUNTIF(role_course_map[mapping_key],role_course_map[[#This Row],[mapping_key]])&gt;1,"DUPLICATE","OK")</f>
        <v>DUPLICATE</v>
      </c>
      <c r="M3760" t="str">
        <f>IF(COUNTIF(role_data[role_id],role_course_map[[#This Row],[role_id]])=0, "INVALID","VALID")</f>
        <v>INVALID</v>
      </c>
      <c r="N3760" t="str">
        <f>IF(COUNTIF(course_data[course_id],role_course_map[[#This Row],[course_id]])=0, "INVALID","VALID")</f>
        <v>INVALID</v>
      </c>
    </row>
    <row r="3761" spans="2:14" x14ac:dyDescent="0.35">
      <c r="B3761" s="5" t="str">
        <f>_xlfn.XLOOKUP(role_course_map[[#This Row],[role_id]], role_data[role_id], role_data[Role],"")</f>
        <v/>
      </c>
      <c r="D3761" s="5" t="str">
        <f>_xlfn.XLOOKUP(role_course_map[[#This Row],[course_id]],course_data[course_id],course_data[title],"")</f>
        <v/>
      </c>
      <c r="E3761" s="5" t="str">
        <f>_xlfn.XLOOKUP(role_course_map[[#This Row],[course_id]],course_data[course_id],course_data[topic],"")</f>
        <v/>
      </c>
      <c r="F3761" s="5" t="str">
        <f>_xlfn.XLOOKUP(role_course_map[[#This Row],[course_id]],course_data[course_id],course_data[type],"")</f>
        <v/>
      </c>
      <c r="K3761" t="str">
        <f>role_course_map[[#This Row],[role_id]] &amp; "|" &amp; role_course_map[[#This Row],[course_id]]</f>
        <v>|</v>
      </c>
      <c r="L3761" t="str">
        <f>IF(COUNTIF(role_course_map[mapping_key],role_course_map[[#This Row],[mapping_key]])&gt;1,"DUPLICATE","OK")</f>
        <v>DUPLICATE</v>
      </c>
      <c r="M3761" t="str">
        <f>IF(COUNTIF(role_data[role_id],role_course_map[[#This Row],[role_id]])=0, "INVALID","VALID")</f>
        <v>INVALID</v>
      </c>
      <c r="N3761" t="str">
        <f>IF(COUNTIF(course_data[course_id],role_course_map[[#This Row],[course_id]])=0, "INVALID","VALID")</f>
        <v>INVALID</v>
      </c>
    </row>
    <row r="3762" spans="2:14" x14ac:dyDescent="0.35">
      <c r="B3762" s="5" t="str">
        <f>_xlfn.XLOOKUP(role_course_map[[#This Row],[role_id]], role_data[role_id], role_data[Role],"")</f>
        <v/>
      </c>
      <c r="D3762" s="5" t="str">
        <f>_xlfn.XLOOKUP(role_course_map[[#This Row],[course_id]],course_data[course_id],course_data[title],"")</f>
        <v/>
      </c>
      <c r="E3762" s="5" t="str">
        <f>_xlfn.XLOOKUP(role_course_map[[#This Row],[course_id]],course_data[course_id],course_data[topic],"")</f>
        <v/>
      </c>
      <c r="F3762" s="5" t="str">
        <f>_xlfn.XLOOKUP(role_course_map[[#This Row],[course_id]],course_data[course_id],course_data[type],"")</f>
        <v/>
      </c>
      <c r="K3762" t="str">
        <f>role_course_map[[#This Row],[role_id]] &amp; "|" &amp; role_course_map[[#This Row],[course_id]]</f>
        <v>|</v>
      </c>
      <c r="L3762" t="str">
        <f>IF(COUNTIF(role_course_map[mapping_key],role_course_map[[#This Row],[mapping_key]])&gt;1,"DUPLICATE","OK")</f>
        <v>DUPLICATE</v>
      </c>
      <c r="M3762" t="str">
        <f>IF(COUNTIF(role_data[role_id],role_course_map[[#This Row],[role_id]])=0, "INVALID","VALID")</f>
        <v>INVALID</v>
      </c>
      <c r="N3762" t="str">
        <f>IF(COUNTIF(course_data[course_id],role_course_map[[#This Row],[course_id]])=0, "INVALID","VALID")</f>
        <v>INVALID</v>
      </c>
    </row>
    <row r="3763" spans="2:14" x14ac:dyDescent="0.35">
      <c r="B3763" s="5" t="str">
        <f>_xlfn.XLOOKUP(role_course_map[[#This Row],[role_id]], role_data[role_id], role_data[Role],"")</f>
        <v/>
      </c>
      <c r="D3763" s="5" t="str">
        <f>_xlfn.XLOOKUP(role_course_map[[#This Row],[course_id]],course_data[course_id],course_data[title],"")</f>
        <v/>
      </c>
      <c r="E3763" s="5" t="str">
        <f>_xlfn.XLOOKUP(role_course_map[[#This Row],[course_id]],course_data[course_id],course_data[topic],"")</f>
        <v/>
      </c>
      <c r="F3763" s="5" t="str">
        <f>_xlfn.XLOOKUP(role_course_map[[#This Row],[course_id]],course_data[course_id],course_data[type],"")</f>
        <v/>
      </c>
      <c r="K3763" t="str">
        <f>role_course_map[[#This Row],[role_id]] &amp; "|" &amp; role_course_map[[#This Row],[course_id]]</f>
        <v>|</v>
      </c>
      <c r="L3763" t="str">
        <f>IF(COUNTIF(role_course_map[mapping_key],role_course_map[[#This Row],[mapping_key]])&gt;1,"DUPLICATE","OK")</f>
        <v>DUPLICATE</v>
      </c>
      <c r="M3763" t="str">
        <f>IF(COUNTIF(role_data[role_id],role_course_map[[#This Row],[role_id]])=0, "INVALID","VALID")</f>
        <v>INVALID</v>
      </c>
      <c r="N3763" t="str">
        <f>IF(COUNTIF(course_data[course_id],role_course_map[[#This Row],[course_id]])=0, "INVALID","VALID")</f>
        <v>INVALID</v>
      </c>
    </row>
    <row r="3764" spans="2:14" x14ac:dyDescent="0.35">
      <c r="B3764" s="5" t="str">
        <f>_xlfn.XLOOKUP(role_course_map[[#This Row],[role_id]], role_data[role_id], role_data[Role],"")</f>
        <v/>
      </c>
      <c r="D3764" s="5" t="str">
        <f>_xlfn.XLOOKUP(role_course_map[[#This Row],[course_id]],course_data[course_id],course_data[title],"")</f>
        <v/>
      </c>
      <c r="E3764" s="5" t="str">
        <f>_xlfn.XLOOKUP(role_course_map[[#This Row],[course_id]],course_data[course_id],course_data[topic],"")</f>
        <v/>
      </c>
      <c r="F3764" s="5" t="str">
        <f>_xlfn.XLOOKUP(role_course_map[[#This Row],[course_id]],course_data[course_id],course_data[type],"")</f>
        <v/>
      </c>
      <c r="K3764" t="str">
        <f>role_course_map[[#This Row],[role_id]] &amp; "|" &amp; role_course_map[[#This Row],[course_id]]</f>
        <v>|</v>
      </c>
      <c r="L3764" t="str">
        <f>IF(COUNTIF(role_course_map[mapping_key],role_course_map[[#This Row],[mapping_key]])&gt;1,"DUPLICATE","OK")</f>
        <v>DUPLICATE</v>
      </c>
      <c r="M3764" t="str">
        <f>IF(COUNTIF(role_data[role_id],role_course_map[[#This Row],[role_id]])=0, "INVALID","VALID")</f>
        <v>INVALID</v>
      </c>
      <c r="N3764" t="str">
        <f>IF(COUNTIF(course_data[course_id],role_course_map[[#This Row],[course_id]])=0, "INVALID","VALID")</f>
        <v>INVALID</v>
      </c>
    </row>
    <row r="3765" spans="2:14" x14ac:dyDescent="0.35">
      <c r="B3765" s="5" t="str">
        <f>_xlfn.XLOOKUP(role_course_map[[#This Row],[role_id]], role_data[role_id], role_data[Role],"")</f>
        <v/>
      </c>
      <c r="D3765" s="5" t="str">
        <f>_xlfn.XLOOKUP(role_course_map[[#This Row],[course_id]],course_data[course_id],course_data[title],"")</f>
        <v/>
      </c>
      <c r="E3765" s="5" t="str">
        <f>_xlfn.XLOOKUP(role_course_map[[#This Row],[course_id]],course_data[course_id],course_data[topic],"")</f>
        <v/>
      </c>
      <c r="F3765" s="5" t="str">
        <f>_xlfn.XLOOKUP(role_course_map[[#This Row],[course_id]],course_data[course_id],course_data[type],"")</f>
        <v/>
      </c>
      <c r="K3765" t="str">
        <f>role_course_map[[#This Row],[role_id]] &amp; "|" &amp; role_course_map[[#This Row],[course_id]]</f>
        <v>|</v>
      </c>
      <c r="L3765" t="str">
        <f>IF(COUNTIF(role_course_map[mapping_key],role_course_map[[#This Row],[mapping_key]])&gt;1,"DUPLICATE","OK")</f>
        <v>DUPLICATE</v>
      </c>
      <c r="M3765" t="str">
        <f>IF(COUNTIF(role_data[role_id],role_course_map[[#This Row],[role_id]])=0, "INVALID","VALID")</f>
        <v>INVALID</v>
      </c>
      <c r="N3765" t="str">
        <f>IF(COUNTIF(course_data[course_id],role_course_map[[#This Row],[course_id]])=0, "INVALID","VALID")</f>
        <v>INVALID</v>
      </c>
    </row>
    <row r="3766" spans="2:14" x14ac:dyDescent="0.35">
      <c r="B3766" s="5" t="str">
        <f>_xlfn.XLOOKUP(role_course_map[[#This Row],[role_id]], role_data[role_id], role_data[Role],"")</f>
        <v/>
      </c>
      <c r="D3766" s="5" t="str">
        <f>_xlfn.XLOOKUP(role_course_map[[#This Row],[course_id]],course_data[course_id],course_data[title],"")</f>
        <v/>
      </c>
      <c r="E3766" s="5" t="str">
        <f>_xlfn.XLOOKUP(role_course_map[[#This Row],[course_id]],course_data[course_id],course_data[topic],"")</f>
        <v/>
      </c>
      <c r="F3766" s="5" t="str">
        <f>_xlfn.XLOOKUP(role_course_map[[#This Row],[course_id]],course_data[course_id],course_data[type],"")</f>
        <v/>
      </c>
      <c r="K3766" t="str">
        <f>role_course_map[[#This Row],[role_id]] &amp; "|" &amp; role_course_map[[#This Row],[course_id]]</f>
        <v>|</v>
      </c>
      <c r="L3766" t="str">
        <f>IF(COUNTIF(role_course_map[mapping_key],role_course_map[[#This Row],[mapping_key]])&gt;1,"DUPLICATE","OK")</f>
        <v>DUPLICATE</v>
      </c>
      <c r="M3766" t="str">
        <f>IF(COUNTIF(role_data[role_id],role_course_map[[#This Row],[role_id]])=0, "INVALID","VALID")</f>
        <v>INVALID</v>
      </c>
      <c r="N3766" t="str">
        <f>IF(COUNTIF(course_data[course_id],role_course_map[[#This Row],[course_id]])=0, "INVALID","VALID")</f>
        <v>INVALID</v>
      </c>
    </row>
    <row r="3767" spans="2:14" x14ac:dyDescent="0.35">
      <c r="B3767" s="5" t="str">
        <f>_xlfn.XLOOKUP(role_course_map[[#This Row],[role_id]], role_data[role_id], role_data[Role],"")</f>
        <v/>
      </c>
      <c r="D3767" s="5" t="str">
        <f>_xlfn.XLOOKUP(role_course_map[[#This Row],[course_id]],course_data[course_id],course_data[title],"")</f>
        <v/>
      </c>
      <c r="E3767" s="5" t="str">
        <f>_xlfn.XLOOKUP(role_course_map[[#This Row],[course_id]],course_data[course_id],course_data[topic],"")</f>
        <v/>
      </c>
      <c r="F3767" s="5" t="str">
        <f>_xlfn.XLOOKUP(role_course_map[[#This Row],[course_id]],course_data[course_id],course_data[type],"")</f>
        <v/>
      </c>
      <c r="K3767" t="str">
        <f>role_course_map[[#This Row],[role_id]] &amp; "|" &amp; role_course_map[[#This Row],[course_id]]</f>
        <v>|</v>
      </c>
      <c r="L3767" t="str">
        <f>IF(COUNTIF(role_course_map[mapping_key],role_course_map[[#This Row],[mapping_key]])&gt;1,"DUPLICATE","OK")</f>
        <v>DUPLICATE</v>
      </c>
      <c r="M3767" t="str">
        <f>IF(COUNTIF(role_data[role_id],role_course_map[[#This Row],[role_id]])=0, "INVALID","VALID")</f>
        <v>INVALID</v>
      </c>
      <c r="N3767" t="str">
        <f>IF(COUNTIF(course_data[course_id],role_course_map[[#This Row],[course_id]])=0, "INVALID","VALID")</f>
        <v>INVALID</v>
      </c>
    </row>
    <row r="3768" spans="2:14" x14ac:dyDescent="0.35">
      <c r="B3768" s="5" t="str">
        <f>_xlfn.XLOOKUP(role_course_map[[#This Row],[role_id]], role_data[role_id], role_data[Role],"")</f>
        <v/>
      </c>
      <c r="D3768" s="5" t="str">
        <f>_xlfn.XLOOKUP(role_course_map[[#This Row],[course_id]],course_data[course_id],course_data[title],"")</f>
        <v/>
      </c>
      <c r="E3768" s="5" t="str">
        <f>_xlfn.XLOOKUP(role_course_map[[#This Row],[course_id]],course_data[course_id],course_data[topic],"")</f>
        <v/>
      </c>
      <c r="F3768" s="5" t="str">
        <f>_xlfn.XLOOKUP(role_course_map[[#This Row],[course_id]],course_data[course_id],course_data[type],"")</f>
        <v/>
      </c>
      <c r="K3768" t="str">
        <f>role_course_map[[#This Row],[role_id]] &amp; "|" &amp; role_course_map[[#This Row],[course_id]]</f>
        <v>|</v>
      </c>
      <c r="L3768" t="str">
        <f>IF(COUNTIF(role_course_map[mapping_key],role_course_map[[#This Row],[mapping_key]])&gt;1,"DUPLICATE","OK")</f>
        <v>DUPLICATE</v>
      </c>
      <c r="M3768" t="str">
        <f>IF(COUNTIF(role_data[role_id],role_course_map[[#This Row],[role_id]])=0, "INVALID","VALID")</f>
        <v>INVALID</v>
      </c>
      <c r="N3768" t="str">
        <f>IF(COUNTIF(course_data[course_id],role_course_map[[#This Row],[course_id]])=0, "INVALID","VALID")</f>
        <v>INVALID</v>
      </c>
    </row>
    <row r="3769" spans="2:14" x14ac:dyDescent="0.35">
      <c r="B3769" s="5" t="str">
        <f>_xlfn.XLOOKUP(role_course_map[[#This Row],[role_id]], role_data[role_id], role_data[Role],"")</f>
        <v/>
      </c>
      <c r="D3769" s="5" t="str">
        <f>_xlfn.XLOOKUP(role_course_map[[#This Row],[course_id]],course_data[course_id],course_data[title],"")</f>
        <v/>
      </c>
      <c r="E3769" s="5" t="str">
        <f>_xlfn.XLOOKUP(role_course_map[[#This Row],[course_id]],course_data[course_id],course_data[topic],"")</f>
        <v/>
      </c>
      <c r="F3769" s="5" t="str">
        <f>_xlfn.XLOOKUP(role_course_map[[#This Row],[course_id]],course_data[course_id],course_data[type],"")</f>
        <v/>
      </c>
      <c r="K3769" t="str">
        <f>role_course_map[[#This Row],[role_id]] &amp; "|" &amp; role_course_map[[#This Row],[course_id]]</f>
        <v>|</v>
      </c>
      <c r="L3769" t="str">
        <f>IF(COUNTIF(role_course_map[mapping_key],role_course_map[[#This Row],[mapping_key]])&gt;1,"DUPLICATE","OK")</f>
        <v>DUPLICATE</v>
      </c>
      <c r="M3769" t="str">
        <f>IF(COUNTIF(role_data[role_id],role_course_map[[#This Row],[role_id]])=0, "INVALID","VALID")</f>
        <v>INVALID</v>
      </c>
      <c r="N3769" t="str">
        <f>IF(COUNTIF(course_data[course_id],role_course_map[[#This Row],[course_id]])=0, "INVALID","VALID")</f>
        <v>INVALID</v>
      </c>
    </row>
    <row r="3770" spans="2:14" x14ac:dyDescent="0.35">
      <c r="B3770" s="5" t="str">
        <f>_xlfn.XLOOKUP(role_course_map[[#This Row],[role_id]], role_data[role_id], role_data[Role],"")</f>
        <v/>
      </c>
      <c r="D3770" s="5" t="str">
        <f>_xlfn.XLOOKUP(role_course_map[[#This Row],[course_id]],course_data[course_id],course_data[title],"")</f>
        <v/>
      </c>
      <c r="E3770" s="5" t="str">
        <f>_xlfn.XLOOKUP(role_course_map[[#This Row],[course_id]],course_data[course_id],course_data[topic],"")</f>
        <v/>
      </c>
      <c r="F3770" s="5" t="str">
        <f>_xlfn.XLOOKUP(role_course_map[[#This Row],[course_id]],course_data[course_id],course_data[type],"")</f>
        <v/>
      </c>
      <c r="K3770" t="str">
        <f>role_course_map[[#This Row],[role_id]] &amp; "|" &amp; role_course_map[[#This Row],[course_id]]</f>
        <v>|</v>
      </c>
      <c r="L3770" t="str">
        <f>IF(COUNTIF(role_course_map[mapping_key],role_course_map[[#This Row],[mapping_key]])&gt;1,"DUPLICATE","OK")</f>
        <v>DUPLICATE</v>
      </c>
      <c r="M3770" t="str">
        <f>IF(COUNTIF(role_data[role_id],role_course_map[[#This Row],[role_id]])=0, "INVALID","VALID")</f>
        <v>INVALID</v>
      </c>
      <c r="N3770" t="str">
        <f>IF(COUNTIF(course_data[course_id],role_course_map[[#This Row],[course_id]])=0, "INVALID","VALID")</f>
        <v>INVALID</v>
      </c>
    </row>
    <row r="3771" spans="2:14" x14ac:dyDescent="0.35">
      <c r="B3771" s="5" t="str">
        <f>_xlfn.XLOOKUP(role_course_map[[#This Row],[role_id]], role_data[role_id], role_data[Role],"")</f>
        <v/>
      </c>
      <c r="D3771" s="5" t="str">
        <f>_xlfn.XLOOKUP(role_course_map[[#This Row],[course_id]],course_data[course_id],course_data[title],"")</f>
        <v/>
      </c>
      <c r="E3771" s="5" t="str">
        <f>_xlfn.XLOOKUP(role_course_map[[#This Row],[course_id]],course_data[course_id],course_data[topic],"")</f>
        <v/>
      </c>
      <c r="F3771" s="5" t="str">
        <f>_xlfn.XLOOKUP(role_course_map[[#This Row],[course_id]],course_data[course_id],course_data[type],"")</f>
        <v/>
      </c>
      <c r="K3771" t="str">
        <f>role_course_map[[#This Row],[role_id]] &amp; "|" &amp; role_course_map[[#This Row],[course_id]]</f>
        <v>|</v>
      </c>
      <c r="L3771" t="str">
        <f>IF(COUNTIF(role_course_map[mapping_key],role_course_map[[#This Row],[mapping_key]])&gt;1,"DUPLICATE","OK")</f>
        <v>DUPLICATE</v>
      </c>
      <c r="M3771" t="str">
        <f>IF(COUNTIF(role_data[role_id],role_course_map[[#This Row],[role_id]])=0, "INVALID","VALID")</f>
        <v>INVALID</v>
      </c>
      <c r="N3771" t="str">
        <f>IF(COUNTIF(course_data[course_id],role_course_map[[#This Row],[course_id]])=0, "INVALID","VALID")</f>
        <v>INVALID</v>
      </c>
    </row>
    <row r="3772" spans="2:14" x14ac:dyDescent="0.35">
      <c r="B3772" s="5" t="str">
        <f>_xlfn.XLOOKUP(role_course_map[[#This Row],[role_id]], role_data[role_id], role_data[Role],"")</f>
        <v/>
      </c>
      <c r="D3772" s="5" t="str">
        <f>_xlfn.XLOOKUP(role_course_map[[#This Row],[course_id]],course_data[course_id],course_data[title],"")</f>
        <v/>
      </c>
      <c r="E3772" s="5" t="str">
        <f>_xlfn.XLOOKUP(role_course_map[[#This Row],[course_id]],course_data[course_id],course_data[topic],"")</f>
        <v/>
      </c>
      <c r="F3772" s="5" t="str">
        <f>_xlfn.XLOOKUP(role_course_map[[#This Row],[course_id]],course_data[course_id],course_data[type],"")</f>
        <v/>
      </c>
      <c r="K3772" t="str">
        <f>role_course_map[[#This Row],[role_id]] &amp; "|" &amp; role_course_map[[#This Row],[course_id]]</f>
        <v>|</v>
      </c>
      <c r="L3772" t="str">
        <f>IF(COUNTIF(role_course_map[mapping_key],role_course_map[[#This Row],[mapping_key]])&gt;1,"DUPLICATE","OK")</f>
        <v>DUPLICATE</v>
      </c>
      <c r="M3772" t="str">
        <f>IF(COUNTIF(role_data[role_id],role_course_map[[#This Row],[role_id]])=0, "INVALID","VALID")</f>
        <v>INVALID</v>
      </c>
      <c r="N3772" t="str">
        <f>IF(COUNTIF(course_data[course_id],role_course_map[[#This Row],[course_id]])=0, "INVALID","VALID")</f>
        <v>INVALID</v>
      </c>
    </row>
    <row r="3773" spans="2:14" x14ac:dyDescent="0.35">
      <c r="B3773" s="5" t="str">
        <f>_xlfn.XLOOKUP(role_course_map[[#This Row],[role_id]], role_data[role_id], role_data[Role],"")</f>
        <v/>
      </c>
      <c r="D3773" s="5" t="str">
        <f>_xlfn.XLOOKUP(role_course_map[[#This Row],[course_id]],course_data[course_id],course_data[title],"")</f>
        <v/>
      </c>
      <c r="E3773" s="5" t="str">
        <f>_xlfn.XLOOKUP(role_course_map[[#This Row],[course_id]],course_data[course_id],course_data[topic],"")</f>
        <v/>
      </c>
      <c r="F3773" s="5" t="str">
        <f>_xlfn.XLOOKUP(role_course_map[[#This Row],[course_id]],course_data[course_id],course_data[type],"")</f>
        <v/>
      </c>
      <c r="K3773" t="str">
        <f>role_course_map[[#This Row],[role_id]] &amp; "|" &amp; role_course_map[[#This Row],[course_id]]</f>
        <v>|</v>
      </c>
      <c r="L3773" t="str">
        <f>IF(COUNTIF(role_course_map[mapping_key],role_course_map[[#This Row],[mapping_key]])&gt;1,"DUPLICATE","OK")</f>
        <v>DUPLICATE</v>
      </c>
      <c r="M3773" t="str">
        <f>IF(COUNTIF(role_data[role_id],role_course_map[[#This Row],[role_id]])=0, "INVALID","VALID")</f>
        <v>INVALID</v>
      </c>
      <c r="N3773" t="str">
        <f>IF(COUNTIF(course_data[course_id],role_course_map[[#This Row],[course_id]])=0, "INVALID","VALID")</f>
        <v>INVALID</v>
      </c>
    </row>
    <row r="3774" spans="2:14" x14ac:dyDescent="0.35">
      <c r="B3774" s="5" t="str">
        <f>_xlfn.XLOOKUP(role_course_map[[#This Row],[role_id]], role_data[role_id], role_data[Role],"")</f>
        <v/>
      </c>
      <c r="D3774" s="5" t="str">
        <f>_xlfn.XLOOKUP(role_course_map[[#This Row],[course_id]],course_data[course_id],course_data[title],"")</f>
        <v/>
      </c>
      <c r="E3774" s="5" t="str">
        <f>_xlfn.XLOOKUP(role_course_map[[#This Row],[course_id]],course_data[course_id],course_data[topic],"")</f>
        <v/>
      </c>
      <c r="F3774" s="5" t="str">
        <f>_xlfn.XLOOKUP(role_course_map[[#This Row],[course_id]],course_data[course_id],course_data[type],"")</f>
        <v/>
      </c>
      <c r="K3774" t="str">
        <f>role_course_map[[#This Row],[role_id]] &amp; "|" &amp; role_course_map[[#This Row],[course_id]]</f>
        <v>|</v>
      </c>
      <c r="L3774" t="str">
        <f>IF(COUNTIF(role_course_map[mapping_key],role_course_map[[#This Row],[mapping_key]])&gt;1,"DUPLICATE","OK")</f>
        <v>DUPLICATE</v>
      </c>
      <c r="M3774" t="str">
        <f>IF(COUNTIF(role_data[role_id],role_course_map[[#This Row],[role_id]])=0, "INVALID","VALID")</f>
        <v>INVALID</v>
      </c>
      <c r="N3774" t="str">
        <f>IF(COUNTIF(course_data[course_id],role_course_map[[#This Row],[course_id]])=0, "INVALID","VALID")</f>
        <v>INVALID</v>
      </c>
    </row>
    <row r="3775" spans="2:14" x14ac:dyDescent="0.35">
      <c r="B3775" s="5" t="str">
        <f>_xlfn.XLOOKUP(role_course_map[[#This Row],[role_id]], role_data[role_id], role_data[Role],"")</f>
        <v/>
      </c>
      <c r="D3775" s="5" t="str">
        <f>_xlfn.XLOOKUP(role_course_map[[#This Row],[course_id]],course_data[course_id],course_data[title],"")</f>
        <v/>
      </c>
      <c r="E3775" s="5" t="str">
        <f>_xlfn.XLOOKUP(role_course_map[[#This Row],[course_id]],course_data[course_id],course_data[topic],"")</f>
        <v/>
      </c>
      <c r="F3775" s="5" t="str">
        <f>_xlfn.XLOOKUP(role_course_map[[#This Row],[course_id]],course_data[course_id],course_data[type],"")</f>
        <v/>
      </c>
      <c r="K3775" t="str">
        <f>role_course_map[[#This Row],[role_id]] &amp; "|" &amp; role_course_map[[#This Row],[course_id]]</f>
        <v>|</v>
      </c>
      <c r="L3775" t="str">
        <f>IF(COUNTIF(role_course_map[mapping_key],role_course_map[[#This Row],[mapping_key]])&gt;1,"DUPLICATE","OK")</f>
        <v>DUPLICATE</v>
      </c>
      <c r="M3775" t="str">
        <f>IF(COUNTIF(role_data[role_id],role_course_map[[#This Row],[role_id]])=0, "INVALID","VALID")</f>
        <v>INVALID</v>
      </c>
      <c r="N3775" t="str">
        <f>IF(COUNTIF(course_data[course_id],role_course_map[[#This Row],[course_id]])=0, "INVALID","VALID")</f>
        <v>INVALID</v>
      </c>
    </row>
    <row r="3776" spans="2:14" x14ac:dyDescent="0.35">
      <c r="B3776" s="5" t="str">
        <f>_xlfn.XLOOKUP(role_course_map[[#This Row],[role_id]], role_data[role_id], role_data[Role],"")</f>
        <v/>
      </c>
      <c r="D3776" s="5" t="str">
        <f>_xlfn.XLOOKUP(role_course_map[[#This Row],[course_id]],course_data[course_id],course_data[title],"")</f>
        <v/>
      </c>
      <c r="E3776" s="5" t="str">
        <f>_xlfn.XLOOKUP(role_course_map[[#This Row],[course_id]],course_data[course_id],course_data[topic],"")</f>
        <v/>
      </c>
      <c r="F3776" s="5" t="str">
        <f>_xlfn.XLOOKUP(role_course_map[[#This Row],[course_id]],course_data[course_id],course_data[type],"")</f>
        <v/>
      </c>
      <c r="K3776" t="str">
        <f>role_course_map[[#This Row],[role_id]] &amp; "|" &amp; role_course_map[[#This Row],[course_id]]</f>
        <v>|</v>
      </c>
      <c r="L3776" t="str">
        <f>IF(COUNTIF(role_course_map[mapping_key],role_course_map[[#This Row],[mapping_key]])&gt;1,"DUPLICATE","OK")</f>
        <v>DUPLICATE</v>
      </c>
      <c r="M3776" t="str">
        <f>IF(COUNTIF(role_data[role_id],role_course_map[[#This Row],[role_id]])=0, "INVALID","VALID")</f>
        <v>INVALID</v>
      </c>
      <c r="N3776" t="str">
        <f>IF(COUNTIF(course_data[course_id],role_course_map[[#This Row],[course_id]])=0, "INVALID","VALID")</f>
        <v>INVALID</v>
      </c>
    </row>
    <row r="3777" spans="2:14" x14ac:dyDescent="0.35">
      <c r="B3777" s="5" t="str">
        <f>_xlfn.XLOOKUP(role_course_map[[#This Row],[role_id]], role_data[role_id], role_data[Role],"")</f>
        <v/>
      </c>
      <c r="D3777" s="5" t="str">
        <f>_xlfn.XLOOKUP(role_course_map[[#This Row],[course_id]],course_data[course_id],course_data[title],"")</f>
        <v/>
      </c>
      <c r="E3777" s="5" t="str">
        <f>_xlfn.XLOOKUP(role_course_map[[#This Row],[course_id]],course_data[course_id],course_data[topic],"")</f>
        <v/>
      </c>
      <c r="F3777" s="5" t="str">
        <f>_xlfn.XLOOKUP(role_course_map[[#This Row],[course_id]],course_data[course_id],course_data[type],"")</f>
        <v/>
      </c>
      <c r="K3777" t="str">
        <f>role_course_map[[#This Row],[role_id]] &amp; "|" &amp; role_course_map[[#This Row],[course_id]]</f>
        <v>|</v>
      </c>
      <c r="L3777" t="str">
        <f>IF(COUNTIF(role_course_map[mapping_key],role_course_map[[#This Row],[mapping_key]])&gt;1,"DUPLICATE","OK")</f>
        <v>DUPLICATE</v>
      </c>
      <c r="M3777" t="str">
        <f>IF(COUNTIF(role_data[role_id],role_course_map[[#This Row],[role_id]])=0, "INVALID","VALID")</f>
        <v>INVALID</v>
      </c>
      <c r="N3777" t="str">
        <f>IF(COUNTIF(course_data[course_id],role_course_map[[#This Row],[course_id]])=0, "INVALID","VALID")</f>
        <v>INVALID</v>
      </c>
    </row>
    <row r="3778" spans="2:14" x14ac:dyDescent="0.35">
      <c r="B3778" s="5" t="str">
        <f>_xlfn.XLOOKUP(role_course_map[[#This Row],[role_id]], role_data[role_id], role_data[Role],"")</f>
        <v/>
      </c>
      <c r="D3778" s="5" t="str">
        <f>_xlfn.XLOOKUP(role_course_map[[#This Row],[course_id]],course_data[course_id],course_data[title],"")</f>
        <v/>
      </c>
      <c r="E3778" s="5" t="str">
        <f>_xlfn.XLOOKUP(role_course_map[[#This Row],[course_id]],course_data[course_id],course_data[topic],"")</f>
        <v/>
      </c>
      <c r="F3778" s="5" t="str">
        <f>_xlfn.XLOOKUP(role_course_map[[#This Row],[course_id]],course_data[course_id],course_data[type],"")</f>
        <v/>
      </c>
      <c r="K3778" t="str">
        <f>role_course_map[[#This Row],[role_id]] &amp; "|" &amp; role_course_map[[#This Row],[course_id]]</f>
        <v>|</v>
      </c>
      <c r="L3778" t="str">
        <f>IF(COUNTIF(role_course_map[mapping_key],role_course_map[[#This Row],[mapping_key]])&gt;1,"DUPLICATE","OK")</f>
        <v>DUPLICATE</v>
      </c>
      <c r="M3778" t="str">
        <f>IF(COUNTIF(role_data[role_id],role_course_map[[#This Row],[role_id]])=0, "INVALID","VALID")</f>
        <v>INVALID</v>
      </c>
      <c r="N3778" t="str">
        <f>IF(COUNTIF(course_data[course_id],role_course_map[[#This Row],[course_id]])=0, "INVALID","VALID")</f>
        <v>INVALID</v>
      </c>
    </row>
    <row r="3779" spans="2:14" x14ac:dyDescent="0.35">
      <c r="B3779" s="5" t="str">
        <f>_xlfn.XLOOKUP(role_course_map[[#This Row],[role_id]], role_data[role_id], role_data[Role],"")</f>
        <v/>
      </c>
      <c r="D3779" s="5" t="str">
        <f>_xlfn.XLOOKUP(role_course_map[[#This Row],[course_id]],course_data[course_id],course_data[title],"")</f>
        <v/>
      </c>
      <c r="E3779" s="5" t="str">
        <f>_xlfn.XLOOKUP(role_course_map[[#This Row],[course_id]],course_data[course_id],course_data[topic],"")</f>
        <v/>
      </c>
      <c r="F3779" s="5" t="str">
        <f>_xlfn.XLOOKUP(role_course_map[[#This Row],[course_id]],course_data[course_id],course_data[type],"")</f>
        <v/>
      </c>
      <c r="K3779" t="str">
        <f>role_course_map[[#This Row],[role_id]] &amp; "|" &amp; role_course_map[[#This Row],[course_id]]</f>
        <v>|</v>
      </c>
      <c r="L3779" t="str">
        <f>IF(COUNTIF(role_course_map[mapping_key],role_course_map[[#This Row],[mapping_key]])&gt;1,"DUPLICATE","OK")</f>
        <v>DUPLICATE</v>
      </c>
      <c r="M3779" t="str">
        <f>IF(COUNTIF(role_data[role_id],role_course_map[[#This Row],[role_id]])=0, "INVALID","VALID")</f>
        <v>INVALID</v>
      </c>
      <c r="N3779" t="str">
        <f>IF(COUNTIF(course_data[course_id],role_course_map[[#This Row],[course_id]])=0, "INVALID","VALID")</f>
        <v>INVALID</v>
      </c>
    </row>
    <row r="3780" spans="2:14" x14ac:dyDescent="0.35">
      <c r="B3780" s="5" t="str">
        <f>_xlfn.XLOOKUP(role_course_map[[#This Row],[role_id]], role_data[role_id], role_data[Role],"")</f>
        <v/>
      </c>
      <c r="D3780" s="5" t="str">
        <f>_xlfn.XLOOKUP(role_course_map[[#This Row],[course_id]],course_data[course_id],course_data[title],"")</f>
        <v/>
      </c>
      <c r="E3780" s="5" t="str">
        <f>_xlfn.XLOOKUP(role_course_map[[#This Row],[course_id]],course_data[course_id],course_data[topic],"")</f>
        <v/>
      </c>
      <c r="F3780" s="5" t="str">
        <f>_xlfn.XLOOKUP(role_course_map[[#This Row],[course_id]],course_data[course_id],course_data[type],"")</f>
        <v/>
      </c>
      <c r="K3780" t="str">
        <f>role_course_map[[#This Row],[role_id]] &amp; "|" &amp; role_course_map[[#This Row],[course_id]]</f>
        <v>|</v>
      </c>
      <c r="L3780" t="str">
        <f>IF(COUNTIF(role_course_map[mapping_key],role_course_map[[#This Row],[mapping_key]])&gt;1,"DUPLICATE","OK")</f>
        <v>DUPLICATE</v>
      </c>
      <c r="M3780" t="str">
        <f>IF(COUNTIF(role_data[role_id],role_course_map[[#This Row],[role_id]])=0, "INVALID","VALID")</f>
        <v>INVALID</v>
      </c>
      <c r="N3780" t="str">
        <f>IF(COUNTIF(course_data[course_id],role_course_map[[#This Row],[course_id]])=0, "INVALID","VALID")</f>
        <v>INVALID</v>
      </c>
    </row>
    <row r="3781" spans="2:14" x14ac:dyDescent="0.35">
      <c r="B3781" s="5" t="str">
        <f>_xlfn.XLOOKUP(role_course_map[[#This Row],[role_id]], role_data[role_id], role_data[Role],"")</f>
        <v/>
      </c>
      <c r="D3781" s="5" t="str">
        <f>_xlfn.XLOOKUP(role_course_map[[#This Row],[course_id]],course_data[course_id],course_data[title],"")</f>
        <v/>
      </c>
      <c r="E3781" s="5" t="str">
        <f>_xlfn.XLOOKUP(role_course_map[[#This Row],[course_id]],course_data[course_id],course_data[topic],"")</f>
        <v/>
      </c>
      <c r="F3781" s="5" t="str">
        <f>_xlfn.XLOOKUP(role_course_map[[#This Row],[course_id]],course_data[course_id],course_data[type],"")</f>
        <v/>
      </c>
      <c r="K3781" t="str">
        <f>role_course_map[[#This Row],[role_id]] &amp; "|" &amp; role_course_map[[#This Row],[course_id]]</f>
        <v>|</v>
      </c>
      <c r="L3781" t="str">
        <f>IF(COUNTIF(role_course_map[mapping_key],role_course_map[[#This Row],[mapping_key]])&gt;1,"DUPLICATE","OK")</f>
        <v>DUPLICATE</v>
      </c>
      <c r="M3781" t="str">
        <f>IF(COUNTIF(role_data[role_id],role_course_map[[#This Row],[role_id]])=0, "INVALID","VALID")</f>
        <v>INVALID</v>
      </c>
      <c r="N3781" t="str">
        <f>IF(COUNTIF(course_data[course_id],role_course_map[[#This Row],[course_id]])=0, "INVALID","VALID")</f>
        <v>INVALID</v>
      </c>
    </row>
    <row r="3782" spans="2:14" x14ac:dyDescent="0.35">
      <c r="B3782" s="5" t="str">
        <f>_xlfn.XLOOKUP(role_course_map[[#This Row],[role_id]], role_data[role_id], role_data[Role],"")</f>
        <v/>
      </c>
      <c r="D3782" s="5" t="str">
        <f>_xlfn.XLOOKUP(role_course_map[[#This Row],[course_id]],course_data[course_id],course_data[title],"")</f>
        <v/>
      </c>
      <c r="E3782" s="5" t="str">
        <f>_xlfn.XLOOKUP(role_course_map[[#This Row],[course_id]],course_data[course_id],course_data[topic],"")</f>
        <v/>
      </c>
      <c r="F3782" s="5" t="str">
        <f>_xlfn.XLOOKUP(role_course_map[[#This Row],[course_id]],course_data[course_id],course_data[type],"")</f>
        <v/>
      </c>
      <c r="K3782" t="str">
        <f>role_course_map[[#This Row],[role_id]] &amp; "|" &amp; role_course_map[[#This Row],[course_id]]</f>
        <v>|</v>
      </c>
      <c r="L3782" t="str">
        <f>IF(COUNTIF(role_course_map[mapping_key],role_course_map[[#This Row],[mapping_key]])&gt;1,"DUPLICATE","OK")</f>
        <v>DUPLICATE</v>
      </c>
      <c r="M3782" t="str">
        <f>IF(COUNTIF(role_data[role_id],role_course_map[[#This Row],[role_id]])=0, "INVALID","VALID")</f>
        <v>INVALID</v>
      </c>
      <c r="N3782" t="str">
        <f>IF(COUNTIF(course_data[course_id],role_course_map[[#This Row],[course_id]])=0, "INVALID","VALID")</f>
        <v>INVALID</v>
      </c>
    </row>
    <row r="3783" spans="2:14" x14ac:dyDescent="0.35">
      <c r="B3783" s="5" t="str">
        <f>_xlfn.XLOOKUP(role_course_map[[#This Row],[role_id]], role_data[role_id], role_data[Role],"")</f>
        <v/>
      </c>
      <c r="D3783" s="5" t="str">
        <f>_xlfn.XLOOKUP(role_course_map[[#This Row],[course_id]],course_data[course_id],course_data[title],"")</f>
        <v/>
      </c>
      <c r="E3783" s="5" t="str">
        <f>_xlfn.XLOOKUP(role_course_map[[#This Row],[course_id]],course_data[course_id],course_data[topic],"")</f>
        <v/>
      </c>
      <c r="F3783" s="5" t="str">
        <f>_xlfn.XLOOKUP(role_course_map[[#This Row],[course_id]],course_data[course_id],course_data[type],"")</f>
        <v/>
      </c>
      <c r="K3783" t="str">
        <f>role_course_map[[#This Row],[role_id]] &amp; "|" &amp; role_course_map[[#This Row],[course_id]]</f>
        <v>|</v>
      </c>
      <c r="L3783" t="str">
        <f>IF(COUNTIF(role_course_map[mapping_key],role_course_map[[#This Row],[mapping_key]])&gt;1,"DUPLICATE","OK")</f>
        <v>DUPLICATE</v>
      </c>
      <c r="M3783" t="str">
        <f>IF(COUNTIF(role_data[role_id],role_course_map[[#This Row],[role_id]])=0, "INVALID","VALID")</f>
        <v>INVALID</v>
      </c>
      <c r="N3783" t="str">
        <f>IF(COUNTIF(course_data[course_id],role_course_map[[#This Row],[course_id]])=0, "INVALID","VALID")</f>
        <v>INVALID</v>
      </c>
    </row>
    <row r="3784" spans="2:14" x14ac:dyDescent="0.35">
      <c r="B3784" s="5" t="str">
        <f>_xlfn.XLOOKUP(role_course_map[[#This Row],[role_id]], role_data[role_id], role_data[Role],"")</f>
        <v/>
      </c>
      <c r="D3784" s="5" t="str">
        <f>_xlfn.XLOOKUP(role_course_map[[#This Row],[course_id]],course_data[course_id],course_data[title],"")</f>
        <v/>
      </c>
      <c r="E3784" s="5" t="str">
        <f>_xlfn.XLOOKUP(role_course_map[[#This Row],[course_id]],course_data[course_id],course_data[topic],"")</f>
        <v/>
      </c>
      <c r="F3784" s="5" t="str">
        <f>_xlfn.XLOOKUP(role_course_map[[#This Row],[course_id]],course_data[course_id],course_data[type],"")</f>
        <v/>
      </c>
      <c r="K3784" t="str">
        <f>role_course_map[[#This Row],[role_id]] &amp; "|" &amp; role_course_map[[#This Row],[course_id]]</f>
        <v>|</v>
      </c>
      <c r="L3784" t="str">
        <f>IF(COUNTIF(role_course_map[mapping_key],role_course_map[[#This Row],[mapping_key]])&gt;1,"DUPLICATE","OK")</f>
        <v>DUPLICATE</v>
      </c>
      <c r="M3784" t="str">
        <f>IF(COUNTIF(role_data[role_id],role_course_map[[#This Row],[role_id]])=0, "INVALID","VALID")</f>
        <v>INVALID</v>
      </c>
      <c r="N3784" t="str">
        <f>IF(COUNTIF(course_data[course_id],role_course_map[[#This Row],[course_id]])=0, "INVALID","VALID")</f>
        <v>INVALID</v>
      </c>
    </row>
    <row r="3785" spans="2:14" x14ac:dyDescent="0.35">
      <c r="B3785" s="5" t="str">
        <f>_xlfn.XLOOKUP(role_course_map[[#This Row],[role_id]], role_data[role_id], role_data[Role],"")</f>
        <v/>
      </c>
      <c r="D3785" s="5" t="str">
        <f>_xlfn.XLOOKUP(role_course_map[[#This Row],[course_id]],course_data[course_id],course_data[title],"")</f>
        <v/>
      </c>
      <c r="E3785" s="5" t="str">
        <f>_xlfn.XLOOKUP(role_course_map[[#This Row],[course_id]],course_data[course_id],course_data[topic],"")</f>
        <v/>
      </c>
      <c r="F3785" s="5" t="str">
        <f>_xlfn.XLOOKUP(role_course_map[[#This Row],[course_id]],course_data[course_id],course_data[type],"")</f>
        <v/>
      </c>
      <c r="K3785" t="str">
        <f>role_course_map[[#This Row],[role_id]] &amp; "|" &amp; role_course_map[[#This Row],[course_id]]</f>
        <v>|</v>
      </c>
      <c r="L3785" t="str">
        <f>IF(COUNTIF(role_course_map[mapping_key],role_course_map[[#This Row],[mapping_key]])&gt;1,"DUPLICATE","OK")</f>
        <v>DUPLICATE</v>
      </c>
      <c r="M3785" t="str">
        <f>IF(COUNTIF(role_data[role_id],role_course_map[[#This Row],[role_id]])=0, "INVALID","VALID")</f>
        <v>INVALID</v>
      </c>
      <c r="N3785" t="str">
        <f>IF(COUNTIF(course_data[course_id],role_course_map[[#This Row],[course_id]])=0, "INVALID","VALID")</f>
        <v>INVALID</v>
      </c>
    </row>
    <row r="3786" spans="2:14" x14ac:dyDescent="0.35">
      <c r="B3786" s="5" t="str">
        <f>_xlfn.XLOOKUP(role_course_map[[#This Row],[role_id]], role_data[role_id], role_data[Role],"")</f>
        <v/>
      </c>
      <c r="D3786" s="5" t="str">
        <f>_xlfn.XLOOKUP(role_course_map[[#This Row],[course_id]],course_data[course_id],course_data[title],"")</f>
        <v/>
      </c>
      <c r="E3786" s="5" t="str">
        <f>_xlfn.XLOOKUP(role_course_map[[#This Row],[course_id]],course_data[course_id],course_data[topic],"")</f>
        <v/>
      </c>
      <c r="F3786" s="5" t="str">
        <f>_xlfn.XLOOKUP(role_course_map[[#This Row],[course_id]],course_data[course_id],course_data[type],"")</f>
        <v/>
      </c>
      <c r="K3786" t="str">
        <f>role_course_map[[#This Row],[role_id]] &amp; "|" &amp; role_course_map[[#This Row],[course_id]]</f>
        <v>|</v>
      </c>
      <c r="L3786" t="str">
        <f>IF(COUNTIF(role_course_map[mapping_key],role_course_map[[#This Row],[mapping_key]])&gt;1,"DUPLICATE","OK")</f>
        <v>DUPLICATE</v>
      </c>
      <c r="M3786" t="str">
        <f>IF(COUNTIF(role_data[role_id],role_course_map[[#This Row],[role_id]])=0, "INVALID","VALID")</f>
        <v>INVALID</v>
      </c>
      <c r="N3786" t="str">
        <f>IF(COUNTIF(course_data[course_id],role_course_map[[#This Row],[course_id]])=0, "INVALID","VALID")</f>
        <v>INVALID</v>
      </c>
    </row>
    <row r="3787" spans="2:14" x14ac:dyDescent="0.35">
      <c r="B3787" s="5" t="str">
        <f>_xlfn.XLOOKUP(role_course_map[[#This Row],[role_id]], role_data[role_id], role_data[Role],"")</f>
        <v/>
      </c>
      <c r="D3787" s="5" t="str">
        <f>_xlfn.XLOOKUP(role_course_map[[#This Row],[course_id]],course_data[course_id],course_data[title],"")</f>
        <v/>
      </c>
      <c r="E3787" s="5" t="str">
        <f>_xlfn.XLOOKUP(role_course_map[[#This Row],[course_id]],course_data[course_id],course_data[topic],"")</f>
        <v/>
      </c>
      <c r="F3787" s="5" t="str">
        <f>_xlfn.XLOOKUP(role_course_map[[#This Row],[course_id]],course_data[course_id],course_data[type],"")</f>
        <v/>
      </c>
      <c r="K3787" t="str">
        <f>role_course_map[[#This Row],[role_id]] &amp; "|" &amp; role_course_map[[#This Row],[course_id]]</f>
        <v>|</v>
      </c>
      <c r="L3787" t="str">
        <f>IF(COUNTIF(role_course_map[mapping_key],role_course_map[[#This Row],[mapping_key]])&gt;1,"DUPLICATE","OK")</f>
        <v>DUPLICATE</v>
      </c>
      <c r="M3787" t="str">
        <f>IF(COUNTIF(role_data[role_id],role_course_map[[#This Row],[role_id]])=0, "INVALID","VALID")</f>
        <v>INVALID</v>
      </c>
      <c r="N3787" t="str">
        <f>IF(COUNTIF(course_data[course_id],role_course_map[[#This Row],[course_id]])=0, "INVALID","VALID")</f>
        <v>INVALID</v>
      </c>
    </row>
    <row r="3788" spans="2:14" x14ac:dyDescent="0.35">
      <c r="B3788" s="5" t="str">
        <f>_xlfn.XLOOKUP(role_course_map[[#This Row],[role_id]], role_data[role_id], role_data[Role],"")</f>
        <v/>
      </c>
      <c r="D3788" s="5" t="str">
        <f>_xlfn.XLOOKUP(role_course_map[[#This Row],[course_id]],course_data[course_id],course_data[title],"")</f>
        <v/>
      </c>
      <c r="E3788" s="5" t="str">
        <f>_xlfn.XLOOKUP(role_course_map[[#This Row],[course_id]],course_data[course_id],course_data[topic],"")</f>
        <v/>
      </c>
      <c r="F3788" s="5" t="str">
        <f>_xlfn.XLOOKUP(role_course_map[[#This Row],[course_id]],course_data[course_id],course_data[type],"")</f>
        <v/>
      </c>
      <c r="K3788" t="str">
        <f>role_course_map[[#This Row],[role_id]] &amp; "|" &amp; role_course_map[[#This Row],[course_id]]</f>
        <v>|</v>
      </c>
      <c r="L3788" t="str">
        <f>IF(COUNTIF(role_course_map[mapping_key],role_course_map[[#This Row],[mapping_key]])&gt;1,"DUPLICATE","OK")</f>
        <v>DUPLICATE</v>
      </c>
      <c r="M3788" t="str">
        <f>IF(COUNTIF(role_data[role_id],role_course_map[[#This Row],[role_id]])=0, "INVALID","VALID")</f>
        <v>INVALID</v>
      </c>
      <c r="N3788" t="str">
        <f>IF(COUNTIF(course_data[course_id],role_course_map[[#This Row],[course_id]])=0, "INVALID","VALID")</f>
        <v>INVALID</v>
      </c>
    </row>
    <row r="3789" spans="2:14" x14ac:dyDescent="0.35">
      <c r="B3789" s="5" t="str">
        <f>_xlfn.XLOOKUP(role_course_map[[#This Row],[role_id]], role_data[role_id], role_data[Role],"")</f>
        <v/>
      </c>
      <c r="D3789" s="5" t="str">
        <f>_xlfn.XLOOKUP(role_course_map[[#This Row],[course_id]],course_data[course_id],course_data[title],"")</f>
        <v/>
      </c>
      <c r="E3789" s="5" t="str">
        <f>_xlfn.XLOOKUP(role_course_map[[#This Row],[course_id]],course_data[course_id],course_data[topic],"")</f>
        <v/>
      </c>
      <c r="F3789" s="5" t="str">
        <f>_xlfn.XLOOKUP(role_course_map[[#This Row],[course_id]],course_data[course_id],course_data[type],"")</f>
        <v/>
      </c>
      <c r="K3789" t="str">
        <f>role_course_map[[#This Row],[role_id]] &amp; "|" &amp; role_course_map[[#This Row],[course_id]]</f>
        <v>|</v>
      </c>
      <c r="L3789" t="str">
        <f>IF(COUNTIF(role_course_map[mapping_key],role_course_map[[#This Row],[mapping_key]])&gt;1,"DUPLICATE","OK")</f>
        <v>DUPLICATE</v>
      </c>
      <c r="M3789" t="str">
        <f>IF(COUNTIF(role_data[role_id],role_course_map[[#This Row],[role_id]])=0, "INVALID","VALID")</f>
        <v>INVALID</v>
      </c>
      <c r="N3789" t="str">
        <f>IF(COUNTIF(course_data[course_id],role_course_map[[#This Row],[course_id]])=0, "INVALID","VALID")</f>
        <v>INVALID</v>
      </c>
    </row>
    <row r="3790" spans="2:14" x14ac:dyDescent="0.35">
      <c r="B3790" s="5" t="str">
        <f>_xlfn.XLOOKUP(role_course_map[[#This Row],[role_id]], role_data[role_id], role_data[Role],"")</f>
        <v/>
      </c>
      <c r="D3790" s="5" t="str">
        <f>_xlfn.XLOOKUP(role_course_map[[#This Row],[course_id]],course_data[course_id],course_data[title],"")</f>
        <v/>
      </c>
      <c r="E3790" s="5" t="str">
        <f>_xlfn.XLOOKUP(role_course_map[[#This Row],[course_id]],course_data[course_id],course_data[topic],"")</f>
        <v/>
      </c>
      <c r="F3790" s="5" t="str">
        <f>_xlfn.XLOOKUP(role_course_map[[#This Row],[course_id]],course_data[course_id],course_data[type],"")</f>
        <v/>
      </c>
      <c r="K3790" t="str">
        <f>role_course_map[[#This Row],[role_id]] &amp; "|" &amp; role_course_map[[#This Row],[course_id]]</f>
        <v>|</v>
      </c>
      <c r="L3790" t="str">
        <f>IF(COUNTIF(role_course_map[mapping_key],role_course_map[[#This Row],[mapping_key]])&gt;1,"DUPLICATE","OK")</f>
        <v>DUPLICATE</v>
      </c>
      <c r="M3790" t="str">
        <f>IF(COUNTIF(role_data[role_id],role_course_map[[#This Row],[role_id]])=0, "INVALID","VALID")</f>
        <v>INVALID</v>
      </c>
      <c r="N3790" t="str">
        <f>IF(COUNTIF(course_data[course_id],role_course_map[[#This Row],[course_id]])=0, "INVALID","VALID")</f>
        <v>INVALID</v>
      </c>
    </row>
    <row r="3791" spans="2:14" x14ac:dyDescent="0.35">
      <c r="B3791" s="5" t="str">
        <f>_xlfn.XLOOKUP(role_course_map[[#This Row],[role_id]], role_data[role_id], role_data[Role],"")</f>
        <v/>
      </c>
      <c r="D3791" s="5" t="str">
        <f>_xlfn.XLOOKUP(role_course_map[[#This Row],[course_id]],course_data[course_id],course_data[title],"")</f>
        <v/>
      </c>
      <c r="E3791" s="5" t="str">
        <f>_xlfn.XLOOKUP(role_course_map[[#This Row],[course_id]],course_data[course_id],course_data[topic],"")</f>
        <v/>
      </c>
      <c r="F3791" s="5" t="str">
        <f>_xlfn.XLOOKUP(role_course_map[[#This Row],[course_id]],course_data[course_id],course_data[type],"")</f>
        <v/>
      </c>
      <c r="K3791" t="str">
        <f>role_course_map[[#This Row],[role_id]] &amp; "|" &amp; role_course_map[[#This Row],[course_id]]</f>
        <v>|</v>
      </c>
      <c r="L3791" t="str">
        <f>IF(COUNTIF(role_course_map[mapping_key],role_course_map[[#This Row],[mapping_key]])&gt;1,"DUPLICATE","OK")</f>
        <v>DUPLICATE</v>
      </c>
      <c r="M3791" t="str">
        <f>IF(COUNTIF(role_data[role_id],role_course_map[[#This Row],[role_id]])=0, "INVALID","VALID")</f>
        <v>INVALID</v>
      </c>
      <c r="N3791" t="str">
        <f>IF(COUNTIF(course_data[course_id],role_course_map[[#This Row],[course_id]])=0, "INVALID","VALID")</f>
        <v>INVALID</v>
      </c>
    </row>
    <row r="3792" spans="2:14" x14ac:dyDescent="0.35">
      <c r="B3792" s="5" t="str">
        <f>_xlfn.XLOOKUP(role_course_map[[#This Row],[role_id]], role_data[role_id], role_data[Role],"")</f>
        <v/>
      </c>
      <c r="D3792" s="5" t="str">
        <f>_xlfn.XLOOKUP(role_course_map[[#This Row],[course_id]],course_data[course_id],course_data[title],"")</f>
        <v/>
      </c>
      <c r="E3792" s="5" t="str">
        <f>_xlfn.XLOOKUP(role_course_map[[#This Row],[course_id]],course_data[course_id],course_data[topic],"")</f>
        <v/>
      </c>
      <c r="F3792" s="5" t="str">
        <f>_xlfn.XLOOKUP(role_course_map[[#This Row],[course_id]],course_data[course_id],course_data[type],"")</f>
        <v/>
      </c>
      <c r="K3792" t="str">
        <f>role_course_map[[#This Row],[role_id]] &amp; "|" &amp; role_course_map[[#This Row],[course_id]]</f>
        <v>|</v>
      </c>
      <c r="L3792" t="str">
        <f>IF(COUNTIF(role_course_map[mapping_key],role_course_map[[#This Row],[mapping_key]])&gt;1,"DUPLICATE","OK")</f>
        <v>DUPLICATE</v>
      </c>
      <c r="M3792" t="str">
        <f>IF(COUNTIF(role_data[role_id],role_course_map[[#This Row],[role_id]])=0, "INVALID","VALID")</f>
        <v>INVALID</v>
      </c>
      <c r="N3792" t="str">
        <f>IF(COUNTIF(course_data[course_id],role_course_map[[#This Row],[course_id]])=0, "INVALID","VALID")</f>
        <v>INVALID</v>
      </c>
    </row>
    <row r="3793" spans="2:14" x14ac:dyDescent="0.35">
      <c r="B3793" s="5" t="str">
        <f>_xlfn.XLOOKUP(role_course_map[[#This Row],[role_id]], role_data[role_id], role_data[Role],"")</f>
        <v/>
      </c>
      <c r="D3793" s="5" t="str">
        <f>_xlfn.XLOOKUP(role_course_map[[#This Row],[course_id]],course_data[course_id],course_data[title],"")</f>
        <v/>
      </c>
      <c r="E3793" s="5" t="str">
        <f>_xlfn.XLOOKUP(role_course_map[[#This Row],[course_id]],course_data[course_id],course_data[topic],"")</f>
        <v/>
      </c>
      <c r="F3793" s="5" t="str">
        <f>_xlfn.XLOOKUP(role_course_map[[#This Row],[course_id]],course_data[course_id],course_data[type],"")</f>
        <v/>
      </c>
      <c r="K3793" t="str">
        <f>role_course_map[[#This Row],[role_id]] &amp; "|" &amp; role_course_map[[#This Row],[course_id]]</f>
        <v>|</v>
      </c>
      <c r="L3793" t="str">
        <f>IF(COUNTIF(role_course_map[mapping_key],role_course_map[[#This Row],[mapping_key]])&gt;1,"DUPLICATE","OK")</f>
        <v>DUPLICATE</v>
      </c>
      <c r="M3793" t="str">
        <f>IF(COUNTIF(role_data[role_id],role_course_map[[#This Row],[role_id]])=0, "INVALID","VALID")</f>
        <v>INVALID</v>
      </c>
      <c r="N3793" t="str">
        <f>IF(COUNTIF(course_data[course_id],role_course_map[[#This Row],[course_id]])=0, "INVALID","VALID")</f>
        <v>INVALID</v>
      </c>
    </row>
    <row r="3794" spans="2:14" x14ac:dyDescent="0.35">
      <c r="B3794" s="5" t="str">
        <f>_xlfn.XLOOKUP(role_course_map[[#This Row],[role_id]], role_data[role_id], role_data[Role],"")</f>
        <v/>
      </c>
      <c r="D3794" s="5" t="str">
        <f>_xlfn.XLOOKUP(role_course_map[[#This Row],[course_id]],course_data[course_id],course_data[title],"")</f>
        <v/>
      </c>
      <c r="E3794" s="5" t="str">
        <f>_xlfn.XLOOKUP(role_course_map[[#This Row],[course_id]],course_data[course_id],course_data[topic],"")</f>
        <v/>
      </c>
      <c r="F3794" s="5" t="str">
        <f>_xlfn.XLOOKUP(role_course_map[[#This Row],[course_id]],course_data[course_id],course_data[type],"")</f>
        <v/>
      </c>
      <c r="K3794" t="str">
        <f>role_course_map[[#This Row],[role_id]] &amp; "|" &amp; role_course_map[[#This Row],[course_id]]</f>
        <v>|</v>
      </c>
      <c r="L3794" t="str">
        <f>IF(COUNTIF(role_course_map[mapping_key],role_course_map[[#This Row],[mapping_key]])&gt;1,"DUPLICATE","OK")</f>
        <v>DUPLICATE</v>
      </c>
      <c r="M3794" t="str">
        <f>IF(COUNTIF(role_data[role_id],role_course_map[[#This Row],[role_id]])=0, "INVALID","VALID")</f>
        <v>INVALID</v>
      </c>
      <c r="N3794" t="str">
        <f>IF(COUNTIF(course_data[course_id],role_course_map[[#This Row],[course_id]])=0, "INVALID","VALID")</f>
        <v>INVALID</v>
      </c>
    </row>
    <row r="3795" spans="2:14" x14ac:dyDescent="0.35">
      <c r="B3795" s="5" t="str">
        <f>_xlfn.XLOOKUP(role_course_map[[#This Row],[role_id]], role_data[role_id], role_data[Role],"")</f>
        <v/>
      </c>
      <c r="D3795" s="5" t="str">
        <f>_xlfn.XLOOKUP(role_course_map[[#This Row],[course_id]],course_data[course_id],course_data[title],"")</f>
        <v/>
      </c>
      <c r="E3795" s="5" t="str">
        <f>_xlfn.XLOOKUP(role_course_map[[#This Row],[course_id]],course_data[course_id],course_data[topic],"")</f>
        <v/>
      </c>
      <c r="F3795" s="5" t="str">
        <f>_xlfn.XLOOKUP(role_course_map[[#This Row],[course_id]],course_data[course_id],course_data[type],"")</f>
        <v/>
      </c>
      <c r="K3795" t="str">
        <f>role_course_map[[#This Row],[role_id]] &amp; "|" &amp; role_course_map[[#This Row],[course_id]]</f>
        <v>|</v>
      </c>
      <c r="L3795" t="str">
        <f>IF(COUNTIF(role_course_map[mapping_key],role_course_map[[#This Row],[mapping_key]])&gt;1,"DUPLICATE","OK")</f>
        <v>DUPLICATE</v>
      </c>
      <c r="M3795" t="str">
        <f>IF(COUNTIF(role_data[role_id],role_course_map[[#This Row],[role_id]])=0, "INVALID","VALID")</f>
        <v>INVALID</v>
      </c>
      <c r="N3795" t="str">
        <f>IF(COUNTIF(course_data[course_id],role_course_map[[#This Row],[course_id]])=0, "INVALID","VALID")</f>
        <v>INVALID</v>
      </c>
    </row>
    <row r="3796" spans="2:14" x14ac:dyDescent="0.35">
      <c r="B3796" s="5" t="str">
        <f>_xlfn.XLOOKUP(role_course_map[[#This Row],[role_id]], role_data[role_id], role_data[Role],"")</f>
        <v/>
      </c>
      <c r="D3796" s="5" t="str">
        <f>_xlfn.XLOOKUP(role_course_map[[#This Row],[course_id]],course_data[course_id],course_data[title],"")</f>
        <v/>
      </c>
      <c r="E3796" s="5" t="str">
        <f>_xlfn.XLOOKUP(role_course_map[[#This Row],[course_id]],course_data[course_id],course_data[topic],"")</f>
        <v/>
      </c>
      <c r="F3796" s="5" t="str">
        <f>_xlfn.XLOOKUP(role_course_map[[#This Row],[course_id]],course_data[course_id],course_data[type],"")</f>
        <v/>
      </c>
      <c r="K3796" t="str">
        <f>role_course_map[[#This Row],[role_id]] &amp; "|" &amp; role_course_map[[#This Row],[course_id]]</f>
        <v>|</v>
      </c>
      <c r="L3796" t="str">
        <f>IF(COUNTIF(role_course_map[mapping_key],role_course_map[[#This Row],[mapping_key]])&gt;1,"DUPLICATE","OK")</f>
        <v>DUPLICATE</v>
      </c>
      <c r="M3796" t="str">
        <f>IF(COUNTIF(role_data[role_id],role_course_map[[#This Row],[role_id]])=0, "INVALID","VALID")</f>
        <v>INVALID</v>
      </c>
      <c r="N3796" t="str">
        <f>IF(COUNTIF(course_data[course_id],role_course_map[[#This Row],[course_id]])=0, "INVALID","VALID")</f>
        <v>INVALID</v>
      </c>
    </row>
    <row r="3797" spans="2:14" x14ac:dyDescent="0.35">
      <c r="B3797" s="5" t="str">
        <f>_xlfn.XLOOKUP(role_course_map[[#This Row],[role_id]], role_data[role_id], role_data[Role],"")</f>
        <v/>
      </c>
      <c r="D3797" s="5" t="str">
        <f>_xlfn.XLOOKUP(role_course_map[[#This Row],[course_id]],course_data[course_id],course_data[title],"")</f>
        <v/>
      </c>
      <c r="E3797" s="5" t="str">
        <f>_xlfn.XLOOKUP(role_course_map[[#This Row],[course_id]],course_data[course_id],course_data[topic],"")</f>
        <v/>
      </c>
      <c r="F3797" s="5" t="str">
        <f>_xlfn.XLOOKUP(role_course_map[[#This Row],[course_id]],course_data[course_id],course_data[type],"")</f>
        <v/>
      </c>
      <c r="K3797" t="str">
        <f>role_course_map[[#This Row],[role_id]] &amp; "|" &amp; role_course_map[[#This Row],[course_id]]</f>
        <v>|</v>
      </c>
      <c r="L3797" t="str">
        <f>IF(COUNTIF(role_course_map[mapping_key],role_course_map[[#This Row],[mapping_key]])&gt;1,"DUPLICATE","OK")</f>
        <v>DUPLICATE</v>
      </c>
      <c r="M3797" t="str">
        <f>IF(COUNTIF(role_data[role_id],role_course_map[[#This Row],[role_id]])=0, "INVALID","VALID")</f>
        <v>INVALID</v>
      </c>
      <c r="N3797" t="str">
        <f>IF(COUNTIF(course_data[course_id],role_course_map[[#This Row],[course_id]])=0, "INVALID","VALID")</f>
        <v>INVALID</v>
      </c>
    </row>
    <row r="3798" spans="2:14" x14ac:dyDescent="0.35">
      <c r="B3798" s="5" t="str">
        <f>_xlfn.XLOOKUP(role_course_map[[#This Row],[role_id]], role_data[role_id], role_data[Role],"")</f>
        <v/>
      </c>
      <c r="D3798" s="5" t="str">
        <f>_xlfn.XLOOKUP(role_course_map[[#This Row],[course_id]],course_data[course_id],course_data[title],"")</f>
        <v/>
      </c>
      <c r="E3798" s="5" t="str">
        <f>_xlfn.XLOOKUP(role_course_map[[#This Row],[course_id]],course_data[course_id],course_data[topic],"")</f>
        <v/>
      </c>
      <c r="F3798" s="5" t="str">
        <f>_xlfn.XLOOKUP(role_course_map[[#This Row],[course_id]],course_data[course_id],course_data[type],"")</f>
        <v/>
      </c>
      <c r="K3798" t="str">
        <f>role_course_map[[#This Row],[role_id]] &amp; "|" &amp; role_course_map[[#This Row],[course_id]]</f>
        <v>|</v>
      </c>
      <c r="L3798" t="str">
        <f>IF(COUNTIF(role_course_map[mapping_key],role_course_map[[#This Row],[mapping_key]])&gt;1,"DUPLICATE","OK")</f>
        <v>DUPLICATE</v>
      </c>
      <c r="M3798" t="str">
        <f>IF(COUNTIF(role_data[role_id],role_course_map[[#This Row],[role_id]])=0, "INVALID","VALID")</f>
        <v>INVALID</v>
      </c>
      <c r="N3798" t="str">
        <f>IF(COUNTIF(course_data[course_id],role_course_map[[#This Row],[course_id]])=0, "INVALID","VALID")</f>
        <v>INVALID</v>
      </c>
    </row>
    <row r="3799" spans="2:14" x14ac:dyDescent="0.35">
      <c r="B3799" s="5" t="str">
        <f>_xlfn.XLOOKUP(role_course_map[[#This Row],[role_id]], role_data[role_id], role_data[Role],"")</f>
        <v/>
      </c>
      <c r="D3799" s="5" t="str">
        <f>_xlfn.XLOOKUP(role_course_map[[#This Row],[course_id]],course_data[course_id],course_data[title],"")</f>
        <v/>
      </c>
      <c r="E3799" s="5" t="str">
        <f>_xlfn.XLOOKUP(role_course_map[[#This Row],[course_id]],course_data[course_id],course_data[topic],"")</f>
        <v/>
      </c>
      <c r="F3799" s="5" t="str">
        <f>_xlfn.XLOOKUP(role_course_map[[#This Row],[course_id]],course_data[course_id],course_data[type],"")</f>
        <v/>
      </c>
      <c r="K3799" t="str">
        <f>role_course_map[[#This Row],[role_id]] &amp; "|" &amp; role_course_map[[#This Row],[course_id]]</f>
        <v>|</v>
      </c>
      <c r="L3799" t="str">
        <f>IF(COUNTIF(role_course_map[mapping_key],role_course_map[[#This Row],[mapping_key]])&gt;1,"DUPLICATE","OK")</f>
        <v>DUPLICATE</v>
      </c>
      <c r="M3799" t="str">
        <f>IF(COUNTIF(role_data[role_id],role_course_map[[#This Row],[role_id]])=0, "INVALID","VALID")</f>
        <v>INVALID</v>
      </c>
      <c r="N3799" t="str">
        <f>IF(COUNTIF(course_data[course_id],role_course_map[[#This Row],[course_id]])=0, "INVALID","VALID")</f>
        <v>INVALID</v>
      </c>
    </row>
    <row r="3800" spans="2:14" x14ac:dyDescent="0.35">
      <c r="B3800" s="5" t="str">
        <f>_xlfn.XLOOKUP(role_course_map[[#This Row],[role_id]], role_data[role_id], role_data[Role],"")</f>
        <v/>
      </c>
      <c r="D3800" s="5" t="str">
        <f>_xlfn.XLOOKUP(role_course_map[[#This Row],[course_id]],course_data[course_id],course_data[title],"")</f>
        <v/>
      </c>
      <c r="E3800" s="5" t="str">
        <f>_xlfn.XLOOKUP(role_course_map[[#This Row],[course_id]],course_data[course_id],course_data[topic],"")</f>
        <v/>
      </c>
      <c r="F3800" s="5" t="str">
        <f>_xlfn.XLOOKUP(role_course_map[[#This Row],[course_id]],course_data[course_id],course_data[type],"")</f>
        <v/>
      </c>
      <c r="K3800" t="str">
        <f>role_course_map[[#This Row],[role_id]] &amp; "|" &amp; role_course_map[[#This Row],[course_id]]</f>
        <v>|</v>
      </c>
      <c r="L3800" t="str">
        <f>IF(COUNTIF(role_course_map[mapping_key],role_course_map[[#This Row],[mapping_key]])&gt;1,"DUPLICATE","OK")</f>
        <v>DUPLICATE</v>
      </c>
      <c r="M3800" t="str">
        <f>IF(COUNTIF(role_data[role_id],role_course_map[[#This Row],[role_id]])=0, "INVALID","VALID")</f>
        <v>INVALID</v>
      </c>
      <c r="N3800" t="str">
        <f>IF(COUNTIF(course_data[course_id],role_course_map[[#This Row],[course_id]])=0, "INVALID","VALID")</f>
        <v>INVALID</v>
      </c>
    </row>
    <row r="3801" spans="2:14" x14ac:dyDescent="0.35">
      <c r="B3801" s="5" t="str">
        <f>_xlfn.XLOOKUP(role_course_map[[#This Row],[role_id]], role_data[role_id], role_data[Role],"")</f>
        <v/>
      </c>
      <c r="D3801" s="5" t="str">
        <f>_xlfn.XLOOKUP(role_course_map[[#This Row],[course_id]],course_data[course_id],course_data[title],"")</f>
        <v/>
      </c>
      <c r="E3801" s="5" t="str">
        <f>_xlfn.XLOOKUP(role_course_map[[#This Row],[course_id]],course_data[course_id],course_data[topic],"")</f>
        <v/>
      </c>
      <c r="F3801" s="5" t="str">
        <f>_xlfn.XLOOKUP(role_course_map[[#This Row],[course_id]],course_data[course_id],course_data[type],"")</f>
        <v/>
      </c>
      <c r="K3801" t="str">
        <f>role_course_map[[#This Row],[role_id]] &amp; "|" &amp; role_course_map[[#This Row],[course_id]]</f>
        <v>|</v>
      </c>
      <c r="L3801" t="str">
        <f>IF(COUNTIF(role_course_map[mapping_key],role_course_map[[#This Row],[mapping_key]])&gt;1,"DUPLICATE","OK")</f>
        <v>DUPLICATE</v>
      </c>
      <c r="M3801" t="str">
        <f>IF(COUNTIF(role_data[role_id],role_course_map[[#This Row],[role_id]])=0, "INVALID","VALID")</f>
        <v>INVALID</v>
      </c>
      <c r="N3801" t="str">
        <f>IF(COUNTIF(course_data[course_id],role_course_map[[#This Row],[course_id]])=0, "INVALID","VALID")</f>
        <v>INVALID</v>
      </c>
    </row>
    <row r="3802" spans="2:14" x14ac:dyDescent="0.35">
      <c r="B3802" s="5" t="str">
        <f>_xlfn.XLOOKUP(role_course_map[[#This Row],[role_id]], role_data[role_id], role_data[Role],"")</f>
        <v/>
      </c>
      <c r="D3802" s="5" t="str">
        <f>_xlfn.XLOOKUP(role_course_map[[#This Row],[course_id]],course_data[course_id],course_data[title],"")</f>
        <v/>
      </c>
      <c r="E3802" s="5" t="str">
        <f>_xlfn.XLOOKUP(role_course_map[[#This Row],[course_id]],course_data[course_id],course_data[topic],"")</f>
        <v/>
      </c>
      <c r="F3802" s="5" t="str">
        <f>_xlfn.XLOOKUP(role_course_map[[#This Row],[course_id]],course_data[course_id],course_data[type],"")</f>
        <v/>
      </c>
      <c r="K3802" t="str">
        <f>role_course_map[[#This Row],[role_id]] &amp; "|" &amp; role_course_map[[#This Row],[course_id]]</f>
        <v>|</v>
      </c>
      <c r="L3802" t="str">
        <f>IF(COUNTIF(role_course_map[mapping_key],role_course_map[[#This Row],[mapping_key]])&gt;1,"DUPLICATE","OK")</f>
        <v>DUPLICATE</v>
      </c>
      <c r="M3802" t="str">
        <f>IF(COUNTIF(role_data[role_id],role_course_map[[#This Row],[role_id]])=0, "INVALID","VALID")</f>
        <v>INVALID</v>
      </c>
      <c r="N3802" t="str">
        <f>IF(COUNTIF(course_data[course_id],role_course_map[[#This Row],[course_id]])=0, "INVALID","VALID")</f>
        <v>INVALID</v>
      </c>
    </row>
    <row r="3803" spans="2:14" x14ac:dyDescent="0.35">
      <c r="B3803" s="5" t="str">
        <f>_xlfn.XLOOKUP(role_course_map[[#This Row],[role_id]], role_data[role_id], role_data[Role],"")</f>
        <v/>
      </c>
      <c r="D3803" s="5" t="str">
        <f>_xlfn.XLOOKUP(role_course_map[[#This Row],[course_id]],course_data[course_id],course_data[title],"")</f>
        <v/>
      </c>
      <c r="E3803" s="5" t="str">
        <f>_xlfn.XLOOKUP(role_course_map[[#This Row],[course_id]],course_data[course_id],course_data[topic],"")</f>
        <v/>
      </c>
      <c r="F3803" s="5" t="str">
        <f>_xlfn.XLOOKUP(role_course_map[[#This Row],[course_id]],course_data[course_id],course_data[type],"")</f>
        <v/>
      </c>
      <c r="K3803" t="str">
        <f>role_course_map[[#This Row],[role_id]] &amp; "|" &amp; role_course_map[[#This Row],[course_id]]</f>
        <v>|</v>
      </c>
      <c r="L3803" t="str">
        <f>IF(COUNTIF(role_course_map[mapping_key],role_course_map[[#This Row],[mapping_key]])&gt;1,"DUPLICATE","OK")</f>
        <v>DUPLICATE</v>
      </c>
      <c r="M3803" t="str">
        <f>IF(COUNTIF(role_data[role_id],role_course_map[[#This Row],[role_id]])=0, "INVALID","VALID")</f>
        <v>INVALID</v>
      </c>
      <c r="N3803" t="str">
        <f>IF(COUNTIF(course_data[course_id],role_course_map[[#This Row],[course_id]])=0, "INVALID","VALID")</f>
        <v>INVALID</v>
      </c>
    </row>
    <row r="3804" spans="2:14" x14ac:dyDescent="0.35">
      <c r="B3804" s="5" t="str">
        <f>_xlfn.XLOOKUP(role_course_map[[#This Row],[role_id]], role_data[role_id], role_data[Role],"")</f>
        <v/>
      </c>
      <c r="D3804" s="5" t="str">
        <f>_xlfn.XLOOKUP(role_course_map[[#This Row],[course_id]],course_data[course_id],course_data[title],"")</f>
        <v/>
      </c>
      <c r="E3804" s="5" t="str">
        <f>_xlfn.XLOOKUP(role_course_map[[#This Row],[course_id]],course_data[course_id],course_data[topic],"")</f>
        <v/>
      </c>
      <c r="F3804" s="5" t="str">
        <f>_xlfn.XLOOKUP(role_course_map[[#This Row],[course_id]],course_data[course_id],course_data[type],"")</f>
        <v/>
      </c>
      <c r="K3804" t="str">
        <f>role_course_map[[#This Row],[role_id]] &amp; "|" &amp; role_course_map[[#This Row],[course_id]]</f>
        <v>|</v>
      </c>
      <c r="L3804" t="str">
        <f>IF(COUNTIF(role_course_map[mapping_key],role_course_map[[#This Row],[mapping_key]])&gt;1,"DUPLICATE","OK")</f>
        <v>DUPLICATE</v>
      </c>
      <c r="M3804" t="str">
        <f>IF(COUNTIF(role_data[role_id],role_course_map[[#This Row],[role_id]])=0, "INVALID","VALID")</f>
        <v>INVALID</v>
      </c>
      <c r="N3804" t="str">
        <f>IF(COUNTIF(course_data[course_id],role_course_map[[#This Row],[course_id]])=0, "INVALID","VALID")</f>
        <v>INVALID</v>
      </c>
    </row>
    <row r="3805" spans="2:14" x14ac:dyDescent="0.35">
      <c r="B3805" s="5" t="str">
        <f>_xlfn.XLOOKUP(role_course_map[[#This Row],[role_id]], role_data[role_id], role_data[Role],"")</f>
        <v/>
      </c>
      <c r="D3805" s="5" t="str">
        <f>_xlfn.XLOOKUP(role_course_map[[#This Row],[course_id]],course_data[course_id],course_data[title],"")</f>
        <v/>
      </c>
      <c r="E3805" s="5" t="str">
        <f>_xlfn.XLOOKUP(role_course_map[[#This Row],[course_id]],course_data[course_id],course_data[topic],"")</f>
        <v/>
      </c>
      <c r="F3805" s="5" t="str">
        <f>_xlfn.XLOOKUP(role_course_map[[#This Row],[course_id]],course_data[course_id],course_data[type],"")</f>
        <v/>
      </c>
      <c r="K3805" t="str">
        <f>role_course_map[[#This Row],[role_id]] &amp; "|" &amp; role_course_map[[#This Row],[course_id]]</f>
        <v>|</v>
      </c>
      <c r="L3805" t="str">
        <f>IF(COUNTIF(role_course_map[mapping_key],role_course_map[[#This Row],[mapping_key]])&gt;1,"DUPLICATE","OK")</f>
        <v>DUPLICATE</v>
      </c>
      <c r="M3805" t="str">
        <f>IF(COUNTIF(role_data[role_id],role_course_map[[#This Row],[role_id]])=0, "INVALID","VALID")</f>
        <v>INVALID</v>
      </c>
      <c r="N3805" t="str">
        <f>IF(COUNTIF(course_data[course_id],role_course_map[[#This Row],[course_id]])=0, "INVALID","VALID")</f>
        <v>INVALID</v>
      </c>
    </row>
    <row r="3806" spans="2:14" x14ac:dyDescent="0.35">
      <c r="B3806" s="5" t="str">
        <f>_xlfn.XLOOKUP(role_course_map[[#This Row],[role_id]], role_data[role_id], role_data[Role],"")</f>
        <v/>
      </c>
      <c r="D3806" s="5" t="str">
        <f>_xlfn.XLOOKUP(role_course_map[[#This Row],[course_id]],course_data[course_id],course_data[title],"")</f>
        <v/>
      </c>
      <c r="E3806" s="5" t="str">
        <f>_xlfn.XLOOKUP(role_course_map[[#This Row],[course_id]],course_data[course_id],course_data[topic],"")</f>
        <v/>
      </c>
      <c r="F3806" s="5" t="str">
        <f>_xlfn.XLOOKUP(role_course_map[[#This Row],[course_id]],course_data[course_id],course_data[type],"")</f>
        <v/>
      </c>
      <c r="K3806" t="str">
        <f>role_course_map[[#This Row],[role_id]] &amp; "|" &amp; role_course_map[[#This Row],[course_id]]</f>
        <v>|</v>
      </c>
      <c r="L3806" t="str">
        <f>IF(COUNTIF(role_course_map[mapping_key],role_course_map[[#This Row],[mapping_key]])&gt;1,"DUPLICATE","OK")</f>
        <v>DUPLICATE</v>
      </c>
      <c r="M3806" t="str">
        <f>IF(COUNTIF(role_data[role_id],role_course_map[[#This Row],[role_id]])=0, "INVALID","VALID")</f>
        <v>INVALID</v>
      </c>
      <c r="N3806" t="str">
        <f>IF(COUNTIF(course_data[course_id],role_course_map[[#This Row],[course_id]])=0, "INVALID","VALID")</f>
        <v>INVALID</v>
      </c>
    </row>
    <row r="3807" spans="2:14" x14ac:dyDescent="0.35">
      <c r="B3807" s="5" t="str">
        <f>_xlfn.XLOOKUP(role_course_map[[#This Row],[role_id]], role_data[role_id], role_data[Role],"")</f>
        <v/>
      </c>
      <c r="D3807" s="5" t="str">
        <f>_xlfn.XLOOKUP(role_course_map[[#This Row],[course_id]],course_data[course_id],course_data[title],"")</f>
        <v/>
      </c>
      <c r="E3807" s="5" t="str">
        <f>_xlfn.XLOOKUP(role_course_map[[#This Row],[course_id]],course_data[course_id],course_data[topic],"")</f>
        <v/>
      </c>
      <c r="F3807" s="5" t="str">
        <f>_xlfn.XLOOKUP(role_course_map[[#This Row],[course_id]],course_data[course_id],course_data[type],"")</f>
        <v/>
      </c>
      <c r="K3807" t="str">
        <f>role_course_map[[#This Row],[role_id]] &amp; "|" &amp; role_course_map[[#This Row],[course_id]]</f>
        <v>|</v>
      </c>
      <c r="L3807" t="str">
        <f>IF(COUNTIF(role_course_map[mapping_key],role_course_map[[#This Row],[mapping_key]])&gt;1,"DUPLICATE","OK")</f>
        <v>DUPLICATE</v>
      </c>
      <c r="M3807" t="str">
        <f>IF(COUNTIF(role_data[role_id],role_course_map[[#This Row],[role_id]])=0, "INVALID","VALID")</f>
        <v>INVALID</v>
      </c>
      <c r="N3807" t="str">
        <f>IF(COUNTIF(course_data[course_id],role_course_map[[#This Row],[course_id]])=0, "INVALID","VALID")</f>
        <v>INVALID</v>
      </c>
    </row>
    <row r="3808" spans="2:14" x14ac:dyDescent="0.35">
      <c r="B3808" s="5" t="str">
        <f>_xlfn.XLOOKUP(role_course_map[[#This Row],[role_id]], role_data[role_id], role_data[Role],"")</f>
        <v/>
      </c>
      <c r="D3808" s="5" t="str">
        <f>_xlfn.XLOOKUP(role_course_map[[#This Row],[course_id]],course_data[course_id],course_data[title],"")</f>
        <v/>
      </c>
      <c r="E3808" s="5" t="str">
        <f>_xlfn.XLOOKUP(role_course_map[[#This Row],[course_id]],course_data[course_id],course_data[topic],"")</f>
        <v/>
      </c>
      <c r="F3808" s="5" t="str">
        <f>_xlfn.XLOOKUP(role_course_map[[#This Row],[course_id]],course_data[course_id],course_data[type],"")</f>
        <v/>
      </c>
      <c r="K3808" t="str">
        <f>role_course_map[[#This Row],[role_id]] &amp; "|" &amp; role_course_map[[#This Row],[course_id]]</f>
        <v>|</v>
      </c>
      <c r="L3808" t="str">
        <f>IF(COUNTIF(role_course_map[mapping_key],role_course_map[[#This Row],[mapping_key]])&gt;1,"DUPLICATE","OK")</f>
        <v>DUPLICATE</v>
      </c>
      <c r="M3808" t="str">
        <f>IF(COUNTIF(role_data[role_id],role_course_map[[#This Row],[role_id]])=0, "INVALID","VALID")</f>
        <v>INVALID</v>
      </c>
      <c r="N3808" t="str">
        <f>IF(COUNTIF(course_data[course_id],role_course_map[[#This Row],[course_id]])=0, "INVALID","VALID")</f>
        <v>INVALID</v>
      </c>
    </row>
    <row r="3809" spans="2:14" x14ac:dyDescent="0.35">
      <c r="B3809" s="5" t="str">
        <f>_xlfn.XLOOKUP(role_course_map[[#This Row],[role_id]], role_data[role_id], role_data[Role],"")</f>
        <v/>
      </c>
      <c r="D3809" s="5" t="str">
        <f>_xlfn.XLOOKUP(role_course_map[[#This Row],[course_id]],course_data[course_id],course_data[title],"")</f>
        <v/>
      </c>
      <c r="E3809" s="5" t="str">
        <f>_xlfn.XLOOKUP(role_course_map[[#This Row],[course_id]],course_data[course_id],course_data[topic],"")</f>
        <v/>
      </c>
      <c r="F3809" s="5" t="str">
        <f>_xlfn.XLOOKUP(role_course_map[[#This Row],[course_id]],course_data[course_id],course_data[type],"")</f>
        <v/>
      </c>
      <c r="K3809" t="str">
        <f>role_course_map[[#This Row],[role_id]] &amp; "|" &amp; role_course_map[[#This Row],[course_id]]</f>
        <v>|</v>
      </c>
      <c r="L3809" t="str">
        <f>IF(COUNTIF(role_course_map[mapping_key],role_course_map[[#This Row],[mapping_key]])&gt;1,"DUPLICATE","OK")</f>
        <v>DUPLICATE</v>
      </c>
      <c r="M3809" t="str">
        <f>IF(COUNTIF(role_data[role_id],role_course_map[[#This Row],[role_id]])=0, "INVALID","VALID")</f>
        <v>INVALID</v>
      </c>
      <c r="N3809" t="str">
        <f>IF(COUNTIF(course_data[course_id],role_course_map[[#This Row],[course_id]])=0, "INVALID","VALID")</f>
        <v>INVALID</v>
      </c>
    </row>
    <row r="3810" spans="2:14" x14ac:dyDescent="0.35">
      <c r="B3810" s="5" t="str">
        <f>_xlfn.XLOOKUP(role_course_map[[#This Row],[role_id]], role_data[role_id], role_data[Role],"")</f>
        <v/>
      </c>
      <c r="D3810" s="5" t="str">
        <f>_xlfn.XLOOKUP(role_course_map[[#This Row],[course_id]],course_data[course_id],course_data[title],"")</f>
        <v/>
      </c>
      <c r="E3810" s="5" t="str">
        <f>_xlfn.XLOOKUP(role_course_map[[#This Row],[course_id]],course_data[course_id],course_data[topic],"")</f>
        <v/>
      </c>
      <c r="F3810" s="5" t="str">
        <f>_xlfn.XLOOKUP(role_course_map[[#This Row],[course_id]],course_data[course_id],course_data[type],"")</f>
        <v/>
      </c>
      <c r="K3810" t="str">
        <f>role_course_map[[#This Row],[role_id]] &amp; "|" &amp; role_course_map[[#This Row],[course_id]]</f>
        <v>|</v>
      </c>
      <c r="L3810" t="str">
        <f>IF(COUNTIF(role_course_map[mapping_key],role_course_map[[#This Row],[mapping_key]])&gt;1,"DUPLICATE","OK")</f>
        <v>DUPLICATE</v>
      </c>
      <c r="M3810" t="str">
        <f>IF(COUNTIF(role_data[role_id],role_course_map[[#This Row],[role_id]])=0, "INVALID","VALID")</f>
        <v>INVALID</v>
      </c>
      <c r="N3810" t="str">
        <f>IF(COUNTIF(course_data[course_id],role_course_map[[#This Row],[course_id]])=0, "INVALID","VALID")</f>
        <v>INVALID</v>
      </c>
    </row>
    <row r="3811" spans="2:14" x14ac:dyDescent="0.35">
      <c r="B3811" s="5" t="str">
        <f>_xlfn.XLOOKUP(role_course_map[[#This Row],[role_id]], role_data[role_id], role_data[Role],"")</f>
        <v/>
      </c>
      <c r="D3811" s="5" t="str">
        <f>_xlfn.XLOOKUP(role_course_map[[#This Row],[course_id]],course_data[course_id],course_data[title],"")</f>
        <v/>
      </c>
      <c r="E3811" s="5" t="str">
        <f>_xlfn.XLOOKUP(role_course_map[[#This Row],[course_id]],course_data[course_id],course_data[topic],"")</f>
        <v/>
      </c>
      <c r="F3811" s="5" t="str">
        <f>_xlfn.XLOOKUP(role_course_map[[#This Row],[course_id]],course_data[course_id],course_data[type],"")</f>
        <v/>
      </c>
      <c r="K3811" t="str">
        <f>role_course_map[[#This Row],[role_id]] &amp; "|" &amp; role_course_map[[#This Row],[course_id]]</f>
        <v>|</v>
      </c>
      <c r="L3811" t="str">
        <f>IF(COUNTIF(role_course_map[mapping_key],role_course_map[[#This Row],[mapping_key]])&gt;1,"DUPLICATE","OK")</f>
        <v>DUPLICATE</v>
      </c>
      <c r="M3811" t="str">
        <f>IF(COUNTIF(role_data[role_id],role_course_map[[#This Row],[role_id]])=0, "INVALID","VALID")</f>
        <v>INVALID</v>
      </c>
      <c r="N3811" t="str">
        <f>IF(COUNTIF(course_data[course_id],role_course_map[[#This Row],[course_id]])=0, "INVALID","VALID")</f>
        <v>INVALID</v>
      </c>
    </row>
    <row r="3812" spans="2:14" x14ac:dyDescent="0.35">
      <c r="B3812" s="5" t="str">
        <f>_xlfn.XLOOKUP(role_course_map[[#This Row],[role_id]], role_data[role_id], role_data[Role],"")</f>
        <v/>
      </c>
      <c r="D3812" s="5" t="str">
        <f>_xlfn.XLOOKUP(role_course_map[[#This Row],[course_id]],course_data[course_id],course_data[title],"")</f>
        <v/>
      </c>
      <c r="E3812" s="5" t="str">
        <f>_xlfn.XLOOKUP(role_course_map[[#This Row],[course_id]],course_data[course_id],course_data[topic],"")</f>
        <v/>
      </c>
      <c r="F3812" s="5" t="str">
        <f>_xlfn.XLOOKUP(role_course_map[[#This Row],[course_id]],course_data[course_id],course_data[type],"")</f>
        <v/>
      </c>
      <c r="K3812" t="str">
        <f>role_course_map[[#This Row],[role_id]] &amp; "|" &amp; role_course_map[[#This Row],[course_id]]</f>
        <v>|</v>
      </c>
      <c r="L3812" t="str">
        <f>IF(COUNTIF(role_course_map[mapping_key],role_course_map[[#This Row],[mapping_key]])&gt;1,"DUPLICATE","OK")</f>
        <v>DUPLICATE</v>
      </c>
      <c r="M3812" t="str">
        <f>IF(COUNTIF(role_data[role_id],role_course_map[[#This Row],[role_id]])=0, "INVALID","VALID")</f>
        <v>INVALID</v>
      </c>
      <c r="N3812" t="str">
        <f>IF(COUNTIF(course_data[course_id],role_course_map[[#This Row],[course_id]])=0, "INVALID","VALID")</f>
        <v>INVALID</v>
      </c>
    </row>
    <row r="3813" spans="2:14" x14ac:dyDescent="0.35">
      <c r="B3813" s="5" t="str">
        <f>_xlfn.XLOOKUP(role_course_map[[#This Row],[role_id]], role_data[role_id], role_data[Role],"")</f>
        <v/>
      </c>
      <c r="D3813" s="5" t="str">
        <f>_xlfn.XLOOKUP(role_course_map[[#This Row],[course_id]],course_data[course_id],course_data[title],"")</f>
        <v/>
      </c>
      <c r="E3813" s="5" t="str">
        <f>_xlfn.XLOOKUP(role_course_map[[#This Row],[course_id]],course_data[course_id],course_data[topic],"")</f>
        <v/>
      </c>
      <c r="F3813" s="5" t="str">
        <f>_xlfn.XLOOKUP(role_course_map[[#This Row],[course_id]],course_data[course_id],course_data[type],"")</f>
        <v/>
      </c>
      <c r="K3813" t="str">
        <f>role_course_map[[#This Row],[role_id]] &amp; "|" &amp; role_course_map[[#This Row],[course_id]]</f>
        <v>|</v>
      </c>
      <c r="L3813" t="str">
        <f>IF(COUNTIF(role_course_map[mapping_key],role_course_map[[#This Row],[mapping_key]])&gt;1,"DUPLICATE","OK")</f>
        <v>DUPLICATE</v>
      </c>
      <c r="M3813" t="str">
        <f>IF(COUNTIF(role_data[role_id],role_course_map[[#This Row],[role_id]])=0, "INVALID","VALID")</f>
        <v>INVALID</v>
      </c>
      <c r="N3813" t="str">
        <f>IF(COUNTIF(course_data[course_id],role_course_map[[#This Row],[course_id]])=0, "INVALID","VALID")</f>
        <v>INVALID</v>
      </c>
    </row>
    <row r="3814" spans="2:14" x14ac:dyDescent="0.35">
      <c r="B3814" s="5" t="str">
        <f>_xlfn.XLOOKUP(role_course_map[[#This Row],[role_id]], role_data[role_id], role_data[Role],"")</f>
        <v/>
      </c>
      <c r="D3814" s="5" t="str">
        <f>_xlfn.XLOOKUP(role_course_map[[#This Row],[course_id]],course_data[course_id],course_data[title],"")</f>
        <v/>
      </c>
      <c r="E3814" s="5" t="str">
        <f>_xlfn.XLOOKUP(role_course_map[[#This Row],[course_id]],course_data[course_id],course_data[topic],"")</f>
        <v/>
      </c>
      <c r="F3814" s="5" t="str">
        <f>_xlfn.XLOOKUP(role_course_map[[#This Row],[course_id]],course_data[course_id],course_data[type],"")</f>
        <v/>
      </c>
      <c r="K3814" t="str">
        <f>role_course_map[[#This Row],[role_id]] &amp; "|" &amp; role_course_map[[#This Row],[course_id]]</f>
        <v>|</v>
      </c>
      <c r="L3814" t="str">
        <f>IF(COUNTIF(role_course_map[mapping_key],role_course_map[[#This Row],[mapping_key]])&gt;1,"DUPLICATE","OK")</f>
        <v>DUPLICATE</v>
      </c>
      <c r="M3814" t="str">
        <f>IF(COUNTIF(role_data[role_id],role_course_map[[#This Row],[role_id]])=0, "INVALID","VALID")</f>
        <v>INVALID</v>
      </c>
      <c r="N3814" t="str">
        <f>IF(COUNTIF(course_data[course_id],role_course_map[[#This Row],[course_id]])=0, "INVALID","VALID")</f>
        <v>INVALID</v>
      </c>
    </row>
    <row r="3815" spans="2:14" x14ac:dyDescent="0.35">
      <c r="B3815" s="5" t="str">
        <f>_xlfn.XLOOKUP(role_course_map[[#This Row],[role_id]], role_data[role_id], role_data[Role],"")</f>
        <v/>
      </c>
      <c r="D3815" s="5" t="str">
        <f>_xlfn.XLOOKUP(role_course_map[[#This Row],[course_id]],course_data[course_id],course_data[title],"")</f>
        <v/>
      </c>
      <c r="E3815" s="5" t="str">
        <f>_xlfn.XLOOKUP(role_course_map[[#This Row],[course_id]],course_data[course_id],course_data[topic],"")</f>
        <v/>
      </c>
      <c r="F3815" s="5" t="str">
        <f>_xlfn.XLOOKUP(role_course_map[[#This Row],[course_id]],course_data[course_id],course_data[type],"")</f>
        <v/>
      </c>
      <c r="K3815" t="str">
        <f>role_course_map[[#This Row],[role_id]] &amp; "|" &amp; role_course_map[[#This Row],[course_id]]</f>
        <v>|</v>
      </c>
      <c r="L3815" t="str">
        <f>IF(COUNTIF(role_course_map[mapping_key],role_course_map[[#This Row],[mapping_key]])&gt;1,"DUPLICATE","OK")</f>
        <v>DUPLICATE</v>
      </c>
      <c r="M3815" t="str">
        <f>IF(COUNTIF(role_data[role_id],role_course_map[[#This Row],[role_id]])=0, "INVALID","VALID")</f>
        <v>INVALID</v>
      </c>
      <c r="N3815" t="str">
        <f>IF(COUNTIF(course_data[course_id],role_course_map[[#This Row],[course_id]])=0, "INVALID","VALID")</f>
        <v>INVALID</v>
      </c>
    </row>
    <row r="3816" spans="2:14" x14ac:dyDescent="0.35">
      <c r="B3816" s="5" t="str">
        <f>_xlfn.XLOOKUP(role_course_map[[#This Row],[role_id]], role_data[role_id], role_data[Role],"")</f>
        <v/>
      </c>
      <c r="D3816" s="5" t="str">
        <f>_xlfn.XLOOKUP(role_course_map[[#This Row],[course_id]],course_data[course_id],course_data[title],"")</f>
        <v/>
      </c>
      <c r="E3816" s="5" t="str">
        <f>_xlfn.XLOOKUP(role_course_map[[#This Row],[course_id]],course_data[course_id],course_data[topic],"")</f>
        <v/>
      </c>
      <c r="F3816" s="5" t="str">
        <f>_xlfn.XLOOKUP(role_course_map[[#This Row],[course_id]],course_data[course_id],course_data[type],"")</f>
        <v/>
      </c>
      <c r="K3816" t="str">
        <f>role_course_map[[#This Row],[role_id]] &amp; "|" &amp; role_course_map[[#This Row],[course_id]]</f>
        <v>|</v>
      </c>
      <c r="L3816" t="str">
        <f>IF(COUNTIF(role_course_map[mapping_key],role_course_map[[#This Row],[mapping_key]])&gt;1,"DUPLICATE","OK")</f>
        <v>DUPLICATE</v>
      </c>
      <c r="M3816" t="str">
        <f>IF(COUNTIF(role_data[role_id],role_course_map[[#This Row],[role_id]])=0, "INVALID","VALID")</f>
        <v>INVALID</v>
      </c>
      <c r="N3816" t="str">
        <f>IF(COUNTIF(course_data[course_id],role_course_map[[#This Row],[course_id]])=0, "INVALID","VALID")</f>
        <v>INVALID</v>
      </c>
    </row>
    <row r="3817" spans="2:14" x14ac:dyDescent="0.35">
      <c r="B3817" s="5" t="str">
        <f>_xlfn.XLOOKUP(role_course_map[[#This Row],[role_id]], role_data[role_id], role_data[Role],"")</f>
        <v/>
      </c>
      <c r="D3817" s="5" t="str">
        <f>_xlfn.XLOOKUP(role_course_map[[#This Row],[course_id]],course_data[course_id],course_data[title],"")</f>
        <v/>
      </c>
      <c r="E3817" s="5" t="str">
        <f>_xlfn.XLOOKUP(role_course_map[[#This Row],[course_id]],course_data[course_id],course_data[topic],"")</f>
        <v/>
      </c>
      <c r="F3817" s="5" t="str">
        <f>_xlfn.XLOOKUP(role_course_map[[#This Row],[course_id]],course_data[course_id],course_data[type],"")</f>
        <v/>
      </c>
      <c r="K3817" t="str">
        <f>role_course_map[[#This Row],[role_id]] &amp; "|" &amp; role_course_map[[#This Row],[course_id]]</f>
        <v>|</v>
      </c>
      <c r="L3817" t="str">
        <f>IF(COUNTIF(role_course_map[mapping_key],role_course_map[[#This Row],[mapping_key]])&gt;1,"DUPLICATE","OK")</f>
        <v>DUPLICATE</v>
      </c>
      <c r="M3817" t="str">
        <f>IF(COUNTIF(role_data[role_id],role_course_map[[#This Row],[role_id]])=0, "INVALID","VALID")</f>
        <v>INVALID</v>
      </c>
      <c r="N3817" t="str">
        <f>IF(COUNTIF(course_data[course_id],role_course_map[[#This Row],[course_id]])=0, "INVALID","VALID")</f>
        <v>INVALID</v>
      </c>
    </row>
    <row r="3818" spans="2:14" x14ac:dyDescent="0.35">
      <c r="B3818" s="5" t="str">
        <f>_xlfn.XLOOKUP(role_course_map[[#This Row],[role_id]], role_data[role_id], role_data[Role],"")</f>
        <v/>
      </c>
      <c r="D3818" s="5" t="str">
        <f>_xlfn.XLOOKUP(role_course_map[[#This Row],[course_id]],course_data[course_id],course_data[title],"")</f>
        <v/>
      </c>
      <c r="E3818" s="5" t="str">
        <f>_xlfn.XLOOKUP(role_course_map[[#This Row],[course_id]],course_data[course_id],course_data[topic],"")</f>
        <v/>
      </c>
      <c r="F3818" s="5" t="str">
        <f>_xlfn.XLOOKUP(role_course_map[[#This Row],[course_id]],course_data[course_id],course_data[type],"")</f>
        <v/>
      </c>
      <c r="K3818" t="str">
        <f>role_course_map[[#This Row],[role_id]] &amp; "|" &amp; role_course_map[[#This Row],[course_id]]</f>
        <v>|</v>
      </c>
      <c r="L3818" t="str">
        <f>IF(COUNTIF(role_course_map[mapping_key],role_course_map[[#This Row],[mapping_key]])&gt;1,"DUPLICATE","OK")</f>
        <v>DUPLICATE</v>
      </c>
      <c r="M3818" t="str">
        <f>IF(COUNTIF(role_data[role_id],role_course_map[[#This Row],[role_id]])=0, "INVALID","VALID")</f>
        <v>INVALID</v>
      </c>
      <c r="N3818" t="str">
        <f>IF(COUNTIF(course_data[course_id],role_course_map[[#This Row],[course_id]])=0, "INVALID","VALID")</f>
        <v>INVALID</v>
      </c>
    </row>
    <row r="3819" spans="2:14" x14ac:dyDescent="0.35">
      <c r="B3819" s="5" t="str">
        <f>_xlfn.XLOOKUP(role_course_map[[#This Row],[role_id]], role_data[role_id], role_data[Role],"")</f>
        <v/>
      </c>
      <c r="D3819" s="5" t="str">
        <f>_xlfn.XLOOKUP(role_course_map[[#This Row],[course_id]],course_data[course_id],course_data[title],"")</f>
        <v/>
      </c>
      <c r="E3819" s="5" t="str">
        <f>_xlfn.XLOOKUP(role_course_map[[#This Row],[course_id]],course_data[course_id],course_data[topic],"")</f>
        <v/>
      </c>
      <c r="F3819" s="5" t="str">
        <f>_xlfn.XLOOKUP(role_course_map[[#This Row],[course_id]],course_data[course_id],course_data[type],"")</f>
        <v/>
      </c>
      <c r="K3819" t="str">
        <f>role_course_map[[#This Row],[role_id]] &amp; "|" &amp; role_course_map[[#This Row],[course_id]]</f>
        <v>|</v>
      </c>
      <c r="L3819" t="str">
        <f>IF(COUNTIF(role_course_map[mapping_key],role_course_map[[#This Row],[mapping_key]])&gt;1,"DUPLICATE","OK")</f>
        <v>DUPLICATE</v>
      </c>
      <c r="M3819" t="str">
        <f>IF(COUNTIF(role_data[role_id],role_course_map[[#This Row],[role_id]])=0, "INVALID","VALID")</f>
        <v>INVALID</v>
      </c>
      <c r="N3819" t="str">
        <f>IF(COUNTIF(course_data[course_id],role_course_map[[#This Row],[course_id]])=0, "INVALID","VALID")</f>
        <v>INVALID</v>
      </c>
    </row>
    <row r="3820" spans="2:14" x14ac:dyDescent="0.35">
      <c r="B3820" s="5" t="str">
        <f>_xlfn.XLOOKUP(role_course_map[[#This Row],[role_id]], role_data[role_id], role_data[Role],"")</f>
        <v/>
      </c>
      <c r="D3820" s="5" t="str">
        <f>_xlfn.XLOOKUP(role_course_map[[#This Row],[course_id]],course_data[course_id],course_data[title],"")</f>
        <v/>
      </c>
      <c r="E3820" s="5" t="str">
        <f>_xlfn.XLOOKUP(role_course_map[[#This Row],[course_id]],course_data[course_id],course_data[topic],"")</f>
        <v/>
      </c>
      <c r="F3820" s="5" t="str">
        <f>_xlfn.XLOOKUP(role_course_map[[#This Row],[course_id]],course_data[course_id],course_data[type],"")</f>
        <v/>
      </c>
      <c r="K3820" t="str">
        <f>role_course_map[[#This Row],[role_id]] &amp; "|" &amp; role_course_map[[#This Row],[course_id]]</f>
        <v>|</v>
      </c>
      <c r="L3820" t="str">
        <f>IF(COUNTIF(role_course_map[mapping_key],role_course_map[[#This Row],[mapping_key]])&gt;1,"DUPLICATE","OK")</f>
        <v>DUPLICATE</v>
      </c>
      <c r="M3820" t="str">
        <f>IF(COUNTIF(role_data[role_id],role_course_map[[#This Row],[role_id]])=0, "INVALID","VALID")</f>
        <v>INVALID</v>
      </c>
      <c r="N3820" t="str">
        <f>IF(COUNTIF(course_data[course_id],role_course_map[[#This Row],[course_id]])=0, "INVALID","VALID")</f>
        <v>INVALID</v>
      </c>
    </row>
    <row r="3821" spans="2:14" x14ac:dyDescent="0.35">
      <c r="B3821" s="5" t="str">
        <f>_xlfn.XLOOKUP(role_course_map[[#This Row],[role_id]], role_data[role_id], role_data[Role],"")</f>
        <v/>
      </c>
      <c r="D3821" s="5" t="str">
        <f>_xlfn.XLOOKUP(role_course_map[[#This Row],[course_id]],course_data[course_id],course_data[title],"")</f>
        <v/>
      </c>
      <c r="E3821" s="5" t="str">
        <f>_xlfn.XLOOKUP(role_course_map[[#This Row],[course_id]],course_data[course_id],course_data[topic],"")</f>
        <v/>
      </c>
      <c r="F3821" s="5" t="str">
        <f>_xlfn.XLOOKUP(role_course_map[[#This Row],[course_id]],course_data[course_id],course_data[type],"")</f>
        <v/>
      </c>
      <c r="K3821" t="str">
        <f>role_course_map[[#This Row],[role_id]] &amp; "|" &amp; role_course_map[[#This Row],[course_id]]</f>
        <v>|</v>
      </c>
      <c r="L3821" t="str">
        <f>IF(COUNTIF(role_course_map[mapping_key],role_course_map[[#This Row],[mapping_key]])&gt;1,"DUPLICATE","OK")</f>
        <v>DUPLICATE</v>
      </c>
      <c r="M3821" t="str">
        <f>IF(COUNTIF(role_data[role_id],role_course_map[[#This Row],[role_id]])=0, "INVALID","VALID")</f>
        <v>INVALID</v>
      </c>
      <c r="N3821" t="str">
        <f>IF(COUNTIF(course_data[course_id],role_course_map[[#This Row],[course_id]])=0, "INVALID","VALID")</f>
        <v>INVALID</v>
      </c>
    </row>
    <row r="3822" spans="2:14" x14ac:dyDescent="0.35">
      <c r="B3822" s="5" t="str">
        <f>_xlfn.XLOOKUP(role_course_map[[#This Row],[role_id]], role_data[role_id], role_data[Role],"")</f>
        <v/>
      </c>
      <c r="D3822" s="5" t="str">
        <f>_xlfn.XLOOKUP(role_course_map[[#This Row],[course_id]],course_data[course_id],course_data[title],"")</f>
        <v/>
      </c>
      <c r="E3822" s="5" t="str">
        <f>_xlfn.XLOOKUP(role_course_map[[#This Row],[course_id]],course_data[course_id],course_data[topic],"")</f>
        <v/>
      </c>
      <c r="F3822" s="5" t="str">
        <f>_xlfn.XLOOKUP(role_course_map[[#This Row],[course_id]],course_data[course_id],course_data[type],"")</f>
        <v/>
      </c>
      <c r="K3822" t="str">
        <f>role_course_map[[#This Row],[role_id]] &amp; "|" &amp; role_course_map[[#This Row],[course_id]]</f>
        <v>|</v>
      </c>
      <c r="L3822" t="str">
        <f>IF(COUNTIF(role_course_map[mapping_key],role_course_map[[#This Row],[mapping_key]])&gt;1,"DUPLICATE","OK")</f>
        <v>DUPLICATE</v>
      </c>
      <c r="M3822" t="str">
        <f>IF(COUNTIF(role_data[role_id],role_course_map[[#This Row],[role_id]])=0, "INVALID","VALID")</f>
        <v>INVALID</v>
      </c>
      <c r="N3822" t="str">
        <f>IF(COUNTIF(course_data[course_id],role_course_map[[#This Row],[course_id]])=0, "INVALID","VALID")</f>
        <v>INVALID</v>
      </c>
    </row>
    <row r="3823" spans="2:14" x14ac:dyDescent="0.35">
      <c r="B3823" s="5" t="str">
        <f>_xlfn.XLOOKUP(role_course_map[[#This Row],[role_id]], role_data[role_id], role_data[Role],"")</f>
        <v/>
      </c>
      <c r="D3823" s="5" t="str">
        <f>_xlfn.XLOOKUP(role_course_map[[#This Row],[course_id]],course_data[course_id],course_data[title],"")</f>
        <v/>
      </c>
      <c r="E3823" s="5" t="str">
        <f>_xlfn.XLOOKUP(role_course_map[[#This Row],[course_id]],course_data[course_id],course_data[topic],"")</f>
        <v/>
      </c>
      <c r="F3823" s="5" t="str">
        <f>_xlfn.XLOOKUP(role_course_map[[#This Row],[course_id]],course_data[course_id],course_data[type],"")</f>
        <v/>
      </c>
      <c r="K3823" t="str">
        <f>role_course_map[[#This Row],[role_id]] &amp; "|" &amp; role_course_map[[#This Row],[course_id]]</f>
        <v>|</v>
      </c>
      <c r="L3823" t="str">
        <f>IF(COUNTIF(role_course_map[mapping_key],role_course_map[[#This Row],[mapping_key]])&gt;1,"DUPLICATE","OK")</f>
        <v>DUPLICATE</v>
      </c>
      <c r="M3823" t="str">
        <f>IF(COUNTIF(role_data[role_id],role_course_map[[#This Row],[role_id]])=0, "INVALID","VALID")</f>
        <v>INVALID</v>
      </c>
      <c r="N3823" t="str">
        <f>IF(COUNTIF(course_data[course_id],role_course_map[[#This Row],[course_id]])=0, "INVALID","VALID")</f>
        <v>INVALID</v>
      </c>
    </row>
    <row r="3824" spans="2:14" x14ac:dyDescent="0.35">
      <c r="B3824" s="5" t="str">
        <f>_xlfn.XLOOKUP(role_course_map[[#This Row],[role_id]], role_data[role_id], role_data[Role],"")</f>
        <v/>
      </c>
      <c r="D3824" s="5" t="str">
        <f>_xlfn.XLOOKUP(role_course_map[[#This Row],[course_id]],course_data[course_id],course_data[title],"")</f>
        <v/>
      </c>
      <c r="E3824" s="5" t="str">
        <f>_xlfn.XLOOKUP(role_course_map[[#This Row],[course_id]],course_data[course_id],course_data[topic],"")</f>
        <v/>
      </c>
      <c r="F3824" s="5" t="str">
        <f>_xlfn.XLOOKUP(role_course_map[[#This Row],[course_id]],course_data[course_id],course_data[type],"")</f>
        <v/>
      </c>
      <c r="K3824" t="str">
        <f>role_course_map[[#This Row],[role_id]] &amp; "|" &amp; role_course_map[[#This Row],[course_id]]</f>
        <v>|</v>
      </c>
      <c r="L3824" t="str">
        <f>IF(COUNTIF(role_course_map[mapping_key],role_course_map[[#This Row],[mapping_key]])&gt;1,"DUPLICATE","OK")</f>
        <v>DUPLICATE</v>
      </c>
      <c r="M3824" t="str">
        <f>IF(COUNTIF(role_data[role_id],role_course_map[[#This Row],[role_id]])=0, "INVALID","VALID")</f>
        <v>INVALID</v>
      </c>
      <c r="N3824" t="str">
        <f>IF(COUNTIF(course_data[course_id],role_course_map[[#This Row],[course_id]])=0, "INVALID","VALID")</f>
        <v>INVALID</v>
      </c>
    </row>
    <row r="3825" spans="2:14" x14ac:dyDescent="0.35">
      <c r="B3825" s="5" t="str">
        <f>_xlfn.XLOOKUP(role_course_map[[#This Row],[role_id]], role_data[role_id], role_data[Role],"")</f>
        <v/>
      </c>
      <c r="D3825" s="5" t="str">
        <f>_xlfn.XLOOKUP(role_course_map[[#This Row],[course_id]],course_data[course_id],course_data[title],"")</f>
        <v/>
      </c>
      <c r="E3825" s="5" t="str">
        <f>_xlfn.XLOOKUP(role_course_map[[#This Row],[course_id]],course_data[course_id],course_data[topic],"")</f>
        <v/>
      </c>
      <c r="F3825" s="5" t="str">
        <f>_xlfn.XLOOKUP(role_course_map[[#This Row],[course_id]],course_data[course_id],course_data[type],"")</f>
        <v/>
      </c>
      <c r="K3825" t="str">
        <f>role_course_map[[#This Row],[role_id]] &amp; "|" &amp; role_course_map[[#This Row],[course_id]]</f>
        <v>|</v>
      </c>
      <c r="L3825" t="str">
        <f>IF(COUNTIF(role_course_map[mapping_key],role_course_map[[#This Row],[mapping_key]])&gt;1,"DUPLICATE","OK")</f>
        <v>DUPLICATE</v>
      </c>
      <c r="M3825" t="str">
        <f>IF(COUNTIF(role_data[role_id],role_course_map[[#This Row],[role_id]])=0, "INVALID","VALID")</f>
        <v>INVALID</v>
      </c>
      <c r="N3825" t="str">
        <f>IF(COUNTIF(course_data[course_id],role_course_map[[#This Row],[course_id]])=0, "INVALID","VALID")</f>
        <v>INVALID</v>
      </c>
    </row>
    <row r="3826" spans="2:14" x14ac:dyDescent="0.35">
      <c r="B3826" s="5" t="str">
        <f>_xlfn.XLOOKUP(role_course_map[[#This Row],[role_id]], role_data[role_id], role_data[Role],"")</f>
        <v/>
      </c>
      <c r="D3826" s="5" t="str">
        <f>_xlfn.XLOOKUP(role_course_map[[#This Row],[course_id]],course_data[course_id],course_data[title],"")</f>
        <v/>
      </c>
      <c r="E3826" s="5" t="str">
        <f>_xlfn.XLOOKUP(role_course_map[[#This Row],[course_id]],course_data[course_id],course_data[topic],"")</f>
        <v/>
      </c>
      <c r="F3826" s="5" t="str">
        <f>_xlfn.XLOOKUP(role_course_map[[#This Row],[course_id]],course_data[course_id],course_data[type],"")</f>
        <v/>
      </c>
      <c r="K3826" t="str">
        <f>role_course_map[[#This Row],[role_id]] &amp; "|" &amp; role_course_map[[#This Row],[course_id]]</f>
        <v>|</v>
      </c>
      <c r="L3826" t="str">
        <f>IF(COUNTIF(role_course_map[mapping_key],role_course_map[[#This Row],[mapping_key]])&gt;1,"DUPLICATE","OK")</f>
        <v>DUPLICATE</v>
      </c>
      <c r="M3826" t="str">
        <f>IF(COUNTIF(role_data[role_id],role_course_map[[#This Row],[role_id]])=0, "INVALID","VALID")</f>
        <v>INVALID</v>
      </c>
      <c r="N3826" t="str">
        <f>IF(COUNTIF(course_data[course_id],role_course_map[[#This Row],[course_id]])=0, "INVALID","VALID")</f>
        <v>INVALID</v>
      </c>
    </row>
    <row r="3827" spans="2:14" x14ac:dyDescent="0.35">
      <c r="B3827" s="5" t="str">
        <f>_xlfn.XLOOKUP(role_course_map[[#This Row],[role_id]], role_data[role_id], role_data[Role],"")</f>
        <v/>
      </c>
      <c r="D3827" s="5" t="str">
        <f>_xlfn.XLOOKUP(role_course_map[[#This Row],[course_id]],course_data[course_id],course_data[title],"")</f>
        <v/>
      </c>
      <c r="E3827" s="5" t="str">
        <f>_xlfn.XLOOKUP(role_course_map[[#This Row],[course_id]],course_data[course_id],course_data[topic],"")</f>
        <v/>
      </c>
      <c r="F3827" s="5" t="str">
        <f>_xlfn.XLOOKUP(role_course_map[[#This Row],[course_id]],course_data[course_id],course_data[type],"")</f>
        <v/>
      </c>
      <c r="K3827" t="str">
        <f>role_course_map[[#This Row],[role_id]] &amp; "|" &amp; role_course_map[[#This Row],[course_id]]</f>
        <v>|</v>
      </c>
      <c r="L3827" t="str">
        <f>IF(COUNTIF(role_course_map[mapping_key],role_course_map[[#This Row],[mapping_key]])&gt;1,"DUPLICATE","OK")</f>
        <v>DUPLICATE</v>
      </c>
      <c r="M3827" t="str">
        <f>IF(COUNTIF(role_data[role_id],role_course_map[[#This Row],[role_id]])=0, "INVALID","VALID")</f>
        <v>INVALID</v>
      </c>
      <c r="N3827" t="str">
        <f>IF(COUNTIF(course_data[course_id],role_course_map[[#This Row],[course_id]])=0, "INVALID","VALID")</f>
        <v>INVALID</v>
      </c>
    </row>
    <row r="3828" spans="2:14" x14ac:dyDescent="0.35">
      <c r="B3828" s="5" t="str">
        <f>_xlfn.XLOOKUP(role_course_map[[#This Row],[role_id]], role_data[role_id], role_data[Role],"")</f>
        <v/>
      </c>
      <c r="D3828" s="5" t="str">
        <f>_xlfn.XLOOKUP(role_course_map[[#This Row],[course_id]],course_data[course_id],course_data[title],"")</f>
        <v/>
      </c>
      <c r="E3828" s="5" t="str">
        <f>_xlfn.XLOOKUP(role_course_map[[#This Row],[course_id]],course_data[course_id],course_data[topic],"")</f>
        <v/>
      </c>
      <c r="F3828" s="5" t="str">
        <f>_xlfn.XLOOKUP(role_course_map[[#This Row],[course_id]],course_data[course_id],course_data[type],"")</f>
        <v/>
      </c>
      <c r="K3828" t="str">
        <f>role_course_map[[#This Row],[role_id]] &amp; "|" &amp; role_course_map[[#This Row],[course_id]]</f>
        <v>|</v>
      </c>
      <c r="L3828" t="str">
        <f>IF(COUNTIF(role_course_map[mapping_key],role_course_map[[#This Row],[mapping_key]])&gt;1,"DUPLICATE","OK")</f>
        <v>DUPLICATE</v>
      </c>
      <c r="M3828" t="str">
        <f>IF(COUNTIF(role_data[role_id],role_course_map[[#This Row],[role_id]])=0, "INVALID","VALID")</f>
        <v>INVALID</v>
      </c>
      <c r="N3828" t="str">
        <f>IF(COUNTIF(course_data[course_id],role_course_map[[#This Row],[course_id]])=0, "INVALID","VALID")</f>
        <v>INVALID</v>
      </c>
    </row>
  </sheetData>
  <phoneticPr fontId="7" type="noConversion"/>
  <conditionalFormatting sqref="L2:L3828">
    <cfRule type="cellIs" dxfId="0" priority="1" operator="equal">
      <formula>"DUPLICATE"</formula>
    </cfRule>
  </conditionalFormatting>
  <dataValidations xWindow="335" yWindow="728" count="6">
    <dataValidation allowBlank="1" showInputMessage="1" showErrorMessage="1" errorTitle="Invalid Role" error="Select a role from the list. Do not type manually." sqref="A1:A2" xr:uid="{86AA7269-89AB-467D-9F5B-E3469611F2BF}"/>
    <dataValidation type="list" allowBlank="1" showInputMessage="1" showErrorMessage="1" sqref="C1:C2" xr:uid="{694AC00C-DB91-4CEF-AD40-08EF2C63A145}">
      <formula1>CourseID_List</formula1>
    </dataValidation>
    <dataValidation type="list" allowBlank="1" showInputMessage="1" showErrorMessage="1" errorTitle="Invalid value" error="Select Yes or No from the list." promptTitle="Include flag" prompt="Select Yes or No from the list." sqref="G1:G2" xr:uid="{BA9EFFCE-72D8-4A1C-BB7B-0AD56F638A64}">
      <formula1>Include_List</formula1>
    </dataValidation>
    <dataValidation type="list" allowBlank="1" showInputMessage="1" showErrorMessage="1" errorTitle="Invalid Role" error="Select a role from the list. Do not type manually." promptTitle="Role Selection" prompt="Choose a role_id from the dropdown. This must match the Roles table." sqref="A3:A3828" xr:uid="{E2526ED3-9F76-4049-AD32-882800A9C936}">
      <formula1>RoleID_List</formula1>
    </dataValidation>
    <dataValidation type="list" allowBlank="1" showInputMessage="1" showErrorMessage="1" errorTitle="Course Selection" error="Select a course_id from the list. Do not type manually." promptTitle="Course selection" prompt="Choose a course_id from the dropdown. This must match the Courses table." sqref="C3:C3828" xr:uid="{4405FAEC-C39D-466F-A58D-19EDFBBCA300}">
      <formula1>CourseID_List</formula1>
    </dataValidation>
    <dataValidation type="list" allowBlank="1" showInputMessage="1" showErrorMessage="1" errorTitle="Invalid input" error="Choose an option from the drop down." promptTitle="Choose learning type" prompt="Stat / Man / CPD?" sqref="H1:H3828" xr:uid="{76ADFEA9-4639-4420-A6B9-DFF1C3E0E0DC}">
      <formula1>Requirement_Type_List</formula1>
    </dataValidation>
  </dataValidations>
  <pageMargins left="0.7" right="0.7" top="0.75" bottom="0.75" header="0.3" footer="0.3"/>
  <pageSetup paperSize="9" orientation="portrait" r:id="rId1"/>
  <ignoredErrors>
    <ignoredError sqref="C1 G1:H1" listDataValidation="1"/>
  </ignoredError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FC18C-1FCB-466F-81B0-3C1DB33B96E8}">
  <dimension ref="A1:C7"/>
  <sheetViews>
    <sheetView workbookViewId="0">
      <selection activeCell="C2" sqref="C2:C7"/>
    </sheetView>
  </sheetViews>
  <sheetFormatPr defaultRowHeight="14.5" x14ac:dyDescent="0.35"/>
  <cols>
    <col min="1" max="1" width="15.26953125" bestFit="1" customWidth="1"/>
    <col min="2" max="2" width="23.453125" bestFit="1" customWidth="1"/>
    <col min="3" max="3" width="13.453125" bestFit="1" customWidth="1"/>
  </cols>
  <sheetData>
    <row r="1" spans="1:3" x14ac:dyDescent="0.35">
      <c r="A1" t="s">
        <v>1037</v>
      </c>
      <c r="B1" t="s">
        <v>1026</v>
      </c>
      <c r="C1" t="s">
        <v>1027</v>
      </c>
    </row>
    <row r="2" spans="1:3" x14ac:dyDescent="0.35">
      <c r="A2" t="s">
        <v>1035</v>
      </c>
      <c r="B2" t="s">
        <v>1038</v>
      </c>
      <c r="C2" t="s">
        <v>1041</v>
      </c>
    </row>
    <row r="3" spans="1:3" x14ac:dyDescent="0.35">
      <c r="A3" t="s">
        <v>1036</v>
      </c>
      <c r="B3" t="s">
        <v>1039</v>
      </c>
      <c r="C3" t="s">
        <v>1042</v>
      </c>
    </row>
    <row r="4" spans="1:3" x14ac:dyDescent="0.35">
      <c r="B4" t="s">
        <v>1040</v>
      </c>
      <c r="C4" t="s">
        <v>1043</v>
      </c>
    </row>
    <row r="5" spans="1:3" x14ac:dyDescent="0.35">
      <c r="C5" t="s">
        <v>1044</v>
      </c>
    </row>
    <row r="6" spans="1:3" x14ac:dyDescent="0.35">
      <c r="C6" t="s">
        <v>1045</v>
      </c>
    </row>
    <row r="7" spans="1:3" x14ac:dyDescent="0.35">
      <c r="C7" t="s">
        <v>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4B14F-7DB5-4C47-95CD-33B9E79AD723}">
  <dimension ref="A1:N242"/>
  <sheetViews>
    <sheetView workbookViewId="0">
      <selection activeCell="A25" sqref="A25"/>
    </sheetView>
  </sheetViews>
  <sheetFormatPr defaultRowHeight="14.5" x14ac:dyDescent="0.35"/>
  <cols>
    <col min="1" max="1" width="31.54296875" bestFit="1" customWidth="1"/>
    <col min="2" max="2" width="54.26953125" bestFit="1" customWidth="1"/>
    <col min="3" max="3" width="23.7265625" bestFit="1" customWidth="1"/>
    <col min="4" max="4" width="24.81640625" bestFit="1" customWidth="1"/>
    <col min="5" max="5" width="34.54296875" bestFit="1" customWidth="1"/>
    <col min="8" max="8" width="17.453125" bestFit="1" customWidth="1"/>
    <col min="9" max="9" width="14.453125" bestFit="1" customWidth="1"/>
    <col min="10" max="10" width="11.81640625" bestFit="1" customWidth="1"/>
    <col min="11" max="11" width="13.26953125" bestFit="1" customWidth="1"/>
    <col min="12" max="12" width="15.7265625" bestFit="1" customWidth="1"/>
    <col min="13" max="13" width="10.7265625" bestFit="1" customWidth="1"/>
    <col min="14" max="14" width="13.453125" bestFit="1" customWidth="1"/>
  </cols>
  <sheetData>
    <row r="1" spans="1:14" ht="15" thickBot="1" x14ac:dyDescent="0.4">
      <c r="A1" t="s">
        <v>1048</v>
      </c>
    </row>
    <row r="2" spans="1:14" ht="15" thickBot="1" x14ac:dyDescent="0.4">
      <c r="A2" s="51" t="e" cm="1" vm="1">
        <f t="array" aca="1" ref="A2" ca="1">_xlfn._xlws.FILTER(role_course_map[],(role_course_map[role_check]="INVALID")+(role_course_map[course_check]="INVALID"),"No invalid IDs found")</f>
        <v>#VALUE!</v>
      </c>
    </row>
    <row r="9" spans="1:14" x14ac:dyDescent="0.35">
      <c r="A9" s="53" t="s">
        <v>1047</v>
      </c>
    </row>
    <row r="10" spans="1:14" x14ac:dyDescent="0.35">
      <c r="A10" s="48" t="s">
        <v>0</v>
      </c>
      <c r="B10" s="49" t="s">
        <v>3</v>
      </c>
      <c r="C10" s="49" t="s">
        <v>452</v>
      </c>
      <c r="D10" s="49" t="s">
        <v>462</v>
      </c>
      <c r="E10" s="49" t="s">
        <v>456</v>
      </c>
      <c r="F10" s="49" t="s">
        <v>454</v>
      </c>
      <c r="G10" s="49" t="s">
        <v>1030</v>
      </c>
      <c r="H10" s="49" t="s">
        <v>1026</v>
      </c>
      <c r="I10" s="52" t="s">
        <v>1028</v>
      </c>
      <c r="J10" s="52" t="s">
        <v>1029</v>
      </c>
      <c r="K10" s="49" t="s">
        <v>1031</v>
      </c>
      <c r="L10" s="49" t="s">
        <v>1050</v>
      </c>
      <c r="M10" s="49" t="s">
        <v>1032</v>
      </c>
      <c r="N10" s="3" t="s">
        <v>1033</v>
      </c>
    </row>
    <row r="11" spans="1:14" x14ac:dyDescent="0.35">
      <c r="A11" t="e" cm="1" vm="2">
        <f t="array" aca="1" ref="A11" ca="1">_xlfn._xlws.FILTER(role_course_map[],role_course_map[duplicate_check]="DUPLICATE","No duplicates found")</f>
        <v>#VALUE!</v>
      </c>
    </row>
    <row r="24" spans="1:4" x14ac:dyDescent="0.35">
      <c r="A24" s="30" t="s">
        <v>1055</v>
      </c>
    </row>
    <row r="27" spans="1:4" x14ac:dyDescent="0.35">
      <c r="A27" s="63" t="s">
        <v>1049</v>
      </c>
      <c r="B27" s="63"/>
      <c r="C27" s="63"/>
      <c r="D27" s="63"/>
    </row>
    <row r="28" spans="1:4" x14ac:dyDescent="0.35">
      <c r="A28" s="60" t="s">
        <v>0</v>
      </c>
      <c r="B28" s="61" t="s">
        <v>3</v>
      </c>
      <c r="C28" s="61" t="s">
        <v>1051</v>
      </c>
      <c r="D28" s="62" t="s">
        <v>1052</v>
      </c>
    </row>
    <row r="29" spans="1:4" x14ac:dyDescent="0.35">
      <c r="A29" s="55" t="s">
        <v>4</v>
      </c>
      <c r="B29" s="55" t="s">
        <v>6</v>
      </c>
      <c r="C29" s="54">
        <v>0</v>
      </c>
      <c r="D29" s="56" t="s">
        <v>1053</v>
      </c>
    </row>
    <row r="30" spans="1:4" x14ac:dyDescent="0.35">
      <c r="A30" s="55" t="s">
        <v>7</v>
      </c>
      <c r="B30" s="54" t="s">
        <v>8</v>
      </c>
      <c r="C30" s="54">
        <v>0</v>
      </c>
      <c r="D30" s="56" t="s">
        <v>1053</v>
      </c>
    </row>
    <row r="31" spans="1:4" x14ac:dyDescent="0.35">
      <c r="A31" s="55" t="s">
        <v>9</v>
      </c>
      <c r="B31" s="54" t="s">
        <v>10</v>
      </c>
      <c r="C31" s="54">
        <v>1</v>
      </c>
      <c r="D31" s="56" t="s">
        <v>1054</v>
      </c>
    </row>
    <row r="32" spans="1:4" x14ac:dyDescent="0.35">
      <c r="A32" s="55" t="s">
        <v>11</v>
      </c>
      <c r="B32" s="54" t="s">
        <v>12</v>
      </c>
      <c r="C32" s="54">
        <v>0</v>
      </c>
      <c r="D32" s="56" t="s">
        <v>1053</v>
      </c>
    </row>
    <row r="33" spans="1:4" x14ac:dyDescent="0.35">
      <c r="A33" s="55" t="s">
        <v>13</v>
      </c>
      <c r="B33" s="54" t="s">
        <v>14</v>
      </c>
      <c r="C33" s="54">
        <v>0</v>
      </c>
      <c r="D33" s="56" t="s">
        <v>1053</v>
      </c>
    </row>
    <row r="34" spans="1:4" x14ac:dyDescent="0.35">
      <c r="A34" s="55" t="s">
        <v>15</v>
      </c>
      <c r="B34" s="54" t="s">
        <v>16</v>
      </c>
      <c r="C34" s="54">
        <v>2</v>
      </c>
      <c r="D34" s="56" t="s">
        <v>1054</v>
      </c>
    </row>
    <row r="35" spans="1:4" x14ac:dyDescent="0.35">
      <c r="A35" s="55" t="s">
        <v>17</v>
      </c>
      <c r="B35" s="54" t="s">
        <v>20</v>
      </c>
      <c r="C35" s="54">
        <v>0</v>
      </c>
      <c r="D35" s="56" t="s">
        <v>1053</v>
      </c>
    </row>
    <row r="36" spans="1:4" x14ac:dyDescent="0.35">
      <c r="A36" s="55" t="s">
        <v>21</v>
      </c>
      <c r="B36" s="54" t="s">
        <v>23</v>
      </c>
      <c r="C36" s="54">
        <v>0</v>
      </c>
      <c r="D36" s="56" t="s">
        <v>1053</v>
      </c>
    </row>
    <row r="37" spans="1:4" x14ac:dyDescent="0.35">
      <c r="A37" s="55" t="s">
        <v>24</v>
      </c>
      <c r="B37" s="54" t="s">
        <v>27</v>
      </c>
      <c r="C37" s="54">
        <v>0</v>
      </c>
      <c r="D37" s="56" t="s">
        <v>1053</v>
      </c>
    </row>
    <row r="38" spans="1:4" x14ac:dyDescent="0.35">
      <c r="A38" s="55" t="s">
        <v>28</v>
      </c>
      <c r="B38" s="54" t="s">
        <v>29</v>
      </c>
      <c r="C38" s="54">
        <v>0</v>
      </c>
      <c r="D38" s="56" t="s">
        <v>1053</v>
      </c>
    </row>
    <row r="39" spans="1:4" x14ac:dyDescent="0.35">
      <c r="A39" s="55" t="s">
        <v>30</v>
      </c>
      <c r="B39" s="54" t="s">
        <v>31</v>
      </c>
      <c r="C39" s="54">
        <v>0</v>
      </c>
      <c r="D39" s="56" t="s">
        <v>1053</v>
      </c>
    </row>
    <row r="40" spans="1:4" x14ac:dyDescent="0.35">
      <c r="A40" s="55" t="s">
        <v>32</v>
      </c>
      <c r="B40" s="54" t="s">
        <v>33</v>
      </c>
      <c r="C40" s="54">
        <v>0</v>
      </c>
      <c r="D40" s="56" t="s">
        <v>1053</v>
      </c>
    </row>
    <row r="41" spans="1:4" x14ac:dyDescent="0.35">
      <c r="A41" s="55" t="s">
        <v>34</v>
      </c>
      <c r="B41" s="54" t="s">
        <v>35</v>
      </c>
      <c r="C41" s="54">
        <v>0</v>
      </c>
      <c r="D41" s="56" t="s">
        <v>1053</v>
      </c>
    </row>
    <row r="42" spans="1:4" x14ac:dyDescent="0.35">
      <c r="A42" s="55" t="s">
        <v>36</v>
      </c>
      <c r="B42" s="54" t="s">
        <v>37</v>
      </c>
      <c r="C42" s="54">
        <v>0</v>
      </c>
      <c r="D42" s="56" t="s">
        <v>1053</v>
      </c>
    </row>
    <row r="43" spans="1:4" x14ac:dyDescent="0.35">
      <c r="A43" s="55" t="s">
        <v>38</v>
      </c>
      <c r="B43" s="54" t="s">
        <v>40</v>
      </c>
      <c r="C43" s="54">
        <v>0</v>
      </c>
      <c r="D43" s="56" t="s">
        <v>1053</v>
      </c>
    </row>
    <row r="44" spans="1:4" x14ac:dyDescent="0.35">
      <c r="A44" s="55" t="s">
        <v>41</v>
      </c>
      <c r="B44" s="54" t="s">
        <v>42</v>
      </c>
      <c r="C44" s="54">
        <v>0</v>
      </c>
      <c r="D44" s="56" t="s">
        <v>1053</v>
      </c>
    </row>
    <row r="45" spans="1:4" x14ac:dyDescent="0.35">
      <c r="A45" s="55" t="s">
        <v>43</v>
      </c>
      <c r="B45" s="54" t="s">
        <v>44</v>
      </c>
      <c r="C45" s="54">
        <v>0</v>
      </c>
      <c r="D45" s="56" t="s">
        <v>1053</v>
      </c>
    </row>
    <row r="46" spans="1:4" x14ac:dyDescent="0.35">
      <c r="A46" s="55" t="s">
        <v>45</v>
      </c>
      <c r="B46" s="54" t="s">
        <v>46</v>
      </c>
      <c r="C46" s="54">
        <v>0</v>
      </c>
      <c r="D46" s="56" t="s">
        <v>1053</v>
      </c>
    </row>
    <row r="47" spans="1:4" x14ac:dyDescent="0.35">
      <c r="A47" s="55" t="s">
        <v>47</v>
      </c>
      <c r="B47" s="54" t="s">
        <v>48</v>
      </c>
      <c r="C47" s="54">
        <v>0</v>
      </c>
      <c r="D47" s="56" t="s">
        <v>1053</v>
      </c>
    </row>
    <row r="48" spans="1:4" x14ac:dyDescent="0.35">
      <c r="A48" s="55" t="s">
        <v>49</v>
      </c>
      <c r="B48" s="54" t="s">
        <v>50</v>
      </c>
      <c r="C48" s="54">
        <v>0</v>
      </c>
      <c r="D48" s="56" t="s">
        <v>1053</v>
      </c>
    </row>
    <row r="49" spans="1:4" x14ac:dyDescent="0.35">
      <c r="A49" s="55" t="s">
        <v>51</v>
      </c>
      <c r="B49" s="54" t="s">
        <v>52</v>
      </c>
      <c r="C49" s="54">
        <v>0</v>
      </c>
      <c r="D49" s="56" t="s">
        <v>1053</v>
      </c>
    </row>
    <row r="50" spans="1:4" x14ac:dyDescent="0.35">
      <c r="A50" s="55" t="s">
        <v>53</v>
      </c>
      <c r="B50" s="54" t="s">
        <v>54</v>
      </c>
      <c r="C50" s="54">
        <v>0</v>
      </c>
      <c r="D50" s="56" t="s">
        <v>1053</v>
      </c>
    </row>
    <row r="51" spans="1:4" x14ac:dyDescent="0.35">
      <c r="A51" s="55" t="s">
        <v>55</v>
      </c>
      <c r="B51" s="54" t="s">
        <v>56</v>
      </c>
      <c r="C51" s="54">
        <v>0</v>
      </c>
      <c r="D51" s="56" t="s">
        <v>1053</v>
      </c>
    </row>
    <row r="52" spans="1:4" x14ac:dyDescent="0.35">
      <c r="A52" s="55" t="s">
        <v>57</v>
      </c>
      <c r="B52" s="54" t="s">
        <v>58</v>
      </c>
      <c r="C52" s="54">
        <v>0</v>
      </c>
      <c r="D52" s="56" t="s">
        <v>1053</v>
      </c>
    </row>
    <row r="53" spans="1:4" x14ac:dyDescent="0.35">
      <c r="A53" s="55" t="s">
        <v>59</v>
      </c>
      <c r="B53" s="54" t="s">
        <v>61</v>
      </c>
      <c r="C53" s="54">
        <v>0</v>
      </c>
      <c r="D53" s="56" t="s">
        <v>1053</v>
      </c>
    </row>
    <row r="54" spans="1:4" x14ac:dyDescent="0.35">
      <c r="A54" s="55" t="s">
        <v>62</v>
      </c>
      <c r="B54" s="54" t="s">
        <v>63</v>
      </c>
      <c r="C54" s="54">
        <v>0</v>
      </c>
      <c r="D54" s="56" t="s">
        <v>1053</v>
      </c>
    </row>
    <row r="55" spans="1:4" x14ac:dyDescent="0.35">
      <c r="A55" s="55" t="s">
        <v>64</v>
      </c>
      <c r="B55" s="54" t="s">
        <v>65</v>
      </c>
      <c r="C55" s="54">
        <v>0</v>
      </c>
      <c r="D55" s="56" t="s">
        <v>1053</v>
      </c>
    </row>
    <row r="56" spans="1:4" x14ac:dyDescent="0.35">
      <c r="A56" s="55" t="s">
        <v>66</v>
      </c>
      <c r="B56" s="54" t="s">
        <v>67</v>
      </c>
      <c r="C56" s="54">
        <v>0</v>
      </c>
      <c r="D56" s="56" t="s">
        <v>1053</v>
      </c>
    </row>
    <row r="57" spans="1:4" x14ac:dyDescent="0.35">
      <c r="A57" s="55" t="s">
        <v>68</v>
      </c>
      <c r="B57" s="54" t="s">
        <v>69</v>
      </c>
      <c r="C57" s="54">
        <v>0</v>
      </c>
      <c r="D57" s="56" t="s">
        <v>1053</v>
      </c>
    </row>
    <row r="58" spans="1:4" x14ac:dyDescent="0.35">
      <c r="A58" s="55" t="s">
        <v>70</v>
      </c>
      <c r="B58" s="54" t="s">
        <v>71</v>
      </c>
      <c r="C58" s="54">
        <v>0</v>
      </c>
      <c r="D58" s="56" t="s">
        <v>1053</v>
      </c>
    </row>
    <row r="59" spans="1:4" x14ac:dyDescent="0.35">
      <c r="A59" s="55" t="s">
        <v>72</v>
      </c>
      <c r="B59" s="54" t="s">
        <v>73</v>
      </c>
      <c r="C59" s="54">
        <v>0</v>
      </c>
      <c r="D59" s="56" t="s">
        <v>1053</v>
      </c>
    </row>
    <row r="60" spans="1:4" x14ac:dyDescent="0.35">
      <c r="A60" s="55" t="s">
        <v>74</v>
      </c>
      <c r="B60" s="54" t="s">
        <v>75</v>
      </c>
      <c r="C60" s="54">
        <v>0</v>
      </c>
      <c r="D60" s="56" t="s">
        <v>1053</v>
      </c>
    </row>
    <row r="61" spans="1:4" x14ac:dyDescent="0.35">
      <c r="A61" s="55" t="s">
        <v>76</v>
      </c>
      <c r="B61" s="54" t="s">
        <v>77</v>
      </c>
      <c r="C61" s="54">
        <v>0</v>
      </c>
      <c r="D61" s="56" t="s">
        <v>1053</v>
      </c>
    </row>
    <row r="62" spans="1:4" x14ac:dyDescent="0.35">
      <c r="A62" s="55" t="s">
        <v>78</v>
      </c>
      <c r="B62" s="54" t="s">
        <v>79</v>
      </c>
      <c r="C62" s="54">
        <v>0</v>
      </c>
      <c r="D62" s="56" t="s">
        <v>1053</v>
      </c>
    </row>
    <row r="63" spans="1:4" x14ac:dyDescent="0.35">
      <c r="A63" s="55" t="s">
        <v>80</v>
      </c>
      <c r="B63" s="54" t="s">
        <v>81</v>
      </c>
      <c r="C63" s="54">
        <v>0</v>
      </c>
      <c r="D63" s="56" t="s">
        <v>1053</v>
      </c>
    </row>
    <row r="64" spans="1:4" x14ac:dyDescent="0.35">
      <c r="A64" s="55" t="s">
        <v>82</v>
      </c>
      <c r="B64" s="54" t="s">
        <v>83</v>
      </c>
      <c r="C64" s="54">
        <v>0</v>
      </c>
      <c r="D64" s="56" t="s">
        <v>1053</v>
      </c>
    </row>
    <row r="65" spans="1:4" x14ac:dyDescent="0.35">
      <c r="A65" s="55" t="s">
        <v>84</v>
      </c>
      <c r="B65" s="54" t="s">
        <v>85</v>
      </c>
      <c r="C65" s="54">
        <v>0</v>
      </c>
      <c r="D65" s="56" t="s">
        <v>1053</v>
      </c>
    </row>
    <row r="66" spans="1:4" x14ac:dyDescent="0.35">
      <c r="A66" s="55" t="s">
        <v>86</v>
      </c>
      <c r="B66" s="54" t="s">
        <v>87</v>
      </c>
      <c r="C66" s="54">
        <v>0</v>
      </c>
      <c r="D66" s="56" t="s">
        <v>1053</v>
      </c>
    </row>
    <row r="67" spans="1:4" x14ac:dyDescent="0.35">
      <c r="A67" s="55" t="s">
        <v>88</v>
      </c>
      <c r="B67" s="54" t="s">
        <v>89</v>
      </c>
      <c r="C67" s="54">
        <v>0</v>
      </c>
      <c r="D67" s="56" t="s">
        <v>1053</v>
      </c>
    </row>
    <row r="68" spans="1:4" x14ac:dyDescent="0.35">
      <c r="A68" s="55" t="s">
        <v>90</v>
      </c>
      <c r="B68" s="54" t="s">
        <v>92</v>
      </c>
      <c r="C68" s="54">
        <v>0</v>
      </c>
      <c r="D68" s="56" t="s">
        <v>1053</v>
      </c>
    </row>
    <row r="69" spans="1:4" x14ac:dyDescent="0.35">
      <c r="A69" s="55" t="s">
        <v>93</v>
      </c>
      <c r="B69" s="54" t="s">
        <v>94</v>
      </c>
      <c r="C69" s="54">
        <v>0</v>
      </c>
      <c r="D69" s="56" t="s">
        <v>1053</v>
      </c>
    </row>
    <row r="70" spans="1:4" x14ac:dyDescent="0.35">
      <c r="A70" s="55" t="s">
        <v>95</v>
      </c>
      <c r="B70" s="54" t="s">
        <v>96</v>
      </c>
      <c r="C70" s="54">
        <v>0</v>
      </c>
      <c r="D70" s="56" t="s">
        <v>1053</v>
      </c>
    </row>
    <row r="71" spans="1:4" x14ac:dyDescent="0.35">
      <c r="A71" s="55" t="s">
        <v>97</v>
      </c>
      <c r="B71" s="54" t="s">
        <v>98</v>
      </c>
      <c r="C71" s="54">
        <v>0</v>
      </c>
      <c r="D71" s="56" t="s">
        <v>1053</v>
      </c>
    </row>
    <row r="72" spans="1:4" x14ac:dyDescent="0.35">
      <c r="A72" s="55" t="s">
        <v>99</v>
      </c>
      <c r="B72" s="54" t="s">
        <v>100</v>
      </c>
      <c r="C72" s="54">
        <v>0</v>
      </c>
      <c r="D72" s="56" t="s">
        <v>1053</v>
      </c>
    </row>
    <row r="73" spans="1:4" x14ac:dyDescent="0.35">
      <c r="A73" s="55" t="s">
        <v>101</v>
      </c>
      <c r="B73" s="54" t="s">
        <v>102</v>
      </c>
      <c r="C73" s="54">
        <v>0</v>
      </c>
      <c r="D73" s="56" t="s">
        <v>1053</v>
      </c>
    </row>
    <row r="74" spans="1:4" x14ac:dyDescent="0.35">
      <c r="A74" s="55" t="s">
        <v>103</v>
      </c>
      <c r="B74" s="54" t="s">
        <v>104</v>
      </c>
      <c r="C74" s="54">
        <v>0</v>
      </c>
      <c r="D74" s="56" t="s">
        <v>1053</v>
      </c>
    </row>
    <row r="75" spans="1:4" x14ac:dyDescent="0.35">
      <c r="A75" s="55" t="s">
        <v>105</v>
      </c>
      <c r="B75" s="54" t="s">
        <v>106</v>
      </c>
      <c r="C75" s="54">
        <v>0</v>
      </c>
      <c r="D75" s="56" t="s">
        <v>1053</v>
      </c>
    </row>
    <row r="76" spans="1:4" x14ac:dyDescent="0.35">
      <c r="A76" s="55" t="s">
        <v>107</v>
      </c>
      <c r="B76" s="54" t="s">
        <v>44</v>
      </c>
      <c r="C76" s="54">
        <v>0</v>
      </c>
      <c r="D76" s="56" t="s">
        <v>1053</v>
      </c>
    </row>
    <row r="77" spans="1:4" x14ac:dyDescent="0.35">
      <c r="A77" s="55" t="s">
        <v>109</v>
      </c>
      <c r="B77" s="54" t="s">
        <v>110</v>
      </c>
      <c r="C77" s="54">
        <v>0</v>
      </c>
      <c r="D77" s="56" t="s">
        <v>1053</v>
      </c>
    </row>
    <row r="78" spans="1:4" x14ac:dyDescent="0.35">
      <c r="A78" s="55" t="s">
        <v>111</v>
      </c>
      <c r="B78" s="54" t="s">
        <v>112</v>
      </c>
      <c r="C78" s="54">
        <v>0</v>
      </c>
      <c r="D78" s="56" t="s">
        <v>1053</v>
      </c>
    </row>
    <row r="79" spans="1:4" x14ac:dyDescent="0.35">
      <c r="A79" s="55" t="s">
        <v>113</v>
      </c>
      <c r="B79" s="54" t="s">
        <v>114</v>
      </c>
      <c r="C79" s="54">
        <v>0</v>
      </c>
      <c r="D79" s="56" t="s">
        <v>1053</v>
      </c>
    </row>
    <row r="80" spans="1:4" x14ac:dyDescent="0.35">
      <c r="A80" s="55" t="s">
        <v>115</v>
      </c>
      <c r="B80" s="54" t="s">
        <v>54</v>
      </c>
      <c r="C80" s="54">
        <v>0</v>
      </c>
      <c r="D80" s="56" t="s">
        <v>1053</v>
      </c>
    </row>
    <row r="81" spans="1:4" x14ac:dyDescent="0.35">
      <c r="A81" s="55" t="s">
        <v>116</v>
      </c>
      <c r="B81" s="54" t="s">
        <v>117</v>
      </c>
      <c r="C81" s="54">
        <v>0</v>
      </c>
      <c r="D81" s="56" t="s">
        <v>1053</v>
      </c>
    </row>
    <row r="82" spans="1:4" x14ac:dyDescent="0.35">
      <c r="A82" s="55" t="s">
        <v>118</v>
      </c>
      <c r="B82" s="54" t="s">
        <v>121</v>
      </c>
      <c r="C82" s="54">
        <v>0</v>
      </c>
      <c r="D82" s="56" t="s">
        <v>1053</v>
      </c>
    </row>
    <row r="83" spans="1:4" x14ac:dyDescent="0.35">
      <c r="A83" s="55" t="s">
        <v>122</v>
      </c>
      <c r="B83" s="54" t="s">
        <v>123</v>
      </c>
      <c r="C83" s="54">
        <v>0</v>
      </c>
      <c r="D83" s="56" t="s">
        <v>1053</v>
      </c>
    </row>
    <row r="84" spans="1:4" x14ac:dyDescent="0.35">
      <c r="A84" s="55" t="s">
        <v>124</v>
      </c>
      <c r="B84" s="54" t="s">
        <v>125</v>
      </c>
      <c r="C84" s="54">
        <v>0</v>
      </c>
      <c r="D84" s="56" t="s">
        <v>1053</v>
      </c>
    </row>
    <row r="85" spans="1:4" x14ac:dyDescent="0.35">
      <c r="A85" s="55" t="s">
        <v>126</v>
      </c>
      <c r="B85" s="54" t="s">
        <v>127</v>
      </c>
      <c r="C85" s="54">
        <v>0</v>
      </c>
      <c r="D85" s="56" t="s">
        <v>1053</v>
      </c>
    </row>
    <row r="86" spans="1:4" x14ac:dyDescent="0.35">
      <c r="A86" s="55" t="s">
        <v>128</v>
      </c>
      <c r="B86" s="54" t="s">
        <v>129</v>
      </c>
      <c r="C86" s="54">
        <v>0</v>
      </c>
      <c r="D86" s="56" t="s">
        <v>1053</v>
      </c>
    </row>
    <row r="87" spans="1:4" x14ac:dyDescent="0.35">
      <c r="A87" s="55" t="s">
        <v>130</v>
      </c>
      <c r="B87" s="54" t="s">
        <v>131</v>
      </c>
      <c r="C87" s="54">
        <v>0</v>
      </c>
      <c r="D87" s="56" t="s">
        <v>1053</v>
      </c>
    </row>
    <row r="88" spans="1:4" x14ac:dyDescent="0.35">
      <c r="A88" s="55" t="s">
        <v>132</v>
      </c>
      <c r="B88" s="54" t="s">
        <v>133</v>
      </c>
      <c r="C88" s="54">
        <v>0</v>
      </c>
      <c r="D88" s="56" t="s">
        <v>1053</v>
      </c>
    </row>
    <row r="89" spans="1:4" x14ac:dyDescent="0.35">
      <c r="A89" s="55" t="s">
        <v>134</v>
      </c>
      <c r="B89" s="54" t="s">
        <v>135</v>
      </c>
      <c r="C89" s="54">
        <v>0</v>
      </c>
      <c r="D89" s="56" t="s">
        <v>1053</v>
      </c>
    </row>
    <row r="90" spans="1:4" x14ac:dyDescent="0.35">
      <c r="A90" s="55" t="s">
        <v>136</v>
      </c>
      <c r="B90" s="54" t="s">
        <v>137</v>
      </c>
      <c r="C90" s="54">
        <v>0</v>
      </c>
      <c r="D90" s="56" t="s">
        <v>1053</v>
      </c>
    </row>
    <row r="91" spans="1:4" x14ac:dyDescent="0.35">
      <c r="A91" s="55" t="s">
        <v>138</v>
      </c>
      <c r="B91" s="54" t="s">
        <v>139</v>
      </c>
      <c r="C91" s="54">
        <v>0</v>
      </c>
      <c r="D91" s="56" t="s">
        <v>1053</v>
      </c>
    </row>
    <row r="92" spans="1:4" x14ac:dyDescent="0.35">
      <c r="A92" s="55" t="s">
        <v>140</v>
      </c>
      <c r="B92" s="54" t="s">
        <v>141</v>
      </c>
      <c r="C92" s="54">
        <v>0</v>
      </c>
      <c r="D92" s="56" t="s">
        <v>1053</v>
      </c>
    </row>
    <row r="93" spans="1:4" x14ac:dyDescent="0.35">
      <c r="A93" s="55" t="s">
        <v>142</v>
      </c>
      <c r="B93" s="54" t="s">
        <v>143</v>
      </c>
      <c r="C93" s="54">
        <v>0</v>
      </c>
      <c r="D93" s="56" t="s">
        <v>1053</v>
      </c>
    </row>
    <row r="94" spans="1:4" x14ac:dyDescent="0.35">
      <c r="A94" s="55" t="s">
        <v>144</v>
      </c>
      <c r="B94" s="54" t="s">
        <v>145</v>
      </c>
      <c r="C94" s="54">
        <v>0</v>
      </c>
      <c r="D94" s="56" t="s">
        <v>1053</v>
      </c>
    </row>
    <row r="95" spans="1:4" x14ac:dyDescent="0.35">
      <c r="A95" s="55" t="s">
        <v>146</v>
      </c>
      <c r="B95" s="54" t="s">
        <v>147</v>
      </c>
      <c r="C95" s="54">
        <v>0</v>
      </c>
      <c r="D95" s="56" t="s">
        <v>1053</v>
      </c>
    </row>
    <row r="96" spans="1:4" x14ac:dyDescent="0.35">
      <c r="A96" s="55" t="s">
        <v>148</v>
      </c>
      <c r="B96" s="54" t="s">
        <v>149</v>
      </c>
      <c r="C96" s="54">
        <v>0</v>
      </c>
      <c r="D96" s="56" t="s">
        <v>1053</v>
      </c>
    </row>
    <row r="97" spans="1:4" x14ac:dyDescent="0.35">
      <c r="A97" s="55" t="s">
        <v>150</v>
      </c>
      <c r="B97" s="54" t="s">
        <v>151</v>
      </c>
      <c r="C97" s="54">
        <v>0</v>
      </c>
      <c r="D97" s="56" t="s">
        <v>1053</v>
      </c>
    </row>
    <row r="98" spans="1:4" x14ac:dyDescent="0.35">
      <c r="A98" s="55" t="s">
        <v>152</v>
      </c>
      <c r="B98" s="54" t="s">
        <v>153</v>
      </c>
      <c r="C98" s="54">
        <v>0</v>
      </c>
      <c r="D98" s="56" t="s">
        <v>1053</v>
      </c>
    </row>
    <row r="99" spans="1:4" x14ac:dyDescent="0.35">
      <c r="A99" s="55" t="s">
        <v>154</v>
      </c>
      <c r="B99" s="54" t="s">
        <v>155</v>
      </c>
      <c r="C99" s="54">
        <v>0</v>
      </c>
      <c r="D99" s="56" t="s">
        <v>1053</v>
      </c>
    </row>
    <row r="100" spans="1:4" x14ac:dyDescent="0.35">
      <c r="A100" s="55" t="s">
        <v>156</v>
      </c>
      <c r="B100" s="54" t="s">
        <v>157</v>
      </c>
      <c r="C100" s="54">
        <v>0</v>
      </c>
      <c r="D100" s="56" t="s">
        <v>1053</v>
      </c>
    </row>
    <row r="101" spans="1:4" x14ac:dyDescent="0.35">
      <c r="A101" s="55" t="s">
        <v>158</v>
      </c>
      <c r="B101" s="54" t="s">
        <v>159</v>
      </c>
      <c r="C101" s="54">
        <v>0</v>
      </c>
      <c r="D101" s="56" t="s">
        <v>1053</v>
      </c>
    </row>
    <row r="102" spans="1:4" x14ac:dyDescent="0.35">
      <c r="A102" s="55" t="s">
        <v>160</v>
      </c>
      <c r="B102" s="54" t="s">
        <v>161</v>
      </c>
      <c r="C102" s="54">
        <v>0</v>
      </c>
      <c r="D102" s="56" t="s">
        <v>1053</v>
      </c>
    </row>
    <row r="103" spans="1:4" x14ac:dyDescent="0.35">
      <c r="A103" s="55" t="s">
        <v>162</v>
      </c>
      <c r="B103" s="54" t="s">
        <v>163</v>
      </c>
      <c r="C103" s="54">
        <v>0</v>
      </c>
      <c r="D103" s="56" t="s">
        <v>1053</v>
      </c>
    </row>
    <row r="104" spans="1:4" x14ac:dyDescent="0.35">
      <c r="A104" s="55" t="s">
        <v>164</v>
      </c>
      <c r="B104" s="54" t="s">
        <v>165</v>
      </c>
      <c r="C104" s="54">
        <v>0</v>
      </c>
      <c r="D104" s="56" t="s">
        <v>1053</v>
      </c>
    </row>
    <row r="105" spans="1:4" x14ac:dyDescent="0.35">
      <c r="A105" s="55" t="s">
        <v>166</v>
      </c>
      <c r="B105" s="54" t="s">
        <v>167</v>
      </c>
      <c r="C105" s="54">
        <v>0</v>
      </c>
      <c r="D105" s="56" t="s">
        <v>1053</v>
      </c>
    </row>
    <row r="106" spans="1:4" x14ac:dyDescent="0.35">
      <c r="A106" s="55" t="s">
        <v>168</v>
      </c>
      <c r="B106" s="54" t="s">
        <v>169</v>
      </c>
      <c r="C106" s="54">
        <v>0</v>
      </c>
      <c r="D106" s="56" t="s">
        <v>1053</v>
      </c>
    </row>
    <row r="107" spans="1:4" x14ac:dyDescent="0.35">
      <c r="A107" s="55" t="s">
        <v>170</v>
      </c>
      <c r="B107" s="54" t="s">
        <v>171</v>
      </c>
      <c r="C107" s="54">
        <v>0</v>
      </c>
      <c r="D107" s="56" t="s">
        <v>1053</v>
      </c>
    </row>
    <row r="108" spans="1:4" x14ac:dyDescent="0.35">
      <c r="A108" s="55" t="s">
        <v>172</v>
      </c>
      <c r="B108" s="54" t="s">
        <v>173</v>
      </c>
      <c r="C108" s="54">
        <v>0</v>
      </c>
      <c r="D108" s="56" t="s">
        <v>1053</v>
      </c>
    </row>
    <row r="109" spans="1:4" x14ac:dyDescent="0.35">
      <c r="A109" s="55" t="s">
        <v>174</v>
      </c>
      <c r="B109" s="54" t="s">
        <v>175</v>
      </c>
      <c r="C109" s="54">
        <v>0</v>
      </c>
      <c r="D109" s="56" t="s">
        <v>1053</v>
      </c>
    </row>
    <row r="110" spans="1:4" x14ac:dyDescent="0.35">
      <c r="A110" s="55" t="s">
        <v>176</v>
      </c>
      <c r="B110" s="54" t="s">
        <v>177</v>
      </c>
      <c r="C110" s="54">
        <v>0</v>
      </c>
      <c r="D110" s="56" t="s">
        <v>1053</v>
      </c>
    </row>
    <row r="111" spans="1:4" x14ac:dyDescent="0.35">
      <c r="A111" s="55" t="s">
        <v>178</v>
      </c>
      <c r="B111" s="54" t="s">
        <v>179</v>
      </c>
      <c r="C111" s="54">
        <v>0</v>
      </c>
      <c r="D111" s="56" t="s">
        <v>1053</v>
      </c>
    </row>
    <row r="112" spans="1:4" x14ac:dyDescent="0.35">
      <c r="A112" s="55" t="s">
        <v>180</v>
      </c>
      <c r="B112" s="54" t="s">
        <v>181</v>
      </c>
      <c r="C112" s="54">
        <v>0</v>
      </c>
      <c r="D112" s="56" t="s">
        <v>1053</v>
      </c>
    </row>
    <row r="113" spans="1:4" x14ac:dyDescent="0.35">
      <c r="A113" s="55" t="s">
        <v>182</v>
      </c>
      <c r="B113" s="54" t="s">
        <v>183</v>
      </c>
      <c r="C113" s="54">
        <v>0</v>
      </c>
      <c r="D113" s="56" t="s">
        <v>1053</v>
      </c>
    </row>
    <row r="114" spans="1:4" x14ac:dyDescent="0.35">
      <c r="A114" s="55" t="s">
        <v>184</v>
      </c>
      <c r="B114" s="54" t="s">
        <v>185</v>
      </c>
      <c r="C114" s="54">
        <v>0</v>
      </c>
      <c r="D114" s="56" t="s">
        <v>1053</v>
      </c>
    </row>
    <row r="115" spans="1:4" x14ac:dyDescent="0.35">
      <c r="A115" s="55" t="s">
        <v>186</v>
      </c>
      <c r="B115" s="54" t="s">
        <v>188</v>
      </c>
      <c r="C115" s="54">
        <v>0</v>
      </c>
      <c r="D115" s="56" t="s">
        <v>1053</v>
      </c>
    </row>
    <row r="116" spans="1:4" x14ac:dyDescent="0.35">
      <c r="A116" s="55" t="s">
        <v>189</v>
      </c>
      <c r="B116" s="54" t="s">
        <v>190</v>
      </c>
      <c r="C116" s="54">
        <v>0</v>
      </c>
      <c r="D116" s="56" t="s">
        <v>1053</v>
      </c>
    </row>
    <row r="117" spans="1:4" x14ac:dyDescent="0.35">
      <c r="A117" s="55" t="s">
        <v>191</v>
      </c>
      <c r="B117" s="54" t="s">
        <v>192</v>
      </c>
      <c r="C117" s="54">
        <v>0</v>
      </c>
      <c r="D117" s="56" t="s">
        <v>1053</v>
      </c>
    </row>
    <row r="118" spans="1:4" x14ac:dyDescent="0.35">
      <c r="A118" s="55" t="s">
        <v>193</v>
      </c>
      <c r="B118" s="54" t="s">
        <v>194</v>
      </c>
      <c r="C118" s="54">
        <v>0</v>
      </c>
      <c r="D118" s="56" t="s">
        <v>1053</v>
      </c>
    </row>
    <row r="119" spans="1:4" x14ac:dyDescent="0.35">
      <c r="A119" s="55" t="s">
        <v>195</v>
      </c>
      <c r="B119" s="54" t="s">
        <v>196</v>
      </c>
      <c r="C119" s="54">
        <v>0</v>
      </c>
      <c r="D119" s="56" t="s">
        <v>1053</v>
      </c>
    </row>
    <row r="120" spans="1:4" x14ac:dyDescent="0.35">
      <c r="A120" s="55" t="s">
        <v>197</v>
      </c>
      <c r="B120" s="54" t="s">
        <v>198</v>
      </c>
      <c r="C120" s="54">
        <v>0</v>
      </c>
      <c r="D120" s="56" t="s">
        <v>1053</v>
      </c>
    </row>
    <row r="121" spans="1:4" x14ac:dyDescent="0.35">
      <c r="A121" s="55" t="s">
        <v>199</v>
      </c>
      <c r="B121" s="54" t="s">
        <v>200</v>
      </c>
      <c r="C121" s="54">
        <v>0</v>
      </c>
      <c r="D121" s="56" t="s">
        <v>1053</v>
      </c>
    </row>
    <row r="122" spans="1:4" x14ac:dyDescent="0.35">
      <c r="A122" s="55" t="s">
        <v>201</v>
      </c>
      <c r="B122" s="54" t="s">
        <v>203</v>
      </c>
      <c r="C122" s="54">
        <v>0</v>
      </c>
      <c r="D122" s="56" t="s">
        <v>1053</v>
      </c>
    </row>
    <row r="123" spans="1:4" x14ac:dyDescent="0.35">
      <c r="A123" s="55" t="s">
        <v>204</v>
      </c>
      <c r="B123" s="54" t="s">
        <v>205</v>
      </c>
      <c r="C123" s="54">
        <v>0</v>
      </c>
      <c r="D123" s="56" t="s">
        <v>1053</v>
      </c>
    </row>
    <row r="124" spans="1:4" x14ac:dyDescent="0.35">
      <c r="A124" s="55" t="s">
        <v>206</v>
      </c>
      <c r="B124" s="54" t="s">
        <v>207</v>
      </c>
      <c r="C124" s="54">
        <v>0</v>
      </c>
      <c r="D124" s="56" t="s">
        <v>1053</v>
      </c>
    </row>
    <row r="125" spans="1:4" x14ac:dyDescent="0.35">
      <c r="A125" s="55" t="s">
        <v>208</v>
      </c>
      <c r="B125" s="54" t="s">
        <v>209</v>
      </c>
      <c r="C125" s="54">
        <v>0</v>
      </c>
      <c r="D125" s="56" t="s">
        <v>1053</v>
      </c>
    </row>
    <row r="126" spans="1:4" x14ac:dyDescent="0.35">
      <c r="A126" s="55" t="s">
        <v>210</v>
      </c>
      <c r="B126" s="54" t="s">
        <v>211</v>
      </c>
      <c r="C126" s="54">
        <v>0</v>
      </c>
      <c r="D126" s="56" t="s">
        <v>1053</v>
      </c>
    </row>
    <row r="127" spans="1:4" x14ac:dyDescent="0.35">
      <c r="A127" s="55" t="s">
        <v>212</v>
      </c>
      <c r="B127" s="54" t="s">
        <v>214</v>
      </c>
      <c r="C127" s="54">
        <v>0</v>
      </c>
      <c r="D127" s="56" t="s">
        <v>1053</v>
      </c>
    </row>
    <row r="128" spans="1:4" x14ac:dyDescent="0.35">
      <c r="A128" s="55" t="s">
        <v>215</v>
      </c>
      <c r="B128" s="54" t="s">
        <v>123</v>
      </c>
      <c r="C128" s="54">
        <v>0</v>
      </c>
      <c r="D128" s="56" t="s">
        <v>1053</v>
      </c>
    </row>
    <row r="129" spans="1:4" x14ac:dyDescent="0.35">
      <c r="A129" s="55" t="s">
        <v>216</v>
      </c>
      <c r="B129" s="54" t="s">
        <v>217</v>
      </c>
      <c r="C129" s="54">
        <v>0</v>
      </c>
      <c r="D129" s="56" t="s">
        <v>1053</v>
      </c>
    </row>
    <row r="130" spans="1:4" x14ac:dyDescent="0.35">
      <c r="A130" s="55" t="s">
        <v>218</v>
      </c>
      <c r="B130" s="54" t="s">
        <v>219</v>
      </c>
      <c r="C130" s="54">
        <v>0</v>
      </c>
      <c r="D130" s="56" t="s">
        <v>1053</v>
      </c>
    </row>
    <row r="131" spans="1:4" x14ac:dyDescent="0.35">
      <c r="A131" s="55" t="s">
        <v>220</v>
      </c>
      <c r="B131" s="54" t="s">
        <v>221</v>
      </c>
      <c r="C131" s="54">
        <v>0</v>
      </c>
      <c r="D131" s="56" t="s">
        <v>1053</v>
      </c>
    </row>
    <row r="132" spans="1:4" x14ac:dyDescent="0.35">
      <c r="A132" s="55" t="s">
        <v>222</v>
      </c>
      <c r="B132" s="54" t="s">
        <v>223</v>
      </c>
      <c r="C132" s="54">
        <v>0</v>
      </c>
      <c r="D132" s="56" t="s">
        <v>1053</v>
      </c>
    </row>
    <row r="133" spans="1:4" x14ac:dyDescent="0.35">
      <c r="A133" s="55" t="s">
        <v>224</v>
      </c>
      <c r="B133" s="54" t="s">
        <v>225</v>
      </c>
      <c r="C133" s="54">
        <v>0</v>
      </c>
      <c r="D133" s="56" t="s">
        <v>1053</v>
      </c>
    </row>
    <row r="134" spans="1:4" x14ac:dyDescent="0.35">
      <c r="A134" s="55" t="s">
        <v>226</v>
      </c>
      <c r="B134" s="54" t="s">
        <v>227</v>
      </c>
      <c r="C134" s="54">
        <v>0</v>
      </c>
      <c r="D134" s="56" t="s">
        <v>1053</v>
      </c>
    </row>
    <row r="135" spans="1:4" x14ac:dyDescent="0.35">
      <c r="A135" s="55" t="s">
        <v>228</v>
      </c>
      <c r="B135" s="54" t="s">
        <v>229</v>
      </c>
      <c r="C135" s="54">
        <v>0</v>
      </c>
      <c r="D135" s="56" t="s">
        <v>1053</v>
      </c>
    </row>
    <row r="136" spans="1:4" x14ac:dyDescent="0.35">
      <c r="A136" s="55" t="s">
        <v>230</v>
      </c>
      <c r="B136" s="54" t="s">
        <v>231</v>
      </c>
      <c r="C136" s="54">
        <v>0</v>
      </c>
      <c r="D136" s="56" t="s">
        <v>1053</v>
      </c>
    </row>
    <row r="137" spans="1:4" x14ac:dyDescent="0.35">
      <c r="A137" s="55" t="s">
        <v>232</v>
      </c>
      <c r="B137" s="54" t="s">
        <v>233</v>
      </c>
      <c r="C137" s="54">
        <v>0</v>
      </c>
      <c r="D137" s="56" t="s">
        <v>1053</v>
      </c>
    </row>
    <row r="138" spans="1:4" x14ac:dyDescent="0.35">
      <c r="A138" s="55" t="s">
        <v>234</v>
      </c>
      <c r="B138" s="54" t="s">
        <v>235</v>
      </c>
      <c r="C138" s="54">
        <v>0</v>
      </c>
      <c r="D138" s="56" t="s">
        <v>1053</v>
      </c>
    </row>
    <row r="139" spans="1:4" x14ac:dyDescent="0.35">
      <c r="A139" s="55" t="s">
        <v>236</v>
      </c>
      <c r="B139" s="54" t="s">
        <v>237</v>
      </c>
      <c r="C139" s="54">
        <v>0</v>
      </c>
      <c r="D139" s="56" t="s">
        <v>1053</v>
      </c>
    </row>
    <row r="140" spans="1:4" x14ac:dyDescent="0.35">
      <c r="A140" s="55" t="s">
        <v>238</v>
      </c>
      <c r="B140" s="54" t="s">
        <v>239</v>
      </c>
      <c r="C140" s="54">
        <v>0</v>
      </c>
      <c r="D140" s="56" t="s">
        <v>1053</v>
      </c>
    </row>
    <row r="141" spans="1:4" x14ac:dyDescent="0.35">
      <c r="A141" s="55" t="s">
        <v>240</v>
      </c>
      <c r="B141" s="54" t="s">
        <v>241</v>
      </c>
      <c r="C141" s="54">
        <v>0</v>
      </c>
      <c r="D141" s="56" t="s">
        <v>1053</v>
      </c>
    </row>
    <row r="142" spans="1:4" x14ac:dyDescent="0.35">
      <c r="A142" s="55" t="s">
        <v>242</v>
      </c>
      <c r="B142" s="54" t="s">
        <v>243</v>
      </c>
      <c r="C142" s="54">
        <v>0</v>
      </c>
      <c r="D142" s="56" t="s">
        <v>1053</v>
      </c>
    </row>
    <row r="143" spans="1:4" x14ac:dyDescent="0.35">
      <c r="A143" s="55" t="s">
        <v>244</v>
      </c>
      <c r="B143" s="54" t="s">
        <v>243</v>
      </c>
      <c r="C143" s="54">
        <v>0</v>
      </c>
      <c r="D143" s="56" t="s">
        <v>1053</v>
      </c>
    </row>
    <row r="144" spans="1:4" x14ac:dyDescent="0.35">
      <c r="A144" s="55" t="s">
        <v>245</v>
      </c>
      <c r="B144" s="54" t="s">
        <v>246</v>
      </c>
      <c r="C144" s="54">
        <v>0</v>
      </c>
      <c r="D144" s="56" t="s">
        <v>1053</v>
      </c>
    </row>
    <row r="145" spans="1:4" x14ac:dyDescent="0.35">
      <c r="A145" s="55" t="s">
        <v>247</v>
      </c>
      <c r="B145" s="54" t="s">
        <v>246</v>
      </c>
      <c r="C145" s="54">
        <v>0</v>
      </c>
      <c r="D145" s="56" t="s">
        <v>1053</v>
      </c>
    </row>
    <row r="146" spans="1:4" x14ac:dyDescent="0.35">
      <c r="A146" s="55" t="s">
        <v>248</v>
      </c>
      <c r="B146" s="54" t="s">
        <v>249</v>
      </c>
      <c r="C146" s="54">
        <v>0</v>
      </c>
      <c r="D146" s="56" t="s">
        <v>1053</v>
      </c>
    </row>
    <row r="147" spans="1:4" x14ac:dyDescent="0.35">
      <c r="A147" s="55" t="s">
        <v>250</v>
      </c>
      <c r="B147" s="54" t="s">
        <v>251</v>
      </c>
      <c r="C147" s="54">
        <v>0</v>
      </c>
      <c r="D147" s="56" t="s">
        <v>1053</v>
      </c>
    </row>
    <row r="148" spans="1:4" x14ac:dyDescent="0.35">
      <c r="A148" s="55" t="s">
        <v>252</v>
      </c>
      <c r="B148" s="54" t="s">
        <v>253</v>
      </c>
      <c r="C148" s="54">
        <v>0</v>
      </c>
      <c r="D148" s="56" t="s">
        <v>1053</v>
      </c>
    </row>
    <row r="149" spans="1:4" x14ac:dyDescent="0.35">
      <c r="A149" s="55" t="s">
        <v>254</v>
      </c>
      <c r="B149" s="54" t="s">
        <v>255</v>
      </c>
      <c r="C149" s="54">
        <v>0</v>
      </c>
      <c r="D149" s="56" t="s">
        <v>1053</v>
      </c>
    </row>
    <row r="150" spans="1:4" x14ac:dyDescent="0.35">
      <c r="A150" s="55" t="s">
        <v>256</v>
      </c>
      <c r="B150" s="54" t="s">
        <v>257</v>
      </c>
      <c r="C150" s="54">
        <v>0</v>
      </c>
      <c r="D150" s="56" t="s">
        <v>1053</v>
      </c>
    </row>
    <row r="151" spans="1:4" x14ac:dyDescent="0.35">
      <c r="A151" s="55" t="s">
        <v>258</v>
      </c>
      <c r="B151" s="54" t="s">
        <v>259</v>
      </c>
      <c r="C151" s="54">
        <v>0</v>
      </c>
      <c r="D151" s="56" t="s">
        <v>1053</v>
      </c>
    </row>
    <row r="152" spans="1:4" x14ac:dyDescent="0.35">
      <c r="A152" s="55" t="s">
        <v>260</v>
      </c>
      <c r="B152" s="54" t="s">
        <v>261</v>
      </c>
      <c r="C152" s="54">
        <v>0</v>
      </c>
      <c r="D152" s="56" t="s">
        <v>1053</v>
      </c>
    </row>
    <row r="153" spans="1:4" x14ac:dyDescent="0.35">
      <c r="A153" s="55" t="s">
        <v>262</v>
      </c>
      <c r="B153" s="54" t="s">
        <v>263</v>
      </c>
      <c r="C153" s="54">
        <v>0</v>
      </c>
      <c r="D153" s="56" t="s">
        <v>1053</v>
      </c>
    </row>
    <row r="154" spans="1:4" x14ac:dyDescent="0.35">
      <c r="A154" s="55" t="s">
        <v>264</v>
      </c>
      <c r="B154" s="54" t="s">
        <v>266</v>
      </c>
      <c r="C154" s="54">
        <v>0</v>
      </c>
      <c r="D154" s="56" t="s">
        <v>1053</v>
      </c>
    </row>
    <row r="155" spans="1:4" x14ac:dyDescent="0.35">
      <c r="A155" s="55" t="s">
        <v>267</v>
      </c>
      <c r="B155" s="54" t="s">
        <v>266</v>
      </c>
      <c r="C155" s="54">
        <v>0</v>
      </c>
      <c r="D155" s="56" t="s">
        <v>1053</v>
      </c>
    </row>
    <row r="156" spans="1:4" x14ac:dyDescent="0.35">
      <c r="A156" s="55" t="s">
        <v>268</v>
      </c>
      <c r="B156" s="54" t="s">
        <v>269</v>
      </c>
      <c r="C156" s="54">
        <v>0</v>
      </c>
      <c r="D156" s="56" t="s">
        <v>1053</v>
      </c>
    </row>
    <row r="157" spans="1:4" x14ac:dyDescent="0.35">
      <c r="A157" s="55" t="s">
        <v>270</v>
      </c>
      <c r="B157" s="54" t="s">
        <v>271</v>
      </c>
      <c r="C157" s="54">
        <v>0</v>
      </c>
      <c r="D157" s="56" t="s">
        <v>1053</v>
      </c>
    </row>
    <row r="158" spans="1:4" x14ac:dyDescent="0.35">
      <c r="A158" s="55" t="s">
        <v>272</v>
      </c>
      <c r="B158" s="54" t="s">
        <v>273</v>
      </c>
      <c r="C158" s="54">
        <v>0</v>
      </c>
      <c r="D158" s="56" t="s">
        <v>1053</v>
      </c>
    </row>
    <row r="159" spans="1:4" x14ac:dyDescent="0.35">
      <c r="A159" s="55" t="s">
        <v>274</v>
      </c>
      <c r="B159" s="54" t="s">
        <v>275</v>
      </c>
      <c r="C159" s="54">
        <v>0</v>
      </c>
      <c r="D159" s="56" t="s">
        <v>1053</v>
      </c>
    </row>
    <row r="160" spans="1:4" x14ac:dyDescent="0.35">
      <c r="A160" s="55" t="s">
        <v>276</v>
      </c>
      <c r="B160" s="54" t="s">
        <v>277</v>
      </c>
      <c r="C160" s="54">
        <v>0</v>
      </c>
      <c r="D160" s="56" t="s">
        <v>1053</v>
      </c>
    </row>
    <row r="161" spans="1:4" x14ac:dyDescent="0.35">
      <c r="A161" s="55" t="s">
        <v>278</v>
      </c>
      <c r="B161" s="54" t="s">
        <v>279</v>
      </c>
      <c r="C161" s="54">
        <v>0</v>
      </c>
      <c r="D161" s="56" t="s">
        <v>1053</v>
      </c>
    </row>
    <row r="162" spans="1:4" x14ac:dyDescent="0.35">
      <c r="A162" s="55" t="s">
        <v>280</v>
      </c>
      <c r="B162" s="54" t="s">
        <v>281</v>
      </c>
      <c r="C162" s="54">
        <v>0</v>
      </c>
      <c r="D162" s="56" t="s">
        <v>1053</v>
      </c>
    </row>
    <row r="163" spans="1:4" x14ac:dyDescent="0.35">
      <c r="A163" s="55" t="s">
        <v>282</v>
      </c>
      <c r="B163" s="54" t="s">
        <v>283</v>
      </c>
      <c r="C163" s="54">
        <v>0</v>
      </c>
      <c r="D163" s="56" t="s">
        <v>1053</v>
      </c>
    </row>
    <row r="164" spans="1:4" x14ac:dyDescent="0.35">
      <c r="A164" s="55" t="s">
        <v>284</v>
      </c>
      <c r="B164" s="54" t="s">
        <v>285</v>
      </c>
      <c r="C164" s="54">
        <v>0</v>
      </c>
      <c r="D164" s="56" t="s">
        <v>1053</v>
      </c>
    </row>
    <row r="165" spans="1:4" x14ac:dyDescent="0.35">
      <c r="A165" s="55" t="s">
        <v>286</v>
      </c>
      <c r="B165" s="54" t="s">
        <v>287</v>
      </c>
      <c r="C165" s="54">
        <v>0</v>
      </c>
      <c r="D165" s="56" t="s">
        <v>1053</v>
      </c>
    </row>
    <row r="166" spans="1:4" x14ac:dyDescent="0.35">
      <c r="A166" s="55" t="s">
        <v>288</v>
      </c>
      <c r="B166" s="54" t="s">
        <v>289</v>
      </c>
      <c r="C166" s="54">
        <v>0</v>
      </c>
      <c r="D166" s="56" t="s">
        <v>1053</v>
      </c>
    </row>
    <row r="167" spans="1:4" x14ac:dyDescent="0.35">
      <c r="A167" s="55" t="s">
        <v>290</v>
      </c>
      <c r="B167" s="54" t="s">
        <v>291</v>
      </c>
      <c r="C167" s="54">
        <v>0</v>
      </c>
      <c r="D167" s="56" t="s">
        <v>1053</v>
      </c>
    </row>
    <row r="168" spans="1:4" x14ac:dyDescent="0.35">
      <c r="A168" s="55" t="s">
        <v>292</v>
      </c>
      <c r="B168" s="54" t="s">
        <v>293</v>
      </c>
      <c r="C168" s="54">
        <v>0</v>
      </c>
      <c r="D168" s="56" t="s">
        <v>1053</v>
      </c>
    </row>
    <row r="169" spans="1:4" x14ac:dyDescent="0.35">
      <c r="A169" s="55" t="s">
        <v>294</v>
      </c>
      <c r="B169" s="54" t="s">
        <v>295</v>
      </c>
      <c r="C169" s="54">
        <v>0</v>
      </c>
      <c r="D169" s="56" t="s">
        <v>1053</v>
      </c>
    </row>
    <row r="170" spans="1:4" x14ac:dyDescent="0.35">
      <c r="A170" s="55" t="s">
        <v>296</v>
      </c>
      <c r="B170" s="54" t="s">
        <v>297</v>
      </c>
      <c r="C170" s="54">
        <v>0</v>
      </c>
      <c r="D170" s="56" t="s">
        <v>1053</v>
      </c>
    </row>
    <row r="171" spans="1:4" x14ac:dyDescent="0.35">
      <c r="A171" s="55" t="s">
        <v>298</v>
      </c>
      <c r="B171" s="54" t="s">
        <v>299</v>
      </c>
      <c r="C171" s="54">
        <v>0</v>
      </c>
      <c r="D171" s="56" t="s">
        <v>1053</v>
      </c>
    </row>
    <row r="172" spans="1:4" x14ac:dyDescent="0.35">
      <c r="A172" s="55" t="s">
        <v>300</v>
      </c>
      <c r="B172" s="54" t="s">
        <v>301</v>
      </c>
      <c r="C172" s="54">
        <v>0</v>
      </c>
      <c r="D172" s="56" t="s">
        <v>1053</v>
      </c>
    </row>
    <row r="173" spans="1:4" x14ac:dyDescent="0.35">
      <c r="A173" s="55" t="s">
        <v>302</v>
      </c>
      <c r="B173" s="54" t="s">
        <v>303</v>
      </c>
      <c r="C173" s="54">
        <v>0</v>
      </c>
      <c r="D173" s="56" t="s">
        <v>1053</v>
      </c>
    </row>
    <row r="174" spans="1:4" x14ac:dyDescent="0.35">
      <c r="A174" s="55" t="s">
        <v>304</v>
      </c>
      <c r="B174" s="54" t="s">
        <v>305</v>
      </c>
      <c r="C174" s="54">
        <v>0</v>
      </c>
      <c r="D174" s="56" t="s">
        <v>1053</v>
      </c>
    </row>
    <row r="175" spans="1:4" x14ac:dyDescent="0.35">
      <c r="A175" s="55" t="s">
        <v>306</v>
      </c>
      <c r="B175" s="54" t="s">
        <v>307</v>
      </c>
      <c r="C175" s="54">
        <v>0</v>
      </c>
      <c r="D175" s="56" t="s">
        <v>1053</v>
      </c>
    </row>
    <row r="176" spans="1:4" x14ac:dyDescent="0.35">
      <c r="A176" s="55" t="s">
        <v>308</v>
      </c>
      <c r="B176" s="54" t="s">
        <v>309</v>
      </c>
      <c r="C176" s="54">
        <v>0</v>
      </c>
      <c r="D176" s="56" t="s">
        <v>1053</v>
      </c>
    </row>
    <row r="177" spans="1:4" x14ac:dyDescent="0.35">
      <c r="A177" s="55" t="s">
        <v>310</v>
      </c>
      <c r="B177" s="54" t="s">
        <v>311</v>
      </c>
      <c r="C177" s="54">
        <v>0</v>
      </c>
      <c r="D177" s="56" t="s">
        <v>1053</v>
      </c>
    </row>
    <row r="178" spans="1:4" x14ac:dyDescent="0.35">
      <c r="A178" s="55" t="s">
        <v>312</v>
      </c>
      <c r="B178" s="54" t="s">
        <v>313</v>
      </c>
      <c r="C178" s="54">
        <v>0</v>
      </c>
      <c r="D178" s="56" t="s">
        <v>1053</v>
      </c>
    </row>
    <row r="179" spans="1:4" x14ac:dyDescent="0.35">
      <c r="A179" s="55" t="s">
        <v>314</v>
      </c>
      <c r="B179" s="54" t="s">
        <v>315</v>
      </c>
      <c r="C179" s="54">
        <v>0</v>
      </c>
      <c r="D179" s="56" t="s">
        <v>1053</v>
      </c>
    </row>
    <row r="180" spans="1:4" x14ac:dyDescent="0.35">
      <c r="A180" s="55" t="s">
        <v>316</v>
      </c>
      <c r="B180" s="54" t="s">
        <v>317</v>
      </c>
      <c r="C180" s="54">
        <v>0</v>
      </c>
      <c r="D180" s="56" t="s">
        <v>1053</v>
      </c>
    </row>
    <row r="181" spans="1:4" x14ac:dyDescent="0.35">
      <c r="A181" s="55" t="s">
        <v>318</v>
      </c>
      <c r="B181" s="54" t="s">
        <v>319</v>
      </c>
      <c r="C181" s="54">
        <v>0</v>
      </c>
      <c r="D181" s="56" t="s">
        <v>1053</v>
      </c>
    </row>
    <row r="182" spans="1:4" x14ac:dyDescent="0.35">
      <c r="A182" s="55" t="s">
        <v>320</v>
      </c>
      <c r="B182" s="54" t="s">
        <v>321</v>
      </c>
      <c r="C182" s="54">
        <v>0</v>
      </c>
      <c r="D182" s="56" t="s">
        <v>1053</v>
      </c>
    </row>
    <row r="183" spans="1:4" x14ac:dyDescent="0.35">
      <c r="A183" s="55" t="s">
        <v>322</v>
      </c>
      <c r="B183" s="54" t="s">
        <v>121</v>
      </c>
      <c r="C183" s="54">
        <v>0</v>
      </c>
      <c r="D183" s="56" t="s">
        <v>1053</v>
      </c>
    </row>
    <row r="184" spans="1:4" x14ac:dyDescent="0.35">
      <c r="A184" s="55" t="s">
        <v>325</v>
      </c>
      <c r="B184" s="54" t="s">
        <v>326</v>
      </c>
      <c r="C184" s="54">
        <v>0</v>
      </c>
      <c r="D184" s="56" t="s">
        <v>1053</v>
      </c>
    </row>
    <row r="185" spans="1:4" x14ac:dyDescent="0.35">
      <c r="A185" s="55" t="s">
        <v>327</v>
      </c>
      <c r="B185" s="54" t="s">
        <v>219</v>
      </c>
      <c r="C185" s="54">
        <v>0</v>
      </c>
      <c r="D185" s="56" t="s">
        <v>1053</v>
      </c>
    </row>
    <row r="186" spans="1:4" x14ac:dyDescent="0.35">
      <c r="A186" s="55" t="s">
        <v>328</v>
      </c>
      <c r="B186" s="54" t="s">
        <v>329</v>
      </c>
      <c r="C186" s="54">
        <v>0</v>
      </c>
      <c r="D186" s="56" t="s">
        <v>1053</v>
      </c>
    </row>
    <row r="187" spans="1:4" x14ac:dyDescent="0.35">
      <c r="A187" s="55" t="s">
        <v>330</v>
      </c>
      <c r="B187" s="54" t="s">
        <v>332</v>
      </c>
      <c r="C187" s="54">
        <v>0</v>
      </c>
      <c r="D187" s="56" t="s">
        <v>1053</v>
      </c>
    </row>
    <row r="188" spans="1:4" x14ac:dyDescent="0.35">
      <c r="A188" s="55" t="s">
        <v>333</v>
      </c>
      <c r="B188" s="54" t="s">
        <v>334</v>
      </c>
      <c r="C188" s="54">
        <v>0</v>
      </c>
      <c r="D188" s="56" t="s">
        <v>1053</v>
      </c>
    </row>
    <row r="189" spans="1:4" x14ac:dyDescent="0.35">
      <c r="A189" s="55" t="s">
        <v>335</v>
      </c>
      <c r="B189" s="54" t="s">
        <v>337</v>
      </c>
      <c r="C189" s="54">
        <v>0</v>
      </c>
      <c r="D189" s="56" t="s">
        <v>1053</v>
      </c>
    </row>
    <row r="190" spans="1:4" x14ac:dyDescent="0.35">
      <c r="A190" s="55" t="s">
        <v>338</v>
      </c>
      <c r="B190" s="54" t="s">
        <v>339</v>
      </c>
      <c r="C190" s="54">
        <v>0</v>
      </c>
      <c r="D190" s="56" t="s">
        <v>1053</v>
      </c>
    </row>
    <row r="191" spans="1:4" x14ac:dyDescent="0.35">
      <c r="A191" s="55" t="s">
        <v>340</v>
      </c>
      <c r="B191" s="54" t="s">
        <v>341</v>
      </c>
      <c r="C191" s="54">
        <v>0</v>
      </c>
      <c r="D191" s="56" t="s">
        <v>1053</v>
      </c>
    </row>
    <row r="192" spans="1:4" x14ac:dyDescent="0.35">
      <c r="A192" s="55" t="s">
        <v>342</v>
      </c>
      <c r="B192" s="54" t="s">
        <v>343</v>
      </c>
      <c r="C192" s="54">
        <v>0</v>
      </c>
      <c r="D192" s="56" t="s">
        <v>1053</v>
      </c>
    </row>
    <row r="193" spans="1:4" x14ac:dyDescent="0.35">
      <c r="A193" s="55" t="s">
        <v>344</v>
      </c>
      <c r="B193" s="54" t="s">
        <v>345</v>
      </c>
      <c r="C193" s="54">
        <v>0</v>
      </c>
      <c r="D193" s="56" t="s">
        <v>1053</v>
      </c>
    </row>
    <row r="194" spans="1:4" x14ac:dyDescent="0.35">
      <c r="A194" s="55" t="s">
        <v>346</v>
      </c>
      <c r="B194" s="54" t="s">
        <v>347</v>
      </c>
      <c r="C194" s="54">
        <v>0</v>
      </c>
      <c r="D194" s="56" t="s">
        <v>1053</v>
      </c>
    </row>
    <row r="195" spans="1:4" x14ac:dyDescent="0.35">
      <c r="A195" s="55" t="s">
        <v>348</v>
      </c>
      <c r="B195" s="54" t="s">
        <v>349</v>
      </c>
      <c r="C195" s="54">
        <v>0</v>
      </c>
      <c r="D195" s="56" t="s">
        <v>1053</v>
      </c>
    </row>
    <row r="196" spans="1:4" x14ac:dyDescent="0.35">
      <c r="A196" s="55" t="s">
        <v>350</v>
      </c>
      <c r="B196" s="54" t="s">
        <v>351</v>
      </c>
      <c r="C196" s="54">
        <v>0</v>
      </c>
      <c r="D196" s="56" t="s">
        <v>1053</v>
      </c>
    </row>
    <row r="197" spans="1:4" x14ac:dyDescent="0.35">
      <c r="A197" s="55" t="s">
        <v>352</v>
      </c>
      <c r="B197" s="54" t="s">
        <v>353</v>
      </c>
      <c r="C197" s="54">
        <v>0</v>
      </c>
      <c r="D197" s="56" t="s">
        <v>1053</v>
      </c>
    </row>
    <row r="198" spans="1:4" x14ac:dyDescent="0.35">
      <c r="A198" s="55" t="s">
        <v>354</v>
      </c>
      <c r="B198" s="54" t="s">
        <v>355</v>
      </c>
      <c r="C198" s="54">
        <v>0</v>
      </c>
      <c r="D198" s="56" t="s">
        <v>1053</v>
      </c>
    </row>
    <row r="199" spans="1:4" x14ac:dyDescent="0.35">
      <c r="A199" s="55" t="s">
        <v>356</v>
      </c>
      <c r="B199" s="54" t="s">
        <v>358</v>
      </c>
      <c r="C199" s="54">
        <v>0</v>
      </c>
      <c r="D199" s="56" t="s">
        <v>1053</v>
      </c>
    </row>
    <row r="200" spans="1:4" x14ac:dyDescent="0.35">
      <c r="A200" s="55" t="s">
        <v>359</v>
      </c>
      <c r="B200" s="54" t="s">
        <v>360</v>
      </c>
      <c r="C200" s="54">
        <v>0</v>
      </c>
      <c r="D200" s="56" t="s">
        <v>1053</v>
      </c>
    </row>
    <row r="201" spans="1:4" x14ac:dyDescent="0.35">
      <c r="A201" s="55" t="s">
        <v>361</v>
      </c>
      <c r="B201" s="54" t="s">
        <v>362</v>
      </c>
      <c r="C201" s="54">
        <v>0</v>
      </c>
      <c r="D201" s="56" t="s">
        <v>1053</v>
      </c>
    </row>
    <row r="202" spans="1:4" x14ac:dyDescent="0.35">
      <c r="A202" s="55" t="s">
        <v>363</v>
      </c>
      <c r="B202" s="54" t="s">
        <v>364</v>
      </c>
      <c r="C202" s="54">
        <v>0</v>
      </c>
      <c r="D202" s="56" t="s">
        <v>1053</v>
      </c>
    </row>
    <row r="203" spans="1:4" x14ac:dyDescent="0.35">
      <c r="A203" s="55" t="s">
        <v>365</v>
      </c>
      <c r="B203" s="54" t="s">
        <v>366</v>
      </c>
      <c r="C203" s="54">
        <v>0</v>
      </c>
      <c r="D203" s="56" t="s">
        <v>1053</v>
      </c>
    </row>
    <row r="204" spans="1:4" x14ac:dyDescent="0.35">
      <c r="A204" s="55" t="s">
        <v>367</v>
      </c>
      <c r="B204" s="54" t="s">
        <v>369</v>
      </c>
      <c r="C204" s="54">
        <v>0</v>
      </c>
      <c r="D204" s="56" t="s">
        <v>1053</v>
      </c>
    </row>
    <row r="205" spans="1:4" x14ac:dyDescent="0.35">
      <c r="A205" s="55" t="s">
        <v>370</v>
      </c>
      <c r="B205" s="54" t="s">
        <v>371</v>
      </c>
      <c r="C205" s="54">
        <v>0</v>
      </c>
      <c r="D205" s="56" t="s">
        <v>1053</v>
      </c>
    </row>
    <row r="206" spans="1:4" x14ac:dyDescent="0.35">
      <c r="A206" s="55" t="s">
        <v>372</v>
      </c>
      <c r="B206" s="54" t="s">
        <v>373</v>
      </c>
      <c r="C206" s="54">
        <v>0</v>
      </c>
      <c r="D206" s="56" t="s">
        <v>1053</v>
      </c>
    </row>
    <row r="207" spans="1:4" x14ac:dyDescent="0.35">
      <c r="A207" s="55" t="s">
        <v>374</v>
      </c>
      <c r="B207" s="54" t="s">
        <v>376</v>
      </c>
      <c r="C207" s="54">
        <v>0</v>
      </c>
      <c r="D207" s="56" t="s">
        <v>1053</v>
      </c>
    </row>
    <row r="208" spans="1:4" x14ac:dyDescent="0.35">
      <c r="A208" s="55" t="s">
        <v>377</v>
      </c>
      <c r="B208" s="54" t="s">
        <v>378</v>
      </c>
      <c r="C208" s="54">
        <v>0</v>
      </c>
      <c r="D208" s="56" t="s">
        <v>1053</v>
      </c>
    </row>
    <row r="209" spans="1:4" x14ac:dyDescent="0.35">
      <c r="A209" s="55" t="s">
        <v>379</v>
      </c>
      <c r="B209" s="54" t="s">
        <v>380</v>
      </c>
      <c r="C209" s="54">
        <v>0</v>
      </c>
      <c r="D209" s="56" t="s">
        <v>1053</v>
      </c>
    </row>
    <row r="210" spans="1:4" x14ac:dyDescent="0.35">
      <c r="A210" s="55" t="s">
        <v>381</v>
      </c>
      <c r="B210" s="54" t="s">
        <v>384</v>
      </c>
      <c r="C210" s="54">
        <v>0</v>
      </c>
      <c r="D210" s="56" t="s">
        <v>1053</v>
      </c>
    </row>
    <row r="211" spans="1:4" x14ac:dyDescent="0.35">
      <c r="A211" s="55" t="s">
        <v>385</v>
      </c>
      <c r="B211" s="54" t="s">
        <v>386</v>
      </c>
      <c r="C211" s="54">
        <v>0</v>
      </c>
      <c r="D211" s="56" t="s">
        <v>1053</v>
      </c>
    </row>
    <row r="212" spans="1:4" x14ac:dyDescent="0.35">
      <c r="A212" s="55" t="s">
        <v>387</v>
      </c>
      <c r="B212" s="54" t="s">
        <v>388</v>
      </c>
      <c r="C212" s="54">
        <v>0</v>
      </c>
      <c r="D212" s="56" t="s">
        <v>1053</v>
      </c>
    </row>
    <row r="213" spans="1:4" x14ac:dyDescent="0.35">
      <c r="A213" s="55" t="s">
        <v>389</v>
      </c>
      <c r="B213" s="54" t="s">
        <v>391</v>
      </c>
      <c r="C213" s="54">
        <v>0</v>
      </c>
      <c r="D213" s="56" t="s">
        <v>1053</v>
      </c>
    </row>
    <row r="214" spans="1:4" x14ac:dyDescent="0.35">
      <c r="A214" s="55" t="s">
        <v>392</v>
      </c>
      <c r="B214" s="54" t="s">
        <v>393</v>
      </c>
      <c r="C214" s="54">
        <v>0</v>
      </c>
      <c r="D214" s="56" t="s">
        <v>1053</v>
      </c>
    </row>
    <row r="215" spans="1:4" x14ac:dyDescent="0.35">
      <c r="A215" s="55" t="s">
        <v>394</v>
      </c>
      <c r="B215" s="54" t="s">
        <v>395</v>
      </c>
      <c r="C215" s="54">
        <v>0</v>
      </c>
      <c r="D215" s="56" t="s">
        <v>1053</v>
      </c>
    </row>
    <row r="216" spans="1:4" x14ac:dyDescent="0.35">
      <c r="A216" s="55" t="s">
        <v>396</v>
      </c>
      <c r="B216" s="54" t="s">
        <v>397</v>
      </c>
      <c r="C216" s="54">
        <v>0</v>
      </c>
      <c r="D216" s="56" t="s">
        <v>1053</v>
      </c>
    </row>
    <row r="217" spans="1:4" x14ac:dyDescent="0.35">
      <c r="A217" s="55" t="s">
        <v>398</v>
      </c>
      <c r="B217" s="54" t="s">
        <v>400</v>
      </c>
      <c r="C217" s="54">
        <v>0</v>
      </c>
      <c r="D217" s="56" t="s">
        <v>1053</v>
      </c>
    </row>
    <row r="218" spans="1:4" x14ac:dyDescent="0.35">
      <c r="A218" s="55" t="s">
        <v>401</v>
      </c>
      <c r="B218" s="54" t="s">
        <v>402</v>
      </c>
      <c r="C218" s="54">
        <v>0</v>
      </c>
      <c r="D218" s="56" t="s">
        <v>1053</v>
      </c>
    </row>
    <row r="219" spans="1:4" x14ac:dyDescent="0.35">
      <c r="A219" s="55" t="s">
        <v>403</v>
      </c>
      <c r="B219" s="54" t="s">
        <v>404</v>
      </c>
      <c r="C219" s="54">
        <v>0</v>
      </c>
      <c r="D219" s="56" t="s">
        <v>1053</v>
      </c>
    </row>
    <row r="220" spans="1:4" x14ac:dyDescent="0.35">
      <c r="A220" s="55" t="s">
        <v>405</v>
      </c>
      <c r="B220" s="54" t="s">
        <v>406</v>
      </c>
      <c r="C220" s="54">
        <v>0</v>
      </c>
      <c r="D220" s="56" t="s">
        <v>1053</v>
      </c>
    </row>
    <row r="221" spans="1:4" x14ac:dyDescent="0.35">
      <c r="A221" s="55" t="s">
        <v>407</v>
      </c>
      <c r="B221" s="54" t="s">
        <v>408</v>
      </c>
      <c r="C221" s="54">
        <v>0</v>
      </c>
      <c r="D221" s="56" t="s">
        <v>1053</v>
      </c>
    </row>
    <row r="222" spans="1:4" x14ac:dyDescent="0.35">
      <c r="A222" s="55" t="s">
        <v>409</v>
      </c>
      <c r="B222" s="54" t="s">
        <v>410</v>
      </c>
      <c r="C222" s="54">
        <v>0</v>
      </c>
      <c r="D222" s="56" t="s">
        <v>1053</v>
      </c>
    </row>
    <row r="223" spans="1:4" x14ac:dyDescent="0.35">
      <c r="A223" s="55" t="s">
        <v>411</v>
      </c>
      <c r="B223" s="54" t="s">
        <v>412</v>
      </c>
      <c r="C223" s="54">
        <v>0</v>
      </c>
      <c r="D223" s="56" t="s">
        <v>1053</v>
      </c>
    </row>
    <row r="224" spans="1:4" x14ac:dyDescent="0.35">
      <c r="A224" s="55" t="s">
        <v>413</v>
      </c>
      <c r="B224" s="54" t="s">
        <v>414</v>
      </c>
      <c r="C224" s="54">
        <v>0</v>
      </c>
      <c r="D224" s="56" t="s">
        <v>1053</v>
      </c>
    </row>
    <row r="225" spans="1:4" x14ac:dyDescent="0.35">
      <c r="A225" s="55" t="s">
        <v>415</v>
      </c>
      <c r="B225" s="54" t="s">
        <v>417</v>
      </c>
      <c r="C225" s="54">
        <v>0</v>
      </c>
      <c r="D225" s="56" t="s">
        <v>1053</v>
      </c>
    </row>
    <row r="226" spans="1:4" x14ac:dyDescent="0.35">
      <c r="A226" s="55" t="s">
        <v>418</v>
      </c>
      <c r="B226" s="54" t="s">
        <v>419</v>
      </c>
      <c r="C226" s="54">
        <v>0</v>
      </c>
      <c r="D226" s="56" t="s">
        <v>1053</v>
      </c>
    </row>
    <row r="227" spans="1:4" x14ac:dyDescent="0.35">
      <c r="A227" s="55" t="s">
        <v>420</v>
      </c>
      <c r="B227" s="54" t="s">
        <v>422</v>
      </c>
      <c r="C227" s="54">
        <v>0</v>
      </c>
      <c r="D227" s="56" t="s">
        <v>1053</v>
      </c>
    </row>
    <row r="228" spans="1:4" x14ac:dyDescent="0.35">
      <c r="A228" s="55" t="s">
        <v>423</v>
      </c>
      <c r="B228" s="54" t="s">
        <v>424</v>
      </c>
      <c r="C228" s="54">
        <v>0</v>
      </c>
      <c r="D228" s="56" t="s">
        <v>1053</v>
      </c>
    </row>
    <row r="229" spans="1:4" x14ac:dyDescent="0.35">
      <c r="A229" s="55" t="s">
        <v>425</v>
      </c>
      <c r="B229" s="54" t="s">
        <v>427</v>
      </c>
      <c r="C229" s="54">
        <v>0</v>
      </c>
      <c r="D229" s="56" t="s">
        <v>1053</v>
      </c>
    </row>
    <row r="230" spans="1:4" x14ac:dyDescent="0.35">
      <c r="A230" s="55" t="s">
        <v>428</v>
      </c>
      <c r="B230" s="54" t="s">
        <v>429</v>
      </c>
      <c r="C230" s="54">
        <v>0</v>
      </c>
      <c r="D230" s="56" t="s">
        <v>1053</v>
      </c>
    </row>
    <row r="231" spans="1:4" x14ac:dyDescent="0.35">
      <c r="A231" s="55" t="s">
        <v>430</v>
      </c>
      <c r="B231" s="54" t="s">
        <v>431</v>
      </c>
      <c r="C231" s="54">
        <v>0</v>
      </c>
      <c r="D231" s="56" t="s">
        <v>1053</v>
      </c>
    </row>
    <row r="232" spans="1:4" x14ac:dyDescent="0.35">
      <c r="A232" s="55" t="s">
        <v>432</v>
      </c>
      <c r="B232" s="54" t="s">
        <v>433</v>
      </c>
      <c r="C232" s="54">
        <v>0</v>
      </c>
      <c r="D232" s="56" t="s">
        <v>1053</v>
      </c>
    </row>
    <row r="233" spans="1:4" x14ac:dyDescent="0.35">
      <c r="A233" s="55" t="s">
        <v>434</v>
      </c>
      <c r="B233" s="54" t="s">
        <v>435</v>
      </c>
      <c r="C233" s="54">
        <v>0</v>
      </c>
      <c r="D233" s="56" t="s">
        <v>1053</v>
      </c>
    </row>
    <row r="234" spans="1:4" x14ac:dyDescent="0.35">
      <c r="A234" s="55" t="s">
        <v>436</v>
      </c>
      <c r="B234" s="54" t="s">
        <v>183</v>
      </c>
      <c r="C234" s="54">
        <v>0</v>
      </c>
      <c r="D234" s="56" t="s">
        <v>1053</v>
      </c>
    </row>
    <row r="235" spans="1:4" x14ac:dyDescent="0.35">
      <c r="A235" s="55" t="s">
        <v>437</v>
      </c>
      <c r="B235" s="54" t="s">
        <v>185</v>
      </c>
      <c r="C235" s="54">
        <v>0</v>
      </c>
      <c r="D235" s="56" t="s">
        <v>1053</v>
      </c>
    </row>
    <row r="236" spans="1:4" x14ac:dyDescent="0.35">
      <c r="A236" s="55" t="s">
        <v>438</v>
      </c>
      <c r="B236" s="54" t="s">
        <v>185</v>
      </c>
      <c r="C236" s="54">
        <v>0</v>
      </c>
      <c r="D236" s="56" t="s">
        <v>1053</v>
      </c>
    </row>
    <row r="237" spans="1:4" x14ac:dyDescent="0.35">
      <c r="A237" s="55" t="s">
        <v>439</v>
      </c>
      <c r="B237" s="54" t="s">
        <v>442</v>
      </c>
      <c r="C237" s="54">
        <v>0</v>
      </c>
      <c r="D237" s="56" t="s">
        <v>1053</v>
      </c>
    </row>
    <row r="238" spans="1:4" x14ac:dyDescent="0.35">
      <c r="A238" s="55" t="s">
        <v>443</v>
      </c>
      <c r="B238" s="54" t="s">
        <v>444</v>
      </c>
      <c r="C238" s="54">
        <v>0</v>
      </c>
      <c r="D238" s="56" t="s">
        <v>1053</v>
      </c>
    </row>
    <row r="239" spans="1:4" x14ac:dyDescent="0.35">
      <c r="A239" s="55" t="s">
        <v>445</v>
      </c>
      <c r="B239" s="54" t="s">
        <v>446</v>
      </c>
      <c r="C239" s="54">
        <v>0</v>
      </c>
      <c r="D239" s="56" t="s">
        <v>1053</v>
      </c>
    </row>
    <row r="240" spans="1:4" x14ac:dyDescent="0.35">
      <c r="A240" s="55" t="s">
        <v>447</v>
      </c>
      <c r="B240" s="54" t="s">
        <v>121</v>
      </c>
      <c r="C240" s="54">
        <v>0</v>
      </c>
      <c r="D240" s="56" t="s">
        <v>1053</v>
      </c>
    </row>
    <row r="241" spans="1:4" x14ac:dyDescent="0.35">
      <c r="A241" s="55" t="s">
        <v>448</v>
      </c>
      <c r="B241" s="54" t="s">
        <v>449</v>
      </c>
      <c r="C241" s="54">
        <v>0</v>
      </c>
      <c r="D241" s="56" t="s">
        <v>1053</v>
      </c>
    </row>
    <row r="242" spans="1:4" x14ac:dyDescent="0.35">
      <c r="A242" s="57" t="s">
        <v>450</v>
      </c>
      <c r="B242" s="58" t="s">
        <v>451</v>
      </c>
      <c r="C242" s="58">
        <v>0</v>
      </c>
      <c r="D242" s="59" t="s">
        <v>1053</v>
      </c>
    </row>
  </sheetData>
  <dataValidations count="4">
    <dataValidation type="list" allowBlank="1" showInputMessage="1" showErrorMessage="1" errorTitle="Invalid input" error="Choose an option from the drop down." promptTitle="Choose learning type" prompt="Stat / Man / CPD?" sqref="H10" xr:uid="{34100999-48B1-404A-BDF3-92F58722B5E6}">
      <formula1>Requirement_Type_List</formula1>
    </dataValidation>
    <dataValidation type="list" allowBlank="1" showInputMessage="1" showErrorMessage="1" errorTitle="Invalid value" error="Select Yes or No from the list." promptTitle="Include flag" prompt="Select Yes or No from the list." sqref="G10" xr:uid="{60AC30CA-2E22-4422-ABAE-D2A7F20615ED}">
      <formula1>Include_List</formula1>
    </dataValidation>
    <dataValidation type="list" allowBlank="1" showInputMessage="1" showErrorMessage="1" sqref="C10" xr:uid="{12DF7EF6-678F-49D7-8165-5C9C4054F49C}">
      <formula1>CourseID_List</formula1>
    </dataValidation>
    <dataValidation allowBlank="1" showInputMessage="1" showErrorMessage="1" errorTitle="Invalid Role" error="Select a role from the list. Do not type manually." sqref="A10" xr:uid="{098DCFAA-8FF7-4294-AEC8-D7F1079C981B}"/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621D8-4965-4643-B022-344B4B9DEF1B}">
  <dimension ref="B11:B13"/>
  <sheetViews>
    <sheetView workbookViewId="0">
      <selection activeCell="B12" sqref="B12"/>
    </sheetView>
  </sheetViews>
  <sheetFormatPr defaultRowHeight="14.5" x14ac:dyDescent="0.35"/>
  <sheetData>
    <row r="11" spans="2:2" x14ac:dyDescent="0.35">
      <c r="B11" t="s">
        <v>1056</v>
      </c>
    </row>
    <row r="13" spans="2:2" x14ac:dyDescent="0.35">
      <c r="B13" t="s">
        <v>1034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D34D558D53BA44861EC7D29B467E7E" ma:contentTypeVersion="15" ma:contentTypeDescription="Create a new document." ma:contentTypeScope="" ma:versionID="40b8379445d5c39a31925f2ddcced8cf">
  <xsd:schema xmlns:xsd="http://www.w3.org/2001/XMLSchema" xmlns:xs="http://www.w3.org/2001/XMLSchema" xmlns:p="http://schemas.microsoft.com/office/2006/metadata/properties" xmlns:ns2="35e39561-9303-423a-bb13-2c722c794671" xmlns:ns3="c4d45ac4-e722-4230-ad85-1c7808c0b9a3" targetNamespace="http://schemas.microsoft.com/office/2006/metadata/properties" ma:root="true" ma:fieldsID="2679028629af9eb935530bfc464af944" ns2:_="" ns3:_="">
    <xsd:import namespace="35e39561-9303-423a-bb13-2c722c794671"/>
    <xsd:import namespace="c4d45ac4-e722-4230-ad85-1c7808c0b9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e39561-9303-423a-bb13-2c722c7946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6ac32b6-d060-42fb-93c0-6c46742e1a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45ac4-e722-4230-ad85-1c7808c0b9a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c00e998-0fd6-444f-8799-3ee7dff9f2e7}" ma:internalName="TaxCatchAll" ma:showField="CatchAllData" ma:web="c4d45ac4-e722-4230-ad85-1c7808c0b9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d45ac4-e722-4230-ad85-1c7808c0b9a3" xsi:nil="true"/>
    <lcf76f155ced4ddcb4097134ff3c332f xmlns="35e39561-9303-423a-bb13-2c722c79467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6F748C-0FA1-44C6-AF76-DE37B9571B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CC3557-33B3-4B36-9A76-C098CB2B33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e39561-9303-423a-bb13-2c722c794671"/>
    <ds:schemaRef ds:uri="c4d45ac4-e722-4230-ad85-1c7808c0b9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94C1B9-0FDA-4B6C-9564-BE258C061EEF}">
  <ds:schemaRefs>
    <ds:schemaRef ds:uri="http://schemas.microsoft.com/office/2006/documentManagement/types"/>
    <ds:schemaRef ds:uri="35e39561-9303-423a-bb13-2c722c794671"/>
    <ds:schemaRef ds:uri="http://schemas.openxmlformats.org/package/2006/metadata/core-properties"/>
    <ds:schemaRef ds:uri="http://purl.org/dc/elements/1.1/"/>
    <ds:schemaRef ds:uri="http://purl.org/dc/dcmitype/"/>
    <ds:schemaRef ds:uri="http://www.w3.org/XML/1998/namespace"/>
    <ds:schemaRef ds:uri="http://purl.org/dc/terms/"/>
    <ds:schemaRef ds:uri="http://schemas.microsoft.com/office/infopath/2007/PartnerControls"/>
    <ds:schemaRef ds:uri="c4d45ac4-e722-4230-ad85-1c7808c0b9a3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b4199b9c-a89e-442f-9799-431511f14748}" enabled="1" method="Privileged" siteId="{10efe0bd-a030-4bca-809c-b5e6745e499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Roles</vt:lpstr>
      <vt:lpstr>Courses</vt:lpstr>
      <vt:lpstr>Mapping</vt:lpstr>
      <vt:lpstr>Reference</vt:lpstr>
      <vt:lpstr>QA Dashboard</vt:lpstr>
      <vt:lpstr>Questions!</vt:lpstr>
      <vt:lpstr>CourseID_List</vt:lpstr>
      <vt:lpstr>frequency</vt:lpstr>
      <vt:lpstr>Include_List</vt:lpstr>
      <vt:lpstr>Requirement_Type_List</vt:lpstr>
      <vt:lpstr>RoleID_List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Cook (SAS)</dc:creator>
  <cp:lastModifiedBy>David Brand (SAS)</cp:lastModifiedBy>
  <dcterms:created xsi:type="dcterms:W3CDTF">2026-06-17T09:59:25Z</dcterms:created>
  <dcterms:modified xsi:type="dcterms:W3CDTF">2026-10-14T15:57:06Z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0x010100BAD34D558D53BA44861EC7D29B467E7E</vt:lpwstr>
  </property>
  <property fmtid="{D5CDD505-2E9C-101B-9397-08002B2CF9AE}" pid="3" name="MediaServiceImageTags">
    <vt:lpwstr/>
  </property>
</Properties>
</file>